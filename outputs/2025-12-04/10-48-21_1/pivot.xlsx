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04\10-48-21_1\"/>
    </mc:Choice>
  </mc:AlternateContent>
  <xr:revisionPtr revIDLastSave="0" documentId="13_ncr:1_{1D3800E3-9A04-418B-959D-5FFF645CC003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1" i="1" l="1"/>
  <c r="Y31" i="1"/>
  <c r="X31" i="1"/>
  <c r="W31" i="1"/>
  <c r="D46" i="1"/>
  <c r="F46" i="1"/>
  <c r="F45" i="1"/>
  <c r="E45" i="1"/>
  <c r="D45" i="1"/>
  <c r="C45" i="1"/>
  <c r="F45" i="2"/>
  <c r="E45" i="2"/>
  <c r="D45" i="2"/>
  <c r="C45" i="2"/>
</calcChain>
</file>

<file path=xl/sharedStrings.xml><?xml version="1.0" encoding="utf-8"?>
<sst xmlns="http://schemas.openxmlformats.org/spreadsheetml/2006/main" count="2376" uniqueCount="67">
  <si>
    <t>Lenght</t>
  </si>
  <si>
    <t>9</t>
  </si>
  <si>
    <t>10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</si>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</sst>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  <xf numFmtId="43" fontId="0" fillId="0" borderId="0" xfId="1" applyFont="1"/>
    <xf numFmtId="0" fontId="0" fillId="0" borderId="0" xfId="0" applyFill="1" applyBorder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240"/>
  <sheetViews>
    <sheetView tabSelected="1" topLeftCell="K46" zoomScale="92" workbookViewId="0">
      <selection activeCell="S70" sqref="S70"/>
    </sheetView>
  </sheetViews>
  <sheetFormatPr defaultRowHeight="14.4" x14ac:dyDescent="0.3"/>
  <cols>
    <col min="2" max="2" width="25.88671875" bestFit="1" customWidth="1"/>
    <col min="3" max="6" width="12.77734375" bestFit="1" customWidth="1"/>
    <col min="8" max="8" width="21.77734375" bestFit="1" customWidth="1"/>
    <col min="9" max="10" width="8" bestFit="1" customWidth="1"/>
    <col min="11" max="12" width="9" bestFit="1" customWidth="1"/>
    <col min="15" max="15" width="21.44140625" bestFit="1" customWidth="1"/>
    <col min="16" max="19" width="9" bestFit="1" customWidth="1"/>
    <col min="22" max="22" width="22.6640625" bestFit="1" customWidth="1"/>
    <col min="23" max="23" width="8" bestFit="1" customWidth="1"/>
    <col min="24" max="26" width="9" bestFit="1" customWidth="1"/>
  </cols>
  <sheetData>
    <row r="1" spans="2:26" x14ac:dyDescent="0.3">
      <c r="B1" t="s">
        <v>0</v>
      </c>
    </row>
    <row r="2" spans="2:26" x14ac:dyDescent="0.3">
      <c r="C2" s="1" t="s">
        <v>1</v>
      </c>
      <c r="D2" s="1" t="s">
        <v>2</v>
      </c>
    </row>
    <row r="3" spans="2:26" x14ac:dyDescent="0.3">
      <c r="B3" s="1" t="s">
        <v>3</v>
      </c>
      <c r="C3">
        <v>3.4</v>
      </c>
      <c r="D3">
        <v>4.5</v>
      </c>
    </row>
    <row r="5" spans="2:26" x14ac:dyDescent="0.3">
      <c r="B5" t="s">
        <v>4</v>
      </c>
      <c r="H5" t="s">
        <v>5</v>
      </c>
      <c r="O5" t="s">
        <v>6</v>
      </c>
      <c r="V5" t="s">
        <v>7</v>
      </c>
    </row>
    <row r="6" spans="2:26" x14ac:dyDescent="0.3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">
      <c r="B9" s="1" t="s">
        <v>13</v>
      </c>
      <c r="C9" s="2">
        <v>0.56999999999999995</v>
      </c>
      <c r="D9" s="2">
        <v>0.52</v>
      </c>
      <c r="E9" s="2">
        <v>0.6</v>
      </c>
      <c r="F9" s="2">
        <v>0.56000000000000005</v>
      </c>
      <c r="H9" s="1" t="s">
        <v>13</v>
      </c>
      <c r="I9" s="2">
        <v>3066.12</v>
      </c>
      <c r="J9" s="2">
        <v>2649.96</v>
      </c>
      <c r="K9" s="2">
        <v>4041.9</v>
      </c>
      <c r="L9" s="2">
        <v>3649.05</v>
      </c>
      <c r="O9" s="1" t="s">
        <v>13</v>
      </c>
      <c r="P9" s="2">
        <v>26187.48</v>
      </c>
      <c r="Q9" s="2">
        <v>23910.84</v>
      </c>
      <c r="R9" s="2">
        <v>36431.1</v>
      </c>
      <c r="S9" s="2">
        <v>33799.949999999997</v>
      </c>
      <c r="V9" s="1" t="s">
        <v>13</v>
      </c>
      <c r="W9" s="2">
        <v>29253.599999999999</v>
      </c>
      <c r="X9" s="2">
        <v>26560.799999999999</v>
      </c>
      <c r="Y9" s="2">
        <v>40473</v>
      </c>
      <c r="Z9" s="2">
        <v>37449</v>
      </c>
    </row>
    <row r="10" spans="2:26" x14ac:dyDescent="0.3">
      <c r="B10" s="1" t="s">
        <v>14</v>
      </c>
      <c r="C10" s="2">
        <v>0.77</v>
      </c>
      <c r="D10" s="2">
        <v>0.55000000000000004</v>
      </c>
      <c r="E10" s="2">
        <v>0.7</v>
      </c>
      <c r="F10" s="2">
        <v>0.48</v>
      </c>
      <c r="H10" s="1" t="s">
        <v>14</v>
      </c>
      <c r="I10" s="2">
        <v>2035.42</v>
      </c>
      <c r="J10" s="2">
        <v>1376.26</v>
      </c>
      <c r="K10" s="2">
        <v>2595.9699999999998</v>
      </c>
      <c r="L10" s="2">
        <v>1758.16</v>
      </c>
      <c r="O10" s="1" t="s">
        <v>14</v>
      </c>
      <c r="P10" s="2">
        <v>17174.580000000002</v>
      </c>
      <c r="Q10" s="2">
        <v>7902.34</v>
      </c>
      <c r="R10" s="2">
        <v>21627.53</v>
      </c>
      <c r="S10" s="2">
        <v>10108.34</v>
      </c>
      <c r="V10" s="1" t="s">
        <v>14</v>
      </c>
      <c r="W10" s="2">
        <v>19210</v>
      </c>
      <c r="X10" s="2">
        <v>9278.6</v>
      </c>
      <c r="Y10" s="2">
        <v>24223.5</v>
      </c>
      <c r="Z10" s="2">
        <v>11866.5</v>
      </c>
    </row>
    <row r="11" spans="2:26" x14ac:dyDescent="0.3">
      <c r="B11" s="1" t="s">
        <v>15</v>
      </c>
      <c r="C11" s="2">
        <v>1.6</v>
      </c>
      <c r="D11" s="2">
        <v>0.91</v>
      </c>
      <c r="E11" s="2">
        <v>1.6</v>
      </c>
      <c r="F11" s="2">
        <v>0.88</v>
      </c>
      <c r="H11" s="1" t="s">
        <v>15</v>
      </c>
      <c r="I11" s="2">
        <v>4121.12</v>
      </c>
      <c r="J11" s="2">
        <v>1748.52</v>
      </c>
      <c r="K11" s="2">
        <v>4262.46</v>
      </c>
      <c r="L11" s="2">
        <v>2313.9899999999998</v>
      </c>
      <c r="O11" s="1" t="s">
        <v>15</v>
      </c>
      <c r="P11" s="2">
        <v>16489.68</v>
      </c>
      <c r="Q11" s="2">
        <v>13374.68</v>
      </c>
      <c r="R11" s="2">
        <v>28911.54</v>
      </c>
      <c r="S11" s="2">
        <v>18768.509999999998</v>
      </c>
      <c r="V11" s="1" t="s">
        <v>15</v>
      </c>
      <c r="W11" s="2">
        <v>20610.8</v>
      </c>
      <c r="X11" s="2">
        <v>15123.2</v>
      </c>
      <c r="Y11" s="2">
        <v>33174</v>
      </c>
      <c r="Z11" s="2">
        <v>21082.5</v>
      </c>
    </row>
    <row r="12" spans="2:26" x14ac:dyDescent="0.3">
      <c r="B12" s="1" t="s">
        <v>16</v>
      </c>
      <c r="C12" s="2">
        <v>0.7</v>
      </c>
      <c r="D12" s="2">
        <v>0.6</v>
      </c>
      <c r="E12" s="2">
        <v>0.94</v>
      </c>
      <c r="F12" s="2">
        <v>0.72</v>
      </c>
      <c r="H12" s="1" t="s">
        <v>16</v>
      </c>
      <c r="I12" s="2">
        <v>5889.92</v>
      </c>
      <c r="J12" s="2">
        <v>5472.31</v>
      </c>
      <c r="K12" s="2">
        <v>8637.48</v>
      </c>
      <c r="L12" s="2">
        <v>7997.24</v>
      </c>
      <c r="O12" s="1" t="s">
        <v>16</v>
      </c>
      <c r="P12" s="2">
        <v>49016.68</v>
      </c>
      <c r="Q12" s="2">
        <v>44844.29</v>
      </c>
      <c r="R12" s="2">
        <v>75751.02</v>
      </c>
      <c r="S12" s="2">
        <v>66995.259999999995</v>
      </c>
      <c r="V12" s="1" t="s">
        <v>16</v>
      </c>
      <c r="W12" s="2">
        <v>54906.6</v>
      </c>
      <c r="X12" s="2">
        <v>50316.6</v>
      </c>
      <c r="Y12" s="2">
        <v>84388.5</v>
      </c>
      <c r="Z12" s="2">
        <v>74992.5</v>
      </c>
    </row>
    <row r="13" spans="2:26" x14ac:dyDescent="0.3">
      <c r="B13" s="1" t="s">
        <v>17</v>
      </c>
      <c r="C13" s="2">
        <v>0.64</v>
      </c>
      <c r="D13" s="2">
        <v>0.63</v>
      </c>
      <c r="E13" s="2">
        <v>0.71</v>
      </c>
      <c r="F13" s="2">
        <v>0.74</v>
      </c>
      <c r="H13" s="1" t="s">
        <v>17</v>
      </c>
      <c r="I13" s="2">
        <v>7645.31</v>
      </c>
      <c r="J13" s="2">
        <v>7616.2</v>
      </c>
      <c r="K13" s="2">
        <v>10719.92</v>
      </c>
      <c r="L13" s="2">
        <v>10918.17</v>
      </c>
      <c r="O13" s="1" t="s">
        <v>17</v>
      </c>
      <c r="P13" s="2">
        <v>62761.89</v>
      </c>
      <c r="Q13" s="2">
        <v>62437.4</v>
      </c>
      <c r="R13" s="2">
        <v>89288.08</v>
      </c>
      <c r="S13" s="2">
        <v>91519.83</v>
      </c>
      <c r="V13" s="1" t="s">
        <v>17</v>
      </c>
      <c r="W13" s="2">
        <v>70407.199999999997</v>
      </c>
      <c r="X13" s="2">
        <v>70053.600000000006</v>
      </c>
      <c r="Y13" s="2">
        <v>100008</v>
      </c>
      <c r="Z13" s="2">
        <v>102438</v>
      </c>
    </row>
    <row r="14" spans="2:26" x14ac:dyDescent="0.3">
      <c r="B14" s="1" t="s">
        <v>18</v>
      </c>
      <c r="C14" s="2">
        <v>0.74</v>
      </c>
      <c r="D14" s="2">
        <v>0.97</v>
      </c>
      <c r="E14" s="2">
        <v>0.77</v>
      </c>
      <c r="F14" s="2">
        <v>1.56</v>
      </c>
      <c r="H14" s="1" t="s">
        <v>18</v>
      </c>
      <c r="I14" s="2">
        <v>4310.88</v>
      </c>
      <c r="J14" s="2">
        <v>4769.21</v>
      </c>
      <c r="K14" s="2">
        <v>5968.7</v>
      </c>
      <c r="L14" s="2">
        <v>6624.41</v>
      </c>
      <c r="O14" s="1" t="s">
        <v>18</v>
      </c>
      <c r="P14" s="2">
        <v>31858.32</v>
      </c>
      <c r="Q14" s="2">
        <v>38743.99</v>
      </c>
      <c r="R14" s="2">
        <v>46600.3</v>
      </c>
      <c r="S14" s="2">
        <v>59246.59</v>
      </c>
      <c r="V14" s="1" t="s">
        <v>18</v>
      </c>
      <c r="W14" s="2">
        <v>36169.199999999997</v>
      </c>
      <c r="X14" s="2">
        <v>43513.2</v>
      </c>
      <c r="Y14" s="2">
        <v>52569</v>
      </c>
      <c r="Z14" s="2">
        <v>65871</v>
      </c>
    </row>
    <row r="15" spans="2:26" x14ac:dyDescent="0.3">
      <c r="B15" s="1" t="s">
        <v>19</v>
      </c>
      <c r="C15" s="2">
        <v>1.08</v>
      </c>
      <c r="D15" s="2">
        <v>1.58</v>
      </c>
      <c r="E15" s="2">
        <v>1.1599999999999999</v>
      </c>
      <c r="F15" s="2">
        <v>1.6</v>
      </c>
      <c r="H15" s="1" t="s">
        <v>19</v>
      </c>
      <c r="I15" s="2">
        <v>4443.58</v>
      </c>
      <c r="J15" s="2">
        <v>5050.97</v>
      </c>
      <c r="K15" s="2">
        <v>6116.95</v>
      </c>
      <c r="L15" s="2">
        <v>11459.96</v>
      </c>
      <c r="O15" s="1" t="s">
        <v>19</v>
      </c>
      <c r="P15" s="2">
        <v>33874.42</v>
      </c>
      <c r="Q15" s="2">
        <v>40794.629999999997</v>
      </c>
      <c r="R15" s="2">
        <v>47100.05</v>
      </c>
      <c r="S15" s="2">
        <v>60540.04</v>
      </c>
      <c r="V15" s="1" t="s">
        <v>19</v>
      </c>
      <c r="W15" s="2">
        <v>38318</v>
      </c>
      <c r="X15" s="2">
        <v>45845.599999999999</v>
      </c>
      <c r="Y15" s="2">
        <v>53217</v>
      </c>
      <c r="Z15" s="2">
        <v>72000</v>
      </c>
    </row>
    <row r="16" spans="2:26" x14ac:dyDescent="0.3">
      <c r="B16" s="1" t="s">
        <v>20</v>
      </c>
      <c r="C16" s="2">
        <v>0.59</v>
      </c>
      <c r="D16" s="2">
        <v>0.55000000000000004</v>
      </c>
      <c r="E16" s="2">
        <v>0.5</v>
      </c>
      <c r="F16" s="2">
        <v>0.47</v>
      </c>
      <c r="H16" s="1" t="s">
        <v>20</v>
      </c>
      <c r="I16" s="2">
        <v>8394.65</v>
      </c>
      <c r="J16" s="2">
        <v>8664.85</v>
      </c>
      <c r="K16" s="2">
        <v>10775.53</v>
      </c>
      <c r="L16" s="2">
        <v>11035.07</v>
      </c>
      <c r="O16" s="1" t="s">
        <v>20</v>
      </c>
      <c r="P16" s="2">
        <v>47705.35</v>
      </c>
      <c r="Q16" s="2">
        <v>54031.15</v>
      </c>
      <c r="R16" s="2">
        <v>65544.47</v>
      </c>
      <c r="S16" s="2">
        <v>80989.929999999993</v>
      </c>
      <c r="V16" s="1" t="s">
        <v>20</v>
      </c>
      <c r="W16" s="2">
        <v>56100</v>
      </c>
      <c r="X16" s="2">
        <v>62696</v>
      </c>
      <c r="Y16" s="2">
        <v>76320</v>
      </c>
      <c r="Z16" s="2">
        <v>92025</v>
      </c>
    </row>
    <row r="19" spans="2:26" x14ac:dyDescent="0.3">
      <c r="B19" t="s">
        <v>21</v>
      </c>
      <c r="H19" t="s">
        <v>22</v>
      </c>
      <c r="O19" t="s">
        <v>23</v>
      </c>
      <c r="V19" t="s">
        <v>24</v>
      </c>
    </row>
    <row r="20" spans="2:26" x14ac:dyDescent="0.3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">
      <c r="B23" s="1" t="s">
        <v>13</v>
      </c>
      <c r="C23" s="2">
        <v>0.15</v>
      </c>
      <c r="D23" s="2">
        <v>0.15</v>
      </c>
      <c r="E23" s="2">
        <v>0.15</v>
      </c>
      <c r="F23" s="2">
        <v>0.15</v>
      </c>
      <c r="H23" s="1" t="s">
        <v>13</v>
      </c>
      <c r="I23" s="2">
        <v>901.8</v>
      </c>
      <c r="J23" s="2">
        <v>779.4</v>
      </c>
      <c r="K23" s="2">
        <v>898.2</v>
      </c>
      <c r="L23" s="2">
        <v>810.9</v>
      </c>
      <c r="O23" s="1" t="s">
        <v>13</v>
      </c>
      <c r="P23" s="2">
        <v>7702.2</v>
      </c>
      <c r="Q23" s="2">
        <v>7032.6</v>
      </c>
      <c r="R23" s="2">
        <v>8095.8</v>
      </c>
      <c r="S23" s="2">
        <v>7511.1</v>
      </c>
      <c r="V23" s="1" t="s">
        <v>13</v>
      </c>
      <c r="W23" s="2">
        <v>8604</v>
      </c>
      <c r="X23" s="2">
        <v>7812</v>
      </c>
      <c r="Y23" s="2">
        <v>8994</v>
      </c>
      <c r="Z23" s="2">
        <v>8322</v>
      </c>
    </row>
    <row r="24" spans="2:26" x14ac:dyDescent="0.3">
      <c r="B24" s="1" t="s">
        <v>14</v>
      </c>
      <c r="C24" s="2">
        <v>0.12</v>
      </c>
      <c r="D24" s="2">
        <v>0.19</v>
      </c>
      <c r="E24" s="2">
        <v>0.12</v>
      </c>
      <c r="F24" s="2">
        <v>0.2</v>
      </c>
      <c r="H24" s="1" t="s">
        <v>14</v>
      </c>
      <c r="I24" s="2">
        <v>598.65</v>
      </c>
      <c r="J24" s="2">
        <v>404.78</v>
      </c>
      <c r="K24" s="2">
        <v>576.88</v>
      </c>
      <c r="L24" s="2">
        <v>390.7</v>
      </c>
      <c r="O24" s="1" t="s">
        <v>14</v>
      </c>
      <c r="P24" s="2">
        <v>5051.3500000000004</v>
      </c>
      <c r="Q24" s="2">
        <v>2324.2199999999998</v>
      </c>
      <c r="R24" s="2">
        <v>4806.12</v>
      </c>
      <c r="S24" s="2">
        <v>2246.3000000000002</v>
      </c>
      <c r="V24" s="1" t="s">
        <v>14</v>
      </c>
      <c r="W24" s="2">
        <v>5650</v>
      </c>
      <c r="X24" s="2">
        <v>2729</v>
      </c>
      <c r="Y24" s="2">
        <v>5383</v>
      </c>
      <c r="Z24" s="2">
        <v>2637</v>
      </c>
    </row>
    <row r="25" spans="2:26" x14ac:dyDescent="0.3">
      <c r="B25" s="1" t="s">
        <v>15</v>
      </c>
      <c r="C25" s="2">
        <v>0.22</v>
      </c>
      <c r="D25" s="2">
        <v>0.13</v>
      </c>
      <c r="E25" s="2">
        <v>0.14000000000000001</v>
      </c>
      <c r="F25" s="2">
        <v>0.13</v>
      </c>
      <c r="H25" s="1" t="s">
        <v>15</v>
      </c>
      <c r="I25" s="2">
        <v>1212.0899999999999</v>
      </c>
      <c r="J25" s="2">
        <v>514.27</v>
      </c>
      <c r="K25" s="2">
        <v>947.21</v>
      </c>
      <c r="L25" s="2">
        <v>514.22</v>
      </c>
      <c r="O25" s="1" t="s">
        <v>15</v>
      </c>
      <c r="P25" s="2">
        <v>4849.91</v>
      </c>
      <c r="Q25" s="2">
        <v>3933.73</v>
      </c>
      <c r="R25" s="2">
        <v>6424.79</v>
      </c>
      <c r="S25" s="2">
        <v>4170.78</v>
      </c>
      <c r="V25" s="1" t="s">
        <v>15</v>
      </c>
      <c r="W25" s="2">
        <v>6062</v>
      </c>
      <c r="X25" s="2">
        <v>4448</v>
      </c>
      <c r="Y25" s="2">
        <v>7372</v>
      </c>
      <c r="Z25" s="2">
        <v>4685</v>
      </c>
    </row>
    <row r="26" spans="2:26" x14ac:dyDescent="0.3">
      <c r="B26" s="1" t="s">
        <v>16</v>
      </c>
      <c r="C26" s="2">
        <v>0.12</v>
      </c>
      <c r="D26" s="2">
        <v>0.13</v>
      </c>
      <c r="E26" s="2">
        <v>0.12</v>
      </c>
      <c r="F26" s="2">
        <v>0.13</v>
      </c>
      <c r="H26" s="1" t="s">
        <v>16</v>
      </c>
      <c r="I26" s="2">
        <v>1732.33</v>
      </c>
      <c r="J26" s="2">
        <v>1609.5</v>
      </c>
      <c r="K26" s="2">
        <v>1919.44</v>
      </c>
      <c r="L26" s="2">
        <v>1777.16</v>
      </c>
      <c r="O26" s="1" t="s">
        <v>16</v>
      </c>
      <c r="P26" s="2">
        <v>14416.67</v>
      </c>
      <c r="Q26" s="2">
        <v>13189.5</v>
      </c>
      <c r="R26" s="2">
        <v>16833.560000000001</v>
      </c>
      <c r="S26" s="2">
        <v>14887.84</v>
      </c>
      <c r="V26" s="1" t="s">
        <v>16</v>
      </c>
      <c r="W26" s="2">
        <v>16149</v>
      </c>
      <c r="X26" s="2">
        <v>14799</v>
      </c>
      <c r="Y26" s="2">
        <v>18753</v>
      </c>
      <c r="Z26" s="2">
        <v>16665</v>
      </c>
    </row>
    <row r="27" spans="2:26" x14ac:dyDescent="0.3">
      <c r="B27" s="1" t="s">
        <v>17</v>
      </c>
      <c r="C27" s="2">
        <v>0.13</v>
      </c>
      <c r="D27" s="2">
        <v>0.13</v>
      </c>
      <c r="E27" s="2">
        <v>0.13</v>
      </c>
      <c r="F27" s="2">
        <v>0.13</v>
      </c>
      <c r="H27" s="1" t="s">
        <v>17</v>
      </c>
      <c r="I27" s="2">
        <v>2248.62</v>
      </c>
      <c r="J27" s="2">
        <v>2240.06</v>
      </c>
      <c r="K27" s="2">
        <v>2382.21</v>
      </c>
      <c r="L27" s="2">
        <v>2426.2600000000002</v>
      </c>
      <c r="O27" s="1" t="s">
        <v>17</v>
      </c>
      <c r="P27" s="2">
        <v>18459.38</v>
      </c>
      <c r="Q27" s="2">
        <v>18363.939999999999</v>
      </c>
      <c r="R27" s="2">
        <v>19841.79</v>
      </c>
      <c r="S27" s="2">
        <v>20337.740000000002</v>
      </c>
      <c r="V27" s="1" t="s">
        <v>17</v>
      </c>
      <c r="W27" s="2">
        <v>20708</v>
      </c>
      <c r="X27" s="2">
        <v>20604</v>
      </c>
      <c r="Y27" s="2">
        <v>22224</v>
      </c>
      <c r="Z27" s="2">
        <v>22764</v>
      </c>
    </row>
    <row r="28" spans="2:26" x14ac:dyDescent="0.3">
      <c r="B28" s="1" t="s">
        <v>18</v>
      </c>
      <c r="C28" s="2">
        <v>0.14000000000000001</v>
      </c>
      <c r="D28" s="2">
        <v>0.13</v>
      </c>
      <c r="E28" s="2">
        <v>0.13</v>
      </c>
      <c r="F28" s="2">
        <v>0.12</v>
      </c>
      <c r="H28" s="1" t="s">
        <v>18</v>
      </c>
      <c r="I28" s="2">
        <v>1267.9100000000001</v>
      </c>
      <c r="J28" s="2">
        <v>1402.71</v>
      </c>
      <c r="K28" s="2">
        <v>1326.38</v>
      </c>
      <c r="L28" s="2">
        <v>1472.09</v>
      </c>
      <c r="O28" s="1" t="s">
        <v>18</v>
      </c>
      <c r="P28" s="2">
        <v>9370.09</v>
      </c>
      <c r="Q28" s="2">
        <v>11395.29</v>
      </c>
      <c r="R28" s="2">
        <v>10355.620000000001</v>
      </c>
      <c r="S28" s="2">
        <v>13165.91</v>
      </c>
      <c r="V28" s="1" t="s">
        <v>18</v>
      </c>
      <c r="W28" s="2">
        <v>10638</v>
      </c>
      <c r="X28" s="2">
        <v>12798</v>
      </c>
      <c r="Y28" s="2">
        <v>11682</v>
      </c>
      <c r="Z28" s="2">
        <v>14638</v>
      </c>
    </row>
    <row r="29" spans="2:26" x14ac:dyDescent="0.3">
      <c r="B29" s="1" t="s">
        <v>19</v>
      </c>
      <c r="C29" s="2">
        <v>0.13</v>
      </c>
      <c r="D29" s="2">
        <v>0.12</v>
      </c>
      <c r="E29" s="2">
        <v>0.14000000000000001</v>
      </c>
      <c r="F29" s="2">
        <v>0.18</v>
      </c>
      <c r="H29" s="1" t="s">
        <v>19</v>
      </c>
      <c r="I29" s="2">
        <v>1306.94</v>
      </c>
      <c r="J29" s="2">
        <v>1485.58</v>
      </c>
      <c r="K29" s="2">
        <v>1359.32</v>
      </c>
      <c r="L29" s="2">
        <v>2546.66</v>
      </c>
      <c r="O29" s="1" t="s">
        <v>19</v>
      </c>
      <c r="P29" s="2">
        <v>9963.06</v>
      </c>
      <c r="Q29" s="2">
        <v>11998.42</v>
      </c>
      <c r="R29" s="2">
        <v>10466.68</v>
      </c>
      <c r="S29" s="2">
        <v>13453.34</v>
      </c>
      <c r="V29" s="1" t="s">
        <v>19</v>
      </c>
      <c r="W29" s="2">
        <v>11270</v>
      </c>
      <c r="X29" s="2">
        <v>13484</v>
      </c>
      <c r="Y29" s="2">
        <v>11826</v>
      </c>
      <c r="Z29" s="2">
        <v>16000</v>
      </c>
    </row>
    <row r="30" spans="2:26" x14ac:dyDescent="0.3">
      <c r="B30" s="1" t="s">
        <v>20</v>
      </c>
      <c r="C30" s="2">
        <v>0.18</v>
      </c>
      <c r="D30" s="2">
        <v>0.17</v>
      </c>
      <c r="E30" s="2">
        <v>0.17</v>
      </c>
      <c r="F30" s="2">
        <v>0.15</v>
      </c>
      <c r="H30" s="1" t="s">
        <v>20</v>
      </c>
      <c r="I30" s="2">
        <v>2469.02</v>
      </c>
      <c r="J30" s="2">
        <v>2548.4899999999998</v>
      </c>
      <c r="K30" s="2">
        <v>2394.56</v>
      </c>
      <c r="L30" s="2">
        <v>2452.2399999999998</v>
      </c>
      <c r="O30" s="1" t="s">
        <v>20</v>
      </c>
      <c r="P30" s="2">
        <v>14030.98</v>
      </c>
      <c r="Q30" s="2">
        <v>15891.51</v>
      </c>
      <c r="R30" s="2">
        <v>14565.44</v>
      </c>
      <c r="S30" s="2">
        <v>17997.759999999998</v>
      </c>
      <c r="V30" s="1" t="s">
        <v>20</v>
      </c>
      <c r="W30" s="2">
        <v>16500</v>
      </c>
      <c r="X30" s="2">
        <v>18440</v>
      </c>
      <c r="Y30" s="2">
        <v>16960</v>
      </c>
      <c r="Z30" s="2">
        <v>20450</v>
      </c>
    </row>
    <row r="31" spans="2:26" x14ac:dyDescent="0.3">
      <c r="W31">
        <f t="shared" ref="W31:Z31" si="0">SUM(W23:W30)</f>
        <v>95581</v>
      </c>
      <c r="X31">
        <f t="shared" si="0"/>
        <v>95114</v>
      </c>
      <c r="Y31">
        <f t="shared" si="0"/>
        <v>103194</v>
      </c>
      <c r="Z31">
        <f t="shared" si="0"/>
        <v>106161</v>
      </c>
    </row>
    <row r="32" spans="2:26" x14ac:dyDescent="0.3">
      <c r="C32">
        <v>3.4</v>
      </c>
      <c r="D32">
        <v>3.4</v>
      </c>
      <c r="E32" s="5">
        <v>4.5</v>
      </c>
      <c r="F32" s="5">
        <v>4.5</v>
      </c>
    </row>
    <row r="33" spans="2:26" x14ac:dyDescent="0.3">
      <c r="B33" t="s">
        <v>25</v>
      </c>
      <c r="H33" t="s">
        <v>26</v>
      </c>
      <c r="O33" t="s">
        <v>27</v>
      </c>
      <c r="V33" t="s">
        <v>28</v>
      </c>
    </row>
    <row r="34" spans="2:26" x14ac:dyDescent="0.3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">
      <c r="B37" s="1" t="s">
        <v>13</v>
      </c>
      <c r="C37" s="2">
        <v>1733.06</v>
      </c>
      <c r="D37" s="2">
        <v>1373.89</v>
      </c>
      <c r="E37" s="2">
        <v>2419.36</v>
      </c>
      <c r="F37" s="2">
        <v>2028.44</v>
      </c>
      <c r="H37" s="1" t="s">
        <v>13</v>
      </c>
      <c r="I37" s="2">
        <v>150.30000000000001</v>
      </c>
      <c r="J37" s="2">
        <v>129.9</v>
      </c>
      <c r="K37" s="2">
        <v>149.69999999999999</v>
      </c>
      <c r="L37" s="2">
        <v>135.15</v>
      </c>
      <c r="O37" s="1" t="s">
        <v>13</v>
      </c>
      <c r="P37" s="2">
        <v>1283.7</v>
      </c>
      <c r="Q37" s="2">
        <v>1172.0999999999999</v>
      </c>
      <c r="R37" s="2">
        <v>1349.3</v>
      </c>
      <c r="S37" s="2">
        <v>1251.8499999999999</v>
      </c>
      <c r="V37" s="1" t="s">
        <v>13</v>
      </c>
      <c r="W37" s="2">
        <v>1434</v>
      </c>
      <c r="X37" s="2">
        <v>1302</v>
      </c>
      <c r="Y37" s="2">
        <v>1499</v>
      </c>
      <c r="Z37" s="2">
        <v>1387</v>
      </c>
    </row>
    <row r="38" spans="2:26" x14ac:dyDescent="0.3">
      <c r="B38" s="1" t="s">
        <v>14</v>
      </c>
      <c r="C38" s="2">
        <v>1576.95</v>
      </c>
      <c r="D38" s="2">
        <v>750.37</v>
      </c>
      <c r="E38" s="2">
        <v>1811.79</v>
      </c>
      <c r="F38" s="2">
        <v>847.29</v>
      </c>
      <c r="H38" s="1" t="s">
        <v>14</v>
      </c>
      <c r="I38" s="2">
        <v>598.65</v>
      </c>
      <c r="J38" s="2">
        <v>404.78</v>
      </c>
      <c r="K38" s="2">
        <v>576.88</v>
      </c>
      <c r="L38" s="2">
        <v>390.7</v>
      </c>
      <c r="O38" s="1" t="s">
        <v>14</v>
      </c>
      <c r="P38" s="2">
        <v>5051.3500000000004</v>
      </c>
      <c r="Q38" s="2">
        <v>2324.2199999999998</v>
      </c>
      <c r="R38" s="2">
        <v>4806.12</v>
      </c>
      <c r="S38" s="2">
        <v>2246.3000000000002</v>
      </c>
      <c r="V38" s="1" t="s">
        <v>14</v>
      </c>
      <c r="W38" s="2">
        <v>5650</v>
      </c>
      <c r="X38" s="2">
        <v>2729</v>
      </c>
      <c r="Y38" s="2">
        <v>5383</v>
      </c>
      <c r="Z38" s="2">
        <v>2637</v>
      </c>
    </row>
    <row r="39" spans="2:26" x14ac:dyDescent="0.3">
      <c r="B39" s="1" t="s">
        <v>15</v>
      </c>
      <c r="C39" s="2">
        <v>6593.75</v>
      </c>
      <c r="D39" s="2">
        <v>1595.7</v>
      </c>
      <c r="E39" s="2">
        <v>6819.94</v>
      </c>
      <c r="F39" s="2">
        <v>2025.11</v>
      </c>
      <c r="H39" s="1" t="s">
        <v>15</v>
      </c>
      <c r="I39" s="2">
        <v>1212.0899999999999</v>
      </c>
      <c r="J39" s="2">
        <v>514.27</v>
      </c>
      <c r="K39" s="2">
        <v>947.21</v>
      </c>
      <c r="L39" s="2">
        <v>514.22</v>
      </c>
      <c r="O39" s="1" t="s">
        <v>15</v>
      </c>
      <c r="P39" s="2">
        <v>4849.91</v>
      </c>
      <c r="Q39" s="2">
        <v>3933.73</v>
      </c>
      <c r="R39" s="2">
        <v>6424.79</v>
      </c>
      <c r="S39" s="2">
        <v>4170.78</v>
      </c>
      <c r="V39" s="1" t="s">
        <v>15</v>
      </c>
      <c r="W39" s="2">
        <v>6062</v>
      </c>
      <c r="X39" s="2">
        <v>4448</v>
      </c>
      <c r="Y39" s="2">
        <v>7372</v>
      </c>
      <c r="Z39" s="2">
        <v>4685</v>
      </c>
    </row>
    <row r="40" spans="2:26" x14ac:dyDescent="0.3">
      <c r="B40" s="1" t="s">
        <v>16</v>
      </c>
      <c r="C40" s="2">
        <v>4102.16</v>
      </c>
      <c r="D40" s="2">
        <v>3277.23</v>
      </c>
      <c r="E40" s="2">
        <v>8148.09</v>
      </c>
      <c r="F40" s="2">
        <v>5774.93</v>
      </c>
      <c r="H40" s="1" t="s">
        <v>16</v>
      </c>
      <c r="I40" s="2">
        <v>577.44000000000005</v>
      </c>
      <c r="J40" s="2">
        <v>536.5</v>
      </c>
      <c r="K40" s="2">
        <v>639.80999999999995</v>
      </c>
      <c r="L40" s="2">
        <v>592.39</v>
      </c>
      <c r="O40" s="1" t="s">
        <v>16</v>
      </c>
      <c r="P40" s="2">
        <v>4805.5600000000004</v>
      </c>
      <c r="Q40" s="2">
        <v>4396.5</v>
      </c>
      <c r="R40" s="2">
        <v>5611.19</v>
      </c>
      <c r="S40" s="2">
        <v>4962.6099999999997</v>
      </c>
      <c r="V40" s="1" t="s">
        <v>16</v>
      </c>
      <c r="W40" s="2">
        <v>5383</v>
      </c>
      <c r="X40" s="2">
        <v>4933</v>
      </c>
      <c r="Y40" s="2">
        <v>6251</v>
      </c>
      <c r="Z40" s="2">
        <v>5555</v>
      </c>
    </row>
    <row r="41" spans="2:26" x14ac:dyDescent="0.3">
      <c r="B41" s="1" t="s">
        <v>17</v>
      </c>
      <c r="C41" s="2">
        <v>4875.87</v>
      </c>
      <c r="D41" s="2">
        <v>4774.33</v>
      </c>
      <c r="E41" s="2">
        <v>7590.33</v>
      </c>
      <c r="F41" s="2">
        <v>8052.01</v>
      </c>
      <c r="H41" s="1" t="s">
        <v>17</v>
      </c>
      <c r="I41" s="2">
        <v>562.16</v>
      </c>
      <c r="J41" s="2">
        <v>560.02</v>
      </c>
      <c r="K41" s="2">
        <v>595.54999999999995</v>
      </c>
      <c r="L41" s="2">
        <v>606.57000000000005</v>
      </c>
      <c r="O41" s="1" t="s">
        <v>17</v>
      </c>
      <c r="P41" s="2">
        <v>4614.84</v>
      </c>
      <c r="Q41" s="2">
        <v>4590.9799999999996</v>
      </c>
      <c r="R41" s="2">
        <v>4960.45</v>
      </c>
      <c r="S41" s="2">
        <v>5084.43</v>
      </c>
      <c r="V41" s="1" t="s">
        <v>17</v>
      </c>
      <c r="W41" s="2">
        <v>5177</v>
      </c>
      <c r="X41" s="2">
        <v>5151</v>
      </c>
      <c r="Y41" s="2">
        <v>5556</v>
      </c>
      <c r="Z41" s="2">
        <v>5691</v>
      </c>
    </row>
    <row r="42" spans="2:26" x14ac:dyDescent="0.3">
      <c r="B42" s="1" t="s">
        <v>18</v>
      </c>
      <c r="C42" s="2">
        <v>3192.66</v>
      </c>
      <c r="D42" s="2">
        <v>4623.41</v>
      </c>
      <c r="E42" s="2">
        <v>4576.1499999999996</v>
      </c>
      <c r="F42" s="2">
        <v>10351.57</v>
      </c>
      <c r="H42" s="1" t="s">
        <v>18</v>
      </c>
      <c r="I42" s="2">
        <v>633.95000000000005</v>
      </c>
      <c r="J42" s="2">
        <v>701.35</v>
      </c>
      <c r="K42" s="2">
        <v>663.19</v>
      </c>
      <c r="L42" s="2">
        <v>736.05</v>
      </c>
      <c r="O42" s="1" t="s">
        <v>18</v>
      </c>
      <c r="P42" s="2">
        <v>4685.05</v>
      </c>
      <c r="Q42" s="2">
        <v>5697.65</v>
      </c>
      <c r="R42" s="2">
        <v>5177.8100000000004</v>
      </c>
      <c r="S42" s="2">
        <v>6582.95</v>
      </c>
      <c r="V42" s="1" t="s">
        <v>18</v>
      </c>
      <c r="W42" s="2">
        <v>5319</v>
      </c>
      <c r="X42" s="2">
        <v>6399</v>
      </c>
      <c r="Y42" s="2">
        <v>5841</v>
      </c>
      <c r="Z42" s="2">
        <v>7319</v>
      </c>
    </row>
    <row r="43" spans="2:26" x14ac:dyDescent="0.3">
      <c r="B43" s="1" t="s">
        <v>19</v>
      </c>
      <c r="C43" s="2">
        <v>4796.1099999999997</v>
      </c>
      <c r="D43" s="2">
        <v>7994.03</v>
      </c>
      <c r="E43" s="2">
        <v>7111.22</v>
      </c>
      <c r="F43" s="2">
        <v>18335.919999999998</v>
      </c>
      <c r="H43" s="1" t="s">
        <v>19</v>
      </c>
      <c r="I43" s="2">
        <v>653.47</v>
      </c>
      <c r="J43" s="2">
        <v>742.79</v>
      </c>
      <c r="K43" s="2">
        <v>679.66</v>
      </c>
      <c r="L43" s="2">
        <v>1273.33</v>
      </c>
      <c r="O43" s="1" t="s">
        <v>19</v>
      </c>
      <c r="P43" s="2">
        <v>4981.53</v>
      </c>
      <c r="Q43" s="2">
        <v>5999.21</v>
      </c>
      <c r="R43" s="2">
        <v>5233.34</v>
      </c>
      <c r="S43" s="2">
        <v>6726.67</v>
      </c>
      <c r="V43" s="1" t="s">
        <v>19</v>
      </c>
      <c r="W43" s="2">
        <v>5635</v>
      </c>
      <c r="X43" s="2">
        <v>6742</v>
      </c>
      <c r="Y43" s="2">
        <v>5913</v>
      </c>
      <c r="Z43" s="2">
        <v>8000</v>
      </c>
    </row>
    <row r="44" spans="2:26" x14ac:dyDescent="0.3">
      <c r="B44" s="1" t="s">
        <v>20</v>
      </c>
      <c r="C44" s="2">
        <v>4936.3900000000003</v>
      </c>
      <c r="D44" s="2">
        <v>4761.55</v>
      </c>
      <c r="E44" s="2">
        <v>5426.87</v>
      </c>
      <c r="F44" s="2">
        <v>5137.74</v>
      </c>
      <c r="H44" s="1" t="s">
        <v>20</v>
      </c>
      <c r="I44" s="2">
        <v>493.8</v>
      </c>
      <c r="J44" s="2">
        <v>509.7</v>
      </c>
      <c r="K44" s="2">
        <v>478.91</v>
      </c>
      <c r="L44" s="2">
        <v>490.45</v>
      </c>
      <c r="O44" s="1" t="s">
        <v>20</v>
      </c>
      <c r="P44" s="2">
        <v>2806.2</v>
      </c>
      <c r="Q44" s="2">
        <v>3178.3</v>
      </c>
      <c r="R44" s="2">
        <v>2913.09</v>
      </c>
      <c r="S44" s="2">
        <v>3599.55</v>
      </c>
      <c r="V44" s="1" t="s">
        <v>20</v>
      </c>
      <c r="W44" s="2">
        <v>3300</v>
      </c>
      <c r="X44" s="2">
        <v>3688</v>
      </c>
      <c r="Y44" s="2">
        <v>3392</v>
      </c>
      <c r="Z44" s="2">
        <v>4090</v>
      </c>
    </row>
    <row r="45" spans="2:26" x14ac:dyDescent="0.3">
      <c r="C45" s="4">
        <f>SUM(C37:C44)*290/C32</f>
        <v>2712945.7352941176</v>
      </c>
      <c r="D45" s="4">
        <f t="shared" ref="D45:F45" si="1">SUM(D37:D44)*290/D32</f>
        <v>2486367.0294117648</v>
      </c>
      <c r="E45" s="4">
        <f t="shared" si="1"/>
        <v>2829352.777777778</v>
      </c>
      <c r="F45" s="4">
        <f t="shared" si="1"/>
        <v>3386749.5333333332</v>
      </c>
    </row>
    <row r="46" spans="2:26" x14ac:dyDescent="0.3">
      <c r="D46" s="6">
        <f>SUM(C45:D45)</f>
        <v>5199312.7647058824</v>
      </c>
      <c r="F46" s="6">
        <f>SUM(E45:F45)</f>
        <v>6216102.3111111112</v>
      </c>
    </row>
    <row r="47" spans="2:26" x14ac:dyDescent="0.3">
      <c r="B47" t="s">
        <v>29</v>
      </c>
      <c r="H47" t="s">
        <v>30</v>
      </c>
      <c r="O47" t="s">
        <v>31</v>
      </c>
      <c r="V47" t="s">
        <v>32</v>
      </c>
    </row>
    <row r="48" spans="2:26" x14ac:dyDescent="0.3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">
      <c r="B51" s="1" t="s">
        <v>13</v>
      </c>
      <c r="C51" s="2">
        <v>1250.5</v>
      </c>
      <c r="D51" s="2">
        <v>970.93</v>
      </c>
      <c r="E51" s="2">
        <v>1677.55</v>
      </c>
      <c r="F51" s="2">
        <v>1380.06</v>
      </c>
      <c r="H51" s="1" t="s">
        <v>13</v>
      </c>
      <c r="I51" s="2">
        <v>0.04</v>
      </c>
      <c r="J51" s="2">
        <v>0.04</v>
      </c>
      <c r="K51" s="2">
        <v>0.04</v>
      </c>
      <c r="L51" s="2">
        <v>0.04</v>
      </c>
      <c r="O51" s="1" t="s">
        <v>13</v>
      </c>
      <c r="P51" s="2">
        <v>0.16</v>
      </c>
      <c r="Q51" s="2">
        <v>0.15</v>
      </c>
      <c r="R51" s="2">
        <v>0.17</v>
      </c>
      <c r="S51" s="2">
        <v>0.16</v>
      </c>
      <c r="V51" s="1" t="s">
        <v>13</v>
      </c>
      <c r="W51" s="2">
        <v>0.45</v>
      </c>
      <c r="X51" s="2">
        <v>0.41</v>
      </c>
      <c r="Y51" s="2">
        <v>0.47</v>
      </c>
      <c r="Z51" s="2">
        <v>0.43</v>
      </c>
    </row>
    <row r="52" spans="2:26" x14ac:dyDescent="0.3">
      <c r="B52" s="1" t="s">
        <v>14</v>
      </c>
      <c r="C52" s="2">
        <v>1433.24</v>
      </c>
      <c r="D52" s="2">
        <v>547.84</v>
      </c>
      <c r="E52" s="2">
        <v>1611.51</v>
      </c>
      <c r="F52" s="2">
        <v>603.49</v>
      </c>
      <c r="H52" s="1" t="s">
        <v>14</v>
      </c>
      <c r="I52" s="2">
        <v>0.17</v>
      </c>
      <c r="J52" s="2">
        <v>0.11</v>
      </c>
      <c r="K52" s="2">
        <v>0.16</v>
      </c>
      <c r="L52" s="2">
        <v>0.11</v>
      </c>
      <c r="O52" s="1" t="s">
        <v>14</v>
      </c>
      <c r="P52" s="2">
        <v>0.63</v>
      </c>
      <c r="Q52" s="2">
        <v>0.28999999999999998</v>
      </c>
      <c r="R52" s="2">
        <v>0.6</v>
      </c>
      <c r="S52" s="2">
        <v>0.28000000000000003</v>
      </c>
      <c r="V52" s="1" t="s">
        <v>14</v>
      </c>
      <c r="W52" s="2">
        <v>0.71</v>
      </c>
      <c r="X52" s="2">
        <v>0.65</v>
      </c>
      <c r="Y52" s="2">
        <v>0.67</v>
      </c>
      <c r="Z52" s="2">
        <v>0.6</v>
      </c>
    </row>
    <row r="53" spans="2:26" x14ac:dyDescent="0.3">
      <c r="B53" s="1" t="s">
        <v>15</v>
      </c>
      <c r="C53" s="2">
        <v>5700.5</v>
      </c>
      <c r="D53" s="2">
        <v>1283.4000000000001</v>
      </c>
      <c r="E53" s="2">
        <v>5824.02</v>
      </c>
      <c r="F53" s="2">
        <v>1612.19</v>
      </c>
      <c r="H53" s="1" t="s">
        <v>15</v>
      </c>
      <c r="I53" s="2">
        <v>0.34</v>
      </c>
      <c r="J53" s="2">
        <v>0.14000000000000001</v>
      </c>
      <c r="K53" s="2">
        <v>0.26</v>
      </c>
      <c r="L53" s="2">
        <v>0.14000000000000001</v>
      </c>
      <c r="O53" s="1" t="s">
        <v>15</v>
      </c>
      <c r="P53" s="2">
        <v>0.61</v>
      </c>
      <c r="Q53" s="2">
        <v>0.49</v>
      </c>
      <c r="R53" s="2">
        <v>0.8</v>
      </c>
      <c r="S53" s="2">
        <v>0.52</v>
      </c>
      <c r="V53" s="1" t="s">
        <v>15</v>
      </c>
      <c r="W53" s="2">
        <v>1.0900000000000001</v>
      </c>
      <c r="X53" s="2">
        <v>0.61</v>
      </c>
      <c r="Y53" s="2">
        <v>0.92</v>
      </c>
      <c r="Z53" s="2">
        <v>0.59</v>
      </c>
    </row>
    <row r="54" spans="2:26" x14ac:dyDescent="0.3">
      <c r="B54" s="1" t="s">
        <v>16</v>
      </c>
      <c r="C54" s="2">
        <v>3293.3</v>
      </c>
      <c r="D54" s="2">
        <v>2385.13</v>
      </c>
      <c r="E54" s="2">
        <v>6356.39</v>
      </c>
      <c r="F54" s="2">
        <v>4408.18</v>
      </c>
      <c r="H54" s="1" t="s">
        <v>16</v>
      </c>
      <c r="I54" s="2">
        <v>0.16</v>
      </c>
      <c r="J54" s="2">
        <v>0.15</v>
      </c>
      <c r="K54" s="2">
        <v>0.18</v>
      </c>
      <c r="L54" s="2">
        <v>0.16</v>
      </c>
      <c r="O54" s="1" t="s">
        <v>16</v>
      </c>
      <c r="P54" s="2">
        <v>0.6</v>
      </c>
      <c r="Q54" s="2">
        <v>0.55000000000000004</v>
      </c>
      <c r="R54" s="2">
        <v>0.7</v>
      </c>
      <c r="S54" s="2">
        <v>0.62</v>
      </c>
      <c r="V54" s="1" t="s">
        <v>16</v>
      </c>
      <c r="W54" s="2">
        <v>0.67</v>
      </c>
      <c r="X54" s="2">
        <v>0.62</v>
      </c>
      <c r="Y54" s="2">
        <v>0.78</v>
      </c>
      <c r="Z54" s="2">
        <v>0.69</v>
      </c>
    </row>
    <row r="55" spans="2:26" x14ac:dyDescent="0.3">
      <c r="B55" s="1" t="s">
        <v>17</v>
      </c>
      <c r="C55" s="2">
        <v>3714.45</v>
      </c>
      <c r="D55" s="2">
        <v>3701.07</v>
      </c>
      <c r="E55" s="2">
        <v>5785.85</v>
      </c>
      <c r="F55" s="2">
        <v>6226.43</v>
      </c>
      <c r="H55" s="1" t="s">
        <v>17</v>
      </c>
      <c r="I55" s="2">
        <v>0.16</v>
      </c>
      <c r="J55" s="2">
        <v>0.16</v>
      </c>
      <c r="K55" s="2">
        <v>0.17</v>
      </c>
      <c r="L55" s="2">
        <v>0.17</v>
      </c>
      <c r="O55" s="1" t="s">
        <v>17</v>
      </c>
      <c r="P55" s="2">
        <v>0.57999999999999996</v>
      </c>
      <c r="Q55" s="2">
        <v>0.56999999999999995</v>
      </c>
      <c r="R55" s="2">
        <v>0.62</v>
      </c>
      <c r="S55" s="2">
        <v>0.64</v>
      </c>
      <c r="V55" s="1" t="s">
        <v>17</v>
      </c>
      <c r="W55" s="2">
        <v>0.65</v>
      </c>
      <c r="X55" s="2">
        <v>0.64</v>
      </c>
      <c r="Y55" s="2">
        <v>0.69</v>
      </c>
      <c r="Z55" s="2">
        <v>0.71</v>
      </c>
    </row>
    <row r="56" spans="2:26" x14ac:dyDescent="0.3">
      <c r="B56" s="1" t="s">
        <v>18</v>
      </c>
      <c r="C56" s="2">
        <v>2602.7399999999998</v>
      </c>
      <c r="D56" s="2">
        <v>4057.12</v>
      </c>
      <c r="E56" s="2">
        <v>3789.73</v>
      </c>
      <c r="F56" s="2">
        <v>8853.6</v>
      </c>
      <c r="H56" s="1" t="s">
        <v>18</v>
      </c>
      <c r="I56" s="2">
        <v>0.18</v>
      </c>
      <c r="J56" s="2">
        <v>0.19</v>
      </c>
      <c r="K56" s="2">
        <v>0.18</v>
      </c>
      <c r="L56" s="2">
        <v>0.2</v>
      </c>
      <c r="O56" s="1" t="s">
        <v>18</v>
      </c>
      <c r="P56" s="2">
        <v>0.59</v>
      </c>
      <c r="Q56" s="2">
        <v>0.71</v>
      </c>
      <c r="R56" s="2">
        <v>0.65</v>
      </c>
      <c r="S56" s="2">
        <v>0.82</v>
      </c>
      <c r="V56" s="1" t="s">
        <v>18</v>
      </c>
      <c r="W56" s="2">
        <v>0.72</v>
      </c>
      <c r="X56" s="2">
        <v>0.8</v>
      </c>
      <c r="Y56" s="2">
        <v>0.73</v>
      </c>
      <c r="Z56" s="2">
        <v>0.91</v>
      </c>
    </row>
    <row r="57" spans="2:26" x14ac:dyDescent="0.3">
      <c r="B57" s="1" t="s">
        <v>19</v>
      </c>
      <c r="C57" s="2">
        <v>4088.04</v>
      </c>
      <c r="D57" s="2">
        <v>7247.62</v>
      </c>
      <c r="E57" s="2">
        <v>6111.24</v>
      </c>
      <c r="F57" s="2">
        <v>16257.72</v>
      </c>
      <c r="H57" s="1" t="s">
        <v>19</v>
      </c>
      <c r="I57" s="2">
        <v>0.18</v>
      </c>
      <c r="J57" s="2">
        <v>0.21</v>
      </c>
      <c r="K57" s="2">
        <v>0.19</v>
      </c>
      <c r="L57" s="2">
        <v>0.35</v>
      </c>
      <c r="O57" s="1" t="s">
        <v>19</v>
      </c>
      <c r="P57" s="2">
        <v>0.62</v>
      </c>
      <c r="Q57" s="2">
        <v>0.75</v>
      </c>
      <c r="R57" s="2">
        <v>0.65</v>
      </c>
      <c r="S57" s="2">
        <v>0.84</v>
      </c>
      <c r="V57" s="1" t="s">
        <v>19</v>
      </c>
      <c r="W57" s="2">
        <v>0.7</v>
      </c>
      <c r="X57" s="2">
        <v>0.84</v>
      </c>
      <c r="Y57" s="2">
        <v>0.74</v>
      </c>
      <c r="Z57" s="2">
        <v>1</v>
      </c>
    </row>
    <row r="58" spans="2:26" x14ac:dyDescent="0.3">
      <c r="B58" s="1" t="s">
        <v>20</v>
      </c>
      <c r="C58" s="2">
        <v>4313.8999999999996</v>
      </c>
      <c r="D58" s="2">
        <v>4265.42</v>
      </c>
      <c r="E58" s="2">
        <v>4750.22</v>
      </c>
      <c r="F58" s="2">
        <v>4526.5200000000004</v>
      </c>
      <c r="H58" s="1" t="s">
        <v>20</v>
      </c>
      <c r="I58" s="2">
        <v>0.14000000000000001</v>
      </c>
      <c r="J58" s="2">
        <v>0.14000000000000001</v>
      </c>
      <c r="K58" s="2">
        <v>0.13</v>
      </c>
      <c r="L58" s="2">
        <v>0.14000000000000001</v>
      </c>
      <c r="O58" s="1" t="s">
        <v>20</v>
      </c>
      <c r="P58" s="2">
        <v>0.35</v>
      </c>
      <c r="Q58" s="2">
        <v>0.4</v>
      </c>
      <c r="R58" s="2">
        <v>0.36</v>
      </c>
      <c r="S58" s="2">
        <v>0.45</v>
      </c>
      <c r="V58" s="1" t="s">
        <v>20</v>
      </c>
      <c r="W58" s="2">
        <v>0.67</v>
      </c>
      <c r="X58" s="2">
        <v>0.62</v>
      </c>
      <c r="Y58" s="2">
        <v>0.59</v>
      </c>
      <c r="Z58" s="2">
        <v>0.52</v>
      </c>
    </row>
    <row r="61" spans="2:26" x14ac:dyDescent="0.3">
      <c r="B61" t="s">
        <v>33</v>
      </c>
      <c r="H61" t="s">
        <v>34</v>
      </c>
      <c r="O61" t="s">
        <v>35</v>
      </c>
      <c r="V61" t="s">
        <v>36</v>
      </c>
    </row>
    <row r="62" spans="2:26" x14ac:dyDescent="0.3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">
      <c r="B65" s="1" t="s">
        <v>13</v>
      </c>
      <c r="C65" s="2">
        <v>166.04</v>
      </c>
      <c r="D65" s="2">
        <v>109.47</v>
      </c>
      <c r="E65" s="2">
        <v>232.72</v>
      </c>
      <c r="F65" s="2">
        <v>175.6</v>
      </c>
      <c r="H65" s="1" t="s">
        <v>13</v>
      </c>
      <c r="I65" s="2">
        <v>70</v>
      </c>
      <c r="J65" s="2">
        <v>70</v>
      </c>
      <c r="K65" s="2">
        <v>70</v>
      </c>
      <c r="L65" s="2">
        <v>70</v>
      </c>
      <c r="O65" s="1" t="s">
        <v>13</v>
      </c>
      <c r="P65" s="2">
        <v>69.91</v>
      </c>
      <c r="Q65" s="2">
        <v>69.95</v>
      </c>
      <c r="R65" s="2">
        <v>69.86</v>
      </c>
      <c r="S65" s="2">
        <v>69.92</v>
      </c>
      <c r="V65" s="1" t="s">
        <v>13</v>
      </c>
      <c r="W65" s="2">
        <v>0</v>
      </c>
      <c r="X65" s="2">
        <v>0</v>
      </c>
      <c r="Y65" s="2">
        <v>-0.01</v>
      </c>
      <c r="Z65" s="2">
        <v>0</v>
      </c>
    </row>
    <row r="66" spans="2:26" x14ac:dyDescent="0.3">
      <c r="B66" s="1" t="s">
        <v>14</v>
      </c>
      <c r="C66" s="2">
        <v>61.69</v>
      </c>
      <c r="D66" s="2">
        <v>69.3</v>
      </c>
      <c r="E66" s="2">
        <v>78.569999999999993</v>
      </c>
      <c r="F66" s="2">
        <v>84.55</v>
      </c>
      <c r="H66" s="1" t="s">
        <v>14</v>
      </c>
      <c r="I66" s="2">
        <v>70</v>
      </c>
      <c r="J66" s="2">
        <v>70</v>
      </c>
      <c r="K66" s="2">
        <v>70</v>
      </c>
      <c r="L66" s="2">
        <v>70</v>
      </c>
      <c r="O66" s="1" t="s">
        <v>14</v>
      </c>
      <c r="P66" s="2">
        <v>66.63</v>
      </c>
      <c r="Q66" s="2">
        <v>68.83</v>
      </c>
      <c r="R66" s="2">
        <v>67.7</v>
      </c>
      <c r="S66" s="2">
        <v>69.349999999999994</v>
      </c>
      <c r="V66" s="1" t="s">
        <v>14</v>
      </c>
      <c r="W66" s="2">
        <v>-0.15</v>
      </c>
      <c r="X66" s="2">
        <v>-0.05</v>
      </c>
      <c r="Y66" s="2">
        <v>-0.13</v>
      </c>
      <c r="Z66" s="2">
        <v>-0.04</v>
      </c>
    </row>
    <row r="67" spans="2:26" x14ac:dyDescent="0.3">
      <c r="B67" s="1" t="s">
        <v>15</v>
      </c>
      <c r="C67" s="2">
        <v>429.67</v>
      </c>
      <c r="D67" s="2">
        <v>156.46</v>
      </c>
      <c r="E67" s="2">
        <v>513.47</v>
      </c>
      <c r="F67" s="2">
        <v>198.31</v>
      </c>
      <c r="H67" s="1" t="s">
        <v>15</v>
      </c>
      <c r="I67" s="2">
        <v>69.98</v>
      </c>
      <c r="J67" s="2">
        <v>70</v>
      </c>
      <c r="K67" s="2">
        <v>70</v>
      </c>
      <c r="L67" s="2">
        <v>70</v>
      </c>
      <c r="O67" s="1" t="s">
        <v>15</v>
      </c>
      <c r="P67" s="2">
        <v>41.81</v>
      </c>
      <c r="Q67" s="2">
        <v>68.98</v>
      </c>
      <c r="R67" s="2">
        <v>52</v>
      </c>
      <c r="S67" s="2">
        <v>69.239999999999995</v>
      </c>
      <c r="V67" s="1" t="s">
        <v>15</v>
      </c>
      <c r="W67" s="2">
        <v>-1.96</v>
      </c>
      <c r="X67" s="2">
        <v>-0.04</v>
      </c>
      <c r="Y67" s="2">
        <v>-1.33</v>
      </c>
      <c r="Z67" s="2">
        <v>-0.04</v>
      </c>
    </row>
    <row r="68" spans="2:26" x14ac:dyDescent="0.3">
      <c r="B68" s="1" t="s">
        <v>16</v>
      </c>
      <c r="C68" s="2">
        <v>457.79</v>
      </c>
      <c r="D68" s="2">
        <v>500.32</v>
      </c>
      <c r="E68" s="2">
        <v>966.58</v>
      </c>
      <c r="F68" s="2">
        <v>719.74</v>
      </c>
      <c r="H68" s="1" t="s">
        <v>16</v>
      </c>
      <c r="I68" s="2">
        <v>70</v>
      </c>
      <c r="J68" s="2">
        <v>70</v>
      </c>
      <c r="K68" s="2">
        <v>70</v>
      </c>
      <c r="L68" s="2">
        <v>70</v>
      </c>
      <c r="O68" s="1" t="s">
        <v>16</v>
      </c>
      <c r="P68" s="2">
        <v>67.7</v>
      </c>
      <c r="Q68" s="2">
        <v>68.849999999999994</v>
      </c>
      <c r="R68" s="2">
        <v>62.66</v>
      </c>
      <c r="S68" s="2">
        <v>67.06</v>
      </c>
      <c r="V68" s="1" t="s">
        <v>16</v>
      </c>
      <c r="W68" s="2">
        <v>-0.1</v>
      </c>
      <c r="X68" s="2">
        <v>-0.05</v>
      </c>
      <c r="Y68" s="2">
        <v>-0.45</v>
      </c>
      <c r="Z68" s="2">
        <v>-0.17</v>
      </c>
    </row>
    <row r="69" spans="2:26" x14ac:dyDescent="0.3">
      <c r="B69" s="1" t="s">
        <v>17</v>
      </c>
      <c r="C69" s="2">
        <v>576.27</v>
      </c>
      <c r="D69" s="2">
        <v>472.2</v>
      </c>
      <c r="E69" s="2">
        <v>840.99</v>
      </c>
      <c r="F69" s="2">
        <v>803.98</v>
      </c>
      <c r="H69" s="1" t="s">
        <v>17</v>
      </c>
      <c r="I69" s="2">
        <v>70</v>
      </c>
      <c r="J69" s="2">
        <v>70</v>
      </c>
      <c r="K69" s="2">
        <v>70</v>
      </c>
      <c r="L69" s="2">
        <v>70</v>
      </c>
      <c r="O69" s="1" t="s">
        <v>17</v>
      </c>
      <c r="P69" s="2">
        <v>68.319999999999993</v>
      </c>
      <c r="Q69" s="2">
        <v>68.39</v>
      </c>
      <c r="R69" s="2">
        <v>67.069999999999993</v>
      </c>
      <c r="S69" s="2">
        <v>66.459999999999994</v>
      </c>
      <c r="V69" s="1" t="s">
        <v>17</v>
      </c>
      <c r="W69" s="2">
        <v>-7.0000000000000007E-2</v>
      </c>
      <c r="X69" s="2">
        <v>-7.0000000000000007E-2</v>
      </c>
      <c r="Y69" s="2">
        <v>-0.17</v>
      </c>
      <c r="Z69" s="2">
        <v>-0.21</v>
      </c>
    </row>
    <row r="70" spans="2:26" x14ac:dyDescent="0.3">
      <c r="B70" s="1" t="s">
        <v>18</v>
      </c>
      <c r="C70" s="2">
        <v>341.46</v>
      </c>
      <c r="D70" s="2">
        <v>314.52</v>
      </c>
      <c r="E70" s="2">
        <v>434.89</v>
      </c>
      <c r="F70" s="2">
        <v>832.89</v>
      </c>
      <c r="H70" s="1" t="s">
        <v>18</v>
      </c>
      <c r="I70" s="2">
        <v>70</v>
      </c>
      <c r="J70" s="2">
        <v>70</v>
      </c>
      <c r="K70" s="2">
        <v>70</v>
      </c>
      <c r="L70" s="2">
        <v>70</v>
      </c>
      <c r="O70" s="1" t="s">
        <v>18</v>
      </c>
      <c r="P70" s="2">
        <v>66.45</v>
      </c>
      <c r="Q70" s="2">
        <v>61.82</v>
      </c>
      <c r="R70" s="2">
        <v>65.94</v>
      </c>
      <c r="S70" s="2">
        <v>49.28</v>
      </c>
      <c r="V70" s="1" t="s">
        <v>18</v>
      </c>
      <c r="W70" s="2">
        <v>-0.16</v>
      </c>
      <c r="X70" s="2">
        <v>-0.39</v>
      </c>
      <c r="Y70" s="2">
        <v>-0.24</v>
      </c>
      <c r="Z70" s="2">
        <v>-1.62</v>
      </c>
    </row>
    <row r="71" spans="2:26" x14ac:dyDescent="0.3">
      <c r="B71" s="1" t="s">
        <v>19</v>
      </c>
      <c r="C71" s="2">
        <v>408.82</v>
      </c>
      <c r="D71" s="2">
        <v>441.6</v>
      </c>
      <c r="E71" s="2">
        <v>551.52</v>
      </c>
      <c r="F71" s="2">
        <v>1181.9100000000001</v>
      </c>
      <c r="H71" s="1" t="s">
        <v>19</v>
      </c>
      <c r="I71" s="2">
        <v>70</v>
      </c>
      <c r="J71" s="2">
        <v>70</v>
      </c>
      <c r="K71" s="2">
        <v>70</v>
      </c>
      <c r="L71" s="2">
        <v>69.97</v>
      </c>
      <c r="O71" s="1" t="s">
        <v>19</v>
      </c>
      <c r="P71" s="2">
        <v>66.97</v>
      </c>
      <c r="Q71" s="2">
        <v>58.33</v>
      </c>
      <c r="R71" s="2">
        <v>65.599999999999994</v>
      </c>
      <c r="S71" s="2">
        <v>46.68</v>
      </c>
      <c r="V71" s="1" t="s">
        <v>19</v>
      </c>
      <c r="W71" s="2">
        <v>-0.13</v>
      </c>
      <c r="X71" s="2">
        <v>-0.57999999999999996</v>
      </c>
      <c r="Y71" s="2">
        <v>-0.26</v>
      </c>
      <c r="Z71" s="2">
        <v>-1.93</v>
      </c>
    </row>
    <row r="72" spans="2:26" x14ac:dyDescent="0.3">
      <c r="B72" s="1" t="s">
        <v>20</v>
      </c>
      <c r="C72" s="2">
        <v>262.7</v>
      </c>
      <c r="D72" s="2">
        <v>193.1</v>
      </c>
      <c r="E72" s="2">
        <v>271.79000000000002</v>
      </c>
      <c r="F72" s="2">
        <v>248.67</v>
      </c>
      <c r="H72" s="1" t="s">
        <v>20</v>
      </c>
      <c r="I72" s="2">
        <v>70</v>
      </c>
      <c r="J72" s="2">
        <v>70</v>
      </c>
      <c r="K72" s="2">
        <v>70</v>
      </c>
      <c r="L72" s="2">
        <v>70</v>
      </c>
      <c r="O72" s="1" t="s">
        <v>20</v>
      </c>
      <c r="P72" s="2">
        <v>68.489999999999995</v>
      </c>
      <c r="Q72" s="2">
        <v>69.05</v>
      </c>
      <c r="R72" s="2">
        <v>69.42</v>
      </c>
      <c r="S72" s="2">
        <v>69.709999999999994</v>
      </c>
      <c r="V72" s="1" t="s">
        <v>20</v>
      </c>
      <c r="W72" s="2">
        <v>-0.06</v>
      </c>
      <c r="X72" s="2">
        <v>-0.04</v>
      </c>
      <c r="Y72" s="2">
        <v>-0.03</v>
      </c>
      <c r="Z72" s="2">
        <v>-0.02</v>
      </c>
    </row>
    <row r="75" spans="2:26" x14ac:dyDescent="0.3">
      <c r="B75" t="s">
        <v>37</v>
      </c>
      <c r="H75" t="s">
        <v>38</v>
      </c>
      <c r="O75" t="s">
        <v>39</v>
      </c>
      <c r="V75" t="s">
        <v>40</v>
      </c>
    </row>
    <row r="76" spans="2:26" x14ac:dyDescent="0.3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">
      <c r="B79" s="1" t="s">
        <v>13</v>
      </c>
      <c r="C79" s="2">
        <v>5.19</v>
      </c>
      <c r="D79" s="2">
        <v>4.76</v>
      </c>
      <c r="E79" s="2">
        <v>0</v>
      </c>
      <c r="F79" s="2">
        <v>0</v>
      </c>
      <c r="H79" s="1" t="s">
        <v>13</v>
      </c>
      <c r="I79" s="2">
        <v>2.91</v>
      </c>
      <c r="J79" s="2">
        <v>2.91</v>
      </c>
      <c r="K79" s="2">
        <v>3.86</v>
      </c>
      <c r="L79" s="2">
        <v>3.86</v>
      </c>
      <c r="O79" s="1" t="s">
        <v>13</v>
      </c>
      <c r="P79" s="2">
        <v>2.92</v>
      </c>
      <c r="Q79" s="2">
        <v>2.92</v>
      </c>
      <c r="R79" s="2">
        <v>3.86</v>
      </c>
      <c r="S79" s="2">
        <v>3.86</v>
      </c>
      <c r="V79" s="1" t="s">
        <v>13</v>
      </c>
      <c r="W79" s="2">
        <v>0</v>
      </c>
      <c r="X79" s="2">
        <v>0</v>
      </c>
      <c r="Y79" s="2">
        <v>0</v>
      </c>
      <c r="Z79" s="2">
        <v>0</v>
      </c>
    </row>
    <row r="80" spans="2:26" x14ac:dyDescent="0.3">
      <c r="B80" s="1" t="s">
        <v>14</v>
      </c>
      <c r="C80" s="2">
        <v>22.43</v>
      </c>
      <c r="D80" s="2">
        <v>44.1</v>
      </c>
      <c r="E80" s="2">
        <v>23.45</v>
      </c>
      <c r="F80" s="2">
        <v>32.03</v>
      </c>
      <c r="H80" s="1" t="s">
        <v>14</v>
      </c>
      <c r="I80" s="2">
        <v>2.91</v>
      </c>
      <c r="J80" s="2">
        <v>2.91</v>
      </c>
      <c r="K80" s="2">
        <v>3.86</v>
      </c>
      <c r="L80" s="2">
        <v>3.86</v>
      </c>
      <c r="O80" s="1" t="s">
        <v>14</v>
      </c>
      <c r="P80" s="2">
        <v>3.06</v>
      </c>
      <c r="Q80" s="2">
        <v>2.96</v>
      </c>
      <c r="R80" s="2">
        <v>3.99</v>
      </c>
      <c r="S80" s="2">
        <v>3.89</v>
      </c>
      <c r="V80" s="1" t="s">
        <v>14</v>
      </c>
      <c r="W80" s="2">
        <v>-0.05</v>
      </c>
      <c r="X80" s="2">
        <v>-0.02</v>
      </c>
      <c r="Y80" s="2">
        <v>-0.03</v>
      </c>
      <c r="Z80" s="2">
        <v>-0.01</v>
      </c>
    </row>
    <row r="81" spans="2:26" x14ac:dyDescent="0.3">
      <c r="B81" s="1" t="s">
        <v>15</v>
      </c>
      <c r="C81" s="2">
        <v>153.96</v>
      </c>
      <c r="D81" s="2">
        <v>64.56</v>
      </c>
      <c r="E81" s="2">
        <v>158.68</v>
      </c>
      <c r="F81" s="2">
        <v>82.37</v>
      </c>
      <c r="H81" s="1" t="s">
        <v>15</v>
      </c>
      <c r="I81" s="2">
        <v>2.92</v>
      </c>
      <c r="J81" s="2">
        <v>2.91</v>
      </c>
      <c r="K81" s="2">
        <v>3.86</v>
      </c>
      <c r="L81" s="2">
        <v>3.86</v>
      </c>
      <c r="O81" s="1" t="s">
        <v>15</v>
      </c>
      <c r="P81" s="2">
        <v>4.88</v>
      </c>
      <c r="Q81" s="2">
        <v>2.96</v>
      </c>
      <c r="R81" s="2">
        <v>5.19</v>
      </c>
      <c r="S81" s="2">
        <v>3.9</v>
      </c>
      <c r="V81" s="1" t="s">
        <v>15</v>
      </c>
      <c r="W81" s="2">
        <v>-0.4</v>
      </c>
      <c r="X81" s="2">
        <v>-0.01</v>
      </c>
      <c r="Y81" s="2">
        <v>-0.26</v>
      </c>
      <c r="Z81" s="2">
        <v>-0.01</v>
      </c>
    </row>
    <row r="82" spans="2:26" x14ac:dyDescent="0.3">
      <c r="B82" s="1" t="s">
        <v>16</v>
      </c>
      <c r="C82" s="2">
        <v>117.1</v>
      </c>
      <c r="D82" s="2">
        <v>142.59</v>
      </c>
      <c r="E82" s="2">
        <v>288.06</v>
      </c>
      <c r="F82" s="2">
        <v>214.76</v>
      </c>
      <c r="H82" s="1" t="s">
        <v>16</v>
      </c>
      <c r="I82" s="2">
        <v>2.91</v>
      </c>
      <c r="J82" s="2">
        <v>2.91</v>
      </c>
      <c r="K82" s="2">
        <v>3.86</v>
      </c>
      <c r="L82" s="2">
        <v>3.86</v>
      </c>
      <c r="O82" s="1" t="s">
        <v>16</v>
      </c>
      <c r="P82" s="2">
        <v>3.01</v>
      </c>
      <c r="Q82" s="2">
        <v>2.96</v>
      </c>
      <c r="R82" s="2">
        <v>4.3099999999999996</v>
      </c>
      <c r="S82" s="2">
        <v>4.03</v>
      </c>
      <c r="V82" s="1" t="s">
        <v>16</v>
      </c>
      <c r="W82" s="2">
        <v>-0.03</v>
      </c>
      <c r="X82" s="2">
        <v>-0.02</v>
      </c>
      <c r="Y82" s="2">
        <v>-0.1</v>
      </c>
      <c r="Z82" s="2">
        <v>-0.04</v>
      </c>
    </row>
    <row r="83" spans="2:26" x14ac:dyDescent="0.3">
      <c r="B83" s="1" t="s">
        <v>17</v>
      </c>
      <c r="C83" s="2">
        <v>228.45</v>
      </c>
      <c r="D83" s="2">
        <v>205.29</v>
      </c>
      <c r="E83" s="2">
        <v>319.14</v>
      </c>
      <c r="F83" s="2">
        <v>301.47000000000003</v>
      </c>
      <c r="H83" s="1" t="s">
        <v>17</v>
      </c>
      <c r="I83" s="2">
        <v>2.91</v>
      </c>
      <c r="J83" s="2">
        <v>2.91</v>
      </c>
      <c r="K83" s="2">
        <v>3.86</v>
      </c>
      <c r="L83" s="2">
        <v>3.86</v>
      </c>
      <c r="O83" s="1" t="s">
        <v>17</v>
      </c>
      <c r="P83" s="2">
        <v>2.99</v>
      </c>
      <c r="Q83" s="2">
        <v>2.98</v>
      </c>
      <c r="R83" s="2">
        <v>4.03</v>
      </c>
      <c r="S83" s="2">
        <v>4.0599999999999996</v>
      </c>
      <c r="V83" s="1" t="s">
        <v>17</v>
      </c>
      <c r="W83" s="2">
        <v>-0.02</v>
      </c>
      <c r="X83" s="2">
        <v>-0.02</v>
      </c>
      <c r="Y83" s="2">
        <v>-0.04</v>
      </c>
      <c r="Z83" s="2">
        <v>-0.05</v>
      </c>
    </row>
    <row r="84" spans="2:26" x14ac:dyDescent="0.3">
      <c r="B84" s="1" t="s">
        <v>18</v>
      </c>
      <c r="C84" s="2">
        <v>111.7</v>
      </c>
      <c r="D84" s="2">
        <v>96.58</v>
      </c>
      <c r="E84" s="2">
        <v>139.37</v>
      </c>
      <c r="F84" s="2">
        <v>275.92</v>
      </c>
      <c r="H84" s="1" t="s">
        <v>18</v>
      </c>
      <c r="I84" s="2">
        <v>2.91</v>
      </c>
      <c r="J84" s="2">
        <v>2.91</v>
      </c>
      <c r="K84" s="2">
        <v>3.86</v>
      </c>
      <c r="L84" s="2">
        <v>3.86</v>
      </c>
      <c r="O84" s="1" t="s">
        <v>18</v>
      </c>
      <c r="P84" s="2">
        <v>3.07</v>
      </c>
      <c r="Q84" s="2">
        <v>3.3</v>
      </c>
      <c r="R84" s="2">
        <v>4.09</v>
      </c>
      <c r="S84" s="2">
        <v>5.48</v>
      </c>
      <c r="V84" s="1" t="s">
        <v>18</v>
      </c>
      <c r="W84" s="2">
        <v>-0.05</v>
      </c>
      <c r="X84" s="2">
        <v>-0.12</v>
      </c>
      <c r="Y84" s="2">
        <v>-0.06</v>
      </c>
      <c r="Z84" s="2">
        <v>-0.3</v>
      </c>
    </row>
    <row r="85" spans="2:26" x14ac:dyDescent="0.3">
      <c r="B85" s="1" t="s">
        <v>19</v>
      </c>
      <c r="C85" s="2">
        <v>112.56</v>
      </c>
      <c r="D85" s="2">
        <v>98.56</v>
      </c>
      <c r="E85" s="2">
        <v>139.97999999999999</v>
      </c>
      <c r="F85" s="2">
        <v>257.57</v>
      </c>
      <c r="H85" s="1" t="s">
        <v>19</v>
      </c>
      <c r="I85" s="2">
        <v>2.91</v>
      </c>
      <c r="J85" s="2">
        <v>2.91</v>
      </c>
      <c r="K85" s="2">
        <v>3.86</v>
      </c>
      <c r="L85" s="2">
        <v>3.86</v>
      </c>
      <c r="O85" s="1" t="s">
        <v>19</v>
      </c>
      <c r="P85" s="2">
        <v>3.05</v>
      </c>
      <c r="Q85" s="2">
        <v>3.5</v>
      </c>
      <c r="R85" s="2">
        <v>4.12</v>
      </c>
      <c r="S85" s="2">
        <v>5.78</v>
      </c>
      <c r="V85" s="1" t="s">
        <v>19</v>
      </c>
      <c r="W85" s="2">
        <v>-0.04</v>
      </c>
      <c r="X85" s="2">
        <v>-0.17</v>
      </c>
      <c r="Y85" s="2">
        <v>-0.06</v>
      </c>
      <c r="Z85" s="2">
        <v>-0.33</v>
      </c>
    </row>
    <row r="86" spans="2:26" x14ac:dyDescent="0.3">
      <c r="B86" s="1" t="s">
        <v>20</v>
      </c>
      <c r="C86" s="2">
        <v>43.78</v>
      </c>
      <c r="D86" s="2">
        <v>32.97</v>
      </c>
      <c r="E86" s="2">
        <v>53.18</v>
      </c>
      <c r="F86" s="2">
        <v>46.92</v>
      </c>
      <c r="H86" s="1" t="s">
        <v>20</v>
      </c>
      <c r="I86" s="2">
        <v>2.91</v>
      </c>
      <c r="J86" s="2">
        <v>2.91</v>
      </c>
      <c r="K86" s="2">
        <v>3.86</v>
      </c>
      <c r="L86" s="2">
        <v>3.86</v>
      </c>
      <c r="O86" s="1" t="s">
        <v>20</v>
      </c>
      <c r="P86" s="2">
        <v>2.98</v>
      </c>
      <c r="Q86" s="2">
        <v>2.95</v>
      </c>
      <c r="R86" s="2">
        <v>3.89</v>
      </c>
      <c r="S86" s="2">
        <v>3.87</v>
      </c>
      <c r="V86" s="1" t="s">
        <v>20</v>
      </c>
      <c r="W86" s="2">
        <v>-0.02</v>
      </c>
      <c r="X86" s="2">
        <v>-0.01</v>
      </c>
      <c r="Y86" s="2">
        <v>-0.01</v>
      </c>
      <c r="Z86" s="2">
        <v>0</v>
      </c>
    </row>
    <row r="89" spans="2:26" x14ac:dyDescent="0.3">
      <c r="B89" t="s">
        <v>41</v>
      </c>
      <c r="H89" t="s">
        <v>42</v>
      </c>
      <c r="O89" t="s">
        <v>43</v>
      </c>
      <c r="V89" t="s">
        <v>44</v>
      </c>
    </row>
    <row r="90" spans="2:26" x14ac:dyDescent="0.3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3" t="s">
        <v>9</v>
      </c>
      <c r="J90" s="3"/>
      <c r="K90" s="3" t="s">
        <v>10</v>
      </c>
      <c r="L90" s="3"/>
      <c r="O90" s="1" t="s">
        <v>8</v>
      </c>
      <c r="P90" s="3" t="s">
        <v>9</v>
      </c>
      <c r="Q90" s="3"/>
      <c r="R90" s="3" t="s">
        <v>10</v>
      </c>
      <c r="S90" s="3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2</v>
      </c>
      <c r="J91" s="1" t="s">
        <v>1</v>
      </c>
      <c r="K91" s="1" t="s">
        <v>2</v>
      </c>
      <c r="L91" s="1" t="s">
        <v>1</v>
      </c>
      <c r="O91" s="1" t="s">
        <v>11</v>
      </c>
      <c r="P91" s="1" t="s">
        <v>2</v>
      </c>
      <c r="Q91" s="1" t="s">
        <v>1</v>
      </c>
      <c r="R91" s="1" t="s">
        <v>2</v>
      </c>
      <c r="S91" s="1" t="s">
        <v>1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">
      <c r="B93" s="1" t="s">
        <v>13</v>
      </c>
      <c r="C93" s="2">
        <v>311.33</v>
      </c>
      <c r="D93" s="2">
        <v>288.74</v>
      </c>
      <c r="E93" s="2">
        <v>509.08</v>
      </c>
      <c r="F93" s="2">
        <v>472.78</v>
      </c>
      <c r="H93" s="1" t="s">
        <v>13</v>
      </c>
      <c r="I93" s="2">
        <v>2802.6</v>
      </c>
      <c r="J93" s="2">
        <v>2212.38</v>
      </c>
      <c r="K93" s="2">
        <v>2482.65</v>
      </c>
      <c r="L93" s="2">
        <v>1872.72</v>
      </c>
      <c r="O93" s="1" t="s">
        <v>13</v>
      </c>
      <c r="P93" s="2">
        <v>2802.6</v>
      </c>
      <c r="Q93" s="2">
        <v>2212.38</v>
      </c>
      <c r="R93" s="2">
        <v>2482.65</v>
      </c>
      <c r="S93" s="2">
        <v>1872.72</v>
      </c>
      <c r="V93" s="1" t="s">
        <v>13</v>
      </c>
      <c r="W93" s="2">
        <v>1.92</v>
      </c>
      <c r="X93" s="2">
        <v>1.76</v>
      </c>
      <c r="Y93" s="2">
        <v>2.69</v>
      </c>
      <c r="Z93" s="2">
        <v>2.5</v>
      </c>
    </row>
    <row r="94" spans="2:26" x14ac:dyDescent="0.3">
      <c r="B94" s="1" t="s">
        <v>14</v>
      </c>
      <c r="C94" s="2">
        <v>59.58</v>
      </c>
      <c r="D94" s="2">
        <v>89.14</v>
      </c>
      <c r="E94" s="2">
        <v>98.26</v>
      </c>
      <c r="F94" s="2">
        <v>127.22</v>
      </c>
      <c r="H94" s="1" t="s">
        <v>14</v>
      </c>
      <c r="I94" s="2">
        <v>2309</v>
      </c>
      <c r="J94" s="2">
        <v>1849.93</v>
      </c>
      <c r="K94" s="2">
        <v>1252.28</v>
      </c>
      <c r="L94" s="2">
        <v>1004.78</v>
      </c>
      <c r="O94" s="1" t="s">
        <v>14</v>
      </c>
      <c r="P94" s="2">
        <v>2309</v>
      </c>
      <c r="Q94" s="2">
        <v>1849.93</v>
      </c>
      <c r="R94" s="2">
        <v>1252.28</v>
      </c>
      <c r="S94" s="2">
        <v>1004.78</v>
      </c>
      <c r="V94" s="1" t="s">
        <v>14</v>
      </c>
      <c r="W94" s="2">
        <v>2.63</v>
      </c>
      <c r="X94" s="2">
        <v>1.85</v>
      </c>
      <c r="Y94" s="2">
        <v>3.14</v>
      </c>
      <c r="Z94" s="2">
        <v>2.17</v>
      </c>
    </row>
    <row r="95" spans="2:26" x14ac:dyDescent="0.3">
      <c r="B95" s="1" t="s">
        <v>15</v>
      </c>
      <c r="C95" s="2">
        <v>309.64</v>
      </c>
      <c r="D95" s="2">
        <v>91.28</v>
      </c>
      <c r="E95" s="2">
        <v>323.77</v>
      </c>
      <c r="F95" s="2">
        <v>132.25</v>
      </c>
      <c r="H95" s="1" t="s">
        <v>15</v>
      </c>
      <c r="I95" s="2">
        <v>3640.01</v>
      </c>
      <c r="J95" s="2">
        <v>3562.83</v>
      </c>
      <c r="K95" s="2">
        <v>1842.17</v>
      </c>
      <c r="L95" s="2">
        <v>1406.31</v>
      </c>
      <c r="O95" s="1" t="s">
        <v>15</v>
      </c>
      <c r="P95" s="2">
        <v>3640.01</v>
      </c>
      <c r="Q95" s="2">
        <v>3562.83</v>
      </c>
      <c r="R95" s="2">
        <v>1842.17</v>
      </c>
      <c r="S95" s="2">
        <v>1406.31</v>
      </c>
      <c r="V95" s="1" t="s">
        <v>15</v>
      </c>
      <c r="W95" s="2">
        <v>5.44</v>
      </c>
      <c r="X95" s="2">
        <v>3.1</v>
      </c>
      <c r="Y95" s="2">
        <v>7.2</v>
      </c>
      <c r="Z95" s="2">
        <v>3.94</v>
      </c>
    </row>
    <row r="96" spans="2:26" x14ac:dyDescent="0.3">
      <c r="B96" s="1" t="s">
        <v>16</v>
      </c>
      <c r="C96" s="2">
        <v>233.97</v>
      </c>
      <c r="D96" s="2">
        <v>249.18</v>
      </c>
      <c r="E96" s="2">
        <v>537.05999999999995</v>
      </c>
      <c r="F96" s="2">
        <v>432.24</v>
      </c>
      <c r="H96" s="1" t="s">
        <v>16</v>
      </c>
      <c r="I96" s="2">
        <v>6738.17</v>
      </c>
      <c r="J96" s="2">
        <v>4728.55</v>
      </c>
      <c r="K96" s="2">
        <v>6104.54</v>
      </c>
      <c r="L96" s="2">
        <v>3982.69</v>
      </c>
      <c r="O96" s="1" t="s">
        <v>16</v>
      </c>
      <c r="P96" s="2">
        <v>6738.17</v>
      </c>
      <c r="Q96" s="2">
        <v>4728.55</v>
      </c>
      <c r="R96" s="2">
        <v>6104.54</v>
      </c>
      <c r="S96" s="2">
        <v>3982.69</v>
      </c>
      <c r="V96" s="1" t="s">
        <v>16</v>
      </c>
      <c r="W96" s="2">
        <v>2.37</v>
      </c>
      <c r="X96" s="2">
        <v>2.04</v>
      </c>
      <c r="Y96" s="2">
        <v>4.25</v>
      </c>
      <c r="Z96" s="2">
        <v>3.25</v>
      </c>
    </row>
    <row r="97" spans="2:26" x14ac:dyDescent="0.3">
      <c r="B97" s="1" t="s">
        <v>17</v>
      </c>
      <c r="C97" s="2">
        <v>356.71</v>
      </c>
      <c r="D97" s="2">
        <v>395.77</v>
      </c>
      <c r="E97" s="2">
        <v>644.35</v>
      </c>
      <c r="F97" s="2">
        <v>720.13</v>
      </c>
      <c r="H97" s="1" t="s">
        <v>17</v>
      </c>
      <c r="I97" s="2">
        <v>8171.43</v>
      </c>
      <c r="J97" s="2">
        <v>5824.21</v>
      </c>
      <c r="K97" s="2">
        <v>8442.77</v>
      </c>
      <c r="L97" s="2">
        <v>5904.1</v>
      </c>
      <c r="O97" s="1" t="s">
        <v>17</v>
      </c>
      <c r="P97" s="2">
        <v>8171.43</v>
      </c>
      <c r="Q97" s="2">
        <v>5824.21</v>
      </c>
      <c r="R97" s="2">
        <v>8442.77</v>
      </c>
      <c r="S97" s="2">
        <v>5904.1</v>
      </c>
      <c r="V97" s="1" t="s">
        <v>17</v>
      </c>
      <c r="W97" s="2">
        <v>2.17</v>
      </c>
      <c r="X97" s="2">
        <v>2.13</v>
      </c>
      <c r="Y97" s="2">
        <v>3.19</v>
      </c>
      <c r="Z97" s="2">
        <v>3.32</v>
      </c>
    </row>
    <row r="98" spans="2:26" x14ac:dyDescent="0.3">
      <c r="B98" s="1" t="s">
        <v>18</v>
      </c>
      <c r="C98" s="2">
        <v>136.76</v>
      </c>
      <c r="D98" s="2">
        <v>155.19</v>
      </c>
      <c r="E98" s="2">
        <v>212.16</v>
      </c>
      <c r="F98" s="2">
        <v>389.16</v>
      </c>
      <c r="H98" s="1" t="s">
        <v>18</v>
      </c>
      <c r="I98" s="2">
        <v>4942.97</v>
      </c>
      <c r="J98" s="2">
        <v>3514.34</v>
      </c>
      <c r="K98" s="2">
        <v>5665.79</v>
      </c>
      <c r="L98" s="2">
        <v>4185.0600000000004</v>
      </c>
      <c r="O98" s="1" t="s">
        <v>18</v>
      </c>
      <c r="P98" s="2">
        <v>4942.97</v>
      </c>
      <c r="Q98" s="2">
        <v>3514.34</v>
      </c>
      <c r="R98" s="2">
        <v>5665.79</v>
      </c>
      <c r="S98" s="2">
        <v>4185.0600000000004</v>
      </c>
      <c r="V98" s="1" t="s">
        <v>18</v>
      </c>
      <c r="W98" s="2">
        <v>2.52</v>
      </c>
      <c r="X98" s="2">
        <v>3.3</v>
      </c>
      <c r="Y98" s="2">
        <v>3.45</v>
      </c>
      <c r="Z98" s="2">
        <v>7.03</v>
      </c>
    </row>
    <row r="99" spans="2:26" x14ac:dyDescent="0.3">
      <c r="B99" s="1" t="s">
        <v>19</v>
      </c>
      <c r="C99" s="2">
        <v>186.7</v>
      </c>
      <c r="D99" s="2">
        <v>206.24</v>
      </c>
      <c r="E99" s="2">
        <v>308.48</v>
      </c>
      <c r="F99" s="2">
        <v>638.73</v>
      </c>
      <c r="H99" s="1" t="s">
        <v>19</v>
      </c>
      <c r="I99" s="2">
        <v>5256.79</v>
      </c>
      <c r="J99" s="2">
        <v>3787.55</v>
      </c>
      <c r="K99" s="2">
        <v>10161.09</v>
      </c>
      <c r="L99" s="2">
        <v>4579.3599999999997</v>
      </c>
      <c r="O99" s="1" t="s">
        <v>19</v>
      </c>
      <c r="P99" s="2">
        <v>5256.79</v>
      </c>
      <c r="Q99" s="2">
        <v>3787.55</v>
      </c>
      <c r="R99" s="2">
        <v>10161.09</v>
      </c>
      <c r="S99" s="2">
        <v>4579.3599999999997</v>
      </c>
      <c r="V99" s="1" t="s">
        <v>19</v>
      </c>
      <c r="W99" s="2">
        <v>3.67</v>
      </c>
      <c r="X99" s="2">
        <v>5.38</v>
      </c>
      <c r="Y99" s="2">
        <v>5.23</v>
      </c>
      <c r="Z99" s="2">
        <v>7.2</v>
      </c>
    </row>
    <row r="100" spans="2:26" x14ac:dyDescent="0.3">
      <c r="B100" s="1" t="s">
        <v>20</v>
      </c>
      <c r="C100" s="2">
        <v>316.01</v>
      </c>
      <c r="D100" s="2">
        <v>270.06</v>
      </c>
      <c r="E100" s="2">
        <v>351.68</v>
      </c>
      <c r="F100" s="2">
        <v>315.63</v>
      </c>
      <c r="H100" s="1" t="s">
        <v>20</v>
      </c>
      <c r="I100" s="2">
        <v>9431.9699999999993</v>
      </c>
      <c r="J100" s="2">
        <v>7336.07</v>
      </c>
      <c r="K100" s="2">
        <v>9722.27</v>
      </c>
      <c r="L100" s="2">
        <v>7762.02</v>
      </c>
      <c r="O100" s="1" t="s">
        <v>20</v>
      </c>
      <c r="P100" s="2">
        <v>9431.9699999999993</v>
      </c>
      <c r="Q100" s="2">
        <v>7336.07</v>
      </c>
      <c r="R100" s="2">
        <v>9722.27</v>
      </c>
      <c r="S100" s="2">
        <v>7762.02</v>
      </c>
      <c r="V100" s="1" t="s">
        <v>20</v>
      </c>
      <c r="W100" s="2">
        <v>2</v>
      </c>
      <c r="X100" s="2">
        <v>1.87</v>
      </c>
      <c r="Y100" s="2">
        <v>2.27</v>
      </c>
      <c r="Z100" s="2">
        <v>2.1</v>
      </c>
    </row>
    <row r="103" spans="2:26" x14ac:dyDescent="0.3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">
      <c r="B107" s="1" t="s">
        <v>13</v>
      </c>
      <c r="C107" s="2">
        <v>5.4486833852349877E-2</v>
      </c>
      <c r="D107" s="2">
        <v>4.7130907829742948E-2</v>
      </c>
      <c r="E107" s="2">
        <v>5.5105998918087859E-2</v>
      </c>
      <c r="F107" s="2">
        <v>3.8597979449702308E-2</v>
      </c>
      <c r="H107" s="1" t="s">
        <v>13</v>
      </c>
      <c r="I107" s="2">
        <v>650.70000000000005</v>
      </c>
      <c r="J107" s="2">
        <v>550.79999999999995</v>
      </c>
      <c r="K107" s="2">
        <v>622.79999999999995</v>
      </c>
      <c r="L107" s="2">
        <v>551.70000000000005</v>
      </c>
      <c r="O107" s="1" t="s">
        <v>13</v>
      </c>
      <c r="P107" s="2">
        <v>3687.3</v>
      </c>
      <c r="Q107" s="2">
        <v>3121.2</v>
      </c>
      <c r="R107" s="2">
        <v>3529.2</v>
      </c>
      <c r="S107" s="2">
        <v>3126.3</v>
      </c>
      <c r="V107" s="1" t="s">
        <v>13</v>
      </c>
      <c r="W107" s="2">
        <v>5.77</v>
      </c>
      <c r="X107" s="2">
        <v>5.29</v>
      </c>
      <c r="Y107" s="2">
        <v>8.08</v>
      </c>
      <c r="Z107" s="2">
        <v>7.5</v>
      </c>
    </row>
    <row r="108" spans="2:26" x14ac:dyDescent="0.3">
      <c r="B108" s="1" t="s">
        <v>14</v>
      </c>
      <c r="C108" s="2">
        <v>4.9578787026105929E-2</v>
      </c>
      <c r="D108" s="2">
        <v>2.574123059939603E-2</v>
      </c>
      <c r="E108" s="2">
        <v>4.1267317712040542E-2</v>
      </c>
      <c r="F108" s="2">
        <v>1.6122577945582951E-2</v>
      </c>
      <c r="H108" s="1" t="s">
        <v>14</v>
      </c>
      <c r="I108" s="2">
        <v>544.1</v>
      </c>
      <c r="J108" s="2">
        <v>295.52</v>
      </c>
      <c r="K108" s="2">
        <v>513.11</v>
      </c>
      <c r="L108" s="2">
        <v>278.27999999999997</v>
      </c>
      <c r="O108" s="1" t="s">
        <v>14</v>
      </c>
      <c r="P108" s="2">
        <v>4049.9</v>
      </c>
      <c r="Q108" s="2">
        <v>1269.48</v>
      </c>
      <c r="R108" s="2">
        <v>3603.89</v>
      </c>
      <c r="S108" s="2">
        <v>1134.72</v>
      </c>
      <c r="V108" s="1" t="s">
        <v>14</v>
      </c>
      <c r="W108" s="2">
        <v>7.9</v>
      </c>
      <c r="X108" s="2">
        <v>5.56</v>
      </c>
      <c r="Y108" s="2">
        <v>9.42</v>
      </c>
      <c r="Z108" s="2">
        <v>6.51</v>
      </c>
    </row>
    <row r="109" spans="2:26" x14ac:dyDescent="0.3">
      <c r="B109" s="1" t="s">
        <v>15</v>
      </c>
      <c r="C109" s="2">
        <v>0.20730532163568019</v>
      </c>
      <c r="D109" s="2">
        <v>5.4740037138286783E-2</v>
      </c>
      <c r="E109" s="2">
        <v>0.155338439199385</v>
      </c>
      <c r="F109" s="2">
        <v>3.8534614858406778E-2</v>
      </c>
      <c r="H109" s="1" t="s">
        <v>15</v>
      </c>
      <c r="I109" s="2">
        <v>1047.8900000000001</v>
      </c>
      <c r="J109" s="2">
        <v>413.62</v>
      </c>
      <c r="K109" s="2">
        <v>808.89</v>
      </c>
      <c r="L109" s="2">
        <v>409.37</v>
      </c>
      <c r="O109" s="1" t="s">
        <v>15</v>
      </c>
      <c r="P109" s="2">
        <v>3724.11</v>
      </c>
      <c r="Q109" s="2">
        <v>2684.38</v>
      </c>
      <c r="R109" s="2">
        <v>4790.1099999999997</v>
      </c>
      <c r="S109" s="2">
        <v>2757.63</v>
      </c>
      <c r="V109" s="1" t="s">
        <v>15</v>
      </c>
      <c r="W109" s="2">
        <v>16.32</v>
      </c>
      <c r="X109" s="2">
        <v>9.31</v>
      </c>
      <c r="Y109" s="2">
        <v>21.6</v>
      </c>
      <c r="Z109" s="2">
        <v>11.81</v>
      </c>
    </row>
    <row r="110" spans="2:26" x14ac:dyDescent="0.3">
      <c r="B110" s="1" t="s">
        <v>16</v>
      </c>
      <c r="C110" s="2">
        <v>0.12897055517740619</v>
      </c>
      <c r="D110" s="2">
        <v>0.11242444814859159</v>
      </c>
      <c r="E110" s="2">
        <v>0.1855898414144577</v>
      </c>
      <c r="F110" s="2">
        <v>0.1098877114745664</v>
      </c>
      <c r="H110" s="1" t="s">
        <v>16</v>
      </c>
      <c r="I110" s="2">
        <v>1390.75</v>
      </c>
      <c r="J110" s="2">
        <v>1171.3800000000001</v>
      </c>
      <c r="K110" s="2">
        <v>1497.37</v>
      </c>
      <c r="L110" s="2">
        <v>1356.56</v>
      </c>
      <c r="O110" s="1" t="s">
        <v>16</v>
      </c>
      <c r="P110" s="2">
        <v>9736.25</v>
      </c>
      <c r="Q110" s="2">
        <v>7705.62</v>
      </c>
      <c r="R110" s="2">
        <v>10793.63</v>
      </c>
      <c r="S110" s="2">
        <v>9161.44</v>
      </c>
      <c r="V110" s="1" t="s">
        <v>16</v>
      </c>
      <c r="W110" s="2">
        <v>7.1</v>
      </c>
      <c r="X110" s="2">
        <v>6.11</v>
      </c>
      <c r="Y110" s="2">
        <v>12.74</v>
      </c>
      <c r="Z110" s="2">
        <v>9.75</v>
      </c>
    </row>
    <row r="111" spans="2:26" x14ac:dyDescent="0.3">
      <c r="B111" s="1" t="s">
        <v>17</v>
      </c>
      <c r="C111" s="2">
        <v>0.15329574196834339</v>
      </c>
      <c r="D111" s="2">
        <v>0.1637820401769986</v>
      </c>
      <c r="E111" s="2">
        <v>0.1728856874412778</v>
      </c>
      <c r="F111" s="2">
        <v>0.15321691374100169</v>
      </c>
      <c r="H111" s="1" t="s">
        <v>17</v>
      </c>
      <c r="I111" s="2">
        <v>1713</v>
      </c>
      <c r="J111" s="2">
        <v>1736.5</v>
      </c>
      <c r="K111" s="2">
        <v>1815.87</v>
      </c>
      <c r="L111" s="2">
        <v>1876.17</v>
      </c>
      <c r="O111" s="1" t="s">
        <v>17</v>
      </c>
      <c r="P111" s="2">
        <v>11351</v>
      </c>
      <c r="Q111" s="2">
        <v>11235.5</v>
      </c>
      <c r="R111" s="2">
        <v>11876.13</v>
      </c>
      <c r="S111" s="2">
        <v>12235.83</v>
      </c>
      <c r="V111" s="1" t="s">
        <v>17</v>
      </c>
      <c r="W111" s="2">
        <v>6.51</v>
      </c>
      <c r="X111" s="2">
        <v>6.39</v>
      </c>
      <c r="Y111" s="2">
        <v>9.56</v>
      </c>
      <c r="Z111" s="2">
        <v>9.9600000000000009</v>
      </c>
    </row>
    <row r="112" spans="2:26" x14ac:dyDescent="0.3">
      <c r="B112" s="1" t="s">
        <v>18</v>
      </c>
      <c r="C112" s="2">
        <v>0.10037617564714631</v>
      </c>
      <c r="D112" s="2">
        <v>0.15860477226642</v>
      </c>
      <c r="E112" s="2">
        <v>0.1042314153119039</v>
      </c>
      <c r="F112" s="2">
        <v>0.19697387456969639</v>
      </c>
      <c r="H112" s="1" t="s">
        <v>18</v>
      </c>
      <c r="I112" s="2">
        <v>1033.6300000000001</v>
      </c>
      <c r="J112" s="2">
        <v>1230.9000000000001</v>
      </c>
      <c r="K112" s="2">
        <v>1098.44</v>
      </c>
      <c r="L112" s="2">
        <v>1259.07</v>
      </c>
      <c r="O112" s="1" t="s">
        <v>18</v>
      </c>
      <c r="P112" s="2">
        <v>6370.37</v>
      </c>
      <c r="Q112" s="2">
        <v>8585.1</v>
      </c>
      <c r="R112" s="2">
        <v>7049.56</v>
      </c>
      <c r="S112" s="2">
        <v>9484.93</v>
      </c>
      <c r="V112" s="1" t="s">
        <v>18</v>
      </c>
      <c r="W112" s="2">
        <v>7.55</v>
      </c>
      <c r="X112" s="2">
        <v>9.89</v>
      </c>
      <c r="Y112" s="2">
        <v>10.35</v>
      </c>
      <c r="Z112" s="2">
        <v>21.1</v>
      </c>
    </row>
    <row r="113" spans="2:26" x14ac:dyDescent="0.3">
      <c r="B113" s="1" t="s">
        <v>19</v>
      </c>
      <c r="C113" s="2">
        <v>0.15078811391849889</v>
      </c>
      <c r="D113" s="2">
        <v>0.27423293794859849</v>
      </c>
      <c r="E113" s="2">
        <v>0.16197295219656629</v>
      </c>
      <c r="F113" s="2">
        <v>0.34890332637464527</v>
      </c>
      <c r="H113" s="1" t="s">
        <v>19</v>
      </c>
      <c r="I113" s="2">
        <v>1113.99</v>
      </c>
      <c r="J113" s="2">
        <v>1346.87</v>
      </c>
      <c r="K113" s="2">
        <v>1168.18</v>
      </c>
      <c r="L113" s="2">
        <v>2258.02</v>
      </c>
      <c r="O113" s="1" t="s">
        <v>19</v>
      </c>
      <c r="P113" s="2">
        <v>7156.01</v>
      </c>
      <c r="Q113" s="2">
        <v>9653.1299999999992</v>
      </c>
      <c r="R113" s="2">
        <v>7459.82</v>
      </c>
      <c r="S113" s="2">
        <v>10435.31</v>
      </c>
      <c r="V113" s="1" t="s">
        <v>19</v>
      </c>
      <c r="W113" s="2">
        <v>11.01</v>
      </c>
      <c r="X113" s="2">
        <v>16.14</v>
      </c>
      <c r="Y113" s="2">
        <v>15.69</v>
      </c>
      <c r="Z113" s="2">
        <v>21.6</v>
      </c>
    </row>
    <row r="114" spans="2:26" x14ac:dyDescent="0.3">
      <c r="B114" s="1" t="s">
        <v>20</v>
      </c>
      <c r="C114" s="2">
        <v>0.1551984707744691</v>
      </c>
      <c r="D114" s="2">
        <v>0.16334362589196549</v>
      </c>
      <c r="E114" s="2">
        <v>0.1236083478062808</v>
      </c>
      <c r="F114" s="2">
        <v>9.7763001586398196E-2</v>
      </c>
      <c r="H114" s="1" t="s">
        <v>20</v>
      </c>
      <c r="I114" s="2">
        <v>2157.67</v>
      </c>
      <c r="J114" s="2">
        <v>2282.9499999999998</v>
      </c>
      <c r="K114" s="2">
        <v>2095.9899999999998</v>
      </c>
      <c r="L114" s="2">
        <v>2160.5</v>
      </c>
      <c r="O114" s="1" t="s">
        <v>20</v>
      </c>
      <c r="P114" s="2">
        <v>9662.33</v>
      </c>
      <c r="Q114" s="2">
        <v>11297.05</v>
      </c>
      <c r="R114" s="2">
        <v>9959.01</v>
      </c>
      <c r="S114" s="2">
        <v>12304.5</v>
      </c>
      <c r="V114" s="1" t="s">
        <v>20</v>
      </c>
      <c r="W114" s="2">
        <v>6</v>
      </c>
      <c r="X114" s="2">
        <v>5.61</v>
      </c>
      <c r="Y114" s="2">
        <v>6.8</v>
      </c>
      <c r="Z114" s="2">
        <v>6.29</v>
      </c>
    </row>
    <row r="117" spans="2:26" x14ac:dyDescent="0.3">
      <c r="H117" t="s">
        <v>49</v>
      </c>
      <c r="O117" t="s">
        <v>50</v>
      </c>
      <c r="V117" t="s">
        <v>51</v>
      </c>
    </row>
    <row r="118" spans="2:26" x14ac:dyDescent="0.3">
      <c r="H118" s="1" t="s">
        <v>8</v>
      </c>
      <c r="I118" s="3" t="s">
        <v>9</v>
      </c>
      <c r="J118" s="3"/>
      <c r="K118" s="3" t="s">
        <v>10</v>
      </c>
      <c r="L118" s="3"/>
      <c r="O118" s="1" t="s">
        <v>8</v>
      </c>
      <c r="P118" s="3" t="s">
        <v>9</v>
      </c>
      <c r="Q118" s="3"/>
      <c r="R118" s="3" t="s">
        <v>10</v>
      </c>
      <c r="S118" s="3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">
      <c r="H119" s="1" t="s">
        <v>11</v>
      </c>
      <c r="I119" s="1" t="s">
        <v>2</v>
      </c>
      <c r="J119" s="1" t="s">
        <v>1</v>
      </c>
      <c r="K119" s="1" t="s">
        <v>2</v>
      </c>
      <c r="L119" s="1" t="s">
        <v>1</v>
      </c>
      <c r="O119" s="1" t="s">
        <v>11</v>
      </c>
      <c r="P119" s="1" t="s">
        <v>2</v>
      </c>
      <c r="Q119" s="1" t="s">
        <v>1</v>
      </c>
      <c r="R119" s="1" t="s">
        <v>2</v>
      </c>
      <c r="S119" s="1" t="s">
        <v>1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">
      <c r="H120" s="1" t="s">
        <v>12</v>
      </c>
      <c r="O120" s="1" t="s">
        <v>12</v>
      </c>
      <c r="V120" s="1" t="s">
        <v>12</v>
      </c>
    </row>
    <row r="121" spans="2:26" x14ac:dyDescent="0.3">
      <c r="H121" s="1" t="s">
        <v>13</v>
      </c>
      <c r="I121" s="2">
        <v>129.6</v>
      </c>
      <c r="J121" s="2">
        <v>97.92</v>
      </c>
      <c r="K121" s="2">
        <v>105.3</v>
      </c>
      <c r="L121" s="2">
        <v>70.38</v>
      </c>
      <c r="O121" s="1" t="s">
        <v>13</v>
      </c>
      <c r="P121" s="2">
        <v>129.6</v>
      </c>
      <c r="Q121" s="2">
        <v>97.92</v>
      </c>
      <c r="R121" s="2">
        <v>105.3</v>
      </c>
      <c r="S121" s="2">
        <v>70.38</v>
      </c>
      <c r="V121" s="1" t="s">
        <v>13</v>
      </c>
      <c r="W121" s="2">
        <v>29497.5</v>
      </c>
      <c r="X121" s="2">
        <v>56009.78</v>
      </c>
      <c r="Y121" s="2">
        <v>20965.939999999999</v>
      </c>
      <c r="Z121" s="2">
        <v>35467.629999999997</v>
      </c>
    </row>
    <row r="122" spans="2:26" x14ac:dyDescent="0.3">
      <c r="H122" s="1" t="s">
        <v>14</v>
      </c>
      <c r="I122" s="2">
        <v>37.53</v>
      </c>
      <c r="J122" s="2">
        <v>26.54</v>
      </c>
      <c r="K122" s="2">
        <v>58.48</v>
      </c>
      <c r="L122" s="2">
        <v>42.37</v>
      </c>
      <c r="O122" s="1" t="s">
        <v>14</v>
      </c>
      <c r="P122" s="2">
        <v>37.53</v>
      </c>
      <c r="Q122" s="2">
        <v>26.54</v>
      </c>
      <c r="R122" s="2">
        <v>58.48</v>
      </c>
      <c r="S122" s="2">
        <v>42.37</v>
      </c>
      <c r="V122" s="1" t="s">
        <v>14</v>
      </c>
      <c r="W122" s="2">
        <v>1073.26</v>
      </c>
      <c r="X122" s="2">
        <v>2239.16</v>
      </c>
      <c r="Y122" s="2">
        <v>1439.63</v>
      </c>
      <c r="Z122" s="2">
        <v>3625.17</v>
      </c>
    </row>
    <row r="123" spans="2:26" x14ac:dyDescent="0.3">
      <c r="H123" s="1" t="s">
        <v>15</v>
      </c>
      <c r="I123" s="2">
        <v>106.97</v>
      </c>
      <c r="J123" s="2">
        <v>89.51</v>
      </c>
      <c r="K123" s="2">
        <v>75.53</v>
      </c>
      <c r="L123" s="2">
        <v>57.15</v>
      </c>
      <c r="O123" s="1" t="s">
        <v>15</v>
      </c>
      <c r="P123" s="2">
        <v>106.97</v>
      </c>
      <c r="Q123" s="2">
        <v>89.51</v>
      </c>
      <c r="R123" s="2">
        <v>75.53</v>
      </c>
      <c r="S123" s="2">
        <v>57.15</v>
      </c>
      <c r="V123" s="1" t="s">
        <v>15</v>
      </c>
      <c r="W123" s="2">
        <v>166.19</v>
      </c>
      <c r="X123" s="2">
        <v>4301.82</v>
      </c>
      <c r="Y123" s="2">
        <v>323.67</v>
      </c>
      <c r="Z123" s="2">
        <v>5612.42</v>
      </c>
    </row>
    <row r="124" spans="2:26" x14ac:dyDescent="0.3">
      <c r="H124" s="1" t="s">
        <v>16</v>
      </c>
      <c r="I124" s="2">
        <v>341.54</v>
      </c>
      <c r="J124" s="2">
        <v>219.1</v>
      </c>
      <c r="K124" s="2">
        <v>332.24</v>
      </c>
      <c r="L124" s="2">
        <v>278.48</v>
      </c>
      <c r="O124" s="1" t="s">
        <v>16</v>
      </c>
      <c r="P124" s="2">
        <v>341.54</v>
      </c>
      <c r="Q124" s="2">
        <v>219.1</v>
      </c>
      <c r="R124" s="2">
        <v>332.24</v>
      </c>
      <c r="S124" s="2">
        <v>278.48</v>
      </c>
      <c r="V124" s="1" t="s">
        <v>16</v>
      </c>
      <c r="W124" s="2">
        <v>1437.98</v>
      </c>
      <c r="X124" s="2">
        <v>2519.3000000000002</v>
      </c>
      <c r="Y124" s="2">
        <v>563.66999999999996</v>
      </c>
      <c r="Z124" s="2">
        <v>1152.72</v>
      </c>
    </row>
    <row r="125" spans="2:26" x14ac:dyDescent="0.3">
      <c r="H125" s="1" t="s">
        <v>17</v>
      </c>
      <c r="I125" s="2">
        <v>395.92</v>
      </c>
      <c r="J125" s="2">
        <v>301.19</v>
      </c>
      <c r="K125" s="2">
        <v>363.39</v>
      </c>
      <c r="L125" s="2">
        <v>251.09</v>
      </c>
      <c r="O125" s="1" t="s">
        <v>17</v>
      </c>
      <c r="P125" s="2">
        <v>395.92</v>
      </c>
      <c r="Q125" s="2">
        <v>301.19</v>
      </c>
      <c r="R125" s="2">
        <v>363.39</v>
      </c>
      <c r="S125" s="2">
        <v>251.09</v>
      </c>
      <c r="V125" s="1" t="s">
        <v>17</v>
      </c>
      <c r="W125" s="2">
        <v>1820.54</v>
      </c>
      <c r="X125" s="2">
        <v>1865.21</v>
      </c>
      <c r="Y125" s="2">
        <v>1134.23</v>
      </c>
      <c r="Z125" s="2">
        <v>969.64</v>
      </c>
    </row>
    <row r="126" spans="2:26" x14ac:dyDescent="0.3">
      <c r="H126" s="1" t="s">
        <v>18</v>
      </c>
      <c r="I126" s="2">
        <v>189.08</v>
      </c>
      <c r="J126" s="2">
        <v>153.68</v>
      </c>
      <c r="K126" s="2">
        <v>177.67</v>
      </c>
      <c r="L126" s="2">
        <v>108.15</v>
      </c>
      <c r="O126" s="1" t="s">
        <v>18</v>
      </c>
      <c r="P126" s="2">
        <v>189.08</v>
      </c>
      <c r="Q126" s="2">
        <v>153.68</v>
      </c>
      <c r="R126" s="2">
        <v>177.67</v>
      </c>
      <c r="S126" s="2">
        <v>108.15</v>
      </c>
      <c r="V126" s="1" t="s">
        <v>18</v>
      </c>
      <c r="W126" s="2">
        <v>969.15</v>
      </c>
      <c r="X126" s="2">
        <v>512.57000000000005</v>
      </c>
      <c r="Y126" s="2">
        <v>871.48</v>
      </c>
      <c r="Z126" s="2">
        <v>260.19</v>
      </c>
    </row>
    <row r="127" spans="2:26" x14ac:dyDescent="0.3">
      <c r="H127" s="1" t="s">
        <v>19</v>
      </c>
      <c r="I127" s="2">
        <v>158.13</v>
      </c>
      <c r="J127" s="2">
        <v>126.26</v>
      </c>
      <c r="K127" s="2">
        <v>246.23</v>
      </c>
      <c r="L127" s="2">
        <v>93.01</v>
      </c>
      <c r="O127" s="1" t="s">
        <v>19</v>
      </c>
      <c r="P127" s="2">
        <v>158.13</v>
      </c>
      <c r="Q127" s="2">
        <v>126.26</v>
      </c>
      <c r="R127" s="2">
        <v>246.23</v>
      </c>
      <c r="S127" s="2">
        <v>93.01</v>
      </c>
      <c r="V127" s="1" t="s">
        <v>19</v>
      </c>
      <c r="W127" s="2">
        <v>1671.34</v>
      </c>
      <c r="X127" s="2">
        <v>553.91</v>
      </c>
      <c r="Y127" s="2">
        <v>1213.3499999999999</v>
      </c>
      <c r="Z127" s="2">
        <v>224.35</v>
      </c>
    </row>
    <row r="128" spans="2:26" x14ac:dyDescent="0.3">
      <c r="H128" s="1" t="s">
        <v>20</v>
      </c>
      <c r="I128" s="2">
        <v>179.89</v>
      </c>
      <c r="J128" s="2">
        <v>148.91</v>
      </c>
      <c r="K128" s="2">
        <v>178.03</v>
      </c>
      <c r="L128" s="2">
        <v>117.13</v>
      </c>
      <c r="O128" s="1" t="s">
        <v>20</v>
      </c>
      <c r="P128" s="2">
        <v>179.89</v>
      </c>
      <c r="Q128" s="2">
        <v>148.91</v>
      </c>
      <c r="R128" s="2">
        <v>178.03</v>
      </c>
      <c r="S128" s="2">
        <v>117.13</v>
      </c>
      <c r="V128" s="1" t="s">
        <v>20</v>
      </c>
      <c r="W128" s="2">
        <v>1862.27</v>
      </c>
      <c r="X128" s="2">
        <v>2791.38</v>
      </c>
      <c r="Y128" s="2">
        <v>4196.3999999999996</v>
      </c>
      <c r="Z128" s="2">
        <v>7967.65</v>
      </c>
    </row>
    <row r="131" spans="8:19" x14ac:dyDescent="0.3">
      <c r="H131" t="s">
        <v>52</v>
      </c>
      <c r="O131" t="s">
        <v>53</v>
      </c>
    </row>
    <row r="132" spans="8:19" x14ac:dyDescent="0.3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">
      <c r="H134" s="1" t="s">
        <v>12</v>
      </c>
      <c r="O134" s="1" t="s">
        <v>12</v>
      </c>
    </row>
    <row r="135" spans="8:19" x14ac:dyDescent="0.3">
      <c r="H135" s="1" t="s">
        <v>13</v>
      </c>
      <c r="I135" s="2">
        <v>28.8</v>
      </c>
      <c r="J135" s="2">
        <v>20.7</v>
      </c>
      <c r="K135" s="2">
        <v>28.8</v>
      </c>
      <c r="L135" s="2">
        <v>23.4</v>
      </c>
      <c r="O135" s="1" t="s">
        <v>13</v>
      </c>
      <c r="P135" s="2">
        <v>163.19999999999999</v>
      </c>
      <c r="Q135" s="2">
        <v>117.3</v>
      </c>
      <c r="R135" s="2">
        <v>163.19999999999999</v>
      </c>
      <c r="S135" s="2">
        <v>132.6</v>
      </c>
    </row>
    <row r="136" spans="8:19" x14ac:dyDescent="0.3">
      <c r="H136" s="1" t="s">
        <v>14</v>
      </c>
      <c r="I136" s="2">
        <v>7.81</v>
      </c>
      <c r="J136" s="2">
        <v>12.46</v>
      </c>
      <c r="K136" s="2">
        <v>8.34</v>
      </c>
      <c r="L136" s="2">
        <v>13</v>
      </c>
      <c r="O136" s="1" t="s">
        <v>14</v>
      </c>
      <c r="P136" s="2">
        <v>58.19</v>
      </c>
      <c r="Q136" s="2">
        <v>53.54</v>
      </c>
      <c r="R136" s="2">
        <v>58.66</v>
      </c>
      <c r="S136" s="2">
        <v>53</v>
      </c>
    </row>
    <row r="137" spans="8:19" x14ac:dyDescent="0.3">
      <c r="H137" s="1" t="s">
        <v>15</v>
      </c>
      <c r="I137" s="2">
        <v>26.33</v>
      </c>
      <c r="J137" s="2">
        <v>16.809999999999999</v>
      </c>
      <c r="K137" s="2">
        <v>23.77</v>
      </c>
      <c r="L137" s="2">
        <v>16.78</v>
      </c>
      <c r="O137" s="1" t="s">
        <v>15</v>
      </c>
      <c r="P137" s="2">
        <v>93.67</v>
      </c>
      <c r="Q137" s="2">
        <v>109.19</v>
      </c>
      <c r="R137" s="2">
        <v>141.22999999999999</v>
      </c>
      <c r="S137" s="2">
        <v>113.22</v>
      </c>
    </row>
    <row r="138" spans="8:19" x14ac:dyDescent="0.3">
      <c r="H138" s="1" t="s">
        <v>16</v>
      </c>
      <c r="I138" s="2">
        <v>64.44</v>
      </c>
      <c r="J138" s="2">
        <v>81.91</v>
      </c>
      <c r="K138" s="2">
        <v>75.900000000000006</v>
      </c>
      <c r="L138" s="2">
        <v>73.83</v>
      </c>
      <c r="O138" s="1" t="s">
        <v>16</v>
      </c>
      <c r="P138" s="2">
        <v>451.56</v>
      </c>
      <c r="Q138" s="2">
        <v>539.09</v>
      </c>
      <c r="R138" s="2">
        <v>548.1</v>
      </c>
      <c r="S138" s="2">
        <v>499.17</v>
      </c>
    </row>
    <row r="139" spans="8:19" x14ac:dyDescent="0.3">
      <c r="H139" s="1" t="s">
        <v>17</v>
      </c>
      <c r="I139" s="2">
        <v>88.59</v>
      </c>
      <c r="J139" s="2">
        <v>73.849999999999994</v>
      </c>
      <c r="K139" s="2">
        <v>87.98</v>
      </c>
      <c r="L139" s="2">
        <v>80.75</v>
      </c>
      <c r="O139" s="1" t="s">
        <v>17</v>
      </c>
      <c r="P139" s="2">
        <v>587.41</v>
      </c>
      <c r="Q139" s="2">
        <v>478.15</v>
      </c>
      <c r="R139" s="2">
        <v>576.02</v>
      </c>
      <c r="S139" s="2">
        <v>527.25</v>
      </c>
    </row>
    <row r="140" spans="8:19" x14ac:dyDescent="0.3">
      <c r="H140" s="1" t="s">
        <v>18</v>
      </c>
      <c r="I140" s="2">
        <v>45.2</v>
      </c>
      <c r="J140" s="2">
        <v>31.81</v>
      </c>
      <c r="K140" s="2">
        <v>42.02</v>
      </c>
      <c r="L140" s="2">
        <v>39.479999999999997</v>
      </c>
      <c r="O140" s="1" t="s">
        <v>18</v>
      </c>
      <c r="P140" s="2">
        <v>278.8</v>
      </c>
      <c r="Q140" s="2">
        <v>222.19</v>
      </c>
      <c r="R140" s="2">
        <v>269.98</v>
      </c>
      <c r="S140" s="2">
        <v>298.52</v>
      </c>
    </row>
    <row r="141" spans="8:19" x14ac:dyDescent="0.3">
      <c r="H141" s="1" t="s">
        <v>19</v>
      </c>
      <c r="I141" s="2">
        <v>37.130000000000003</v>
      </c>
      <c r="J141" s="2">
        <v>27.36</v>
      </c>
      <c r="K141" s="2">
        <v>35.14</v>
      </c>
      <c r="L141" s="2">
        <v>54.72</v>
      </c>
      <c r="O141" s="1" t="s">
        <v>19</v>
      </c>
      <c r="P141" s="2">
        <v>238.87</v>
      </c>
      <c r="Q141" s="2">
        <v>196.64</v>
      </c>
      <c r="R141" s="2">
        <v>224.86</v>
      </c>
      <c r="S141" s="2">
        <v>253.43</v>
      </c>
    </row>
    <row r="142" spans="8:19" x14ac:dyDescent="0.3">
      <c r="H142" s="1" t="s">
        <v>20</v>
      </c>
      <c r="I142" s="2">
        <v>43.8</v>
      </c>
      <c r="J142" s="2">
        <v>34.450000000000003</v>
      </c>
      <c r="K142" s="2">
        <v>39.979999999999997</v>
      </c>
      <c r="L142" s="2">
        <v>39.56</v>
      </c>
      <c r="O142" s="1" t="s">
        <v>20</v>
      </c>
      <c r="P142" s="2">
        <v>196.2</v>
      </c>
      <c r="Q142" s="2">
        <v>170.55</v>
      </c>
      <c r="R142" s="2">
        <v>190.02</v>
      </c>
      <c r="S142" s="2">
        <v>225.44</v>
      </c>
    </row>
    <row r="145" spans="8:19" x14ac:dyDescent="0.3">
      <c r="H145" t="s">
        <v>54</v>
      </c>
      <c r="O145" t="s">
        <v>55</v>
      </c>
    </row>
    <row r="146" spans="8:19" x14ac:dyDescent="0.3">
      <c r="H146" s="1" t="s">
        <v>8</v>
      </c>
      <c r="I146" s="3" t="s">
        <v>9</v>
      </c>
      <c r="J146" s="3"/>
      <c r="K146" s="3" t="s">
        <v>10</v>
      </c>
      <c r="L146" s="3"/>
      <c r="O146" s="1" t="s">
        <v>8</v>
      </c>
      <c r="P146" s="3" t="s">
        <v>9</v>
      </c>
      <c r="Q146" s="3"/>
      <c r="R146" s="3" t="s">
        <v>10</v>
      </c>
      <c r="S146" s="3"/>
    </row>
    <row r="147" spans="8:19" x14ac:dyDescent="0.3">
      <c r="H147" s="1" t="s">
        <v>11</v>
      </c>
      <c r="I147" s="1" t="s">
        <v>2</v>
      </c>
      <c r="J147" s="1" t="s">
        <v>1</v>
      </c>
      <c r="K147" s="1" t="s">
        <v>2</v>
      </c>
      <c r="L147" s="1" t="s">
        <v>1</v>
      </c>
      <c r="O147" s="1" t="s">
        <v>11</v>
      </c>
      <c r="P147" s="1" t="s">
        <v>2</v>
      </c>
      <c r="Q147" s="1" t="s">
        <v>1</v>
      </c>
      <c r="R147" s="1" t="s">
        <v>2</v>
      </c>
      <c r="S147" s="1" t="s">
        <v>1</v>
      </c>
    </row>
    <row r="148" spans="8:19" x14ac:dyDescent="0.3">
      <c r="H148" s="1" t="s">
        <v>12</v>
      </c>
      <c r="O148" s="1" t="s">
        <v>12</v>
      </c>
    </row>
    <row r="149" spans="8:19" x14ac:dyDescent="0.3">
      <c r="H149" s="1" t="s">
        <v>13</v>
      </c>
      <c r="I149" s="2">
        <v>0</v>
      </c>
      <c r="J149" s="2">
        <v>3.06</v>
      </c>
      <c r="K149" s="2">
        <v>0</v>
      </c>
      <c r="L149" s="2">
        <v>3.06</v>
      </c>
      <c r="O149" s="1" t="s">
        <v>13</v>
      </c>
      <c r="P149" s="2">
        <v>0</v>
      </c>
      <c r="Q149" s="2">
        <v>3.06</v>
      </c>
      <c r="R149" s="2">
        <v>0</v>
      </c>
      <c r="S149" s="2">
        <v>3.06</v>
      </c>
    </row>
    <row r="150" spans="8:19" x14ac:dyDescent="0.3">
      <c r="H150" s="1" t="s">
        <v>14</v>
      </c>
      <c r="I150" s="2">
        <v>11.2</v>
      </c>
      <c r="J150" s="2">
        <v>9.65</v>
      </c>
      <c r="K150" s="2">
        <v>22.15</v>
      </c>
      <c r="L150" s="2">
        <v>26.96</v>
      </c>
      <c r="O150" s="1" t="s">
        <v>14</v>
      </c>
      <c r="P150" s="2">
        <v>11.2</v>
      </c>
      <c r="Q150" s="2">
        <v>9.65</v>
      </c>
      <c r="R150" s="2">
        <v>22.15</v>
      </c>
      <c r="S150" s="2">
        <v>26.96</v>
      </c>
    </row>
    <row r="151" spans="8:19" x14ac:dyDescent="0.3">
      <c r="H151" s="1" t="s">
        <v>15</v>
      </c>
      <c r="I151" s="2">
        <v>33.06</v>
      </c>
      <c r="J151" s="2">
        <v>32.07</v>
      </c>
      <c r="K151" s="2">
        <v>31.37</v>
      </c>
      <c r="L151" s="2">
        <v>23.58</v>
      </c>
      <c r="O151" s="1" t="s">
        <v>15</v>
      </c>
      <c r="P151" s="2">
        <v>33.06</v>
      </c>
      <c r="Q151" s="2">
        <v>32.07</v>
      </c>
      <c r="R151" s="2">
        <v>31.37</v>
      </c>
      <c r="S151" s="2">
        <v>23.58</v>
      </c>
    </row>
    <row r="152" spans="8:19" x14ac:dyDescent="0.3">
      <c r="H152" s="1" t="s">
        <v>16</v>
      </c>
      <c r="I152" s="2">
        <v>101.79</v>
      </c>
      <c r="J152" s="2">
        <v>56.04</v>
      </c>
      <c r="K152" s="2">
        <v>99.14</v>
      </c>
      <c r="L152" s="2">
        <v>79.37</v>
      </c>
      <c r="O152" s="1" t="s">
        <v>16</v>
      </c>
      <c r="P152" s="2">
        <v>101.79</v>
      </c>
      <c r="Q152" s="2">
        <v>56.04</v>
      </c>
      <c r="R152" s="2">
        <v>99.14</v>
      </c>
      <c r="S152" s="2">
        <v>79.37</v>
      </c>
    </row>
    <row r="153" spans="8:19" x14ac:dyDescent="0.3">
      <c r="H153" s="1" t="s">
        <v>17</v>
      </c>
      <c r="I153" s="2">
        <v>150.24</v>
      </c>
      <c r="J153" s="2">
        <v>119.4</v>
      </c>
      <c r="K153" s="2">
        <v>136.26</v>
      </c>
      <c r="L153" s="2">
        <v>109.16</v>
      </c>
      <c r="O153" s="1" t="s">
        <v>17</v>
      </c>
      <c r="P153" s="2">
        <v>150.24</v>
      </c>
      <c r="Q153" s="2">
        <v>119.4</v>
      </c>
      <c r="R153" s="2">
        <v>136.26</v>
      </c>
      <c r="S153" s="2">
        <v>109.16</v>
      </c>
    </row>
    <row r="154" spans="8:19" x14ac:dyDescent="0.3">
      <c r="H154" s="1" t="s">
        <v>18</v>
      </c>
      <c r="I154" s="2">
        <v>60.6</v>
      </c>
      <c r="J154" s="2">
        <v>50.28</v>
      </c>
      <c r="K154" s="2">
        <v>58.86</v>
      </c>
      <c r="L154" s="2">
        <v>33.21</v>
      </c>
      <c r="O154" s="1" t="s">
        <v>18</v>
      </c>
      <c r="P154" s="2">
        <v>60.6</v>
      </c>
      <c r="Q154" s="2">
        <v>50.28</v>
      </c>
      <c r="R154" s="2">
        <v>58.86</v>
      </c>
      <c r="S154" s="2">
        <v>33.21</v>
      </c>
    </row>
    <row r="155" spans="8:19" x14ac:dyDescent="0.3">
      <c r="H155" s="1" t="s">
        <v>19</v>
      </c>
      <c r="I155" s="2">
        <v>40.14</v>
      </c>
      <c r="J155" s="2">
        <v>34.76</v>
      </c>
      <c r="K155" s="2">
        <v>53.66</v>
      </c>
      <c r="L155" s="2">
        <v>20.76</v>
      </c>
      <c r="O155" s="1" t="s">
        <v>19</v>
      </c>
      <c r="P155" s="2">
        <v>40.14</v>
      </c>
      <c r="Q155" s="2">
        <v>34.76</v>
      </c>
      <c r="R155" s="2">
        <v>53.66</v>
      </c>
      <c r="S155" s="2">
        <v>20.76</v>
      </c>
    </row>
    <row r="156" spans="8:19" x14ac:dyDescent="0.3">
      <c r="H156" s="1" t="s">
        <v>20</v>
      </c>
      <c r="I156" s="2">
        <v>35.200000000000003</v>
      </c>
      <c r="J156" s="2">
        <v>24.82</v>
      </c>
      <c r="K156" s="2">
        <v>33.590000000000003</v>
      </c>
      <c r="L156" s="2">
        <v>20</v>
      </c>
      <c r="O156" s="1" t="s">
        <v>20</v>
      </c>
      <c r="P156" s="2">
        <v>35.200000000000003</v>
      </c>
      <c r="Q156" s="2">
        <v>24.82</v>
      </c>
      <c r="R156" s="2">
        <v>33.590000000000003</v>
      </c>
      <c r="S156" s="2">
        <v>20</v>
      </c>
    </row>
    <row r="159" spans="8:19" x14ac:dyDescent="0.3">
      <c r="H159" t="s">
        <v>56</v>
      </c>
      <c r="O159" t="s">
        <v>57</v>
      </c>
    </row>
    <row r="160" spans="8:19" x14ac:dyDescent="0.3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">
      <c r="H162" s="1" t="s">
        <v>12</v>
      </c>
      <c r="O162" s="1" t="s">
        <v>12</v>
      </c>
    </row>
    <row r="163" spans="8:19" x14ac:dyDescent="0.3">
      <c r="H163" s="1" t="s">
        <v>13</v>
      </c>
      <c r="I163" s="2">
        <v>0.9</v>
      </c>
      <c r="J163" s="2">
        <v>0.9</v>
      </c>
      <c r="K163" s="2">
        <v>0</v>
      </c>
      <c r="L163" s="2">
        <v>0</v>
      </c>
      <c r="O163" s="1" t="s">
        <v>13</v>
      </c>
      <c r="P163" s="2">
        <v>0.9</v>
      </c>
      <c r="Q163" s="2">
        <v>0.9</v>
      </c>
      <c r="R163" s="2">
        <v>0</v>
      </c>
      <c r="S163" s="2">
        <v>0</v>
      </c>
    </row>
    <row r="164" spans="8:19" x14ac:dyDescent="0.3">
      <c r="H164" s="1" t="s">
        <v>14</v>
      </c>
      <c r="I164" s="2">
        <v>2.84</v>
      </c>
      <c r="J164" s="2">
        <v>7.93</v>
      </c>
      <c r="K164" s="2">
        <v>2.4900000000000002</v>
      </c>
      <c r="L164" s="2">
        <v>4.92</v>
      </c>
      <c r="O164" s="1" t="s">
        <v>14</v>
      </c>
      <c r="P164" s="2">
        <v>2.84</v>
      </c>
      <c r="Q164" s="2">
        <v>7.93</v>
      </c>
      <c r="R164" s="2">
        <v>2.4900000000000002</v>
      </c>
      <c r="S164" s="2">
        <v>4.92</v>
      </c>
    </row>
    <row r="165" spans="8:19" x14ac:dyDescent="0.3">
      <c r="H165" s="1" t="s">
        <v>15</v>
      </c>
      <c r="I165" s="2">
        <v>9.43</v>
      </c>
      <c r="J165" s="2">
        <v>6.94</v>
      </c>
      <c r="K165" s="2">
        <v>7.35</v>
      </c>
      <c r="L165" s="2">
        <v>6.97</v>
      </c>
      <c r="O165" s="1" t="s">
        <v>15</v>
      </c>
      <c r="P165" s="2">
        <v>9.43</v>
      </c>
      <c r="Q165" s="2">
        <v>6.94</v>
      </c>
      <c r="R165" s="2">
        <v>7.35</v>
      </c>
      <c r="S165" s="2">
        <v>6.97</v>
      </c>
    </row>
    <row r="166" spans="8:19" x14ac:dyDescent="0.3">
      <c r="H166" s="1" t="s">
        <v>16</v>
      </c>
      <c r="I166" s="2">
        <v>16.48</v>
      </c>
      <c r="J166" s="2">
        <v>23.34</v>
      </c>
      <c r="K166" s="2">
        <v>22.62</v>
      </c>
      <c r="L166" s="2">
        <v>22.03</v>
      </c>
      <c r="O166" s="1" t="s">
        <v>16</v>
      </c>
      <c r="P166" s="2">
        <v>16.48</v>
      </c>
      <c r="Q166" s="2">
        <v>23.34</v>
      </c>
      <c r="R166" s="2">
        <v>22.62</v>
      </c>
      <c r="S166" s="2">
        <v>22.03</v>
      </c>
    </row>
    <row r="167" spans="8:19" x14ac:dyDescent="0.3">
      <c r="H167" s="1" t="s">
        <v>17</v>
      </c>
      <c r="I167" s="2">
        <v>35.119999999999997</v>
      </c>
      <c r="J167" s="2">
        <v>32.11</v>
      </c>
      <c r="K167" s="2">
        <v>33.39</v>
      </c>
      <c r="L167" s="2">
        <v>30.28</v>
      </c>
      <c r="O167" s="1" t="s">
        <v>17</v>
      </c>
      <c r="P167" s="2">
        <v>35.119999999999997</v>
      </c>
      <c r="Q167" s="2">
        <v>32.11</v>
      </c>
      <c r="R167" s="2">
        <v>33.39</v>
      </c>
      <c r="S167" s="2">
        <v>30.28</v>
      </c>
    </row>
    <row r="168" spans="8:19" x14ac:dyDescent="0.3">
      <c r="H168" s="1" t="s">
        <v>18</v>
      </c>
      <c r="I168" s="2">
        <v>14.79</v>
      </c>
      <c r="J168" s="2">
        <v>9.77</v>
      </c>
      <c r="K168" s="2">
        <v>13.47</v>
      </c>
      <c r="L168" s="2">
        <v>13.08</v>
      </c>
      <c r="O168" s="1" t="s">
        <v>18</v>
      </c>
      <c r="P168" s="2">
        <v>14.79</v>
      </c>
      <c r="Q168" s="2">
        <v>9.77</v>
      </c>
      <c r="R168" s="2">
        <v>13.47</v>
      </c>
      <c r="S168" s="2">
        <v>13.08</v>
      </c>
    </row>
    <row r="169" spans="8:19" x14ac:dyDescent="0.3">
      <c r="H169" s="1" t="s">
        <v>19</v>
      </c>
      <c r="I169" s="2">
        <v>10.220000000000001</v>
      </c>
      <c r="J169" s="2">
        <v>6.11</v>
      </c>
      <c r="K169" s="2">
        <v>8.92</v>
      </c>
      <c r="L169" s="2">
        <v>11.92</v>
      </c>
      <c r="O169" s="1" t="s">
        <v>19</v>
      </c>
      <c r="P169" s="2">
        <v>10.220000000000001</v>
      </c>
      <c r="Q169" s="2">
        <v>6.11</v>
      </c>
      <c r="R169" s="2">
        <v>8.92</v>
      </c>
      <c r="S169" s="2">
        <v>11.92</v>
      </c>
    </row>
    <row r="170" spans="8:19" x14ac:dyDescent="0.3">
      <c r="H170" s="1" t="s">
        <v>20</v>
      </c>
      <c r="I170" s="2">
        <v>7.3</v>
      </c>
      <c r="J170" s="2">
        <v>5.88</v>
      </c>
      <c r="K170" s="2">
        <v>7.82</v>
      </c>
      <c r="L170" s="2">
        <v>7.46</v>
      </c>
      <c r="O170" s="1" t="s">
        <v>20</v>
      </c>
      <c r="P170" s="2">
        <v>7.3</v>
      </c>
      <c r="Q170" s="2">
        <v>5.88</v>
      </c>
      <c r="R170" s="2">
        <v>7.82</v>
      </c>
      <c r="S170" s="2">
        <v>7.46</v>
      </c>
    </row>
    <row r="173" spans="8:19" x14ac:dyDescent="0.3">
      <c r="H173" t="s">
        <v>58</v>
      </c>
      <c r="O173" t="s">
        <v>59</v>
      </c>
    </row>
    <row r="174" spans="8:19" x14ac:dyDescent="0.3">
      <c r="H174" s="1" t="s">
        <v>8</v>
      </c>
      <c r="I174" s="3" t="s">
        <v>9</v>
      </c>
      <c r="J174" s="3"/>
      <c r="K174" s="3" t="s">
        <v>10</v>
      </c>
      <c r="L174" s="3"/>
      <c r="O174" s="1" t="s">
        <v>8</v>
      </c>
      <c r="P174" s="3" t="s">
        <v>9</v>
      </c>
      <c r="Q174" s="3"/>
      <c r="R174" s="3" t="s">
        <v>10</v>
      </c>
      <c r="S174" s="3"/>
    </row>
    <row r="175" spans="8:19" x14ac:dyDescent="0.3">
      <c r="H175" s="1" t="s">
        <v>11</v>
      </c>
      <c r="I175" s="1" t="s">
        <v>2</v>
      </c>
      <c r="J175" s="1" t="s">
        <v>1</v>
      </c>
      <c r="K175" s="1" t="s">
        <v>2</v>
      </c>
      <c r="L175" s="1" t="s">
        <v>1</v>
      </c>
      <c r="O175" s="1" t="s">
        <v>11</v>
      </c>
      <c r="P175" s="1" t="s">
        <v>2</v>
      </c>
      <c r="Q175" s="1" t="s">
        <v>1</v>
      </c>
      <c r="R175" s="1" t="s">
        <v>2</v>
      </c>
      <c r="S175" s="1" t="s">
        <v>1</v>
      </c>
    </row>
    <row r="176" spans="8:19" x14ac:dyDescent="0.3">
      <c r="H176" s="1" t="s">
        <v>12</v>
      </c>
      <c r="O176" s="1" t="s">
        <v>12</v>
      </c>
    </row>
    <row r="177" spans="8:19" x14ac:dyDescent="0.3">
      <c r="H177" s="1" t="s">
        <v>13</v>
      </c>
      <c r="I177" s="2">
        <v>283.5</v>
      </c>
      <c r="J177" s="2">
        <v>183.6</v>
      </c>
      <c r="K177" s="2">
        <v>283.5</v>
      </c>
      <c r="L177" s="2">
        <v>185.64</v>
      </c>
      <c r="O177" s="1" t="s">
        <v>13</v>
      </c>
      <c r="P177" s="2">
        <v>283.5</v>
      </c>
      <c r="Q177" s="2">
        <v>183.6</v>
      </c>
      <c r="R177" s="2">
        <v>283.5</v>
      </c>
      <c r="S177" s="2">
        <v>185.64</v>
      </c>
    </row>
    <row r="178" spans="8:19" x14ac:dyDescent="0.3">
      <c r="H178" s="1" t="s">
        <v>14</v>
      </c>
      <c r="I178" s="2">
        <v>46.93</v>
      </c>
      <c r="J178" s="2">
        <v>25.64</v>
      </c>
      <c r="K178" s="2">
        <v>87.99</v>
      </c>
      <c r="L178" s="2">
        <v>54.5</v>
      </c>
      <c r="O178" s="1" t="s">
        <v>14</v>
      </c>
      <c r="P178" s="2">
        <v>46.93</v>
      </c>
      <c r="Q178" s="2">
        <v>25.64</v>
      </c>
      <c r="R178" s="2">
        <v>87.99</v>
      </c>
      <c r="S178" s="2">
        <v>54.5</v>
      </c>
    </row>
    <row r="179" spans="8:19" x14ac:dyDescent="0.3">
      <c r="H179" s="1" t="s">
        <v>15</v>
      </c>
      <c r="I179" s="2">
        <v>67.45</v>
      </c>
      <c r="J179" s="2">
        <v>64.510000000000005</v>
      </c>
      <c r="K179" s="2">
        <v>50.37</v>
      </c>
      <c r="L179" s="2">
        <v>33.340000000000003</v>
      </c>
      <c r="O179" s="1" t="s">
        <v>15</v>
      </c>
      <c r="P179" s="2">
        <v>67.45</v>
      </c>
      <c r="Q179" s="2">
        <v>64.510000000000005</v>
      </c>
      <c r="R179" s="2">
        <v>50.37</v>
      </c>
      <c r="S179" s="2">
        <v>33.340000000000003</v>
      </c>
    </row>
    <row r="180" spans="8:19" x14ac:dyDescent="0.3">
      <c r="H180" s="1" t="s">
        <v>16</v>
      </c>
      <c r="I180" s="2">
        <v>189.77</v>
      </c>
      <c r="J180" s="2">
        <v>111.98</v>
      </c>
      <c r="K180" s="2">
        <v>199.53</v>
      </c>
      <c r="L180" s="2">
        <v>138.69999999999999</v>
      </c>
      <c r="O180" s="1" t="s">
        <v>16</v>
      </c>
      <c r="P180" s="2">
        <v>189.77</v>
      </c>
      <c r="Q180" s="2">
        <v>111.98</v>
      </c>
      <c r="R180" s="2">
        <v>199.53</v>
      </c>
      <c r="S180" s="2">
        <v>138.69999999999999</v>
      </c>
    </row>
    <row r="181" spans="8:19" x14ac:dyDescent="0.3">
      <c r="H181" s="1" t="s">
        <v>17</v>
      </c>
      <c r="I181" s="2">
        <v>303.33999999999997</v>
      </c>
      <c r="J181" s="2">
        <v>186.44</v>
      </c>
      <c r="K181" s="2">
        <v>325.49</v>
      </c>
      <c r="L181" s="2">
        <v>210.45</v>
      </c>
      <c r="O181" s="1" t="s">
        <v>17</v>
      </c>
      <c r="P181" s="2">
        <v>303.33999999999997</v>
      </c>
      <c r="Q181" s="2">
        <v>186.44</v>
      </c>
      <c r="R181" s="2">
        <v>325.49</v>
      </c>
      <c r="S181" s="2">
        <v>210.45</v>
      </c>
    </row>
    <row r="182" spans="8:19" x14ac:dyDescent="0.3">
      <c r="H182" s="1" t="s">
        <v>18</v>
      </c>
      <c r="I182" s="2">
        <v>92.24</v>
      </c>
      <c r="J182" s="2">
        <v>61.55</v>
      </c>
      <c r="K182" s="2">
        <v>83.01</v>
      </c>
      <c r="L182" s="2">
        <v>53.36</v>
      </c>
      <c r="O182" s="1" t="s">
        <v>18</v>
      </c>
      <c r="P182" s="2">
        <v>92.24</v>
      </c>
      <c r="Q182" s="2">
        <v>61.55</v>
      </c>
      <c r="R182" s="2">
        <v>83.01</v>
      </c>
      <c r="S182" s="2">
        <v>53.36</v>
      </c>
    </row>
    <row r="183" spans="8:19" x14ac:dyDescent="0.3">
      <c r="H183" s="1" t="s">
        <v>19</v>
      </c>
      <c r="I183" s="2">
        <v>88.45</v>
      </c>
      <c r="J183" s="2">
        <v>57.66</v>
      </c>
      <c r="K183" s="2">
        <v>133.07</v>
      </c>
      <c r="L183" s="2">
        <v>43.44</v>
      </c>
      <c r="O183" s="1" t="s">
        <v>19</v>
      </c>
      <c r="P183" s="2">
        <v>88.45</v>
      </c>
      <c r="Q183" s="2">
        <v>57.66</v>
      </c>
      <c r="R183" s="2">
        <v>133.07</v>
      </c>
      <c r="S183" s="2">
        <v>43.44</v>
      </c>
    </row>
    <row r="184" spans="8:19" x14ac:dyDescent="0.3">
      <c r="H184" s="1" t="s">
        <v>20</v>
      </c>
      <c r="I184" s="2">
        <v>232.77</v>
      </c>
      <c r="J184" s="2">
        <v>179.13</v>
      </c>
      <c r="K184" s="2">
        <v>225.97</v>
      </c>
      <c r="L184" s="2">
        <v>163.81</v>
      </c>
      <c r="O184" s="1" t="s">
        <v>20</v>
      </c>
      <c r="P184" s="2">
        <v>232.77</v>
      </c>
      <c r="Q184" s="2">
        <v>179.13</v>
      </c>
      <c r="R184" s="2">
        <v>225.97</v>
      </c>
      <c r="S184" s="2">
        <v>163.81</v>
      </c>
    </row>
    <row r="187" spans="8:19" x14ac:dyDescent="0.3">
      <c r="H187" t="s">
        <v>60</v>
      </c>
      <c r="O187" t="s">
        <v>61</v>
      </c>
    </row>
    <row r="188" spans="8:19" x14ac:dyDescent="0.3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">
      <c r="H190" s="1" t="s">
        <v>12</v>
      </c>
      <c r="O190" s="1" t="s">
        <v>12</v>
      </c>
    </row>
    <row r="191" spans="8:19" x14ac:dyDescent="0.3">
      <c r="H191" s="1" t="s">
        <v>13</v>
      </c>
      <c r="I191" s="2">
        <v>54</v>
      </c>
      <c r="J191" s="2">
        <v>54.6</v>
      </c>
      <c r="K191" s="2">
        <v>63</v>
      </c>
      <c r="L191" s="2">
        <v>63</v>
      </c>
      <c r="O191" s="1" t="s">
        <v>13</v>
      </c>
      <c r="P191" s="2">
        <v>54</v>
      </c>
      <c r="Q191" s="2">
        <v>54.6</v>
      </c>
      <c r="R191" s="2">
        <v>63</v>
      </c>
      <c r="S191" s="2">
        <v>63</v>
      </c>
    </row>
    <row r="192" spans="8:19" x14ac:dyDescent="0.3">
      <c r="H192" s="1" t="s">
        <v>14</v>
      </c>
      <c r="I192" s="2">
        <v>7.54</v>
      </c>
      <c r="J192" s="2">
        <v>16.03</v>
      </c>
      <c r="K192" s="2">
        <v>10.43</v>
      </c>
      <c r="L192" s="2">
        <v>19.55</v>
      </c>
      <c r="O192" s="1" t="s">
        <v>14</v>
      </c>
      <c r="P192" s="2">
        <v>7.54</v>
      </c>
      <c r="Q192" s="2">
        <v>16.03</v>
      </c>
      <c r="R192" s="2">
        <v>10.43</v>
      </c>
      <c r="S192" s="2">
        <v>19.55</v>
      </c>
    </row>
    <row r="193" spans="8:19" x14ac:dyDescent="0.3">
      <c r="H193" s="1" t="s">
        <v>15</v>
      </c>
      <c r="I193" s="2">
        <v>18.97</v>
      </c>
      <c r="J193" s="2">
        <v>9.81</v>
      </c>
      <c r="K193" s="2">
        <v>14.99</v>
      </c>
      <c r="L193" s="2">
        <v>11.19</v>
      </c>
      <c r="O193" s="1" t="s">
        <v>15</v>
      </c>
      <c r="P193" s="2">
        <v>18.97</v>
      </c>
      <c r="Q193" s="2">
        <v>9.81</v>
      </c>
      <c r="R193" s="2">
        <v>14.99</v>
      </c>
      <c r="S193" s="2">
        <v>11.19</v>
      </c>
    </row>
    <row r="194" spans="8:19" x14ac:dyDescent="0.3">
      <c r="H194" s="1" t="s">
        <v>16</v>
      </c>
      <c r="I194" s="2">
        <v>32.93</v>
      </c>
      <c r="J194" s="2">
        <v>40.79</v>
      </c>
      <c r="K194" s="2">
        <v>42.17</v>
      </c>
      <c r="L194" s="2">
        <v>44.34</v>
      </c>
      <c r="O194" s="1" t="s">
        <v>16</v>
      </c>
      <c r="P194" s="2">
        <v>32.93</v>
      </c>
      <c r="Q194" s="2">
        <v>40.79</v>
      </c>
      <c r="R194" s="2">
        <v>42.17</v>
      </c>
      <c r="S194" s="2">
        <v>44.34</v>
      </c>
    </row>
    <row r="195" spans="8:19" x14ac:dyDescent="0.3">
      <c r="H195" s="1" t="s">
        <v>17</v>
      </c>
      <c r="I195" s="2">
        <v>54.84</v>
      </c>
      <c r="J195" s="2">
        <v>61.9</v>
      </c>
      <c r="K195" s="2">
        <v>67.41</v>
      </c>
      <c r="L195" s="2">
        <v>72.33</v>
      </c>
      <c r="O195" s="1" t="s">
        <v>17</v>
      </c>
      <c r="P195" s="2">
        <v>54.84</v>
      </c>
      <c r="Q195" s="2">
        <v>61.9</v>
      </c>
      <c r="R195" s="2">
        <v>67.41</v>
      </c>
      <c r="S195" s="2">
        <v>72.33</v>
      </c>
    </row>
    <row r="196" spans="8:19" x14ac:dyDescent="0.3">
      <c r="H196" s="1" t="s">
        <v>18</v>
      </c>
      <c r="I196" s="2">
        <v>18.100000000000001</v>
      </c>
      <c r="J196" s="2">
        <v>15.69</v>
      </c>
      <c r="K196" s="2">
        <v>20.5</v>
      </c>
      <c r="L196" s="2">
        <v>18.45</v>
      </c>
      <c r="O196" s="1" t="s">
        <v>18</v>
      </c>
      <c r="P196" s="2">
        <v>18.100000000000001</v>
      </c>
      <c r="Q196" s="2">
        <v>15.69</v>
      </c>
      <c r="R196" s="2">
        <v>20.5</v>
      </c>
      <c r="S196" s="2">
        <v>18.45</v>
      </c>
    </row>
    <row r="197" spans="8:19" x14ac:dyDescent="0.3">
      <c r="H197" s="1" t="s">
        <v>19</v>
      </c>
      <c r="I197" s="2">
        <v>16.96</v>
      </c>
      <c r="J197" s="2">
        <v>12.78</v>
      </c>
      <c r="K197" s="2">
        <v>19.66</v>
      </c>
      <c r="L197" s="2">
        <v>29.57</v>
      </c>
      <c r="O197" s="1" t="s">
        <v>19</v>
      </c>
      <c r="P197" s="2">
        <v>16.96</v>
      </c>
      <c r="Q197" s="2">
        <v>12.78</v>
      </c>
      <c r="R197" s="2">
        <v>19.66</v>
      </c>
      <c r="S197" s="2">
        <v>29.57</v>
      </c>
    </row>
    <row r="198" spans="8:19" x14ac:dyDescent="0.3">
      <c r="H198" s="1" t="s">
        <v>20</v>
      </c>
      <c r="I198" s="2">
        <v>52.69</v>
      </c>
      <c r="J198" s="2">
        <v>48.18</v>
      </c>
      <c r="K198" s="2">
        <v>51.73</v>
      </c>
      <c r="L198" s="2">
        <v>50.22</v>
      </c>
      <c r="O198" s="1" t="s">
        <v>20</v>
      </c>
      <c r="P198" s="2">
        <v>52.69</v>
      </c>
      <c r="Q198" s="2">
        <v>48.18</v>
      </c>
      <c r="R198" s="2">
        <v>51.73</v>
      </c>
      <c r="S198" s="2">
        <v>50.22</v>
      </c>
    </row>
    <row r="201" spans="8:19" x14ac:dyDescent="0.3">
      <c r="H201" t="s">
        <v>62</v>
      </c>
      <c r="O201" t="s">
        <v>63</v>
      </c>
    </row>
    <row r="202" spans="8:19" x14ac:dyDescent="0.3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3" t="s">
        <v>9</v>
      </c>
      <c r="Q202" s="3"/>
      <c r="R202" s="3" t="s">
        <v>10</v>
      </c>
      <c r="S202" s="3"/>
    </row>
    <row r="203" spans="8:19" x14ac:dyDescent="0.3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2</v>
      </c>
      <c r="Q203" s="1" t="s">
        <v>1</v>
      </c>
      <c r="R203" s="1" t="s">
        <v>2</v>
      </c>
      <c r="S203" s="1" t="s">
        <v>1</v>
      </c>
    </row>
    <row r="204" spans="8:19" x14ac:dyDescent="0.3">
      <c r="H204" s="1" t="s">
        <v>12</v>
      </c>
      <c r="O204" s="1" t="s">
        <v>12</v>
      </c>
    </row>
    <row r="205" spans="8:19" x14ac:dyDescent="0.3">
      <c r="H205" s="1" t="s">
        <v>13</v>
      </c>
      <c r="I205" s="2">
        <v>0</v>
      </c>
      <c r="J205" s="2">
        <v>0</v>
      </c>
      <c r="K205" s="2">
        <v>0</v>
      </c>
      <c r="L205" s="2">
        <v>0</v>
      </c>
      <c r="O205" s="1" t="s">
        <v>13</v>
      </c>
      <c r="P205" s="2">
        <v>283.5</v>
      </c>
      <c r="Q205" s="2">
        <v>183.6</v>
      </c>
      <c r="R205" s="2">
        <v>283.5</v>
      </c>
      <c r="S205" s="2">
        <v>185.64</v>
      </c>
    </row>
    <row r="206" spans="8:19" x14ac:dyDescent="0.3">
      <c r="H206" s="1" t="s">
        <v>14</v>
      </c>
      <c r="I206" s="2">
        <v>0.05</v>
      </c>
      <c r="J206" s="2">
        <v>0.02</v>
      </c>
      <c r="K206" s="2">
        <v>0.04</v>
      </c>
      <c r="L206" s="2">
        <v>0.01</v>
      </c>
      <c r="O206" s="1" t="s">
        <v>14</v>
      </c>
      <c r="P206" s="2">
        <v>46.93</v>
      </c>
      <c r="Q206" s="2">
        <v>25.64</v>
      </c>
      <c r="R206" s="2">
        <v>87.99</v>
      </c>
      <c r="S206" s="2">
        <v>54.5</v>
      </c>
    </row>
    <row r="207" spans="8:19" x14ac:dyDescent="0.3">
      <c r="H207" s="1" t="s">
        <v>15</v>
      </c>
      <c r="I207" s="2">
        <v>0.25</v>
      </c>
      <c r="J207" s="2">
        <v>0.01</v>
      </c>
      <c r="K207" s="2">
        <v>0.16</v>
      </c>
      <c r="L207" s="2">
        <v>0.01</v>
      </c>
      <c r="O207" s="1" t="s">
        <v>15</v>
      </c>
      <c r="P207" s="2">
        <v>67.45</v>
      </c>
      <c r="Q207" s="2">
        <v>64.510000000000005</v>
      </c>
      <c r="R207" s="2">
        <v>50.37</v>
      </c>
      <c r="S207" s="2">
        <v>33.340000000000003</v>
      </c>
    </row>
    <row r="208" spans="8:19" x14ac:dyDescent="0.3">
      <c r="H208" s="1" t="s">
        <v>16</v>
      </c>
      <c r="I208" s="2">
        <v>0.04</v>
      </c>
      <c r="J208" s="2">
        <v>0.02</v>
      </c>
      <c r="K208" s="2">
        <v>0.1</v>
      </c>
      <c r="L208" s="2">
        <v>0.05</v>
      </c>
      <c r="O208" s="1" t="s">
        <v>16</v>
      </c>
      <c r="P208" s="2">
        <v>189.77</v>
      </c>
      <c r="Q208" s="2">
        <v>111.98</v>
      </c>
      <c r="R208" s="2">
        <v>199.53</v>
      </c>
      <c r="S208" s="2">
        <v>138.69999999999999</v>
      </c>
    </row>
    <row r="209" spans="8:19" x14ac:dyDescent="0.3">
      <c r="H209" s="1" t="s">
        <v>17</v>
      </c>
      <c r="I209" s="2">
        <v>0.03</v>
      </c>
      <c r="J209" s="2">
        <v>0.03</v>
      </c>
      <c r="K209" s="2">
        <v>0.05</v>
      </c>
      <c r="L209" s="2">
        <v>0.06</v>
      </c>
      <c r="O209" s="1" t="s">
        <v>17</v>
      </c>
      <c r="P209" s="2">
        <v>303.33999999999997</v>
      </c>
      <c r="Q209" s="2">
        <v>186.44</v>
      </c>
      <c r="R209" s="2">
        <v>325.49</v>
      </c>
      <c r="S209" s="2">
        <v>210.45</v>
      </c>
    </row>
    <row r="210" spans="8:19" x14ac:dyDescent="0.3">
      <c r="H210" s="1" t="s">
        <v>18</v>
      </c>
      <c r="I210" s="2">
        <v>0.06</v>
      </c>
      <c r="J210" s="2">
        <v>0.11</v>
      </c>
      <c r="K210" s="2">
        <v>0.06</v>
      </c>
      <c r="L210" s="2">
        <v>0.22</v>
      </c>
      <c r="O210" s="1" t="s">
        <v>18</v>
      </c>
      <c r="P210" s="2">
        <v>92.24</v>
      </c>
      <c r="Q210" s="2">
        <v>61.55</v>
      </c>
      <c r="R210" s="2">
        <v>83.01</v>
      </c>
      <c r="S210" s="2">
        <v>53.36</v>
      </c>
    </row>
    <row r="211" spans="8:19" x14ac:dyDescent="0.3">
      <c r="H211" s="1" t="s">
        <v>19</v>
      </c>
      <c r="I211" s="2">
        <v>0.03</v>
      </c>
      <c r="J211" s="2">
        <v>0.1</v>
      </c>
      <c r="K211" s="2">
        <v>0.05</v>
      </c>
      <c r="L211" s="2">
        <v>0.22</v>
      </c>
      <c r="O211" s="1" t="s">
        <v>19</v>
      </c>
      <c r="P211" s="2">
        <v>88.45</v>
      </c>
      <c r="Q211" s="2">
        <v>57.66</v>
      </c>
      <c r="R211" s="2">
        <v>133.07</v>
      </c>
      <c r="S211" s="2">
        <v>43.44</v>
      </c>
    </row>
    <row r="212" spans="8:19" x14ac:dyDescent="0.3">
      <c r="H212" s="1" t="s">
        <v>20</v>
      </c>
      <c r="I212" s="2">
        <v>0.03</v>
      </c>
      <c r="J212" s="2">
        <v>0.02</v>
      </c>
      <c r="K212" s="2">
        <v>0.01</v>
      </c>
      <c r="L212" s="2">
        <v>0.01</v>
      </c>
      <c r="O212" s="1" t="s">
        <v>20</v>
      </c>
      <c r="P212" s="2">
        <v>232.77</v>
      </c>
      <c r="Q212" s="2">
        <v>179.13</v>
      </c>
      <c r="R212" s="2">
        <v>225.97</v>
      </c>
      <c r="S212" s="2">
        <v>163.81</v>
      </c>
    </row>
    <row r="215" spans="8:19" x14ac:dyDescent="0.3">
      <c r="H215" t="s">
        <v>64</v>
      </c>
      <c r="O215" t="s">
        <v>65</v>
      </c>
    </row>
    <row r="216" spans="8:19" x14ac:dyDescent="0.3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">
      <c r="H218" s="1" t="s">
        <v>12</v>
      </c>
      <c r="O218" s="1" t="s">
        <v>12</v>
      </c>
    </row>
    <row r="219" spans="8:19" x14ac:dyDescent="0.3">
      <c r="H219" s="1" t="s">
        <v>13</v>
      </c>
      <c r="I219" s="2">
        <v>0</v>
      </c>
      <c r="J219" s="2">
        <v>0</v>
      </c>
      <c r="K219" s="2">
        <v>0</v>
      </c>
      <c r="L219" s="2">
        <v>0</v>
      </c>
      <c r="O219" s="1" t="s">
        <v>13</v>
      </c>
      <c r="P219" s="2">
        <v>54</v>
      </c>
      <c r="Q219" s="2">
        <v>54.6</v>
      </c>
      <c r="R219" s="2">
        <v>63</v>
      </c>
      <c r="S219" s="2">
        <v>63</v>
      </c>
    </row>
    <row r="220" spans="8:19" x14ac:dyDescent="0.3">
      <c r="H220" s="1" t="s">
        <v>14</v>
      </c>
      <c r="I220" s="2">
        <v>0.04</v>
      </c>
      <c r="J220" s="2">
        <v>0.01</v>
      </c>
      <c r="K220" s="2">
        <v>0.03</v>
      </c>
      <c r="L220" s="2">
        <v>0.01</v>
      </c>
      <c r="O220" s="1" t="s">
        <v>14</v>
      </c>
      <c r="P220" s="2">
        <v>7.54</v>
      </c>
      <c r="Q220" s="2">
        <v>16.03</v>
      </c>
      <c r="R220" s="2">
        <v>10.43</v>
      </c>
      <c r="S220" s="2">
        <v>19.55</v>
      </c>
    </row>
    <row r="221" spans="8:19" x14ac:dyDescent="0.3">
      <c r="H221" s="1" t="s">
        <v>15</v>
      </c>
      <c r="I221" s="2">
        <v>0.17</v>
      </c>
      <c r="J221" s="2">
        <v>0.01</v>
      </c>
      <c r="K221" s="2">
        <v>0.11</v>
      </c>
      <c r="L221" s="2">
        <v>0.01</v>
      </c>
      <c r="O221" s="1" t="s">
        <v>15</v>
      </c>
      <c r="P221" s="2">
        <v>18.97</v>
      </c>
      <c r="Q221" s="2">
        <v>9.81</v>
      </c>
      <c r="R221" s="2">
        <v>14.99</v>
      </c>
      <c r="S221" s="2">
        <v>11.19</v>
      </c>
    </row>
    <row r="222" spans="8:19" x14ac:dyDescent="0.3">
      <c r="H222" s="1" t="s">
        <v>16</v>
      </c>
      <c r="I222" s="2">
        <v>0.03</v>
      </c>
      <c r="J222" s="2">
        <v>0.02</v>
      </c>
      <c r="K222" s="2">
        <v>7.0000000000000007E-2</v>
      </c>
      <c r="L222" s="2">
        <v>0.03</v>
      </c>
      <c r="O222" s="1" t="s">
        <v>16</v>
      </c>
      <c r="P222" s="2">
        <v>32.93</v>
      </c>
      <c r="Q222" s="2">
        <v>40.79</v>
      </c>
      <c r="R222" s="2">
        <v>42.17</v>
      </c>
      <c r="S222" s="2">
        <v>44.34</v>
      </c>
    </row>
    <row r="223" spans="8:19" x14ac:dyDescent="0.3">
      <c r="H223" s="1" t="s">
        <v>17</v>
      </c>
      <c r="I223" s="2">
        <v>0.02</v>
      </c>
      <c r="J223" s="2">
        <v>0.02</v>
      </c>
      <c r="K223" s="2">
        <v>0.03</v>
      </c>
      <c r="L223" s="2">
        <v>0.04</v>
      </c>
      <c r="O223" s="1" t="s">
        <v>17</v>
      </c>
      <c r="P223" s="2">
        <v>54.84</v>
      </c>
      <c r="Q223" s="2">
        <v>61.9</v>
      </c>
      <c r="R223" s="2">
        <v>67.41</v>
      </c>
      <c r="S223" s="2">
        <v>72.33</v>
      </c>
    </row>
    <row r="224" spans="8:19" x14ac:dyDescent="0.3">
      <c r="H224" s="1" t="s">
        <v>18</v>
      </c>
      <c r="I224" s="2">
        <v>0.04</v>
      </c>
      <c r="J224" s="2">
        <v>0.08</v>
      </c>
      <c r="K224" s="2">
        <v>0.04</v>
      </c>
      <c r="L224" s="2">
        <v>0.16</v>
      </c>
      <c r="O224" s="1" t="s">
        <v>18</v>
      </c>
      <c r="P224" s="2">
        <v>18.100000000000001</v>
      </c>
      <c r="Q224" s="2">
        <v>15.69</v>
      </c>
      <c r="R224" s="2">
        <v>20.5</v>
      </c>
      <c r="S224" s="2">
        <v>18.45</v>
      </c>
    </row>
    <row r="225" spans="8:19" x14ac:dyDescent="0.3">
      <c r="H225" s="1" t="s">
        <v>19</v>
      </c>
      <c r="I225" s="2">
        <v>0.02</v>
      </c>
      <c r="J225" s="2">
        <v>7.0000000000000007E-2</v>
      </c>
      <c r="K225" s="2">
        <v>0.03</v>
      </c>
      <c r="L225" s="2">
        <v>0.15</v>
      </c>
      <c r="O225" s="1" t="s">
        <v>19</v>
      </c>
      <c r="P225" s="2">
        <v>16.96</v>
      </c>
      <c r="Q225" s="2">
        <v>12.78</v>
      </c>
      <c r="R225" s="2">
        <v>19.66</v>
      </c>
      <c r="S225" s="2">
        <v>29.57</v>
      </c>
    </row>
    <row r="226" spans="8:19" x14ac:dyDescent="0.3">
      <c r="H226" s="1" t="s">
        <v>20</v>
      </c>
      <c r="I226" s="2">
        <v>0.02</v>
      </c>
      <c r="J226" s="2">
        <v>0.01</v>
      </c>
      <c r="K226" s="2">
        <v>0.01</v>
      </c>
      <c r="L226" s="2">
        <v>0</v>
      </c>
      <c r="O226" s="1" t="s">
        <v>20</v>
      </c>
      <c r="P226" s="2">
        <v>52.69</v>
      </c>
      <c r="Q226" s="2">
        <v>48.18</v>
      </c>
      <c r="R226" s="2">
        <v>51.73</v>
      </c>
      <c r="S226" s="2">
        <v>50.22</v>
      </c>
    </row>
    <row r="229" spans="8:19" x14ac:dyDescent="0.3">
      <c r="H229" t="s">
        <v>66</v>
      </c>
    </row>
    <row r="230" spans="8:19" x14ac:dyDescent="0.3">
      <c r="H230" s="1" t="s">
        <v>8</v>
      </c>
      <c r="I230" s="1" t="s">
        <v>9</v>
      </c>
      <c r="J230" s="1" t="s">
        <v>10</v>
      </c>
      <c r="K230" s="1" t="s">
        <v>9</v>
      </c>
      <c r="L230" s="1" t="s">
        <v>10</v>
      </c>
    </row>
    <row r="231" spans="8:19" x14ac:dyDescent="0.3">
      <c r="H231" s="1" t="s">
        <v>11</v>
      </c>
      <c r="I231" s="1" t="s">
        <v>1</v>
      </c>
      <c r="J231" s="1" t="s">
        <v>1</v>
      </c>
      <c r="K231" s="1" t="s">
        <v>2</v>
      </c>
      <c r="L231" s="1" t="s">
        <v>2</v>
      </c>
    </row>
    <row r="232" spans="8:19" x14ac:dyDescent="0.3">
      <c r="H232" s="1" t="s">
        <v>12</v>
      </c>
    </row>
    <row r="233" spans="8:19" x14ac:dyDescent="0.3">
      <c r="H233" s="1" t="s">
        <v>13</v>
      </c>
      <c r="I233" s="2">
        <v>1</v>
      </c>
      <c r="J233" s="2">
        <v>1</v>
      </c>
      <c r="K233" s="2">
        <v>1</v>
      </c>
      <c r="L233" s="2">
        <v>1</v>
      </c>
    </row>
    <row r="234" spans="8:19" x14ac:dyDescent="0.3">
      <c r="H234" s="1" t="s">
        <v>14</v>
      </c>
      <c r="I234" s="2">
        <v>0.91</v>
      </c>
      <c r="J234" s="2">
        <v>0.97</v>
      </c>
      <c r="K234" s="2">
        <v>0.93</v>
      </c>
      <c r="L234" s="2">
        <v>0.98</v>
      </c>
    </row>
    <row r="235" spans="8:19" x14ac:dyDescent="0.3">
      <c r="H235" s="1" t="s">
        <v>15</v>
      </c>
      <c r="I235" s="2">
        <v>0.57999999999999996</v>
      </c>
      <c r="J235" s="2">
        <v>0.98</v>
      </c>
      <c r="K235" s="2">
        <v>0.73</v>
      </c>
      <c r="L235" s="2">
        <v>0.98</v>
      </c>
    </row>
    <row r="236" spans="8:19" x14ac:dyDescent="0.3">
      <c r="H236" s="1" t="s">
        <v>16</v>
      </c>
      <c r="I236" s="2">
        <v>0.93</v>
      </c>
      <c r="J236" s="2">
        <v>0.96</v>
      </c>
      <c r="K236" s="2">
        <v>0.83</v>
      </c>
      <c r="L236" s="2">
        <v>0.92</v>
      </c>
    </row>
    <row r="237" spans="8:19" x14ac:dyDescent="0.3">
      <c r="H237" s="1" t="s">
        <v>17</v>
      </c>
      <c r="I237" s="2">
        <v>0.95</v>
      </c>
      <c r="J237" s="2">
        <v>0.95</v>
      </c>
      <c r="K237" s="2">
        <v>0.92</v>
      </c>
      <c r="L237" s="2">
        <v>0.91</v>
      </c>
    </row>
    <row r="238" spans="8:19" x14ac:dyDescent="0.3">
      <c r="H238" s="1" t="s">
        <v>18</v>
      </c>
      <c r="I238" s="2">
        <v>0.9</v>
      </c>
      <c r="J238" s="2">
        <v>0.81</v>
      </c>
      <c r="K238" s="2">
        <v>0.89</v>
      </c>
      <c r="L238" s="2">
        <v>0.62</v>
      </c>
    </row>
    <row r="239" spans="8:19" x14ac:dyDescent="0.3">
      <c r="H239" s="1" t="s">
        <v>19</v>
      </c>
      <c r="I239" s="2">
        <v>0.94</v>
      </c>
      <c r="J239" s="2">
        <v>0.82</v>
      </c>
      <c r="K239" s="2">
        <v>0.92</v>
      </c>
      <c r="L239" s="2">
        <v>0.63</v>
      </c>
    </row>
    <row r="240" spans="8:19" x14ac:dyDescent="0.3">
      <c r="H240" s="1" t="s">
        <v>20</v>
      </c>
      <c r="I240" s="2">
        <v>0.96</v>
      </c>
      <c r="J240" s="2">
        <v>0.97</v>
      </c>
      <c r="K240" s="2">
        <v>0.98</v>
      </c>
      <c r="L240" s="2">
        <v>0.99</v>
      </c>
    </row>
  </sheetData>
  <mergeCells count="18"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  <mergeCell ref="I90:J90"/>
    <mergeCell ref="I174:J174"/>
    <mergeCell ref="P90:Q90"/>
    <mergeCell ref="P174:Q174"/>
    <mergeCell ref="I118:J118"/>
    <mergeCell ref="I146:J146"/>
  </mergeCells>
  <conditionalFormatting sqref="C9:F1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2:F3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5:F4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31:Z3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21:Z12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65:S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Z240"/>
  <sheetViews>
    <sheetView topLeftCell="L57" workbookViewId="0">
      <selection activeCell="T69" sqref="T69:V69"/>
    </sheetView>
  </sheetViews>
  <sheetFormatPr defaultRowHeight="14.4" x14ac:dyDescent="0.3"/>
  <cols>
    <col min="3" max="3" width="14.5546875" customWidth="1"/>
    <col min="4" max="4" width="14.44140625" customWidth="1"/>
    <col min="5" max="5" width="15.5546875" customWidth="1"/>
    <col min="6" max="6" width="14" customWidth="1"/>
  </cols>
  <sheetData>
    <row r="1" spans="2:26" x14ac:dyDescent="0.3">
      <c r="B1" t="s">
        <v>0</v>
      </c>
    </row>
    <row r="2" spans="2:26" x14ac:dyDescent="0.3">
      <c r="C2" s="1" t="s">
        <v>1</v>
      </c>
      <c r="D2" s="1" t="s">
        <v>2</v>
      </c>
    </row>
    <row r="3" spans="2:26" x14ac:dyDescent="0.3">
      <c r="B3" s="1" t="s">
        <v>3</v>
      </c>
      <c r="C3">
        <v>3.4</v>
      </c>
      <c r="D3">
        <v>4.5</v>
      </c>
    </row>
    <row r="5" spans="2:26" x14ac:dyDescent="0.3">
      <c r="B5" t="s">
        <v>4</v>
      </c>
      <c r="H5" t="s">
        <v>5</v>
      </c>
      <c r="O5" t="s">
        <v>6</v>
      </c>
      <c r="V5" t="s">
        <v>7</v>
      </c>
    </row>
    <row r="6" spans="2:26" x14ac:dyDescent="0.3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">
      <c r="B9" s="1" t="s">
        <v>13</v>
      </c>
      <c r="C9" s="2">
        <v>0.92</v>
      </c>
      <c r="D9" s="2">
        <v>0.84</v>
      </c>
      <c r="E9" s="2">
        <v>0.98</v>
      </c>
      <c r="F9" s="2">
        <v>0.91</v>
      </c>
      <c r="H9" s="1" t="s">
        <v>13</v>
      </c>
      <c r="I9" s="2">
        <v>3624.57</v>
      </c>
      <c r="J9" s="2">
        <v>3132.83</v>
      </c>
      <c r="K9" s="2">
        <v>4808.16</v>
      </c>
      <c r="L9" s="2">
        <v>4339.9799999999996</v>
      </c>
      <c r="O9" s="1" t="s">
        <v>13</v>
      </c>
      <c r="P9" s="2">
        <v>30959.55</v>
      </c>
      <c r="Q9" s="2">
        <v>28266.85</v>
      </c>
      <c r="R9" s="2">
        <v>43335.54</v>
      </c>
      <c r="S9" s="2">
        <v>40204.620000000003</v>
      </c>
      <c r="V9" s="1" t="s">
        <v>13</v>
      </c>
      <c r="W9" s="2">
        <v>34584.120000000003</v>
      </c>
      <c r="X9" s="2">
        <v>31399.68</v>
      </c>
      <c r="Y9" s="2">
        <v>48143.7</v>
      </c>
      <c r="Z9" s="2">
        <v>44544.6</v>
      </c>
    </row>
    <row r="10" spans="2:26" x14ac:dyDescent="0.3">
      <c r="B10" s="1" t="s">
        <v>14</v>
      </c>
      <c r="C10" s="2">
        <v>1.6</v>
      </c>
      <c r="D10" s="2">
        <v>1.01</v>
      </c>
      <c r="E10" s="2">
        <v>1.37</v>
      </c>
      <c r="F10" s="2">
        <v>0.85</v>
      </c>
      <c r="H10" s="1" t="s">
        <v>14</v>
      </c>
      <c r="I10" s="2">
        <v>2236.4699999999998</v>
      </c>
      <c r="J10" s="2">
        <v>1511.73</v>
      </c>
      <c r="K10" s="2">
        <v>2908.23</v>
      </c>
      <c r="L10" s="2">
        <v>1996.56</v>
      </c>
      <c r="O10" s="1" t="s">
        <v>14</v>
      </c>
      <c r="P10" s="2">
        <v>20472.13</v>
      </c>
      <c r="Q10" s="2">
        <v>9455.99</v>
      </c>
      <c r="R10" s="2">
        <v>25903.919999999998</v>
      </c>
      <c r="S10" s="2">
        <v>12118.14</v>
      </c>
      <c r="V10" s="1" t="s">
        <v>14</v>
      </c>
      <c r="W10" s="2">
        <v>22708.6</v>
      </c>
      <c r="X10" s="2">
        <v>10967.72</v>
      </c>
      <c r="Y10" s="2">
        <v>28812.15</v>
      </c>
      <c r="Z10" s="2">
        <v>14114.7</v>
      </c>
    </row>
    <row r="11" spans="2:26" x14ac:dyDescent="0.3">
      <c r="B11" s="1" t="s">
        <v>15</v>
      </c>
      <c r="C11" s="2">
        <v>1.8</v>
      </c>
      <c r="D11" s="2">
        <v>1.56</v>
      </c>
      <c r="E11" s="2">
        <v>1.8</v>
      </c>
      <c r="F11" s="2">
        <v>1.48</v>
      </c>
      <c r="H11" s="1" t="s">
        <v>15</v>
      </c>
      <c r="I11" s="2">
        <v>6913.4</v>
      </c>
      <c r="J11" s="2">
        <v>2018.17</v>
      </c>
      <c r="K11" s="2">
        <v>7938.32</v>
      </c>
      <c r="L11" s="2">
        <v>2705.28</v>
      </c>
      <c r="O11" s="1" t="s">
        <v>15</v>
      </c>
      <c r="P11" s="2">
        <v>17451</v>
      </c>
      <c r="Q11" s="2">
        <v>15859.71</v>
      </c>
      <c r="R11" s="2">
        <v>31522.18</v>
      </c>
      <c r="S11" s="2">
        <v>22370.52</v>
      </c>
      <c r="V11" s="1" t="s">
        <v>15</v>
      </c>
      <c r="W11" s="2">
        <v>24364.400000000001</v>
      </c>
      <c r="X11" s="2">
        <v>17877.88</v>
      </c>
      <c r="Y11" s="2">
        <v>39460.5</v>
      </c>
      <c r="Z11" s="2">
        <v>25075.8</v>
      </c>
    </row>
    <row r="12" spans="2:26" x14ac:dyDescent="0.3">
      <c r="B12" s="1" t="s">
        <v>16</v>
      </c>
      <c r="C12" s="2">
        <v>1.35</v>
      </c>
      <c r="D12" s="2">
        <v>1.07</v>
      </c>
      <c r="E12" s="2">
        <v>1.8</v>
      </c>
      <c r="F12" s="2">
        <v>1.48</v>
      </c>
      <c r="H12" s="1" t="s">
        <v>16</v>
      </c>
      <c r="I12" s="2">
        <v>6580.99</v>
      </c>
      <c r="J12" s="2">
        <v>6255.94</v>
      </c>
      <c r="K12" s="2">
        <v>11773.61</v>
      </c>
      <c r="L12" s="2">
        <v>8862.3700000000008</v>
      </c>
      <c r="O12" s="1" t="s">
        <v>16</v>
      </c>
      <c r="P12" s="2">
        <v>58324.67</v>
      </c>
      <c r="Q12" s="2">
        <v>53223.32</v>
      </c>
      <c r="R12" s="2">
        <v>88601.59</v>
      </c>
      <c r="S12" s="2">
        <v>80337.53</v>
      </c>
      <c r="V12" s="1" t="s">
        <v>16</v>
      </c>
      <c r="W12" s="2">
        <v>64905.66</v>
      </c>
      <c r="X12" s="2">
        <v>59479.26</v>
      </c>
      <c r="Y12" s="2">
        <v>100375.2</v>
      </c>
      <c r="Z12" s="2">
        <v>89199.9</v>
      </c>
    </row>
    <row r="13" spans="2:26" x14ac:dyDescent="0.3">
      <c r="B13" s="1" t="s">
        <v>17</v>
      </c>
      <c r="C13" s="2">
        <v>1.18</v>
      </c>
      <c r="D13" s="2">
        <v>1.1599999999999999</v>
      </c>
      <c r="E13" s="2">
        <v>1.45</v>
      </c>
      <c r="F13" s="2">
        <v>1.57</v>
      </c>
      <c r="H13" s="1" t="s">
        <v>17</v>
      </c>
      <c r="I13" s="2">
        <v>8642.01</v>
      </c>
      <c r="J13" s="2">
        <v>8620.9</v>
      </c>
      <c r="K13" s="2">
        <v>11882.08</v>
      </c>
      <c r="L13" s="2">
        <v>11992.07</v>
      </c>
      <c r="O13" s="1" t="s">
        <v>17</v>
      </c>
      <c r="P13" s="2">
        <v>74587.27</v>
      </c>
      <c r="Q13" s="2">
        <v>74189.5</v>
      </c>
      <c r="R13" s="2">
        <v>107067.32</v>
      </c>
      <c r="S13" s="2">
        <v>109853.53</v>
      </c>
      <c r="V13" s="1" t="s">
        <v>17</v>
      </c>
      <c r="W13" s="2">
        <v>83229.279999999999</v>
      </c>
      <c r="X13" s="2">
        <v>82810.399999999994</v>
      </c>
      <c r="Y13" s="2">
        <v>118949.4</v>
      </c>
      <c r="Z13" s="2">
        <v>121845.6</v>
      </c>
    </row>
    <row r="14" spans="2:26" x14ac:dyDescent="0.3">
      <c r="B14" s="1" t="s">
        <v>18</v>
      </c>
      <c r="C14" s="2">
        <v>1.58</v>
      </c>
      <c r="D14" s="2">
        <v>1.8</v>
      </c>
      <c r="E14" s="2">
        <v>1.71</v>
      </c>
      <c r="F14" s="2">
        <v>1.8</v>
      </c>
      <c r="H14" s="1" t="s">
        <v>18</v>
      </c>
      <c r="I14" s="2">
        <v>4689.37</v>
      </c>
      <c r="J14" s="2">
        <v>6705.87</v>
      </c>
      <c r="K14" s="2">
        <v>6533.19</v>
      </c>
      <c r="L14" s="2">
        <v>14771.45</v>
      </c>
      <c r="O14" s="1" t="s">
        <v>18</v>
      </c>
      <c r="P14" s="2">
        <v>38067.67</v>
      </c>
      <c r="Q14" s="2">
        <v>44732.05</v>
      </c>
      <c r="R14" s="2">
        <v>55997.91</v>
      </c>
      <c r="S14" s="2">
        <v>63579.85</v>
      </c>
      <c r="V14" s="1" t="s">
        <v>18</v>
      </c>
      <c r="W14" s="2">
        <v>42757.04</v>
      </c>
      <c r="X14" s="2">
        <v>51437.919999999998</v>
      </c>
      <c r="Y14" s="2">
        <v>62531.1</v>
      </c>
      <c r="Z14" s="2">
        <v>78351.3</v>
      </c>
    </row>
    <row r="15" spans="2:26" x14ac:dyDescent="0.3">
      <c r="B15" s="1" t="s">
        <v>19</v>
      </c>
      <c r="C15" s="2">
        <v>1.8</v>
      </c>
      <c r="D15" s="2">
        <v>1.8</v>
      </c>
      <c r="E15" s="2">
        <v>1.8</v>
      </c>
      <c r="F15" s="2">
        <v>1.8</v>
      </c>
      <c r="H15" s="1" t="s">
        <v>19</v>
      </c>
      <c r="I15" s="2">
        <v>5673.51</v>
      </c>
      <c r="J15" s="2">
        <v>9565.14</v>
      </c>
      <c r="K15" s="2">
        <v>8725.44</v>
      </c>
      <c r="L15" s="2">
        <v>16649.939999999999</v>
      </c>
      <c r="O15" s="1" t="s">
        <v>19</v>
      </c>
      <c r="P15" s="2">
        <v>39621.97</v>
      </c>
      <c r="Q15" s="2">
        <v>44632.22</v>
      </c>
      <c r="R15" s="2">
        <v>54574.26</v>
      </c>
      <c r="S15" s="2">
        <v>62550.06</v>
      </c>
      <c r="V15" s="1" t="s">
        <v>19</v>
      </c>
      <c r="W15" s="2">
        <v>45295.48</v>
      </c>
      <c r="X15" s="2">
        <v>54197.36</v>
      </c>
      <c r="Y15" s="2">
        <v>63299.7</v>
      </c>
      <c r="Z15" s="2">
        <v>79200</v>
      </c>
    </row>
    <row r="16" spans="2:26" x14ac:dyDescent="0.3">
      <c r="B16" s="1" t="s">
        <v>20</v>
      </c>
      <c r="C16" s="2">
        <v>1.1299999999999999</v>
      </c>
      <c r="D16" s="2">
        <v>0.99</v>
      </c>
      <c r="E16" s="2">
        <v>0.89</v>
      </c>
      <c r="F16" s="2">
        <v>0.79</v>
      </c>
      <c r="H16" s="1" t="s">
        <v>20</v>
      </c>
      <c r="I16" s="2">
        <v>9188.94</v>
      </c>
      <c r="J16" s="2">
        <v>9811.84</v>
      </c>
      <c r="K16" s="2">
        <v>12418.03</v>
      </c>
      <c r="L16" s="2">
        <v>12977.33</v>
      </c>
      <c r="O16" s="1" t="s">
        <v>20</v>
      </c>
      <c r="P16" s="2">
        <v>57128.06</v>
      </c>
      <c r="Q16" s="2">
        <v>64308.160000000003</v>
      </c>
      <c r="R16" s="2">
        <v>78364.97</v>
      </c>
      <c r="S16" s="2">
        <v>96482.92</v>
      </c>
      <c r="V16" s="1" t="s">
        <v>20</v>
      </c>
      <c r="W16" s="2">
        <v>66317</v>
      </c>
      <c r="X16" s="2">
        <v>74120</v>
      </c>
      <c r="Y16" s="2">
        <v>90783</v>
      </c>
      <c r="Z16" s="2">
        <v>109460.25</v>
      </c>
    </row>
    <row r="19" spans="2:26" x14ac:dyDescent="0.3">
      <c r="B19" t="s">
        <v>21</v>
      </c>
      <c r="H19" t="s">
        <v>22</v>
      </c>
      <c r="O19" t="s">
        <v>23</v>
      </c>
      <c r="V19" t="s">
        <v>24</v>
      </c>
    </row>
    <row r="20" spans="2:26" x14ac:dyDescent="0.3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">
      <c r="B23" s="1" t="s">
        <v>13</v>
      </c>
      <c r="C23" s="2">
        <v>0.15</v>
      </c>
      <c r="D23" s="2">
        <v>0.15</v>
      </c>
      <c r="E23" s="2">
        <v>0.15</v>
      </c>
      <c r="F23" s="2">
        <v>0.15</v>
      </c>
      <c r="H23" s="1" t="s">
        <v>13</v>
      </c>
      <c r="I23" s="2">
        <v>1066.05</v>
      </c>
      <c r="J23" s="2">
        <v>921.42</v>
      </c>
      <c r="K23" s="2">
        <v>1068.48</v>
      </c>
      <c r="L23" s="2">
        <v>964.44</v>
      </c>
      <c r="O23" s="1" t="s">
        <v>13</v>
      </c>
      <c r="P23" s="2">
        <v>9105.75</v>
      </c>
      <c r="Q23" s="2">
        <v>8313.7800000000007</v>
      </c>
      <c r="R23" s="2">
        <v>9630.1200000000008</v>
      </c>
      <c r="S23" s="2">
        <v>8934.36</v>
      </c>
      <c r="V23" s="1" t="s">
        <v>13</v>
      </c>
      <c r="W23" s="2">
        <v>10171.799999999999</v>
      </c>
      <c r="X23" s="2">
        <v>9235.2000000000007</v>
      </c>
      <c r="Y23" s="2">
        <v>10698.6</v>
      </c>
      <c r="Z23" s="2">
        <v>9898.7999999999993</v>
      </c>
    </row>
    <row r="24" spans="2:26" x14ac:dyDescent="0.3">
      <c r="B24" s="1" t="s">
        <v>14</v>
      </c>
      <c r="C24" s="2">
        <v>0.11</v>
      </c>
      <c r="D24" s="2">
        <v>0.18</v>
      </c>
      <c r="E24" s="2">
        <v>0.12</v>
      </c>
      <c r="F24" s="2">
        <v>0.19</v>
      </c>
      <c r="H24" s="1" t="s">
        <v>14</v>
      </c>
      <c r="I24" s="2">
        <v>657.78</v>
      </c>
      <c r="J24" s="2">
        <v>444.63</v>
      </c>
      <c r="K24" s="2">
        <v>646.27</v>
      </c>
      <c r="L24" s="2">
        <v>443.68</v>
      </c>
      <c r="O24" s="1" t="s">
        <v>14</v>
      </c>
      <c r="P24" s="2">
        <v>6021.22</v>
      </c>
      <c r="Q24" s="2">
        <v>2781.17</v>
      </c>
      <c r="R24" s="2">
        <v>5756.43</v>
      </c>
      <c r="S24" s="2">
        <v>2692.92</v>
      </c>
      <c r="V24" s="1" t="s">
        <v>14</v>
      </c>
      <c r="W24" s="2">
        <v>6679</v>
      </c>
      <c r="X24" s="2">
        <v>3225.8</v>
      </c>
      <c r="Y24" s="2">
        <v>6402.7</v>
      </c>
      <c r="Z24" s="2">
        <v>3136.6</v>
      </c>
    </row>
    <row r="25" spans="2:26" x14ac:dyDescent="0.3">
      <c r="B25" s="1" t="s">
        <v>15</v>
      </c>
      <c r="C25" s="2">
        <v>0.31</v>
      </c>
      <c r="D25" s="2">
        <v>0.13</v>
      </c>
      <c r="E25" s="2">
        <v>0.22</v>
      </c>
      <c r="F25" s="2">
        <v>0.13</v>
      </c>
      <c r="H25" s="1" t="s">
        <v>15</v>
      </c>
      <c r="I25" s="2">
        <v>2033.35</v>
      </c>
      <c r="J25" s="2">
        <v>593.58000000000004</v>
      </c>
      <c r="K25" s="2">
        <v>1764.07</v>
      </c>
      <c r="L25" s="2">
        <v>601.16999999999996</v>
      </c>
      <c r="O25" s="1" t="s">
        <v>15</v>
      </c>
      <c r="P25" s="2">
        <v>5132.6499999999996</v>
      </c>
      <c r="Q25" s="2">
        <v>4664.62</v>
      </c>
      <c r="R25" s="2">
        <v>7004.93</v>
      </c>
      <c r="S25" s="2">
        <v>4971.2299999999996</v>
      </c>
      <c r="V25" s="1" t="s">
        <v>15</v>
      </c>
      <c r="W25" s="2">
        <v>7166</v>
      </c>
      <c r="X25" s="2">
        <v>5258.2</v>
      </c>
      <c r="Y25" s="2">
        <v>8769</v>
      </c>
      <c r="Z25" s="2">
        <v>5572.4</v>
      </c>
    </row>
    <row r="26" spans="2:26" x14ac:dyDescent="0.3">
      <c r="B26" s="1" t="s">
        <v>16</v>
      </c>
      <c r="C26" s="2">
        <v>0.12</v>
      </c>
      <c r="D26" s="2">
        <v>0.13</v>
      </c>
      <c r="E26" s="2">
        <v>0.14000000000000001</v>
      </c>
      <c r="F26" s="2">
        <v>0.12</v>
      </c>
      <c r="H26" s="1" t="s">
        <v>16</v>
      </c>
      <c r="I26" s="2">
        <v>1935.58</v>
      </c>
      <c r="J26" s="2">
        <v>1839.98</v>
      </c>
      <c r="K26" s="2">
        <v>2616.36</v>
      </c>
      <c r="L26" s="2">
        <v>1969.42</v>
      </c>
      <c r="O26" s="1" t="s">
        <v>16</v>
      </c>
      <c r="P26" s="2">
        <v>17154.32</v>
      </c>
      <c r="Q26" s="2">
        <v>15653.92</v>
      </c>
      <c r="R26" s="2">
        <v>19689.240000000002</v>
      </c>
      <c r="S26" s="2">
        <v>17852.78</v>
      </c>
      <c r="V26" s="1" t="s">
        <v>16</v>
      </c>
      <c r="W26" s="2">
        <v>19089.900000000001</v>
      </c>
      <c r="X26" s="2">
        <v>17493.900000000001</v>
      </c>
      <c r="Y26" s="2">
        <v>22305.599999999999</v>
      </c>
      <c r="Z26" s="2">
        <v>19822.2</v>
      </c>
    </row>
    <row r="27" spans="2:26" x14ac:dyDescent="0.3">
      <c r="B27" s="1" t="s">
        <v>17</v>
      </c>
      <c r="C27" s="2">
        <v>0.13</v>
      </c>
      <c r="D27" s="2">
        <v>0.13</v>
      </c>
      <c r="E27" s="2">
        <v>0.12</v>
      </c>
      <c r="F27" s="2">
        <v>0.12</v>
      </c>
      <c r="H27" s="1" t="s">
        <v>17</v>
      </c>
      <c r="I27" s="2">
        <v>2541.77</v>
      </c>
      <c r="J27" s="2">
        <v>2535.56</v>
      </c>
      <c r="K27" s="2">
        <v>2640.46</v>
      </c>
      <c r="L27" s="2">
        <v>2664.9</v>
      </c>
      <c r="O27" s="1" t="s">
        <v>17</v>
      </c>
      <c r="P27" s="2">
        <v>21937.43</v>
      </c>
      <c r="Q27" s="2">
        <v>21820.44</v>
      </c>
      <c r="R27" s="2">
        <v>23792.74</v>
      </c>
      <c r="S27" s="2">
        <v>24411.9</v>
      </c>
      <c r="V27" s="1" t="s">
        <v>17</v>
      </c>
      <c r="W27" s="2">
        <v>24479.200000000001</v>
      </c>
      <c r="X27" s="2">
        <v>24356</v>
      </c>
      <c r="Y27" s="2">
        <v>26433.200000000001</v>
      </c>
      <c r="Z27" s="2">
        <v>27076.799999999999</v>
      </c>
    </row>
    <row r="28" spans="2:26" x14ac:dyDescent="0.3">
      <c r="B28" s="1" t="s">
        <v>18</v>
      </c>
      <c r="C28" s="2">
        <v>0.13</v>
      </c>
      <c r="D28" s="2">
        <v>0.15</v>
      </c>
      <c r="E28" s="2">
        <v>0.12</v>
      </c>
      <c r="F28" s="2">
        <v>0.22</v>
      </c>
      <c r="H28" s="1" t="s">
        <v>18</v>
      </c>
      <c r="I28" s="2">
        <v>1379.23</v>
      </c>
      <c r="J28" s="2">
        <v>1972.31</v>
      </c>
      <c r="K28" s="2">
        <v>1451.82</v>
      </c>
      <c r="L28" s="2">
        <v>3282.54</v>
      </c>
      <c r="O28" s="1" t="s">
        <v>18</v>
      </c>
      <c r="P28" s="2">
        <v>11196.37</v>
      </c>
      <c r="Q28" s="2">
        <v>13156.49</v>
      </c>
      <c r="R28" s="2">
        <v>12443.98</v>
      </c>
      <c r="S28" s="2">
        <v>14128.86</v>
      </c>
      <c r="V28" s="1" t="s">
        <v>18</v>
      </c>
      <c r="W28" s="2">
        <v>12575.6</v>
      </c>
      <c r="X28" s="2">
        <v>15128.8</v>
      </c>
      <c r="Y28" s="2">
        <v>13895.8</v>
      </c>
      <c r="Z28" s="2">
        <v>17411.400000000001</v>
      </c>
    </row>
    <row r="29" spans="2:26" x14ac:dyDescent="0.3">
      <c r="B29" s="1" t="s">
        <v>19</v>
      </c>
      <c r="C29" s="2">
        <v>0.15</v>
      </c>
      <c r="D29" s="2">
        <v>0.19</v>
      </c>
      <c r="E29" s="2">
        <v>0.16</v>
      </c>
      <c r="F29" s="2">
        <v>0.23</v>
      </c>
      <c r="H29" s="1" t="s">
        <v>19</v>
      </c>
      <c r="I29" s="2">
        <v>1668.68</v>
      </c>
      <c r="J29" s="2">
        <v>2813.28</v>
      </c>
      <c r="K29" s="2">
        <v>1938.99</v>
      </c>
      <c r="L29" s="2">
        <v>3699.99</v>
      </c>
      <c r="O29" s="1" t="s">
        <v>19</v>
      </c>
      <c r="P29" s="2">
        <v>11653.52</v>
      </c>
      <c r="Q29" s="2">
        <v>13127.12</v>
      </c>
      <c r="R29" s="2">
        <v>12127.61</v>
      </c>
      <c r="S29" s="2">
        <v>13900.01</v>
      </c>
      <c r="V29" s="1" t="s">
        <v>19</v>
      </c>
      <c r="W29" s="2">
        <v>13322.2</v>
      </c>
      <c r="X29" s="2">
        <v>15940.4</v>
      </c>
      <c r="Y29" s="2">
        <v>14066.6</v>
      </c>
      <c r="Z29" s="2">
        <v>17600</v>
      </c>
    </row>
    <row r="30" spans="2:26" x14ac:dyDescent="0.3">
      <c r="B30" s="1" t="s">
        <v>20</v>
      </c>
      <c r="C30" s="2">
        <v>0.17</v>
      </c>
      <c r="D30" s="2">
        <v>0.16</v>
      </c>
      <c r="E30" s="2">
        <v>0.17</v>
      </c>
      <c r="F30" s="2">
        <v>0.15</v>
      </c>
      <c r="H30" s="1" t="s">
        <v>20</v>
      </c>
      <c r="I30" s="2">
        <v>2702.63</v>
      </c>
      <c r="J30" s="2">
        <v>2885.83</v>
      </c>
      <c r="K30" s="2">
        <v>2759.56</v>
      </c>
      <c r="L30" s="2">
        <v>2883.85</v>
      </c>
      <c r="O30" s="1" t="s">
        <v>20</v>
      </c>
      <c r="P30" s="2">
        <v>16802.37</v>
      </c>
      <c r="Q30" s="2">
        <v>18914.169999999998</v>
      </c>
      <c r="R30" s="2">
        <v>17414.439999999999</v>
      </c>
      <c r="S30" s="2">
        <v>21440.65</v>
      </c>
      <c r="V30" s="1" t="s">
        <v>20</v>
      </c>
      <c r="W30" s="2">
        <v>19505</v>
      </c>
      <c r="X30" s="2">
        <v>21800</v>
      </c>
      <c r="Y30" s="2">
        <v>20174</v>
      </c>
      <c r="Z30" s="2">
        <v>24324.5</v>
      </c>
    </row>
    <row r="32" spans="2:26" x14ac:dyDescent="0.3">
      <c r="C32">
        <v>3.4</v>
      </c>
      <c r="D32">
        <v>3.4</v>
      </c>
      <c r="E32" s="5">
        <v>4.5</v>
      </c>
      <c r="F32" s="5">
        <v>4.5</v>
      </c>
    </row>
    <row r="33" spans="2:26" x14ac:dyDescent="0.3">
      <c r="B33" t="s">
        <v>25</v>
      </c>
      <c r="H33" t="s">
        <v>26</v>
      </c>
      <c r="O33" t="s">
        <v>27</v>
      </c>
      <c r="V33" t="s">
        <v>28</v>
      </c>
    </row>
    <row r="34" spans="2:26" x14ac:dyDescent="0.3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">
      <c r="B37" s="1" t="s">
        <v>13</v>
      </c>
      <c r="C37" s="2">
        <v>3330.48</v>
      </c>
      <c r="D37" s="2">
        <v>2630.91</v>
      </c>
      <c r="E37" s="2">
        <v>4725.01</v>
      </c>
      <c r="F37" s="2">
        <v>3942.61</v>
      </c>
      <c r="H37" s="1" t="s">
        <v>13</v>
      </c>
      <c r="I37" s="2">
        <v>177.67</v>
      </c>
      <c r="J37" s="2">
        <v>153.57</v>
      </c>
      <c r="K37" s="2">
        <v>178.08</v>
      </c>
      <c r="L37" s="2">
        <v>160.74</v>
      </c>
      <c r="O37" s="1" t="s">
        <v>13</v>
      </c>
      <c r="P37" s="2">
        <v>1517.63</v>
      </c>
      <c r="Q37" s="2">
        <v>1385.63</v>
      </c>
      <c r="R37" s="2">
        <v>1605.02</v>
      </c>
      <c r="S37" s="2">
        <v>1489.06</v>
      </c>
      <c r="V37" s="1" t="s">
        <v>13</v>
      </c>
      <c r="W37" s="2">
        <v>1695.3</v>
      </c>
      <c r="X37" s="2">
        <v>1539.2</v>
      </c>
      <c r="Y37" s="2">
        <v>1783.1</v>
      </c>
      <c r="Z37" s="2">
        <v>1649.8</v>
      </c>
    </row>
    <row r="38" spans="2:26" x14ac:dyDescent="0.3">
      <c r="B38" s="1" t="s">
        <v>14</v>
      </c>
      <c r="C38" s="2">
        <v>3570.85</v>
      </c>
      <c r="D38" s="2">
        <v>1523.62</v>
      </c>
      <c r="E38" s="2">
        <v>3994.69</v>
      </c>
      <c r="F38" s="2">
        <v>1695.06</v>
      </c>
      <c r="H38" s="1" t="s">
        <v>14</v>
      </c>
      <c r="I38" s="2">
        <v>657.78</v>
      </c>
      <c r="J38" s="2">
        <v>444.63</v>
      </c>
      <c r="K38" s="2">
        <v>646.27</v>
      </c>
      <c r="L38" s="2">
        <v>443.68</v>
      </c>
      <c r="O38" s="1" t="s">
        <v>14</v>
      </c>
      <c r="P38" s="2">
        <v>6021.22</v>
      </c>
      <c r="Q38" s="2">
        <v>2781.17</v>
      </c>
      <c r="R38" s="2">
        <v>5756.43</v>
      </c>
      <c r="S38" s="2">
        <v>2692.92</v>
      </c>
      <c r="V38" s="1" t="s">
        <v>14</v>
      </c>
      <c r="W38" s="2">
        <v>6679</v>
      </c>
      <c r="X38" s="2">
        <v>3225.8</v>
      </c>
      <c r="Y38" s="2">
        <v>6402.7</v>
      </c>
      <c r="Z38" s="2">
        <v>3136.6</v>
      </c>
    </row>
    <row r="39" spans="2:26" x14ac:dyDescent="0.3">
      <c r="B39" s="1" t="s">
        <v>15</v>
      </c>
      <c r="C39" s="2">
        <v>12444.11</v>
      </c>
      <c r="D39" s="2">
        <v>3143.61</v>
      </c>
      <c r="E39" s="2">
        <v>14288.97</v>
      </c>
      <c r="F39" s="2">
        <v>4007.28</v>
      </c>
      <c r="H39" s="1" t="s">
        <v>15</v>
      </c>
      <c r="I39" s="2">
        <v>2033.35</v>
      </c>
      <c r="J39" s="2">
        <v>593.58000000000004</v>
      </c>
      <c r="K39" s="2">
        <v>1764.07</v>
      </c>
      <c r="L39" s="2">
        <v>601.16999999999996</v>
      </c>
      <c r="O39" s="1" t="s">
        <v>15</v>
      </c>
      <c r="P39" s="2">
        <v>5132.6499999999996</v>
      </c>
      <c r="Q39" s="2">
        <v>4664.62</v>
      </c>
      <c r="R39" s="2">
        <v>7004.93</v>
      </c>
      <c r="S39" s="2">
        <v>4971.2299999999996</v>
      </c>
      <c r="V39" s="1" t="s">
        <v>15</v>
      </c>
      <c r="W39" s="2">
        <v>7166</v>
      </c>
      <c r="X39" s="2">
        <v>5258.2</v>
      </c>
      <c r="Y39" s="2">
        <v>8769</v>
      </c>
      <c r="Z39" s="2">
        <v>5572.4</v>
      </c>
    </row>
    <row r="40" spans="2:26" x14ac:dyDescent="0.3">
      <c r="B40" s="1" t="s">
        <v>16</v>
      </c>
      <c r="C40" s="2">
        <v>8856.23</v>
      </c>
      <c r="D40" s="2">
        <v>6667.02</v>
      </c>
      <c r="E40" s="2">
        <v>21192.5</v>
      </c>
      <c r="F40" s="2">
        <v>13137.59</v>
      </c>
      <c r="H40" s="1" t="s">
        <v>16</v>
      </c>
      <c r="I40" s="2">
        <v>645.19000000000005</v>
      </c>
      <c r="J40" s="2">
        <v>613.33000000000004</v>
      </c>
      <c r="K40" s="2">
        <v>872.12</v>
      </c>
      <c r="L40" s="2">
        <v>656.47</v>
      </c>
      <c r="O40" s="1" t="s">
        <v>16</v>
      </c>
      <c r="P40" s="2">
        <v>5718.11</v>
      </c>
      <c r="Q40" s="2">
        <v>5217.97</v>
      </c>
      <c r="R40" s="2">
        <v>6563.08</v>
      </c>
      <c r="S40" s="2">
        <v>5950.93</v>
      </c>
      <c r="V40" s="1" t="s">
        <v>16</v>
      </c>
      <c r="W40" s="2">
        <v>6363.3</v>
      </c>
      <c r="X40" s="2">
        <v>5831.3</v>
      </c>
      <c r="Y40" s="2">
        <v>7435.2</v>
      </c>
      <c r="Z40" s="2">
        <v>6607.4</v>
      </c>
    </row>
    <row r="41" spans="2:26" x14ac:dyDescent="0.3">
      <c r="B41" s="1" t="s">
        <v>17</v>
      </c>
      <c r="C41" s="2">
        <v>10214.02</v>
      </c>
      <c r="D41" s="2">
        <v>9967.2000000000007</v>
      </c>
      <c r="E41" s="2">
        <v>17269.25</v>
      </c>
      <c r="F41" s="2">
        <v>18834.59</v>
      </c>
      <c r="H41" s="1" t="s">
        <v>17</v>
      </c>
      <c r="I41" s="2">
        <v>635.44000000000005</v>
      </c>
      <c r="J41" s="2">
        <v>633.89</v>
      </c>
      <c r="K41" s="2">
        <v>660.12</v>
      </c>
      <c r="L41" s="2">
        <v>666.23</v>
      </c>
      <c r="O41" s="1" t="s">
        <v>17</v>
      </c>
      <c r="P41" s="2">
        <v>5484.36</v>
      </c>
      <c r="Q41" s="2">
        <v>5455.11</v>
      </c>
      <c r="R41" s="2">
        <v>5948.18</v>
      </c>
      <c r="S41" s="2">
        <v>6102.97</v>
      </c>
      <c r="V41" s="1" t="s">
        <v>17</v>
      </c>
      <c r="W41" s="2">
        <v>6119.8</v>
      </c>
      <c r="X41" s="2">
        <v>6089</v>
      </c>
      <c r="Y41" s="2">
        <v>6608.3</v>
      </c>
      <c r="Z41" s="2">
        <v>6769.2</v>
      </c>
    </row>
    <row r="42" spans="2:26" x14ac:dyDescent="0.3">
      <c r="B42" s="1" t="s">
        <v>18</v>
      </c>
      <c r="C42" s="2">
        <v>7420.54</v>
      </c>
      <c r="D42" s="2">
        <v>12070.56</v>
      </c>
      <c r="E42" s="2">
        <v>11152.72</v>
      </c>
      <c r="F42" s="2">
        <v>26588.6</v>
      </c>
      <c r="H42" s="1" t="s">
        <v>18</v>
      </c>
      <c r="I42" s="2">
        <v>689.61</v>
      </c>
      <c r="J42" s="2">
        <v>986.16</v>
      </c>
      <c r="K42" s="2">
        <v>725.91</v>
      </c>
      <c r="L42" s="2">
        <v>1641.27</v>
      </c>
      <c r="O42" s="1" t="s">
        <v>18</v>
      </c>
      <c r="P42" s="2">
        <v>5598.19</v>
      </c>
      <c r="Q42" s="2">
        <v>6578.24</v>
      </c>
      <c r="R42" s="2">
        <v>6221.99</v>
      </c>
      <c r="S42" s="2">
        <v>7064.43</v>
      </c>
      <c r="V42" s="1" t="s">
        <v>18</v>
      </c>
      <c r="W42" s="2">
        <v>6287.8</v>
      </c>
      <c r="X42" s="2">
        <v>7564.4</v>
      </c>
      <c r="Y42" s="2">
        <v>6947.9</v>
      </c>
      <c r="Z42" s="2">
        <v>8705.7000000000007</v>
      </c>
    </row>
    <row r="43" spans="2:26" x14ac:dyDescent="0.3">
      <c r="B43" s="1" t="s">
        <v>19</v>
      </c>
      <c r="C43" s="2">
        <v>10212.26</v>
      </c>
      <c r="D43" s="2">
        <v>17217.169999999998</v>
      </c>
      <c r="E43" s="2">
        <v>15705.78</v>
      </c>
      <c r="F43" s="2">
        <v>29969.88</v>
      </c>
      <c r="H43" s="1" t="s">
        <v>19</v>
      </c>
      <c r="I43" s="2">
        <v>834.34</v>
      </c>
      <c r="J43" s="2">
        <v>1406.64</v>
      </c>
      <c r="K43" s="2">
        <v>969.49</v>
      </c>
      <c r="L43" s="2">
        <v>1849.99</v>
      </c>
      <c r="O43" s="1" t="s">
        <v>19</v>
      </c>
      <c r="P43" s="2">
        <v>5826.76</v>
      </c>
      <c r="Q43" s="2">
        <v>6563.56</v>
      </c>
      <c r="R43" s="2">
        <v>6063.81</v>
      </c>
      <c r="S43" s="2">
        <v>6950.01</v>
      </c>
      <c r="V43" s="1" t="s">
        <v>19</v>
      </c>
      <c r="W43" s="2">
        <v>6661.1</v>
      </c>
      <c r="X43" s="2">
        <v>7970.2</v>
      </c>
      <c r="Y43" s="2">
        <v>7033.3</v>
      </c>
      <c r="Z43" s="2">
        <v>8800</v>
      </c>
    </row>
    <row r="44" spans="2:26" x14ac:dyDescent="0.3">
      <c r="B44" s="1" t="s">
        <v>20</v>
      </c>
      <c r="C44" s="2">
        <v>10389.49</v>
      </c>
      <c r="D44" s="2">
        <v>9719.85</v>
      </c>
      <c r="E44" s="2">
        <v>10991.25</v>
      </c>
      <c r="F44" s="2">
        <v>10188.35</v>
      </c>
      <c r="H44" s="1" t="s">
        <v>20</v>
      </c>
      <c r="I44" s="2">
        <v>540.53</v>
      </c>
      <c r="J44" s="2">
        <v>577.16999999999996</v>
      </c>
      <c r="K44" s="2">
        <v>551.91</v>
      </c>
      <c r="L44" s="2">
        <v>576.77</v>
      </c>
      <c r="O44" s="1" t="s">
        <v>20</v>
      </c>
      <c r="P44" s="2">
        <v>3360.47</v>
      </c>
      <c r="Q44" s="2">
        <v>3782.83</v>
      </c>
      <c r="R44" s="2">
        <v>3482.89</v>
      </c>
      <c r="S44" s="2">
        <v>4288.13</v>
      </c>
      <c r="V44" s="1" t="s">
        <v>20</v>
      </c>
      <c r="W44" s="2">
        <v>3901</v>
      </c>
      <c r="X44" s="2">
        <v>4360</v>
      </c>
      <c r="Y44" s="2">
        <v>4034.8</v>
      </c>
      <c r="Z44" s="2">
        <v>4864.8999999999996</v>
      </c>
    </row>
    <row r="45" spans="2:26" x14ac:dyDescent="0.3">
      <c r="B45">
        <v>1018390.5000000008</v>
      </c>
      <c r="C45" s="4">
        <f>SUM(C37:C44)*290/C32</f>
        <v>5666768.8823529426</v>
      </c>
      <c r="D45" s="4">
        <f t="shared" ref="D45:F45" si="0">SUM(D37:D44)*290/D32</f>
        <v>5368406.6470588231</v>
      </c>
      <c r="E45" s="4">
        <f t="shared" si="0"/>
        <v>6400633.1777777784</v>
      </c>
      <c r="F45" s="4">
        <f t="shared" si="0"/>
        <v>6983455.2000000011</v>
      </c>
    </row>
    <row r="47" spans="2:26" x14ac:dyDescent="0.3">
      <c r="B47" t="s">
        <v>29</v>
      </c>
      <c r="H47" t="s">
        <v>30</v>
      </c>
      <c r="O47" t="s">
        <v>31</v>
      </c>
      <c r="V47" t="s">
        <v>32</v>
      </c>
    </row>
    <row r="48" spans="2:26" x14ac:dyDescent="0.3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">
      <c r="B51" s="1" t="s">
        <v>13</v>
      </c>
      <c r="C51" s="2">
        <v>2403.1799999999998</v>
      </c>
      <c r="D51" s="2">
        <v>1859.21</v>
      </c>
      <c r="E51" s="2">
        <v>3275.9</v>
      </c>
      <c r="F51" s="2">
        <v>2682.49</v>
      </c>
      <c r="H51" s="1" t="s">
        <v>13</v>
      </c>
      <c r="I51" s="2">
        <v>0.05</v>
      </c>
      <c r="J51" s="2">
        <v>0.04</v>
      </c>
      <c r="K51" s="2">
        <v>0.05</v>
      </c>
      <c r="L51" s="2">
        <v>0.04</v>
      </c>
      <c r="O51" s="1" t="s">
        <v>13</v>
      </c>
      <c r="P51" s="2">
        <v>0.19</v>
      </c>
      <c r="Q51" s="2">
        <v>0.17</v>
      </c>
      <c r="R51" s="2">
        <v>0.2</v>
      </c>
      <c r="S51" s="2">
        <v>0.19</v>
      </c>
      <c r="V51" s="1" t="s">
        <v>13</v>
      </c>
      <c r="W51" s="2">
        <v>0.53</v>
      </c>
      <c r="X51" s="2">
        <v>0.48</v>
      </c>
      <c r="Y51" s="2">
        <v>0.56000000000000005</v>
      </c>
      <c r="Z51" s="2">
        <v>0.52</v>
      </c>
    </row>
    <row r="52" spans="2:26" x14ac:dyDescent="0.3">
      <c r="B52" s="1" t="s">
        <v>14</v>
      </c>
      <c r="C52" s="2">
        <v>3249.06</v>
      </c>
      <c r="D52" s="2">
        <v>1116.3800000000001</v>
      </c>
      <c r="E52" s="2">
        <v>3557.47</v>
      </c>
      <c r="F52" s="2">
        <v>1210.76</v>
      </c>
      <c r="H52" s="1" t="s">
        <v>14</v>
      </c>
      <c r="I52" s="2">
        <v>0.18</v>
      </c>
      <c r="J52" s="2">
        <v>0.12</v>
      </c>
      <c r="K52" s="2">
        <v>0.18</v>
      </c>
      <c r="L52" s="2">
        <v>0.12</v>
      </c>
      <c r="O52" s="1" t="s">
        <v>14</v>
      </c>
      <c r="P52" s="2">
        <v>0.75</v>
      </c>
      <c r="Q52" s="2">
        <v>0.35</v>
      </c>
      <c r="R52" s="2">
        <v>0.72</v>
      </c>
      <c r="S52" s="2">
        <v>0.34</v>
      </c>
      <c r="V52" s="1" t="s">
        <v>14</v>
      </c>
      <c r="W52" s="2">
        <v>0.83</v>
      </c>
      <c r="X52" s="2">
        <v>0.77</v>
      </c>
      <c r="Y52" s="2">
        <v>0.8</v>
      </c>
      <c r="Z52" s="2">
        <v>0.71</v>
      </c>
    </row>
    <row r="53" spans="2:26" x14ac:dyDescent="0.3">
      <c r="B53" s="1" t="s">
        <v>15</v>
      </c>
      <c r="C53" s="2">
        <v>10664.22</v>
      </c>
      <c r="D53" s="2">
        <v>2529.89</v>
      </c>
      <c r="E53" s="2">
        <v>12079.55</v>
      </c>
      <c r="F53" s="2">
        <v>3191.8</v>
      </c>
      <c r="H53" s="1" t="s">
        <v>15</v>
      </c>
      <c r="I53" s="2">
        <v>0.56000000000000005</v>
      </c>
      <c r="J53" s="2">
        <v>0.16</v>
      </c>
      <c r="K53" s="2">
        <v>0.49</v>
      </c>
      <c r="L53" s="2">
        <v>0.17</v>
      </c>
      <c r="O53" s="1" t="s">
        <v>15</v>
      </c>
      <c r="P53" s="2">
        <v>0.64</v>
      </c>
      <c r="Q53" s="2">
        <v>0.57999999999999996</v>
      </c>
      <c r="R53" s="2">
        <v>0.88</v>
      </c>
      <c r="S53" s="2">
        <v>0.62</v>
      </c>
      <c r="V53" s="1" t="s">
        <v>15</v>
      </c>
      <c r="W53" s="2">
        <v>1.29</v>
      </c>
      <c r="X53" s="2">
        <v>0.72</v>
      </c>
      <c r="Y53" s="2">
        <v>1.1000000000000001</v>
      </c>
      <c r="Z53" s="2">
        <v>0.7</v>
      </c>
    </row>
    <row r="54" spans="2:26" x14ac:dyDescent="0.3">
      <c r="B54" s="1" t="s">
        <v>16</v>
      </c>
      <c r="C54" s="2">
        <v>7119.2</v>
      </c>
      <c r="D54" s="2">
        <v>4856.95</v>
      </c>
      <c r="E54" s="2">
        <v>16473.95</v>
      </c>
      <c r="F54" s="2">
        <v>10047.73</v>
      </c>
      <c r="H54" s="1" t="s">
        <v>16</v>
      </c>
      <c r="I54" s="2">
        <v>0.18</v>
      </c>
      <c r="J54" s="2">
        <v>0.17</v>
      </c>
      <c r="K54" s="2">
        <v>0.24</v>
      </c>
      <c r="L54" s="2">
        <v>0.18</v>
      </c>
      <c r="O54" s="1" t="s">
        <v>16</v>
      </c>
      <c r="P54" s="2">
        <v>0.71</v>
      </c>
      <c r="Q54" s="2">
        <v>0.65</v>
      </c>
      <c r="R54" s="2">
        <v>0.82</v>
      </c>
      <c r="S54" s="2">
        <v>0.74</v>
      </c>
      <c r="V54" s="1" t="s">
        <v>16</v>
      </c>
      <c r="W54" s="2">
        <v>0.8</v>
      </c>
      <c r="X54" s="2">
        <v>0.73</v>
      </c>
      <c r="Y54" s="2">
        <v>0.93</v>
      </c>
      <c r="Z54" s="2">
        <v>0.83</v>
      </c>
    </row>
    <row r="55" spans="2:26" x14ac:dyDescent="0.3">
      <c r="B55" s="1" t="s">
        <v>17</v>
      </c>
      <c r="C55" s="2">
        <v>7790.7</v>
      </c>
      <c r="D55" s="2">
        <v>7737.01</v>
      </c>
      <c r="E55" s="2">
        <v>13192.27</v>
      </c>
      <c r="F55" s="2">
        <v>14599.84</v>
      </c>
      <c r="H55" s="1" t="s">
        <v>17</v>
      </c>
      <c r="I55" s="2">
        <v>0.18</v>
      </c>
      <c r="J55" s="2">
        <v>0.18</v>
      </c>
      <c r="K55" s="2">
        <v>0.18</v>
      </c>
      <c r="L55" s="2">
        <v>0.19</v>
      </c>
      <c r="O55" s="1" t="s">
        <v>17</v>
      </c>
      <c r="P55" s="2">
        <v>0.69</v>
      </c>
      <c r="Q55" s="2">
        <v>0.68</v>
      </c>
      <c r="R55" s="2">
        <v>0.74</v>
      </c>
      <c r="S55" s="2">
        <v>0.76</v>
      </c>
      <c r="V55" s="1" t="s">
        <v>17</v>
      </c>
      <c r="W55" s="2">
        <v>0.76</v>
      </c>
      <c r="X55" s="2">
        <v>0.76</v>
      </c>
      <c r="Y55" s="2">
        <v>0.83</v>
      </c>
      <c r="Z55" s="2">
        <v>0.85</v>
      </c>
    </row>
    <row r="56" spans="2:26" x14ac:dyDescent="0.3">
      <c r="B56" s="1" t="s">
        <v>18</v>
      </c>
      <c r="C56" s="2">
        <v>6059.53</v>
      </c>
      <c r="D56" s="2">
        <v>10561.65</v>
      </c>
      <c r="E56" s="2">
        <v>9251.92</v>
      </c>
      <c r="F56" s="2">
        <v>22428.59</v>
      </c>
      <c r="H56" s="1" t="s">
        <v>18</v>
      </c>
      <c r="I56" s="2">
        <v>0.19</v>
      </c>
      <c r="J56" s="2">
        <v>0.27</v>
      </c>
      <c r="K56" s="2">
        <v>0.2</v>
      </c>
      <c r="L56" s="2">
        <v>0.46</v>
      </c>
      <c r="O56" s="1" t="s">
        <v>18</v>
      </c>
      <c r="P56" s="2">
        <v>0.7</v>
      </c>
      <c r="Q56" s="2">
        <v>0.82</v>
      </c>
      <c r="R56" s="2">
        <v>0.78</v>
      </c>
      <c r="S56" s="2">
        <v>0.88</v>
      </c>
      <c r="V56" s="1" t="s">
        <v>18</v>
      </c>
      <c r="W56" s="2">
        <v>0.85</v>
      </c>
      <c r="X56" s="2">
        <v>0.95</v>
      </c>
      <c r="Y56" s="2">
        <v>0.87</v>
      </c>
      <c r="Z56" s="2">
        <v>1.0900000000000001</v>
      </c>
    </row>
    <row r="57" spans="2:26" x14ac:dyDescent="0.3">
      <c r="B57" s="1" t="s">
        <v>19</v>
      </c>
      <c r="C57" s="2">
        <v>8692.14</v>
      </c>
      <c r="D57" s="2">
        <v>15502.22</v>
      </c>
      <c r="E57" s="2">
        <v>13442.84</v>
      </c>
      <c r="F57" s="2">
        <v>26421.68</v>
      </c>
      <c r="H57" s="1" t="s">
        <v>19</v>
      </c>
      <c r="I57" s="2">
        <v>0.23</v>
      </c>
      <c r="J57" s="2">
        <v>0.39</v>
      </c>
      <c r="K57" s="2">
        <v>0.27</v>
      </c>
      <c r="L57" s="2">
        <v>0.51</v>
      </c>
      <c r="O57" s="1" t="s">
        <v>19</v>
      </c>
      <c r="P57" s="2">
        <v>0.73</v>
      </c>
      <c r="Q57" s="2">
        <v>0.82</v>
      </c>
      <c r="R57" s="2">
        <v>0.76</v>
      </c>
      <c r="S57" s="2">
        <v>0.87</v>
      </c>
      <c r="V57" s="1" t="s">
        <v>19</v>
      </c>
      <c r="W57" s="2">
        <v>0.83</v>
      </c>
      <c r="X57" s="2">
        <v>1</v>
      </c>
      <c r="Y57" s="2">
        <v>0.88</v>
      </c>
      <c r="Z57" s="2">
        <v>1.1000000000000001</v>
      </c>
    </row>
    <row r="58" spans="2:26" x14ac:dyDescent="0.3">
      <c r="B58" s="1" t="s">
        <v>20</v>
      </c>
      <c r="C58" s="2">
        <v>9101.48</v>
      </c>
      <c r="D58" s="2">
        <v>8716.93</v>
      </c>
      <c r="E58" s="2">
        <v>9630.41</v>
      </c>
      <c r="F58" s="2">
        <v>8978.99</v>
      </c>
      <c r="H58" s="1" t="s">
        <v>20</v>
      </c>
      <c r="I58" s="2">
        <v>0.15</v>
      </c>
      <c r="J58" s="2">
        <v>0.16</v>
      </c>
      <c r="K58" s="2">
        <v>0.15</v>
      </c>
      <c r="L58" s="2">
        <v>0.16</v>
      </c>
      <c r="O58" s="1" t="s">
        <v>20</v>
      </c>
      <c r="P58" s="2">
        <v>0.42</v>
      </c>
      <c r="Q58" s="2">
        <v>0.47</v>
      </c>
      <c r="R58" s="2">
        <v>0.44</v>
      </c>
      <c r="S58" s="2">
        <v>0.54</v>
      </c>
      <c r="V58" s="1" t="s">
        <v>20</v>
      </c>
      <c r="W58" s="2">
        <v>0.79</v>
      </c>
      <c r="X58" s="2">
        <v>0.74</v>
      </c>
      <c r="Y58" s="2">
        <v>0.7</v>
      </c>
      <c r="Z58" s="2">
        <v>0.62</v>
      </c>
    </row>
    <row r="61" spans="2:26" x14ac:dyDescent="0.3">
      <c r="B61" t="s">
        <v>33</v>
      </c>
      <c r="H61" t="s">
        <v>34</v>
      </c>
      <c r="O61" t="s">
        <v>35</v>
      </c>
      <c r="V61" t="s">
        <v>36</v>
      </c>
    </row>
    <row r="62" spans="2:26" x14ac:dyDescent="0.3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">
      <c r="B65" s="1" t="s">
        <v>13</v>
      </c>
      <c r="C65" s="2">
        <v>318.85000000000002</v>
      </c>
      <c r="D65" s="2">
        <v>209.69</v>
      </c>
      <c r="E65" s="2">
        <v>454.91</v>
      </c>
      <c r="F65" s="2">
        <v>341.06</v>
      </c>
      <c r="H65" s="1" t="s">
        <v>13</v>
      </c>
      <c r="I65" s="2">
        <v>70</v>
      </c>
      <c r="J65" s="2">
        <v>70</v>
      </c>
      <c r="K65" s="2">
        <v>70</v>
      </c>
      <c r="L65" s="2">
        <v>70</v>
      </c>
      <c r="O65" s="1" t="s">
        <v>13</v>
      </c>
      <c r="P65" s="2">
        <v>69.64</v>
      </c>
      <c r="Q65" s="2">
        <v>69.83</v>
      </c>
      <c r="R65" s="2">
        <v>69.44</v>
      </c>
      <c r="S65" s="2">
        <v>69.69</v>
      </c>
      <c r="V65" s="1" t="s">
        <v>13</v>
      </c>
      <c r="W65" s="2">
        <v>-0.01</v>
      </c>
      <c r="X65" s="2">
        <v>-0.01</v>
      </c>
      <c r="Y65" s="2">
        <v>-0.03</v>
      </c>
      <c r="Z65" s="2">
        <v>-0.02</v>
      </c>
    </row>
    <row r="66" spans="2:26" x14ac:dyDescent="0.3">
      <c r="B66" s="1" t="s">
        <v>14</v>
      </c>
      <c r="C66" s="2">
        <v>139.52000000000001</v>
      </c>
      <c r="D66" s="2">
        <v>141.13999999999999</v>
      </c>
      <c r="E66" s="2">
        <v>173.13</v>
      </c>
      <c r="F66" s="2">
        <v>169.58</v>
      </c>
      <c r="H66" s="1" t="s">
        <v>14</v>
      </c>
      <c r="I66" s="2">
        <v>70</v>
      </c>
      <c r="J66" s="2">
        <v>70</v>
      </c>
      <c r="K66" s="2">
        <v>70</v>
      </c>
      <c r="L66" s="2">
        <v>70</v>
      </c>
      <c r="O66" s="1" t="s">
        <v>14</v>
      </c>
      <c r="P66" s="2">
        <v>58.05</v>
      </c>
      <c r="Q66" s="2">
        <v>65.319999999999993</v>
      </c>
      <c r="R66" s="2">
        <v>61.2</v>
      </c>
      <c r="S66" s="2">
        <v>67.33</v>
      </c>
      <c r="V66" s="1" t="s">
        <v>14</v>
      </c>
      <c r="W66" s="2">
        <v>-0.6</v>
      </c>
      <c r="X66" s="2">
        <v>-0.21</v>
      </c>
      <c r="Y66" s="2">
        <v>-0.55000000000000004</v>
      </c>
      <c r="Z66" s="2">
        <v>-0.15</v>
      </c>
    </row>
    <row r="67" spans="2:26" x14ac:dyDescent="0.3">
      <c r="B67" s="1" t="s">
        <v>15</v>
      </c>
      <c r="C67" s="2">
        <v>804.39</v>
      </c>
      <c r="D67" s="2">
        <v>308.02999999999997</v>
      </c>
      <c r="E67" s="2">
        <v>1066.76</v>
      </c>
      <c r="F67" s="2">
        <v>392.07</v>
      </c>
      <c r="H67" s="1" t="s">
        <v>15</v>
      </c>
      <c r="I67" s="2">
        <v>68.58</v>
      </c>
      <c r="J67" s="2">
        <v>70</v>
      </c>
      <c r="K67" s="2">
        <v>69.540000000000006</v>
      </c>
      <c r="L67" s="2">
        <v>70</v>
      </c>
      <c r="O67" s="1" t="s">
        <v>15</v>
      </c>
      <c r="P67" s="2">
        <v>33.96</v>
      </c>
      <c r="Q67" s="2">
        <v>66.16</v>
      </c>
      <c r="R67" s="2">
        <v>41.39</v>
      </c>
      <c r="S67" s="2">
        <v>67.02</v>
      </c>
      <c r="V67" s="1" t="s">
        <v>15</v>
      </c>
      <c r="W67" s="2">
        <v>-3.03</v>
      </c>
      <c r="X67" s="2">
        <v>-0.17</v>
      </c>
      <c r="Y67" s="2">
        <v>-2.64</v>
      </c>
      <c r="Z67" s="2">
        <v>-0.17</v>
      </c>
    </row>
    <row r="68" spans="2:26" x14ac:dyDescent="0.3">
      <c r="B68" s="1" t="s">
        <v>16</v>
      </c>
      <c r="C68" s="2">
        <v>988.39</v>
      </c>
      <c r="D68" s="2">
        <v>1018.27</v>
      </c>
      <c r="E68" s="2">
        <v>2502.5300000000002</v>
      </c>
      <c r="F68" s="2">
        <v>1638.14</v>
      </c>
      <c r="H68" s="1" t="s">
        <v>16</v>
      </c>
      <c r="I68" s="2">
        <v>70</v>
      </c>
      <c r="J68" s="2">
        <v>70</v>
      </c>
      <c r="K68" s="2">
        <v>70</v>
      </c>
      <c r="L68" s="2">
        <v>70</v>
      </c>
      <c r="O68" s="1" t="s">
        <v>16</v>
      </c>
      <c r="P68" s="2">
        <v>61.61</v>
      </c>
      <c r="Q68" s="2">
        <v>65.7</v>
      </c>
      <c r="R68" s="2">
        <v>49.63</v>
      </c>
      <c r="S68" s="2">
        <v>58.95</v>
      </c>
      <c r="V68" s="1" t="s">
        <v>16</v>
      </c>
      <c r="W68" s="2">
        <v>-0.4</v>
      </c>
      <c r="X68" s="2">
        <v>-0.19</v>
      </c>
      <c r="Y68" s="2">
        <v>-1.58</v>
      </c>
      <c r="Z68" s="2">
        <v>-0.72</v>
      </c>
    </row>
    <row r="69" spans="2:26" x14ac:dyDescent="0.3">
      <c r="B69" s="1" t="s">
        <v>17</v>
      </c>
      <c r="C69" s="2">
        <v>1207.8800000000001</v>
      </c>
      <c r="D69" s="2">
        <v>986.21</v>
      </c>
      <c r="E69" s="2">
        <v>1914.33</v>
      </c>
      <c r="F69" s="2">
        <v>1882.1</v>
      </c>
      <c r="H69" s="1" t="s">
        <v>17</v>
      </c>
      <c r="I69" s="2">
        <v>70</v>
      </c>
      <c r="J69" s="2">
        <v>70</v>
      </c>
      <c r="K69" s="2">
        <v>70</v>
      </c>
      <c r="L69" s="2">
        <v>70</v>
      </c>
      <c r="O69" s="1" t="s">
        <v>17</v>
      </c>
      <c r="P69" s="2">
        <v>63.78</v>
      </c>
      <c r="Q69" s="2">
        <v>64.02</v>
      </c>
      <c r="R69" s="2">
        <v>58.98</v>
      </c>
      <c r="S69" s="2">
        <v>56.94</v>
      </c>
      <c r="V69" s="1" t="s">
        <v>17</v>
      </c>
      <c r="W69" s="2">
        <v>-0.28000000000000003</v>
      </c>
      <c r="X69" s="2">
        <v>-0.27</v>
      </c>
      <c r="Y69" s="2">
        <v>-0.72</v>
      </c>
      <c r="Z69" s="2">
        <v>-0.88</v>
      </c>
    </row>
    <row r="70" spans="2:26" x14ac:dyDescent="0.3">
      <c r="B70" s="1" t="s">
        <v>18</v>
      </c>
      <c r="C70" s="2">
        <v>794.05</v>
      </c>
      <c r="D70" s="2">
        <v>818.09</v>
      </c>
      <c r="E70" s="2">
        <v>1059.95</v>
      </c>
      <c r="F70" s="2">
        <v>2114.09</v>
      </c>
      <c r="H70" s="1" t="s">
        <v>18</v>
      </c>
      <c r="I70" s="2">
        <v>70</v>
      </c>
      <c r="J70" s="2">
        <v>70</v>
      </c>
      <c r="K70" s="2">
        <v>70</v>
      </c>
      <c r="L70" s="2">
        <v>69.739999999999995</v>
      </c>
      <c r="O70" s="1" t="s">
        <v>18</v>
      </c>
      <c r="P70" s="2">
        <v>57.27</v>
      </c>
      <c r="Q70" s="2">
        <v>49.36</v>
      </c>
      <c r="R70" s="2">
        <v>55.22</v>
      </c>
      <c r="S70" s="2">
        <v>40.24</v>
      </c>
      <c r="V70" s="1" t="s">
        <v>18</v>
      </c>
      <c r="W70" s="2">
        <v>-0.65</v>
      </c>
      <c r="X70" s="2">
        <v>-1.22</v>
      </c>
      <c r="Y70" s="2">
        <v>-1.03</v>
      </c>
      <c r="Z70" s="2">
        <v>-2.84</v>
      </c>
    </row>
    <row r="71" spans="2:26" x14ac:dyDescent="0.3">
      <c r="B71" s="1" t="s">
        <v>19</v>
      </c>
      <c r="C71" s="2">
        <v>868.42</v>
      </c>
      <c r="D71" s="2">
        <v>945.83</v>
      </c>
      <c r="E71" s="2">
        <v>1212.46</v>
      </c>
      <c r="F71" s="2">
        <v>1922.65</v>
      </c>
      <c r="H71" s="1" t="s">
        <v>19</v>
      </c>
      <c r="I71" s="2">
        <v>70</v>
      </c>
      <c r="J71" s="2">
        <v>69.92</v>
      </c>
      <c r="K71" s="2">
        <v>70</v>
      </c>
      <c r="L71" s="2">
        <v>69.33</v>
      </c>
      <c r="O71" s="1" t="s">
        <v>19</v>
      </c>
      <c r="P71" s="2">
        <v>60.43</v>
      </c>
      <c r="Q71" s="2">
        <v>49.62</v>
      </c>
      <c r="R71" s="2">
        <v>57.48</v>
      </c>
      <c r="S71" s="2">
        <v>42.45</v>
      </c>
      <c r="V71" s="1" t="s">
        <v>19</v>
      </c>
      <c r="W71" s="2">
        <v>-0.46</v>
      </c>
      <c r="X71" s="2">
        <v>-1.19</v>
      </c>
      <c r="Y71" s="2">
        <v>-0.84</v>
      </c>
      <c r="Z71" s="2">
        <v>-2.4700000000000002</v>
      </c>
    </row>
    <row r="72" spans="2:26" x14ac:dyDescent="0.3">
      <c r="B72" s="1" t="s">
        <v>20</v>
      </c>
      <c r="C72" s="2">
        <v>553.59</v>
      </c>
      <c r="D72" s="2">
        <v>394.72</v>
      </c>
      <c r="E72" s="2">
        <v>550.65</v>
      </c>
      <c r="F72" s="2">
        <v>492.73</v>
      </c>
      <c r="H72" s="1" t="s">
        <v>20</v>
      </c>
      <c r="I72" s="2">
        <v>70</v>
      </c>
      <c r="J72" s="2">
        <v>70</v>
      </c>
      <c r="K72" s="2">
        <v>70</v>
      </c>
      <c r="L72" s="2">
        <v>70</v>
      </c>
      <c r="O72" s="1" t="s">
        <v>20</v>
      </c>
      <c r="P72" s="2">
        <v>64.02</v>
      </c>
      <c r="Q72" s="2">
        <v>66.319999999999993</v>
      </c>
      <c r="R72" s="2">
        <v>67.63</v>
      </c>
      <c r="S72" s="2">
        <v>68.86</v>
      </c>
      <c r="V72" s="1" t="s">
        <v>20</v>
      </c>
      <c r="W72" s="2">
        <v>-0.27</v>
      </c>
      <c r="X72" s="2">
        <v>-0.16</v>
      </c>
      <c r="Y72" s="2">
        <v>-0.14000000000000001</v>
      </c>
      <c r="Z72" s="2">
        <v>-0.06</v>
      </c>
    </row>
    <row r="75" spans="2:26" x14ac:dyDescent="0.3">
      <c r="B75" t="s">
        <v>37</v>
      </c>
      <c r="H75" t="s">
        <v>38</v>
      </c>
      <c r="O75" t="s">
        <v>39</v>
      </c>
      <c r="V75" t="s">
        <v>40</v>
      </c>
    </row>
    <row r="76" spans="2:26" x14ac:dyDescent="0.3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">
      <c r="B79" s="1" t="s">
        <v>13</v>
      </c>
      <c r="C79" s="2">
        <v>10.119999999999999</v>
      </c>
      <c r="D79" s="2">
        <v>9.25</v>
      </c>
      <c r="E79" s="2">
        <v>0</v>
      </c>
      <c r="F79" s="2">
        <v>0</v>
      </c>
      <c r="H79" s="1" t="s">
        <v>13</v>
      </c>
      <c r="I79" s="2">
        <v>2.91</v>
      </c>
      <c r="J79" s="2">
        <v>2.91</v>
      </c>
      <c r="K79" s="2">
        <v>3.86</v>
      </c>
      <c r="L79" s="2">
        <v>3.86</v>
      </c>
      <c r="O79" s="1" t="s">
        <v>13</v>
      </c>
      <c r="P79" s="2">
        <v>2.93</v>
      </c>
      <c r="Q79" s="2">
        <v>2.92</v>
      </c>
      <c r="R79" s="2">
        <v>3.89</v>
      </c>
      <c r="S79" s="2">
        <v>3.87</v>
      </c>
      <c r="V79" s="1" t="s">
        <v>13</v>
      </c>
      <c r="W79" s="2">
        <v>-0.01</v>
      </c>
      <c r="X79" s="2">
        <v>0</v>
      </c>
      <c r="Y79" s="2">
        <v>-0.01</v>
      </c>
      <c r="Z79" s="2">
        <v>0</v>
      </c>
    </row>
    <row r="80" spans="2:26" x14ac:dyDescent="0.3">
      <c r="B80" s="1" t="s">
        <v>14</v>
      </c>
      <c r="C80" s="2">
        <v>50.79</v>
      </c>
      <c r="D80" s="2">
        <v>89.75</v>
      </c>
      <c r="E80" s="2">
        <v>51.69</v>
      </c>
      <c r="F80" s="2">
        <v>64.16</v>
      </c>
      <c r="H80" s="1" t="s">
        <v>14</v>
      </c>
      <c r="I80" s="2">
        <v>2.91</v>
      </c>
      <c r="J80" s="2">
        <v>2.91</v>
      </c>
      <c r="K80" s="2">
        <v>3.86</v>
      </c>
      <c r="L80" s="2">
        <v>3.86</v>
      </c>
      <c r="O80" s="1" t="s">
        <v>14</v>
      </c>
      <c r="P80" s="2">
        <v>3.51</v>
      </c>
      <c r="Q80" s="2">
        <v>3.12</v>
      </c>
      <c r="R80" s="2">
        <v>4.41</v>
      </c>
      <c r="S80" s="2">
        <v>4.01</v>
      </c>
      <c r="V80" s="1" t="s">
        <v>14</v>
      </c>
      <c r="W80" s="2">
        <v>-0.17</v>
      </c>
      <c r="X80" s="2">
        <v>-7.0000000000000007E-2</v>
      </c>
      <c r="Y80" s="2">
        <v>-0.13</v>
      </c>
      <c r="Z80" s="2">
        <v>-0.04</v>
      </c>
    </row>
    <row r="81" spans="2:26" x14ac:dyDescent="0.3">
      <c r="B81" s="1" t="s">
        <v>15</v>
      </c>
      <c r="C81" s="2">
        <v>287.95999999999998</v>
      </c>
      <c r="D81" s="2">
        <v>127.21</v>
      </c>
      <c r="E81" s="2">
        <v>329.84</v>
      </c>
      <c r="F81" s="2">
        <v>162.78</v>
      </c>
      <c r="H81" s="1" t="s">
        <v>15</v>
      </c>
      <c r="I81" s="2">
        <v>2.97</v>
      </c>
      <c r="J81" s="2">
        <v>2.91</v>
      </c>
      <c r="K81" s="2">
        <v>3.88</v>
      </c>
      <c r="L81" s="2">
        <v>3.86</v>
      </c>
      <c r="O81" s="1" t="s">
        <v>15</v>
      </c>
      <c r="P81" s="2">
        <v>6.01</v>
      </c>
      <c r="Q81" s="2">
        <v>3.08</v>
      </c>
      <c r="R81" s="2">
        <v>6.52</v>
      </c>
      <c r="S81" s="2">
        <v>4.03</v>
      </c>
      <c r="V81" s="1" t="s">
        <v>15</v>
      </c>
      <c r="W81" s="2">
        <v>-0.5</v>
      </c>
      <c r="X81" s="2">
        <v>-0.05</v>
      </c>
      <c r="Y81" s="2">
        <v>-0.4</v>
      </c>
      <c r="Z81" s="2">
        <v>-0.04</v>
      </c>
    </row>
    <row r="82" spans="2:26" x14ac:dyDescent="0.3">
      <c r="B82" s="1" t="s">
        <v>16</v>
      </c>
      <c r="C82" s="2">
        <v>252.75</v>
      </c>
      <c r="D82" s="2">
        <v>289.98</v>
      </c>
      <c r="E82" s="2">
        <v>745.26</v>
      </c>
      <c r="F82" s="2">
        <v>488.68</v>
      </c>
      <c r="H82" s="1" t="s">
        <v>16</v>
      </c>
      <c r="I82" s="2">
        <v>2.91</v>
      </c>
      <c r="J82" s="2">
        <v>2.91</v>
      </c>
      <c r="K82" s="2">
        <v>3.86</v>
      </c>
      <c r="L82" s="2">
        <v>3.86</v>
      </c>
      <c r="O82" s="1" t="s">
        <v>16</v>
      </c>
      <c r="P82" s="2">
        <v>3.31</v>
      </c>
      <c r="Q82" s="2">
        <v>3.11</v>
      </c>
      <c r="R82" s="2">
        <v>5.44</v>
      </c>
      <c r="S82" s="2">
        <v>4.58</v>
      </c>
      <c r="V82" s="1" t="s">
        <v>16</v>
      </c>
      <c r="W82" s="2">
        <v>-0.12</v>
      </c>
      <c r="X82" s="2">
        <v>-0.06</v>
      </c>
      <c r="Y82" s="2">
        <v>-0.28999999999999998</v>
      </c>
      <c r="Z82" s="2">
        <v>-0.16</v>
      </c>
    </row>
    <row r="83" spans="2:26" x14ac:dyDescent="0.3">
      <c r="B83" s="1" t="s">
        <v>17</v>
      </c>
      <c r="C83" s="2">
        <v>478.73</v>
      </c>
      <c r="D83" s="2">
        <v>428.66</v>
      </c>
      <c r="E83" s="2">
        <v>726.18</v>
      </c>
      <c r="F83" s="2">
        <v>705.61</v>
      </c>
      <c r="H83" s="1" t="s">
        <v>17</v>
      </c>
      <c r="I83" s="2">
        <v>2.91</v>
      </c>
      <c r="J83" s="2">
        <v>2.91</v>
      </c>
      <c r="K83" s="2">
        <v>3.86</v>
      </c>
      <c r="L83" s="2">
        <v>3.86</v>
      </c>
      <c r="O83" s="1" t="s">
        <v>17</v>
      </c>
      <c r="P83" s="2">
        <v>3.2</v>
      </c>
      <c r="Q83" s="2">
        <v>3.19</v>
      </c>
      <c r="R83" s="2">
        <v>4.58</v>
      </c>
      <c r="S83" s="2">
        <v>4.74</v>
      </c>
      <c r="V83" s="1" t="s">
        <v>17</v>
      </c>
      <c r="W83" s="2">
        <v>-0.09</v>
      </c>
      <c r="X83" s="2">
        <v>-0.09</v>
      </c>
      <c r="Y83" s="2">
        <v>-0.16</v>
      </c>
      <c r="Z83" s="2">
        <v>-0.19</v>
      </c>
    </row>
    <row r="84" spans="2:26" x14ac:dyDescent="0.3">
      <c r="B84" s="1" t="s">
        <v>18</v>
      </c>
      <c r="C84" s="2">
        <v>259.94</v>
      </c>
      <c r="D84" s="2">
        <v>251.23</v>
      </c>
      <c r="E84" s="2">
        <v>339.71</v>
      </c>
      <c r="F84" s="2">
        <v>700.43</v>
      </c>
      <c r="H84" s="1" t="s">
        <v>18</v>
      </c>
      <c r="I84" s="2">
        <v>2.91</v>
      </c>
      <c r="J84" s="2">
        <v>2.91</v>
      </c>
      <c r="K84" s="2">
        <v>3.86</v>
      </c>
      <c r="L84" s="2">
        <v>3.87</v>
      </c>
      <c r="O84" s="1" t="s">
        <v>18</v>
      </c>
      <c r="P84" s="2">
        <v>3.56</v>
      </c>
      <c r="Q84" s="2">
        <v>4.13</v>
      </c>
      <c r="R84" s="2">
        <v>4.8899999999999997</v>
      </c>
      <c r="S84" s="2">
        <v>6.71</v>
      </c>
      <c r="V84" s="1" t="s">
        <v>18</v>
      </c>
      <c r="W84" s="2">
        <v>-0.18</v>
      </c>
      <c r="X84" s="2">
        <v>-0.28999999999999998</v>
      </c>
      <c r="Y84" s="2">
        <v>-0.21</v>
      </c>
      <c r="Z84" s="2">
        <v>-0.42</v>
      </c>
    </row>
    <row r="85" spans="2:26" x14ac:dyDescent="0.3">
      <c r="B85" s="1" t="s">
        <v>19</v>
      </c>
      <c r="C85" s="2">
        <v>239.03</v>
      </c>
      <c r="D85" s="2">
        <v>211.44</v>
      </c>
      <c r="E85" s="2">
        <v>308.16000000000003</v>
      </c>
      <c r="F85" s="2">
        <v>418.48</v>
      </c>
      <c r="H85" s="1" t="s">
        <v>19</v>
      </c>
      <c r="I85" s="2">
        <v>2.91</v>
      </c>
      <c r="J85" s="2">
        <v>2.92</v>
      </c>
      <c r="K85" s="2">
        <v>3.86</v>
      </c>
      <c r="L85" s="2">
        <v>3.89</v>
      </c>
      <c r="O85" s="1" t="s">
        <v>19</v>
      </c>
      <c r="P85" s="2">
        <v>3.38</v>
      </c>
      <c r="Q85" s="2">
        <v>4.1100000000000003</v>
      </c>
      <c r="R85" s="2">
        <v>4.7</v>
      </c>
      <c r="S85" s="2">
        <v>6.36</v>
      </c>
      <c r="V85" s="1" t="s">
        <v>19</v>
      </c>
      <c r="W85" s="2">
        <v>-0.14000000000000001</v>
      </c>
      <c r="X85" s="2">
        <v>-0.28999999999999998</v>
      </c>
      <c r="Y85" s="2">
        <v>-0.18</v>
      </c>
      <c r="Z85" s="2">
        <v>-0.39</v>
      </c>
    </row>
    <row r="86" spans="2:26" x14ac:dyDescent="0.3">
      <c r="B86" s="1" t="s">
        <v>20</v>
      </c>
      <c r="C86" s="2">
        <v>92.75</v>
      </c>
      <c r="D86" s="2">
        <v>67.55</v>
      </c>
      <c r="E86" s="2">
        <v>107.71</v>
      </c>
      <c r="F86" s="2">
        <v>93.07</v>
      </c>
      <c r="H86" s="1" t="s">
        <v>20</v>
      </c>
      <c r="I86" s="2">
        <v>2.91</v>
      </c>
      <c r="J86" s="2">
        <v>2.91</v>
      </c>
      <c r="K86" s="2">
        <v>3.86</v>
      </c>
      <c r="L86" s="2">
        <v>3.86</v>
      </c>
      <c r="O86" s="1" t="s">
        <v>20</v>
      </c>
      <c r="P86" s="2">
        <v>3.19</v>
      </c>
      <c r="Q86" s="2">
        <v>3.08</v>
      </c>
      <c r="R86" s="2">
        <v>3.99</v>
      </c>
      <c r="S86" s="2">
        <v>3.92</v>
      </c>
      <c r="V86" s="1" t="s">
        <v>20</v>
      </c>
      <c r="W86" s="2">
        <v>-0.09</v>
      </c>
      <c r="X86" s="2">
        <v>-0.05</v>
      </c>
      <c r="Y86" s="2">
        <v>-0.03</v>
      </c>
      <c r="Z86" s="2">
        <v>-0.02</v>
      </c>
    </row>
    <row r="89" spans="2:26" x14ac:dyDescent="0.3">
      <c r="B89" t="s">
        <v>41</v>
      </c>
      <c r="H89" t="s">
        <v>42</v>
      </c>
      <c r="O89" t="s">
        <v>43</v>
      </c>
      <c r="V89" t="s">
        <v>44</v>
      </c>
    </row>
    <row r="90" spans="2:26" x14ac:dyDescent="0.3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3" t="s">
        <v>9</v>
      </c>
      <c r="J90" s="3"/>
      <c r="K90" s="3" t="s">
        <v>10</v>
      </c>
      <c r="L90" s="3"/>
      <c r="O90" s="1" t="s">
        <v>8</v>
      </c>
      <c r="P90" s="3" t="s">
        <v>9</v>
      </c>
      <c r="Q90" s="3"/>
      <c r="R90" s="3" t="s">
        <v>10</v>
      </c>
      <c r="S90" s="3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2</v>
      </c>
      <c r="J91" s="1" t="s">
        <v>1</v>
      </c>
      <c r="K91" s="1" t="s">
        <v>2</v>
      </c>
      <c r="L91" s="1" t="s">
        <v>1</v>
      </c>
      <c r="O91" s="1" t="s">
        <v>11</v>
      </c>
      <c r="P91" s="1" t="s">
        <v>2</v>
      </c>
      <c r="Q91" s="1" t="s">
        <v>1</v>
      </c>
      <c r="R91" s="1" t="s">
        <v>2</v>
      </c>
      <c r="S91" s="1" t="s">
        <v>1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">
      <c r="B93" s="1" t="s">
        <v>13</v>
      </c>
      <c r="C93" s="2">
        <v>598.33000000000004</v>
      </c>
      <c r="D93" s="2">
        <v>552.75</v>
      </c>
      <c r="E93" s="2">
        <v>994.19</v>
      </c>
      <c r="F93" s="2">
        <v>919.06</v>
      </c>
      <c r="H93" s="1" t="s">
        <v>13</v>
      </c>
      <c r="I93" s="2">
        <v>3333.55</v>
      </c>
      <c r="J93" s="2">
        <v>2615.38</v>
      </c>
      <c r="K93" s="2">
        <v>2952.85</v>
      </c>
      <c r="L93" s="2">
        <v>2213.91</v>
      </c>
      <c r="O93" s="1" t="s">
        <v>13</v>
      </c>
      <c r="P93" s="2">
        <v>3333.55</v>
      </c>
      <c r="Q93" s="2">
        <v>2615.38</v>
      </c>
      <c r="R93" s="2">
        <v>2952.85</v>
      </c>
      <c r="S93" s="2">
        <v>2213.91</v>
      </c>
      <c r="V93" s="1" t="s">
        <v>13</v>
      </c>
      <c r="W93" s="2">
        <v>3.12</v>
      </c>
      <c r="X93" s="2">
        <v>2.86</v>
      </c>
      <c r="Y93" s="2">
        <v>4.42</v>
      </c>
      <c r="Z93" s="2">
        <v>4.09</v>
      </c>
    </row>
    <row r="94" spans="2:26" x14ac:dyDescent="0.3">
      <c r="B94" s="1" t="s">
        <v>14</v>
      </c>
      <c r="C94" s="2">
        <v>131.47999999999999</v>
      </c>
      <c r="D94" s="2">
        <v>176.35</v>
      </c>
      <c r="E94" s="2">
        <v>212.39</v>
      </c>
      <c r="F94" s="2">
        <v>250.57</v>
      </c>
      <c r="H94" s="1" t="s">
        <v>14</v>
      </c>
      <c r="I94" s="2">
        <v>2589.9299999999998</v>
      </c>
      <c r="J94" s="2">
        <v>2034.93</v>
      </c>
      <c r="K94" s="2">
        <v>1426.11</v>
      </c>
      <c r="L94" s="2">
        <v>1107.6600000000001</v>
      </c>
      <c r="O94" s="1" t="s">
        <v>14</v>
      </c>
      <c r="P94" s="2">
        <v>2589.9299999999998</v>
      </c>
      <c r="Q94" s="2">
        <v>2034.93</v>
      </c>
      <c r="R94" s="2">
        <v>1426.11</v>
      </c>
      <c r="S94" s="2">
        <v>1107.6600000000001</v>
      </c>
      <c r="V94" s="1" t="s">
        <v>14</v>
      </c>
      <c r="W94" s="2">
        <v>5.43</v>
      </c>
      <c r="X94" s="2">
        <v>3.43</v>
      </c>
      <c r="Y94" s="2">
        <v>6.18</v>
      </c>
      <c r="Z94" s="2">
        <v>3.82</v>
      </c>
    </row>
    <row r="95" spans="2:26" x14ac:dyDescent="0.3">
      <c r="B95" s="1" t="s">
        <v>15</v>
      </c>
      <c r="C95" s="2">
        <v>687.55</v>
      </c>
      <c r="D95" s="2">
        <v>178.47</v>
      </c>
      <c r="E95" s="2">
        <v>812.82</v>
      </c>
      <c r="F95" s="2">
        <v>260.63</v>
      </c>
      <c r="H95" s="1" t="s">
        <v>15</v>
      </c>
      <c r="I95" s="2">
        <v>6710.86</v>
      </c>
      <c r="J95" s="2">
        <v>5924.57</v>
      </c>
      <c r="K95" s="2">
        <v>2154.7600000000002</v>
      </c>
      <c r="L95" s="2">
        <v>1624.17</v>
      </c>
      <c r="O95" s="1" t="s">
        <v>15</v>
      </c>
      <c r="P95" s="2">
        <v>6710.86</v>
      </c>
      <c r="Q95" s="2">
        <v>5924.57</v>
      </c>
      <c r="R95" s="2">
        <v>2154.7600000000002</v>
      </c>
      <c r="S95" s="2">
        <v>1624.17</v>
      </c>
      <c r="V95" s="1" t="s">
        <v>15</v>
      </c>
      <c r="W95" s="2">
        <v>6.12</v>
      </c>
      <c r="X95" s="2">
        <v>5.3</v>
      </c>
      <c r="Y95" s="2">
        <v>8.1</v>
      </c>
      <c r="Z95" s="2">
        <v>6.67</v>
      </c>
    </row>
    <row r="96" spans="2:26" x14ac:dyDescent="0.3">
      <c r="B96" s="1" t="s">
        <v>16</v>
      </c>
      <c r="C96" s="2">
        <v>495.89</v>
      </c>
      <c r="D96" s="2">
        <v>501.82</v>
      </c>
      <c r="E96" s="2">
        <v>1470.76</v>
      </c>
      <c r="F96" s="2">
        <v>963.05</v>
      </c>
      <c r="H96" s="1" t="s">
        <v>16</v>
      </c>
      <c r="I96" s="2">
        <v>9152.19</v>
      </c>
      <c r="J96" s="2">
        <v>5290.22</v>
      </c>
      <c r="K96" s="2">
        <v>6778.01</v>
      </c>
      <c r="L96" s="2">
        <v>4557.47</v>
      </c>
      <c r="O96" s="1" t="s">
        <v>16</v>
      </c>
      <c r="P96" s="2">
        <v>9152.19</v>
      </c>
      <c r="Q96" s="2">
        <v>5290.22</v>
      </c>
      <c r="R96" s="2">
        <v>6778.01</v>
      </c>
      <c r="S96" s="2">
        <v>4557.47</v>
      </c>
      <c r="V96" s="1" t="s">
        <v>16</v>
      </c>
      <c r="W96" s="2">
        <v>4.58</v>
      </c>
      <c r="X96" s="2">
        <v>3.62</v>
      </c>
      <c r="Y96" s="2">
        <v>8.1</v>
      </c>
      <c r="Z96" s="2">
        <v>6.67</v>
      </c>
    </row>
    <row r="97" spans="2:26" x14ac:dyDescent="0.3">
      <c r="B97" s="1" t="s">
        <v>17</v>
      </c>
      <c r="C97" s="2">
        <v>736.72</v>
      </c>
      <c r="D97" s="2">
        <v>815.33</v>
      </c>
      <c r="E97" s="2">
        <v>1436.47</v>
      </c>
      <c r="F97" s="2">
        <v>1647.04</v>
      </c>
      <c r="H97" s="1" t="s">
        <v>17</v>
      </c>
      <c r="I97" s="2">
        <v>9076.92</v>
      </c>
      <c r="J97" s="2">
        <v>6591.65</v>
      </c>
      <c r="K97" s="2">
        <v>9295.7900000000009</v>
      </c>
      <c r="L97" s="2">
        <v>6691.95</v>
      </c>
      <c r="O97" s="1" t="s">
        <v>17</v>
      </c>
      <c r="P97" s="2">
        <v>9076.92</v>
      </c>
      <c r="Q97" s="2">
        <v>6591.65</v>
      </c>
      <c r="R97" s="2">
        <v>9295.7900000000009</v>
      </c>
      <c r="S97" s="2">
        <v>6691.95</v>
      </c>
      <c r="V97" s="1" t="s">
        <v>17</v>
      </c>
      <c r="W97" s="2">
        <v>4.0199999999999996</v>
      </c>
      <c r="X97" s="2">
        <v>3.93</v>
      </c>
      <c r="Y97" s="2">
        <v>6.54</v>
      </c>
      <c r="Z97" s="2">
        <v>7.07</v>
      </c>
    </row>
    <row r="98" spans="2:26" x14ac:dyDescent="0.3">
      <c r="B98" s="1" t="s">
        <v>18</v>
      </c>
      <c r="C98" s="2">
        <v>307.02</v>
      </c>
      <c r="D98" s="2">
        <v>439.59</v>
      </c>
      <c r="E98" s="2">
        <v>501.14</v>
      </c>
      <c r="F98" s="2">
        <v>1345.49</v>
      </c>
      <c r="H98" s="1" t="s">
        <v>18</v>
      </c>
      <c r="I98" s="2">
        <v>5419.71</v>
      </c>
      <c r="J98" s="2">
        <v>3829.29</v>
      </c>
      <c r="K98" s="2">
        <v>12460.33</v>
      </c>
      <c r="L98" s="2">
        <v>5867.59</v>
      </c>
      <c r="O98" s="1" t="s">
        <v>18</v>
      </c>
      <c r="P98" s="2">
        <v>5419.71</v>
      </c>
      <c r="Q98" s="2">
        <v>3829.29</v>
      </c>
      <c r="R98" s="2">
        <v>12460.33</v>
      </c>
      <c r="S98" s="2">
        <v>5867.59</v>
      </c>
      <c r="V98" s="1" t="s">
        <v>18</v>
      </c>
      <c r="W98" s="2">
        <v>5.38</v>
      </c>
      <c r="X98" s="2">
        <v>6.12</v>
      </c>
      <c r="Y98" s="2">
        <v>7.68</v>
      </c>
      <c r="Z98" s="2">
        <v>8.1</v>
      </c>
    </row>
    <row r="99" spans="2:26" x14ac:dyDescent="0.3">
      <c r="B99" s="1" t="s">
        <v>19</v>
      </c>
      <c r="C99" s="2">
        <v>412.66</v>
      </c>
      <c r="D99" s="2">
        <v>557.66999999999996</v>
      </c>
      <c r="E99" s="2">
        <v>742.32</v>
      </c>
      <c r="F99" s="2">
        <v>1207.07</v>
      </c>
      <c r="H99" s="1" t="s">
        <v>19</v>
      </c>
      <c r="I99" s="2">
        <v>7468.25</v>
      </c>
      <c r="J99" s="2">
        <v>4829</v>
      </c>
      <c r="K99" s="2">
        <v>14678.71</v>
      </c>
      <c r="L99" s="2">
        <v>8612.39</v>
      </c>
      <c r="O99" s="1" t="s">
        <v>19</v>
      </c>
      <c r="P99" s="2">
        <v>7468.25</v>
      </c>
      <c r="Q99" s="2">
        <v>4829</v>
      </c>
      <c r="R99" s="2">
        <v>14678.71</v>
      </c>
      <c r="S99" s="2">
        <v>8612.39</v>
      </c>
      <c r="V99" s="1" t="s">
        <v>19</v>
      </c>
      <c r="W99" s="2">
        <v>6.12</v>
      </c>
      <c r="X99" s="2">
        <v>6.12</v>
      </c>
      <c r="Y99" s="2">
        <v>8.1</v>
      </c>
      <c r="Z99" s="2">
        <v>8.1</v>
      </c>
    </row>
    <row r="100" spans="2:26" x14ac:dyDescent="0.3">
      <c r="B100" s="1" t="s">
        <v>20</v>
      </c>
      <c r="C100" s="2">
        <v>641.67999999999995</v>
      </c>
      <c r="D100" s="2">
        <v>540.65</v>
      </c>
      <c r="E100" s="2">
        <v>702.49</v>
      </c>
      <c r="F100" s="2">
        <v>623.55999999999995</v>
      </c>
      <c r="H100" s="1" t="s">
        <v>20</v>
      </c>
      <c r="I100" s="2">
        <v>10880.53</v>
      </c>
      <c r="J100" s="2">
        <v>8049.76</v>
      </c>
      <c r="K100" s="2">
        <v>11436.93</v>
      </c>
      <c r="L100" s="2">
        <v>8799.42</v>
      </c>
      <c r="O100" s="1" t="s">
        <v>20</v>
      </c>
      <c r="P100" s="2">
        <v>10880.53</v>
      </c>
      <c r="Q100" s="2">
        <v>8049.76</v>
      </c>
      <c r="R100" s="2">
        <v>11436.93</v>
      </c>
      <c r="S100" s="2">
        <v>8799.42</v>
      </c>
      <c r="V100" s="1" t="s">
        <v>20</v>
      </c>
      <c r="W100" s="2">
        <v>3.84</v>
      </c>
      <c r="X100" s="2">
        <v>3.37</v>
      </c>
      <c r="Y100" s="2">
        <v>3.98</v>
      </c>
      <c r="Z100" s="2">
        <v>3.53</v>
      </c>
    </row>
    <row r="103" spans="2:26" x14ac:dyDescent="0.3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">
      <c r="B107" s="1" t="s">
        <v>13</v>
      </c>
      <c r="C107" s="2">
        <v>5.0129158050861863E-2</v>
      </c>
      <c r="D107" s="2">
        <v>4.1800325834438358E-2</v>
      </c>
      <c r="E107" s="2">
        <v>4.7573519054588807E-2</v>
      </c>
      <c r="F107" s="2">
        <v>3.6383037312405338E-2</v>
      </c>
      <c r="H107" s="1" t="s">
        <v>13</v>
      </c>
      <c r="I107" s="2">
        <v>769.23</v>
      </c>
      <c r="J107" s="2">
        <v>651.15</v>
      </c>
      <c r="K107" s="2">
        <v>740.79</v>
      </c>
      <c r="L107" s="2">
        <v>656.19</v>
      </c>
      <c r="O107" s="1" t="s">
        <v>13</v>
      </c>
      <c r="P107" s="2">
        <v>4358.97</v>
      </c>
      <c r="Q107" s="2">
        <v>3689.85</v>
      </c>
      <c r="R107" s="2">
        <v>4197.8100000000004</v>
      </c>
      <c r="S107" s="2">
        <v>3718.41</v>
      </c>
      <c r="V107" s="1" t="s">
        <v>13</v>
      </c>
      <c r="W107" s="2">
        <v>9.3699999999999992</v>
      </c>
      <c r="X107" s="2">
        <v>8.57</v>
      </c>
      <c r="Y107" s="2">
        <v>13.27</v>
      </c>
      <c r="Z107" s="2">
        <v>12.26</v>
      </c>
    </row>
    <row r="108" spans="2:26" x14ac:dyDescent="0.3">
      <c r="B108" s="1" t="s">
        <v>14</v>
      </c>
      <c r="C108" s="2">
        <v>5.374711874141868E-2</v>
      </c>
      <c r="D108" s="2">
        <v>2.4207522282353618E-2</v>
      </c>
      <c r="E108" s="2">
        <v>4.0220329868545332E-2</v>
      </c>
      <c r="F108" s="2">
        <v>1.5642285497872169E-2</v>
      </c>
      <c r="H108" s="1" t="s">
        <v>14</v>
      </c>
      <c r="I108" s="2">
        <v>598.51</v>
      </c>
      <c r="J108" s="2">
        <v>325.77999999999997</v>
      </c>
      <c r="K108" s="2">
        <v>575.54</v>
      </c>
      <c r="L108" s="2">
        <v>316.91000000000003</v>
      </c>
      <c r="O108" s="1" t="s">
        <v>14</v>
      </c>
      <c r="P108" s="2">
        <v>4832.1899999999996</v>
      </c>
      <c r="Q108" s="2">
        <v>1524.22</v>
      </c>
      <c r="R108" s="2">
        <v>4321.46</v>
      </c>
      <c r="S108" s="2">
        <v>1363.79</v>
      </c>
      <c r="V108" s="1" t="s">
        <v>14</v>
      </c>
      <c r="W108" s="2">
        <v>16.29</v>
      </c>
      <c r="X108" s="2">
        <v>10.28</v>
      </c>
      <c r="Y108" s="2">
        <v>18.54</v>
      </c>
      <c r="Z108" s="2">
        <v>11.46</v>
      </c>
    </row>
    <row r="109" spans="2:26" x14ac:dyDescent="0.3">
      <c r="B109" s="1" t="s">
        <v>15</v>
      </c>
      <c r="C109" s="2">
        <v>0.1873041594581894</v>
      </c>
      <c r="D109" s="2">
        <v>4.9946186793314397E-2</v>
      </c>
      <c r="E109" s="2">
        <v>0.14386775616674841</v>
      </c>
      <c r="F109" s="2">
        <v>3.6979822442812157E-2</v>
      </c>
      <c r="H109" s="1" t="s">
        <v>15</v>
      </c>
      <c r="I109" s="2">
        <v>1742.52</v>
      </c>
      <c r="J109" s="2">
        <v>477.7</v>
      </c>
      <c r="K109" s="2">
        <v>1491.3</v>
      </c>
      <c r="L109" s="2">
        <v>478.84</v>
      </c>
      <c r="O109" s="1" t="s">
        <v>15</v>
      </c>
      <c r="P109" s="2">
        <v>3898.58</v>
      </c>
      <c r="Q109" s="2">
        <v>3184.5</v>
      </c>
      <c r="R109" s="2">
        <v>5168.3999999999996</v>
      </c>
      <c r="S109" s="2">
        <v>3288.16</v>
      </c>
      <c r="V109" s="1" t="s">
        <v>15</v>
      </c>
      <c r="W109" s="2">
        <v>18.36</v>
      </c>
      <c r="X109" s="2">
        <v>15.89</v>
      </c>
      <c r="Y109" s="2">
        <v>24.3</v>
      </c>
      <c r="Z109" s="2">
        <v>20</v>
      </c>
    </row>
    <row r="110" spans="2:26" x14ac:dyDescent="0.3">
      <c r="B110" s="1" t="s">
        <v>16</v>
      </c>
      <c r="C110" s="2">
        <v>0.13330071143041969</v>
      </c>
      <c r="D110" s="2">
        <v>0.1059266977375574</v>
      </c>
      <c r="E110" s="2">
        <v>0.21337559128221389</v>
      </c>
      <c r="F110" s="2">
        <v>0.12123578724882331</v>
      </c>
      <c r="H110" s="1" t="s">
        <v>16</v>
      </c>
      <c r="I110" s="2">
        <v>1555.95</v>
      </c>
      <c r="J110" s="2">
        <v>1340.43</v>
      </c>
      <c r="K110" s="2">
        <v>2033.82</v>
      </c>
      <c r="L110" s="2">
        <v>1506.22</v>
      </c>
      <c r="O110" s="1" t="s">
        <v>16</v>
      </c>
      <c r="P110" s="2">
        <v>11597.55</v>
      </c>
      <c r="Q110" s="2">
        <v>9153.27</v>
      </c>
      <c r="R110" s="2">
        <v>12585.78</v>
      </c>
      <c r="S110" s="2">
        <v>11004.38</v>
      </c>
      <c r="V110" s="1" t="s">
        <v>16</v>
      </c>
      <c r="W110" s="2">
        <v>13.73</v>
      </c>
      <c r="X110" s="2">
        <v>10.87</v>
      </c>
      <c r="Y110" s="2">
        <v>24.3</v>
      </c>
      <c r="Z110" s="2">
        <v>20.010000000000002</v>
      </c>
    </row>
    <row r="111" spans="2:26" x14ac:dyDescent="0.3">
      <c r="B111" s="1" t="s">
        <v>17</v>
      </c>
      <c r="C111" s="2">
        <v>0.15373766631676641</v>
      </c>
      <c r="D111" s="2">
        <v>0.1583604941472776</v>
      </c>
      <c r="E111" s="2">
        <v>0.17387455136252791</v>
      </c>
      <c r="F111" s="2">
        <v>0.1738086168131914</v>
      </c>
      <c r="H111" s="1" t="s">
        <v>17</v>
      </c>
      <c r="I111" s="2">
        <v>1938.72</v>
      </c>
      <c r="J111" s="2">
        <v>1968.22</v>
      </c>
      <c r="K111" s="2">
        <v>2017.09</v>
      </c>
      <c r="L111" s="2">
        <v>2065.73</v>
      </c>
      <c r="O111" s="1" t="s">
        <v>17</v>
      </c>
      <c r="P111" s="2">
        <v>13504.48</v>
      </c>
      <c r="Q111" s="2">
        <v>13366.18</v>
      </c>
      <c r="R111" s="2">
        <v>14268.91</v>
      </c>
      <c r="S111" s="2">
        <v>14719.87</v>
      </c>
      <c r="V111" s="1" t="s">
        <v>17</v>
      </c>
      <c r="W111" s="2">
        <v>12.06</v>
      </c>
      <c r="X111" s="2">
        <v>11.79</v>
      </c>
      <c r="Y111" s="2">
        <v>19.62</v>
      </c>
      <c r="Z111" s="2">
        <v>21.2</v>
      </c>
    </row>
    <row r="112" spans="2:26" x14ac:dyDescent="0.3">
      <c r="B112" s="1" t="s">
        <v>18</v>
      </c>
      <c r="C112" s="2">
        <v>0.11169123444150469</v>
      </c>
      <c r="D112" s="2">
        <v>0.19177901980840781</v>
      </c>
      <c r="E112" s="2">
        <v>0.11229058508458049</v>
      </c>
      <c r="F112" s="2">
        <v>0.24536386451731729</v>
      </c>
      <c r="H112" s="1" t="s">
        <v>18</v>
      </c>
      <c r="I112" s="2">
        <v>1126.26</v>
      </c>
      <c r="J112" s="2">
        <v>1725.76</v>
      </c>
      <c r="K112" s="2">
        <v>1204.3800000000001</v>
      </c>
      <c r="L112" s="2">
        <v>2768.96</v>
      </c>
      <c r="O112" s="1" t="s">
        <v>18</v>
      </c>
      <c r="P112" s="2">
        <v>7626.14</v>
      </c>
      <c r="Q112" s="2">
        <v>9878.0400000000009</v>
      </c>
      <c r="R112" s="2">
        <v>8487.2199999999993</v>
      </c>
      <c r="S112" s="2">
        <v>10010.44</v>
      </c>
      <c r="V112" s="1" t="s">
        <v>18</v>
      </c>
      <c r="W112" s="2">
        <v>16.14</v>
      </c>
      <c r="X112" s="2">
        <v>18.36</v>
      </c>
      <c r="Y112" s="2">
        <v>23.05</v>
      </c>
      <c r="Z112" s="2">
        <v>24.3</v>
      </c>
    </row>
    <row r="113" spans="2:26" x14ac:dyDescent="0.3">
      <c r="B113" s="1" t="s">
        <v>19</v>
      </c>
      <c r="C113" s="2">
        <v>0.15371117544512941</v>
      </c>
      <c r="D113" s="2">
        <v>0.27354919626551921</v>
      </c>
      <c r="E113" s="2">
        <v>0.15813283444843079</v>
      </c>
      <c r="F113" s="2">
        <v>0.27656685857548952</v>
      </c>
      <c r="H113" s="1" t="s">
        <v>19</v>
      </c>
      <c r="I113" s="2">
        <v>1420.29</v>
      </c>
      <c r="J113" s="2">
        <v>2533.0500000000002</v>
      </c>
      <c r="K113" s="2">
        <v>1659.61</v>
      </c>
      <c r="L113" s="2">
        <v>3261.94</v>
      </c>
      <c r="O113" s="1" t="s">
        <v>19</v>
      </c>
      <c r="P113" s="2">
        <v>8355.91</v>
      </c>
      <c r="Q113" s="2">
        <v>10470.35</v>
      </c>
      <c r="R113" s="2">
        <v>8602.99</v>
      </c>
      <c r="S113" s="2">
        <v>10700.79</v>
      </c>
      <c r="V113" s="1" t="s">
        <v>19</v>
      </c>
      <c r="W113" s="2">
        <v>18.36</v>
      </c>
      <c r="X113" s="2">
        <v>18.36</v>
      </c>
      <c r="Y113" s="2">
        <v>24.3</v>
      </c>
      <c r="Z113" s="2">
        <v>24.3</v>
      </c>
    </row>
    <row r="114" spans="2:26" x14ac:dyDescent="0.3">
      <c r="B114" s="1" t="s">
        <v>20</v>
      </c>
      <c r="C114" s="2">
        <v>0.15637877611570969</v>
      </c>
      <c r="D114" s="2">
        <v>0.15443055713113171</v>
      </c>
      <c r="E114" s="2">
        <v>0.1106648327323644</v>
      </c>
      <c r="F114" s="2">
        <v>9.4019727592088723E-2</v>
      </c>
      <c r="H114" s="1" t="s">
        <v>20</v>
      </c>
      <c r="I114" s="2">
        <v>2367.58</v>
      </c>
      <c r="J114" s="2">
        <v>2588.0700000000002</v>
      </c>
      <c r="K114" s="2">
        <v>2417.9</v>
      </c>
      <c r="L114" s="2">
        <v>2541.54</v>
      </c>
      <c r="O114" s="1" t="s">
        <v>20</v>
      </c>
      <c r="P114" s="2">
        <v>11605.42</v>
      </c>
      <c r="Q114" s="2">
        <v>13465.43</v>
      </c>
      <c r="R114" s="2">
        <v>11921.1</v>
      </c>
      <c r="S114" s="2">
        <v>14663.96</v>
      </c>
      <c r="V114" s="1" t="s">
        <v>20</v>
      </c>
      <c r="W114" s="2">
        <v>11.53</v>
      </c>
      <c r="X114" s="2">
        <v>10.1</v>
      </c>
      <c r="Y114" s="2">
        <v>11.95</v>
      </c>
      <c r="Z114" s="2">
        <v>10.6</v>
      </c>
    </row>
    <row r="117" spans="2:26" x14ac:dyDescent="0.3">
      <c r="H117" t="s">
        <v>49</v>
      </c>
      <c r="O117" t="s">
        <v>50</v>
      </c>
      <c r="V117" t="s">
        <v>51</v>
      </c>
    </row>
    <row r="118" spans="2:26" x14ac:dyDescent="0.3">
      <c r="H118" s="1" t="s">
        <v>8</v>
      </c>
      <c r="I118" s="3" t="s">
        <v>9</v>
      </c>
      <c r="J118" s="3"/>
      <c r="K118" s="3" t="s">
        <v>10</v>
      </c>
      <c r="L118" s="3"/>
      <c r="O118" s="1" t="s">
        <v>8</v>
      </c>
      <c r="P118" s="3" t="s">
        <v>9</v>
      </c>
      <c r="Q118" s="3"/>
      <c r="R118" s="3" t="s">
        <v>10</v>
      </c>
      <c r="S118" s="3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">
      <c r="H119" s="1" t="s">
        <v>11</v>
      </c>
      <c r="I119" s="1" t="s">
        <v>2</v>
      </c>
      <c r="J119" s="1" t="s">
        <v>1</v>
      </c>
      <c r="K119" s="1" t="s">
        <v>2</v>
      </c>
      <c r="L119" s="1" t="s">
        <v>1</v>
      </c>
      <c r="O119" s="1" t="s">
        <v>11</v>
      </c>
      <c r="P119" s="1" t="s">
        <v>2</v>
      </c>
      <c r="Q119" s="1" t="s">
        <v>1</v>
      </c>
      <c r="R119" s="1" t="s">
        <v>2</v>
      </c>
      <c r="S119" s="1" t="s">
        <v>1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">
      <c r="H120" s="1" t="s">
        <v>12</v>
      </c>
      <c r="O120" s="1" t="s">
        <v>12</v>
      </c>
      <c r="V120" s="1" t="s">
        <v>12</v>
      </c>
    </row>
    <row r="121" spans="2:26" x14ac:dyDescent="0.3">
      <c r="H121" s="1" t="s">
        <v>13</v>
      </c>
      <c r="I121" s="2">
        <v>154.30000000000001</v>
      </c>
      <c r="J121" s="2">
        <v>115.67</v>
      </c>
      <c r="K121" s="2">
        <v>125.14</v>
      </c>
      <c r="L121" s="2">
        <v>83.23</v>
      </c>
      <c r="O121" s="1" t="s">
        <v>13</v>
      </c>
      <c r="P121" s="2">
        <v>154.30000000000001</v>
      </c>
      <c r="Q121" s="2">
        <v>115.67</v>
      </c>
      <c r="R121" s="2">
        <v>125.14</v>
      </c>
      <c r="S121" s="2">
        <v>83.23</v>
      </c>
      <c r="V121" s="1" t="s">
        <v>13</v>
      </c>
      <c r="W121" s="2">
        <v>12566.17</v>
      </c>
      <c r="X121" s="2">
        <v>23782.55</v>
      </c>
      <c r="Y121" s="2">
        <v>8587.1299999999992</v>
      </c>
      <c r="Z121" s="2">
        <v>14463.25</v>
      </c>
    </row>
    <row r="122" spans="2:26" x14ac:dyDescent="0.3">
      <c r="H122" s="1" t="s">
        <v>14</v>
      </c>
      <c r="I122" s="2">
        <v>42.01</v>
      </c>
      <c r="J122" s="2">
        <v>29.13</v>
      </c>
      <c r="K122" s="2">
        <v>66.58</v>
      </c>
      <c r="L122" s="2">
        <v>46.68</v>
      </c>
      <c r="O122" s="1" t="s">
        <v>14</v>
      </c>
      <c r="P122" s="2">
        <v>42.01</v>
      </c>
      <c r="Q122" s="2">
        <v>29.13</v>
      </c>
      <c r="R122" s="2">
        <v>66.58</v>
      </c>
      <c r="S122" s="2">
        <v>46.68</v>
      </c>
      <c r="V122" s="1" t="s">
        <v>14</v>
      </c>
      <c r="W122" s="2">
        <v>542.66</v>
      </c>
      <c r="X122" s="2">
        <v>984.69</v>
      </c>
      <c r="Y122" s="2">
        <v>669</v>
      </c>
      <c r="Z122" s="2">
        <v>1496.96</v>
      </c>
    </row>
    <row r="123" spans="2:26" x14ac:dyDescent="0.3">
      <c r="H123" s="1" t="s">
        <v>15</v>
      </c>
      <c r="I123" s="2">
        <v>197.55</v>
      </c>
      <c r="J123" s="2">
        <v>148.96</v>
      </c>
      <c r="K123" s="2">
        <v>88.23</v>
      </c>
      <c r="L123" s="2">
        <v>65.92</v>
      </c>
      <c r="O123" s="1" t="s">
        <v>15</v>
      </c>
      <c r="P123" s="2">
        <v>197.55</v>
      </c>
      <c r="Q123" s="2">
        <v>148.96</v>
      </c>
      <c r="R123" s="2">
        <v>88.23</v>
      </c>
      <c r="S123" s="2">
        <v>65.92</v>
      </c>
      <c r="V123" s="1" t="s">
        <v>15</v>
      </c>
      <c r="W123" s="2">
        <v>121.13</v>
      </c>
      <c r="X123" s="2">
        <v>1878.22</v>
      </c>
      <c r="Y123" s="2">
        <v>184.09</v>
      </c>
      <c r="Z123" s="2">
        <v>2332</v>
      </c>
    </row>
    <row r="124" spans="2:26" x14ac:dyDescent="0.3">
      <c r="H124" s="1" t="s">
        <v>16</v>
      </c>
      <c r="I124" s="2">
        <v>463.43</v>
      </c>
      <c r="J124" s="2">
        <v>244.82</v>
      </c>
      <c r="K124" s="2">
        <v>368.35</v>
      </c>
      <c r="L124" s="2">
        <v>318.49</v>
      </c>
      <c r="O124" s="1" t="s">
        <v>16</v>
      </c>
      <c r="P124" s="2">
        <v>463.43</v>
      </c>
      <c r="Q124" s="2">
        <v>244.82</v>
      </c>
      <c r="R124" s="2">
        <v>368.35</v>
      </c>
      <c r="S124" s="2">
        <v>318.49</v>
      </c>
      <c r="V124" s="1" t="s">
        <v>16</v>
      </c>
      <c r="W124" s="2">
        <v>691.41</v>
      </c>
      <c r="X124" s="2">
        <v>1138.73</v>
      </c>
      <c r="Y124" s="2">
        <v>307.06</v>
      </c>
      <c r="Z124" s="2">
        <v>553.45000000000005</v>
      </c>
    </row>
    <row r="125" spans="2:26" x14ac:dyDescent="0.3">
      <c r="H125" s="1" t="s">
        <v>17</v>
      </c>
      <c r="I125" s="2">
        <v>439.05</v>
      </c>
      <c r="J125" s="2">
        <v>340.66</v>
      </c>
      <c r="K125" s="2">
        <v>399.45</v>
      </c>
      <c r="L125" s="2">
        <v>284.33</v>
      </c>
      <c r="O125" s="1" t="s">
        <v>17</v>
      </c>
      <c r="P125" s="2">
        <v>439.05</v>
      </c>
      <c r="Q125" s="2">
        <v>340.66</v>
      </c>
      <c r="R125" s="2">
        <v>399.45</v>
      </c>
      <c r="S125" s="2">
        <v>284.33</v>
      </c>
      <c r="V125" s="1" t="s">
        <v>17</v>
      </c>
      <c r="W125" s="2">
        <v>847.95</v>
      </c>
      <c r="X125" s="2">
        <v>865.74</v>
      </c>
      <c r="Y125" s="2">
        <v>544.63</v>
      </c>
      <c r="Z125" s="2">
        <v>479.21</v>
      </c>
    </row>
    <row r="126" spans="2:26" x14ac:dyDescent="0.3">
      <c r="H126" s="1" t="s">
        <v>18</v>
      </c>
      <c r="I126" s="2">
        <v>206.97</v>
      </c>
      <c r="J126" s="2">
        <v>167.27</v>
      </c>
      <c r="K126" s="2">
        <v>391.5</v>
      </c>
      <c r="L126" s="2">
        <v>151.5</v>
      </c>
      <c r="O126" s="1" t="s">
        <v>18</v>
      </c>
      <c r="P126" s="2">
        <v>206.97</v>
      </c>
      <c r="Q126" s="2">
        <v>167.27</v>
      </c>
      <c r="R126" s="2">
        <v>391.5</v>
      </c>
      <c r="S126" s="2">
        <v>151.5</v>
      </c>
      <c r="V126" s="1" t="s">
        <v>18</v>
      </c>
      <c r="W126" s="2">
        <v>498.25</v>
      </c>
      <c r="X126" s="2">
        <v>301.47000000000003</v>
      </c>
      <c r="Y126" s="2">
        <v>446.29</v>
      </c>
      <c r="Z126" s="2">
        <v>171.25</v>
      </c>
    </row>
    <row r="127" spans="2:26" x14ac:dyDescent="0.3">
      <c r="H127" s="1" t="s">
        <v>19</v>
      </c>
      <c r="I127" s="2">
        <v>224.53</v>
      </c>
      <c r="J127" s="2">
        <v>160.82</v>
      </c>
      <c r="K127" s="2">
        <v>356.05</v>
      </c>
      <c r="L127" s="2">
        <v>175.15</v>
      </c>
      <c r="O127" s="1" t="s">
        <v>19</v>
      </c>
      <c r="P127" s="2">
        <v>224.53</v>
      </c>
      <c r="Q127" s="2">
        <v>160.82</v>
      </c>
      <c r="R127" s="2">
        <v>356.05</v>
      </c>
      <c r="S127" s="2">
        <v>175.15</v>
      </c>
      <c r="V127" s="1" t="s">
        <v>19</v>
      </c>
      <c r="W127" s="2">
        <v>795.58</v>
      </c>
      <c r="X127" s="2">
        <v>307.68</v>
      </c>
      <c r="Y127" s="2">
        <v>578.37</v>
      </c>
      <c r="Z127" s="2">
        <v>197.12</v>
      </c>
    </row>
    <row r="128" spans="2:26" x14ac:dyDescent="0.3">
      <c r="H128" s="1" t="s">
        <v>20</v>
      </c>
      <c r="I128" s="2">
        <v>207.38</v>
      </c>
      <c r="J128" s="2">
        <v>163.21</v>
      </c>
      <c r="K128" s="2">
        <v>209.2</v>
      </c>
      <c r="L128" s="2">
        <v>132.82</v>
      </c>
      <c r="O128" s="1" t="s">
        <v>20</v>
      </c>
      <c r="P128" s="2">
        <v>207.38</v>
      </c>
      <c r="Q128" s="2">
        <v>163.21</v>
      </c>
      <c r="R128" s="2">
        <v>209.2</v>
      </c>
      <c r="S128" s="2">
        <v>132.82</v>
      </c>
      <c r="V128" s="1" t="s">
        <v>20</v>
      </c>
      <c r="W128" s="2">
        <v>846.65</v>
      </c>
      <c r="X128" s="2">
        <v>1249.57</v>
      </c>
      <c r="Y128" s="2">
        <v>1766.32</v>
      </c>
      <c r="Z128" s="2">
        <v>3312.03</v>
      </c>
    </row>
    <row r="131" spans="8:19" x14ac:dyDescent="0.3">
      <c r="H131" t="s">
        <v>52</v>
      </c>
      <c r="O131" t="s">
        <v>53</v>
      </c>
    </row>
    <row r="132" spans="8:19" x14ac:dyDescent="0.3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">
      <c r="H134" s="1" t="s">
        <v>12</v>
      </c>
      <c r="O134" s="1" t="s">
        <v>12</v>
      </c>
    </row>
    <row r="135" spans="8:19" x14ac:dyDescent="0.3">
      <c r="H135" s="1" t="s">
        <v>13</v>
      </c>
      <c r="I135" s="2">
        <v>34.020000000000003</v>
      </c>
      <c r="J135" s="2">
        <v>24.48</v>
      </c>
      <c r="K135" s="2">
        <v>34.29</v>
      </c>
      <c r="L135" s="2">
        <v>27.81</v>
      </c>
      <c r="O135" s="1" t="s">
        <v>13</v>
      </c>
      <c r="P135" s="2">
        <v>192.78</v>
      </c>
      <c r="Q135" s="2">
        <v>138.72</v>
      </c>
      <c r="R135" s="2">
        <v>194.31</v>
      </c>
      <c r="S135" s="2">
        <v>157.59</v>
      </c>
    </row>
    <row r="136" spans="8:19" x14ac:dyDescent="0.3">
      <c r="H136" s="1" t="s">
        <v>14</v>
      </c>
      <c r="I136" s="2">
        <v>8.57</v>
      </c>
      <c r="J136" s="2">
        <v>13.73</v>
      </c>
      <c r="K136" s="2">
        <v>9.34</v>
      </c>
      <c r="L136" s="2">
        <v>14.8</v>
      </c>
      <c r="O136" s="1" t="s">
        <v>14</v>
      </c>
      <c r="P136" s="2">
        <v>69.430000000000007</v>
      </c>
      <c r="Q136" s="2">
        <v>64.27</v>
      </c>
      <c r="R136" s="2">
        <v>70.36</v>
      </c>
      <c r="S136" s="2">
        <v>63.7</v>
      </c>
    </row>
    <row r="137" spans="8:19" x14ac:dyDescent="0.3">
      <c r="H137" s="1" t="s">
        <v>15</v>
      </c>
      <c r="I137" s="2">
        <v>43.81</v>
      </c>
      <c r="J137" s="2">
        <v>19.39</v>
      </c>
      <c r="K137" s="2">
        <v>43.9</v>
      </c>
      <c r="L137" s="2">
        <v>19.61</v>
      </c>
      <c r="O137" s="1" t="s">
        <v>15</v>
      </c>
      <c r="P137" s="2">
        <v>98.09</v>
      </c>
      <c r="Q137" s="2">
        <v>129.51</v>
      </c>
      <c r="R137" s="2">
        <v>152.4</v>
      </c>
      <c r="S137" s="2">
        <v>134.99</v>
      </c>
    </row>
    <row r="138" spans="8:19" x14ac:dyDescent="0.3">
      <c r="H138" s="1" t="s">
        <v>16</v>
      </c>
      <c r="I138" s="2">
        <v>72.010000000000005</v>
      </c>
      <c r="J138" s="2">
        <v>93.67</v>
      </c>
      <c r="K138" s="2">
        <v>102.98</v>
      </c>
      <c r="L138" s="2">
        <v>81.86</v>
      </c>
      <c r="O138" s="1" t="s">
        <v>16</v>
      </c>
      <c r="P138" s="2">
        <v>537.89</v>
      </c>
      <c r="Q138" s="2">
        <v>640.42999999999995</v>
      </c>
      <c r="R138" s="2">
        <v>639.22</v>
      </c>
      <c r="S138" s="2">
        <v>599.74</v>
      </c>
    </row>
    <row r="139" spans="8:19" x14ac:dyDescent="0.3">
      <c r="H139" s="1" t="s">
        <v>17</v>
      </c>
      <c r="I139" s="2">
        <v>100.19</v>
      </c>
      <c r="J139" s="2">
        <v>83.63</v>
      </c>
      <c r="K139" s="2">
        <v>97.57</v>
      </c>
      <c r="L139" s="2">
        <v>88.77</v>
      </c>
      <c r="O139" s="1" t="s">
        <v>17</v>
      </c>
      <c r="P139" s="2">
        <v>699.01</v>
      </c>
      <c r="Q139" s="2">
        <v>568.77</v>
      </c>
      <c r="R139" s="2">
        <v>692.03</v>
      </c>
      <c r="S139" s="2">
        <v>634.42999999999995</v>
      </c>
    </row>
    <row r="140" spans="8:19" x14ac:dyDescent="0.3">
      <c r="H140" s="1" t="s">
        <v>18</v>
      </c>
      <c r="I140" s="2">
        <v>49.2</v>
      </c>
      <c r="J140" s="2">
        <v>44.56</v>
      </c>
      <c r="K140" s="2">
        <v>45.99</v>
      </c>
      <c r="L140" s="2">
        <v>87</v>
      </c>
      <c r="O140" s="1" t="s">
        <v>18</v>
      </c>
      <c r="P140" s="2">
        <v>333.8</v>
      </c>
      <c r="Q140" s="2">
        <v>255.64</v>
      </c>
      <c r="R140" s="2">
        <v>325.20999999999998</v>
      </c>
      <c r="S140" s="2">
        <v>315</v>
      </c>
    </row>
    <row r="141" spans="8:19" x14ac:dyDescent="0.3">
      <c r="H141" s="1" t="s">
        <v>19</v>
      </c>
      <c r="I141" s="2">
        <v>47.3</v>
      </c>
      <c r="J141" s="2">
        <v>51.52</v>
      </c>
      <c r="K141" s="2">
        <v>49.9</v>
      </c>
      <c r="L141" s="2">
        <v>79.12</v>
      </c>
      <c r="O141" s="1" t="s">
        <v>19</v>
      </c>
      <c r="P141" s="2">
        <v>278.89999999999998</v>
      </c>
      <c r="Q141" s="2">
        <v>213.28</v>
      </c>
      <c r="R141" s="2">
        <v>259.3</v>
      </c>
      <c r="S141" s="2">
        <v>259.93</v>
      </c>
    </row>
    <row r="142" spans="8:19" x14ac:dyDescent="0.3">
      <c r="H142" s="1" t="s">
        <v>20</v>
      </c>
      <c r="I142" s="2">
        <v>48</v>
      </c>
      <c r="J142" s="2">
        <v>39.06</v>
      </c>
      <c r="K142" s="2">
        <v>46.08</v>
      </c>
      <c r="L142" s="2">
        <v>46.49</v>
      </c>
      <c r="O142" s="1" t="s">
        <v>20</v>
      </c>
      <c r="P142" s="2">
        <v>235.5</v>
      </c>
      <c r="Q142" s="2">
        <v>203.44</v>
      </c>
      <c r="R142" s="2">
        <v>227.42</v>
      </c>
      <c r="S142" s="2">
        <v>268.51</v>
      </c>
    </row>
    <row r="145" spans="8:19" x14ac:dyDescent="0.3">
      <c r="H145" t="s">
        <v>54</v>
      </c>
      <c r="O145" t="s">
        <v>55</v>
      </c>
    </row>
    <row r="146" spans="8:19" x14ac:dyDescent="0.3">
      <c r="H146" s="1" t="s">
        <v>8</v>
      </c>
      <c r="I146" s="3" t="s">
        <v>9</v>
      </c>
      <c r="J146" s="3"/>
      <c r="K146" s="3" t="s">
        <v>10</v>
      </c>
      <c r="L146" s="3"/>
      <c r="O146" s="1" t="s">
        <v>8</v>
      </c>
      <c r="P146" s="3" t="s">
        <v>9</v>
      </c>
      <c r="Q146" s="3"/>
      <c r="R146" s="3" t="s">
        <v>10</v>
      </c>
      <c r="S146" s="3"/>
    </row>
    <row r="147" spans="8:19" x14ac:dyDescent="0.3">
      <c r="H147" s="1" t="s">
        <v>11</v>
      </c>
      <c r="I147" s="1" t="s">
        <v>2</v>
      </c>
      <c r="J147" s="1" t="s">
        <v>1</v>
      </c>
      <c r="K147" s="1" t="s">
        <v>2</v>
      </c>
      <c r="L147" s="1" t="s">
        <v>1</v>
      </c>
      <c r="O147" s="1" t="s">
        <v>11</v>
      </c>
      <c r="P147" s="1" t="s">
        <v>2</v>
      </c>
      <c r="Q147" s="1" t="s">
        <v>1</v>
      </c>
      <c r="R147" s="1" t="s">
        <v>2</v>
      </c>
      <c r="S147" s="1" t="s">
        <v>1</v>
      </c>
    </row>
    <row r="148" spans="8:19" x14ac:dyDescent="0.3">
      <c r="H148" s="1" t="s">
        <v>12</v>
      </c>
      <c r="O148" s="1" t="s">
        <v>12</v>
      </c>
    </row>
    <row r="149" spans="8:19" x14ac:dyDescent="0.3">
      <c r="H149" s="1" t="s">
        <v>13</v>
      </c>
      <c r="I149" s="2">
        <v>0</v>
      </c>
      <c r="J149" s="2">
        <v>3.67</v>
      </c>
      <c r="K149" s="2">
        <v>0</v>
      </c>
      <c r="L149" s="2">
        <v>3.67</v>
      </c>
      <c r="O149" s="1" t="s">
        <v>13</v>
      </c>
      <c r="P149" s="2">
        <v>0</v>
      </c>
      <c r="Q149" s="2">
        <v>3.67</v>
      </c>
      <c r="R149" s="2">
        <v>0</v>
      </c>
      <c r="S149" s="2">
        <v>3.67</v>
      </c>
    </row>
    <row r="150" spans="8:19" x14ac:dyDescent="0.3">
      <c r="H150" s="1" t="s">
        <v>14</v>
      </c>
      <c r="I150" s="2">
        <v>12.54</v>
      </c>
      <c r="J150" s="2">
        <v>10.6</v>
      </c>
      <c r="K150" s="2">
        <v>25.19</v>
      </c>
      <c r="L150" s="2">
        <v>29.68</v>
      </c>
      <c r="O150" s="1" t="s">
        <v>14</v>
      </c>
      <c r="P150" s="2">
        <v>12.54</v>
      </c>
      <c r="Q150" s="2">
        <v>10.6</v>
      </c>
      <c r="R150" s="2">
        <v>25.19</v>
      </c>
      <c r="S150" s="2">
        <v>29.68</v>
      </c>
    </row>
    <row r="151" spans="8:19" x14ac:dyDescent="0.3">
      <c r="H151" s="1" t="s">
        <v>15</v>
      </c>
      <c r="I151" s="2">
        <v>61.08</v>
      </c>
      <c r="J151" s="2">
        <v>53.33</v>
      </c>
      <c r="K151" s="2">
        <v>36.630000000000003</v>
      </c>
      <c r="L151" s="2">
        <v>27.22</v>
      </c>
      <c r="O151" s="1" t="s">
        <v>15</v>
      </c>
      <c r="P151" s="2">
        <v>61.08</v>
      </c>
      <c r="Q151" s="2">
        <v>53.33</v>
      </c>
      <c r="R151" s="2">
        <v>36.630000000000003</v>
      </c>
      <c r="S151" s="2">
        <v>27.22</v>
      </c>
    </row>
    <row r="152" spans="8:19" x14ac:dyDescent="0.3">
      <c r="H152" s="1" t="s">
        <v>16</v>
      </c>
      <c r="I152" s="2">
        <v>138.01</v>
      </c>
      <c r="J152" s="2">
        <v>62.61</v>
      </c>
      <c r="K152" s="2">
        <v>109.88</v>
      </c>
      <c r="L152" s="2">
        <v>90.7</v>
      </c>
      <c r="O152" s="1" t="s">
        <v>16</v>
      </c>
      <c r="P152" s="2">
        <v>138.01</v>
      </c>
      <c r="Q152" s="2">
        <v>62.61</v>
      </c>
      <c r="R152" s="2">
        <v>109.88</v>
      </c>
      <c r="S152" s="2">
        <v>90.7</v>
      </c>
    </row>
    <row r="153" spans="8:19" x14ac:dyDescent="0.3">
      <c r="H153" s="1" t="s">
        <v>17</v>
      </c>
      <c r="I153" s="2">
        <v>166.55</v>
      </c>
      <c r="J153" s="2">
        <v>135.02000000000001</v>
      </c>
      <c r="K153" s="2">
        <v>149.76</v>
      </c>
      <c r="L153" s="2">
        <v>123.59</v>
      </c>
      <c r="O153" s="1" t="s">
        <v>17</v>
      </c>
      <c r="P153" s="2">
        <v>166.55</v>
      </c>
      <c r="Q153" s="2">
        <v>135.02000000000001</v>
      </c>
      <c r="R153" s="2">
        <v>149.76</v>
      </c>
      <c r="S153" s="2">
        <v>123.59</v>
      </c>
    </row>
    <row r="154" spans="8:19" x14ac:dyDescent="0.3">
      <c r="H154" s="1" t="s">
        <v>18</v>
      </c>
      <c r="I154" s="2">
        <v>66.33</v>
      </c>
      <c r="J154" s="2">
        <v>54.76</v>
      </c>
      <c r="K154" s="2">
        <v>129.71</v>
      </c>
      <c r="L154" s="2">
        <v>46.52</v>
      </c>
      <c r="O154" s="1" t="s">
        <v>18</v>
      </c>
      <c r="P154" s="2">
        <v>66.33</v>
      </c>
      <c r="Q154" s="2">
        <v>54.76</v>
      </c>
      <c r="R154" s="2">
        <v>129.71</v>
      </c>
      <c r="S154" s="2">
        <v>46.52</v>
      </c>
    </row>
    <row r="155" spans="8:19" x14ac:dyDescent="0.3">
      <c r="H155" s="1" t="s">
        <v>19</v>
      </c>
      <c r="I155" s="2">
        <v>57.07</v>
      </c>
      <c r="J155" s="2">
        <v>44.27</v>
      </c>
      <c r="K155" s="2">
        <v>77.5</v>
      </c>
      <c r="L155" s="2">
        <v>39.159999999999997</v>
      </c>
      <c r="O155" s="1" t="s">
        <v>19</v>
      </c>
      <c r="P155" s="2">
        <v>57.07</v>
      </c>
      <c r="Q155" s="2">
        <v>44.27</v>
      </c>
      <c r="R155" s="2">
        <v>77.5</v>
      </c>
      <c r="S155" s="2">
        <v>39.159999999999997</v>
      </c>
    </row>
    <row r="156" spans="8:19" x14ac:dyDescent="0.3">
      <c r="H156" s="1" t="s">
        <v>20</v>
      </c>
      <c r="I156" s="2">
        <v>40.56</v>
      </c>
      <c r="J156" s="2">
        <v>27.34</v>
      </c>
      <c r="K156" s="2">
        <v>39.51</v>
      </c>
      <c r="L156" s="2">
        <v>22.73</v>
      </c>
      <c r="O156" s="1" t="s">
        <v>20</v>
      </c>
      <c r="P156" s="2">
        <v>40.56</v>
      </c>
      <c r="Q156" s="2">
        <v>27.34</v>
      </c>
      <c r="R156" s="2">
        <v>39.51</v>
      </c>
      <c r="S156" s="2">
        <v>22.73</v>
      </c>
    </row>
    <row r="159" spans="8:19" x14ac:dyDescent="0.3">
      <c r="H159" t="s">
        <v>56</v>
      </c>
      <c r="O159" t="s">
        <v>57</v>
      </c>
    </row>
    <row r="160" spans="8:19" x14ac:dyDescent="0.3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">
      <c r="H162" s="1" t="s">
        <v>12</v>
      </c>
      <c r="O162" s="1" t="s">
        <v>12</v>
      </c>
    </row>
    <row r="163" spans="8:19" x14ac:dyDescent="0.3">
      <c r="H163" s="1" t="s">
        <v>13</v>
      </c>
      <c r="I163" s="2">
        <v>1.08</v>
      </c>
      <c r="J163" s="2">
        <v>1.08</v>
      </c>
      <c r="K163" s="2">
        <v>0</v>
      </c>
      <c r="L163" s="2">
        <v>0</v>
      </c>
      <c r="O163" s="1" t="s">
        <v>13</v>
      </c>
      <c r="P163" s="2">
        <v>1.08</v>
      </c>
      <c r="Q163" s="2">
        <v>1.08</v>
      </c>
      <c r="R163" s="2">
        <v>0</v>
      </c>
      <c r="S163" s="2">
        <v>0</v>
      </c>
    </row>
    <row r="164" spans="8:19" x14ac:dyDescent="0.3">
      <c r="H164" s="1" t="s">
        <v>14</v>
      </c>
      <c r="I164" s="2">
        <v>3.12</v>
      </c>
      <c r="J164" s="2">
        <v>8.73</v>
      </c>
      <c r="K164" s="2">
        <v>2.79</v>
      </c>
      <c r="L164" s="2">
        <v>5.6</v>
      </c>
      <c r="O164" s="1" t="s">
        <v>14</v>
      </c>
      <c r="P164" s="2">
        <v>3.12</v>
      </c>
      <c r="Q164" s="2">
        <v>8.73</v>
      </c>
      <c r="R164" s="2">
        <v>2.79</v>
      </c>
      <c r="S164" s="2">
        <v>5.6</v>
      </c>
    </row>
    <row r="165" spans="8:19" x14ac:dyDescent="0.3">
      <c r="H165" s="1" t="s">
        <v>15</v>
      </c>
      <c r="I165" s="2">
        <v>15.68</v>
      </c>
      <c r="J165" s="2">
        <v>8.01</v>
      </c>
      <c r="K165" s="2">
        <v>13.57</v>
      </c>
      <c r="L165" s="2">
        <v>8.14</v>
      </c>
      <c r="O165" s="1" t="s">
        <v>15</v>
      </c>
      <c r="P165" s="2">
        <v>15.68</v>
      </c>
      <c r="Q165" s="2">
        <v>8.01</v>
      </c>
      <c r="R165" s="2">
        <v>13.57</v>
      </c>
      <c r="S165" s="2">
        <v>8.14</v>
      </c>
    </row>
    <row r="166" spans="8:19" x14ac:dyDescent="0.3">
      <c r="H166" s="1" t="s">
        <v>16</v>
      </c>
      <c r="I166" s="2">
        <v>18.41</v>
      </c>
      <c r="J166" s="2">
        <v>26.68</v>
      </c>
      <c r="K166" s="2">
        <v>30.67</v>
      </c>
      <c r="L166" s="2">
        <v>24.42</v>
      </c>
      <c r="O166" s="1" t="s">
        <v>16</v>
      </c>
      <c r="P166" s="2">
        <v>18.41</v>
      </c>
      <c r="Q166" s="2">
        <v>26.68</v>
      </c>
      <c r="R166" s="2">
        <v>30.67</v>
      </c>
      <c r="S166" s="2">
        <v>24.42</v>
      </c>
    </row>
    <row r="167" spans="8:19" x14ac:dyDescent="0.3">
      <c r="H167" s="1" t="s">
        <v>17</v>
      </c>
      <c r="I167" s="2">
        <v>39.71</v>
      </c>
      <c r="J167" s="2">
        <v>36.35</v>
      </c>
      <c r="K167" s="2">
        <v>37.01</v>
      </c>
      <c r="L167" s="2">
        <v>33.28</v>
      </c>
      <c r="O167" s="1" t="s">
        <v>17</v>
      </c>
      <c r="P167" s="2">
        <v>39.71</v>
      </c>
      <c r="Q167" s="2">
        <v>36.35</v>
      </c>
      <c r="R167" s="2">
        <v>37.01</v>
      </c>
      <c r="S167" s="2">
        <v>33.28</v>
      </c>
    </row>
    <row r="168" spans="8:19" x14ac:dyDescent="0.3">
      <c r="H168" s="1" t="s">
        <v>18</v>
      </c>
      <c r="I168" s="2">
        <v>16.100000000000001</v>
      </c>
      <c r="J168" s="2">
        <v>13.68</v>
      </c>
      <c r="K168" s="2">
        <v>14.74</v>
      </c>
      <c r="L168" s="2">
        <v>28.82</v>
      </c>
      <c r="O168" s="1" t="s">
        <v>18</v>
      </c>
      <c r="P168" s="2">
        <v>16.100000000000001</v>
      </c>
      <c r="Q168" s="2">
        <v>13.68</v>
      </c>
      <c r="R168" s="2">
        <v>14.74</v>
      </c>
      <c r="S168" s="2">
        <v>28.82</v>
      </c>
    </row>
    <row r="169" spans="8:19" x14ac:dyDescent="0.3">
      <c r="H169" s="1" t="s">
        <v>19</v>
      </c>
      <c r="I169" s="2">
        <v>13.02</v>
      </c>
      <c r="J169" s="2">
        <v>11.52</v>
      </c>
      <c r="K169" s="2">
        <v>12.68</v>
      </c>
      <c r="L169" s="2">
        <v>17.22</v>
      </c>
      <c r="O169" s="1" t="s">
        <v>19</v>
      </c>
      <c r="P169" s="2">
        <v>13.02</v>
      </c>
      <c r="Q169" s="2">
        <v>11.52</v>
      </c>
      <c r="R169" s="2">
        <v>12.68</v>
      </c>
      <c r="S169" s="2">
        <v>17.22</v>
      </c>
    </row>
    <row r="170" spans="8:19" x14ac:dyDescent="0.3">
      <c r="H170" s="1" t="s">
        <v>20</v>
      </c>
      <c r="I170" s="2">
        <v>8.0399999999999991</v>
      </c>
      <c r="J170" s="2">
        <v>6.69</v>
      </c>
      <c r="K170" s="2">
        <v>9.01</v>
      </c>
      <c r="L170" s="2">
        <v>8.7799999999999994</v>
      </c>
      <c r="O170" s="1" t="s">
        <v>20</v>
      </c>
      <c r="P170" s="2">
        <v>8.0399999999999991</v>
      </c>
      <c r="Q170" s="2">
        <v>6.69</v>
      </c>
      <c r="R170" s="2">
        <v>9.01</v>
      </c>
      <c r="S170" s="2">
        <v>8.7799999999999994</v>
      </c>
    </row>
    <row r="173" spans="8:19" x14ac:dyDescent="0.3">
      <c r="H173" t="s">
        <v>58</v>
      </c>
      <c r="O173" t="s">
        <v>59</v>
      </c>
    </row>
    <row r="174" spans="8:19" x14ac:dyDescent="0.3">
      <c r="H174" s="1" t="s">
        <v>8</v>
      </c>
      <c r="I174" s="3" t="s">
        <v>9</v>
      </c>
      <c r="J174" s="3"/>
      <c r="K174" s="3" t="s">
        <v>10</v>
      </c>
      <c r="L174" s="3"/>
      <c r="O174" s="1" t="s">
        <v>8</v>
      </c>
      <c r="P174" s="3" t="s">
        <v>9</v>
      </c>
      <c r="Q174" s="3"/>
      <c r="R174" s="3" t="s">
        <v>10</v>
      </c>
      <c r="S174" s="3"/>
    </row>
    <row r="175" spans="8:19" x14ac:dyDescent="0.3">
      <c r="H175" s="1" t="s">
        <v>11</v>
      </c>
      <c r="I175" s="1" t="s">
        <v>2</v>
      </c>
      <c r="J175" s="1" t="s">
        <v>1</v>
      </c>
      <c r="K175" s="1" t="s">
        <v>2</v>
      </c>
      <c r="L175" s="1" t="s">
        <v>1</v>
      </c>
      <c r="O175" s="1" t="s">
        <v>11</v>
      </c>
      <c r="P175" s="1" t="s">
        <v>2</v>
      </c>
      <c r="Q175" s="1" t="s">
        <v>1</v>
      </c>
      <c r="R175" s="1" t="s">
        <v>2</v>
      </c>
      <c r="S175" s="1" t="s">
        <v>1</v>
      </c>
    </row>
    <row r="176" spans="8:19" x14ac:dyDescent="0.3">
      <c r="H176" s="1" t="s">
        <v>12</v>
      </c>
      <c r="O176" s="1" t="s">
        <v>12</v>
      </c>
    </row>
    <row r="177" spans="8:19" x14ac:dyDescent="0.3">
      <c r="H177" s="1" t="s">
        <v>13</v>
      </c>
      <c r="I177" s="2">
        <v>337.23</v>
      </c>
      <c r="J177" s="2">
        <v>217.06</v>
      </c>
      <c r="K177" s="2">
        <v>337.23</v>
      </c>
      <c r="L177" s="2">
        <v>219.4</v>
      </c>
      <c r="O177" s="1" t="s">
        <v>13</v>
      </c>
      <c r="P177" s="2">
        <v>337.23</v>
      </c>
      <c r="Q177" s="2">
        <v>217.06</v>
      </c>
      <c r="R177" s="2">
        <v>337.23</v>
      </c>
      <c r="S177" s="2">
        <v>219.4</v>
      </c>
    </row>
    <row r="178" spans="8:19" x14ac:dyDescent="0.3">
      <c r="H178" s="1" t="s">
        <v>14</v>
      </c>
      <c r="I178" s="2">
        <v>51.54</v>
      </c>
      <c r="J178" s="2">
        <v>27.45</v>
      </c>
      <c r="K178" s="2">
        <v>98.38</v>
      </c>
      <c r="L178" s="2">
        <v>58.32</v>
      </c>
      <c r="O178" s="1" t="s">
        <v>14</v>
      </c>
      <c r="P178" s="2">
        <v>51.54</v>
      </c>
      <c r="Q178" s="2">
        <v>27.45</v>
      </c>
      <c r="R178" s="2">
        <v>98.38</v>
      </c>
      <c r="S178" s="2">
        <v>58.32</v>
      </c>
    </row>
    <row r="179" spans="8:19" x14ac:dyDescent="0.3">
      <c r="H179" s="1" t="s">
        <v>15</v>
      </c>
      <c r="I179" s="2">
        <v>150.52000000000001</v>
      </c>
      <c r="J179" s="2">
        <v>127.32</v>
      </c>
      <c r="K179" s="2">
        <v>58.65</v>
      </c>
      <c r="L179" s="2">
        <v>38.19</v>
      </c>
      <c r="O179" s="1" t="s">
        <v>15</v>
      </c>
      <c r="P179" s="2">
        <v>150.52000000000001</v>
      </c>
      <c r="Q179" s="2">
        <v>127.32</v>
      </c>
      <c r="R179" s="2">
        <v>58.65</v>
      </c>
      <c r="S179" s="2">
        <v>38.19</v>
      </c>
    </row>
    <row r="180" spans="8:19" x14ac:dyDescent="0.3">
      <c r="H180" s="1" t="s">
        <v>16</v>
      </c>
      <c r="I180" s="2">
        <v>272.36</v>
      </c>
      <c r="J180" s="2">
        <v>122.83</v>
      </c>
      <c r="K180" s="2">
        <v>216.55</v>
      </c>
      <c r="L180" s="2">
        <v>156.96</v>
      </c>
      <c r="O180" s="1" t="s">
        <v>16</v>
      </c>
      <c r="P180" s="2">
        <v>272.36</v>
      </c>
      <c r="Q180" s="2">
        <v>122.83</v>
      </c>
      <c r="R180" s="2">
        <v>216.55</v>
      </c>
      <c r="S180" s="2">
        <v>156.96</v>
      </c>
    </row>
    <row r="181" spans="8:19" x14ac:dyDescent="0.3">
      <c r="H181" s="1" t="s">
        <v>17</v>
      </c>
      <c r="I181" s="2">
        <v>329.45</v>
      </c>
      <c r="J181" s="2">
        <v>207.78</v>
      </c>
      <c r="K181" s="2">
        <v>349.56</v>
      </c>
      <c r="L181" s="2">
        <v>235.07</v>
      </c>
      <c r="O181" s="1" t="s">
        <v>17</v>
      </c>
      <c r="P181" s="2">
        <v>329.45</v>
      </c>
      <c r="Q181" s="2">
        <v>207.78</v>
      </c>
      <c r="R181" s="2">
        <v>349.56</v>
      </c>
      <c r="S181" s="2">
        <v>235.07</v>
      </c>
    </row>
    <row r="182" spans="8:19" x14ac:dyDescent="0.3">
      <c r="H182" s="1" t="s">
        <v>18</v>
      </c>
      <c r="I182" s="2">
        <v>97.85</v>
      </c>
      <c r="J182" s="2">
        <v>64.67</v>
      </c>
      <c r="K182" s="2">
        <v>249.16</v>
      </c>
      <c r="L182" s="2">
        <v>81.400000000000006</v>
      </c>
      <c r="O182" s="1" t="s">
        <v>18</v>
      </c>
      <c r="P182" s="2">
        <v>97.85</v>
      </c>
      <c r="Q182" s="2">
        <v>64.67</v>
      </c>
      <c r="R182" s="2">
        <v>249.16</v>
      </c>
      <c r="S182" s="2">
        <v>81.400000000000006</v>
      </c>
    </row>
    <row r="183" spans="8:19" x14ac:dyDescent="0.3">
      <c r="H183" s="1" t="s">
        <v>19</v>
      </c>
      <c r="I183" s="2">
        <v>137.47</v>
      </c>
      <c r="J183" s="2">
        <v>76.42</v>
      </c>
      <c r="K183" s="2">
        <v>223.53</v>
      </c>
      <c r="L183" s="2">
        <v>103.27</v>
      </c>
      <c r="O183" s="1" t="s">
        <v>19</v>
      </c>
      <c r="P183" s="2">
        <v>137.47</v>
      </c>
      <c r="Q183" s="2">
        <v>76.42</v>
      </c>
      <c r="R183" s="2">
        <v>223.53</v>
      </c>
      <c r="S183" s="2">
        <v>103.27</v>
      </c>
    </row>
    <row r="184" spans="8:19" x14ac:dyDescent="0.3">
      <c r="H184" s="1" t="s">
        <v>20</v>
      </c>
      <c r="I184" s="2">
        <v>264.56</v>
      </c>
      <c r="J184" s="2">
        <v>189.18</v>
      </c>
      <c r="K184" s="2">
        <v>264.75</v>
      </c>
      <c r="L184" s="2">
        <v>181.92</v>
      </c>
      <c r="O184" s="1" t="s">
        <v>20</v>
      </c>
      <c r="P184" s="2">
        <v>264.56</v>
      </c>
      <c r="Q184" s="2">
        <v>189.18</v>
      </c>
      <c r="R184" s="2">
        <v>264.75</v>
      </c>
      <c r="S184" s="2">
        <v>181.92</v>
      </c>
    </row>
    <row r="187" spans="8:19" x14ac:dyDescent="0.3">
      <c r="H187" t="s">
        <v>60</v>
      </c>
      <c r="O187" t="s">
        <v>61</v>
      </c>
    </row>
    <row r="188" spans="8:19" x14ac:dyDescent="0.3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">
      <c r="H190" s="1" t="s">
        <v>12</v>
      </c>
      <c r="O190" s="1" t="s">
        <v>12</v>
      </c>
    </row>
    <row r="191" spans="8:19" x14ac:dyDescent="0.3">
      <c r="H191" s="1" t="s">
        <v>13</v>
      </c>
      <c r="I191" s="2">
        <v>63.84</v>
      </c>
      <c r="J191" s="2">
        <v>64.53</v>
      </c>
      <c r="K191" s="2">
        <v>74.94</v>
      </c>
      <c r="L191" s="2">
        <v>74.94</v>
      </c>
      <c r="O191" s="1" t="s">
        <v>13</v>
      </c>
      <c r="P191" s="2">
        <v>63.84</v>
      </c>
      <c r="Q191" s="2">
        <v>64.53</v>
      </c>
      <c r="R191" s="2">
        <v>74.94</v>
      </c>
      <c r="S191" s="2">
        <v>74.94</v>
      </c>
    </row>
    <row r="192" spans="8:19" x14ac:dyDescent="0.3">
      <c r="H192" s="1" t="s">
        <v>14</v>
      </c>
      <c r="I192" s="2">
        <v>8.07</v>
      </c>
      <c r="J192" s="2">
        <v>17.149999999999999</v>
      </c>
      <c r="K192" s="2">
        <v>11.45</v>
      </c>
      <c r="L192" s="2">
        <v>21.86</v>
      </c>
      <c r="O192" s="1" t="s">
        <v>14</v>
      </c>
      <c r="P192" s="2">
        <v>8.07</v>
      </c>
      <c r="Q192" s="2">
        <v>17.149999999999999</v>
      </c>
      <c r="R192" s="2">
        <v>11.45</v>
      </c>
      <c r="S192" s="2">
        <v>21.86</v>
      </c>
    </row>
    <row r="193" spans="8:19" x14ac:dyDescent="0.3">
      <c r="H193" s="1" t="s">
        <v>15</v>
      </c>
      <c r="I193" s="2">
        <v>37.450000000000003</v>
      </c>
      <c r="J193" s="2">
        <v>11.23</v>
      </c>
      <c r="K193" s="2">
        <v>33.450000000000003</v>
      </c>
      <c r="L193" s="2">
        <v>13.03</v>
      </c>
      <c r="O193" s="1" t="s">
        <v>15</v>
      </c>
      <c r="P193" s="2">
        <v>37.450000000000003</v>
      </c>
      <c r="Q193" s="2">
        <v>11.23</v>
      </c>
      <c r="R193" s="2">
        <v>33.450000000000003</v>
      </c>
      <c r="S193" s="2">
        <v>13.03</v>
      </c>
    </row>
    <row r="194" spans="8:19" x14ac:dyDescent="0.3">
      <c r="H194" s="1" t="s">
        <v>16</v>
      </c>
      <c r="I194" s="2">
        <v>36.130000000000003</v>
      </c>
      <c r="J194" s="2">
        <v>46.16</v>
      </c>
      <c r="K194" s="2">
        <v>60.53</v>
      </c>
      <c r="L194" s="2">
        <v>48.12</v>
      </c>
      <c r="O194" s="1" t="s">
        <v>16</v>
      </c>
      <c r="P194" s="2">
        <v>36.130000000000003</v>
      </c>
      <c r="Q194" s="2">
        <v>46.16</v>
      </c>
      <c r="R194" s="2">
        <v>60.53</v>
      </c>
      <c r="S194" s="2">
        <v>48.12</v>
      </c>
    </row>
    <row r="195" spans="8:19" x14ac:dyDescent="0.3">
      <c r="H195" s="1" t="s">
        <v>17</v>
      </c>
      <c r="I195" s="2">
        <v>61.11</v>
      </c>
      <c r="J195" s="2">
        <v>69.14</v>
      </c>
      <c r="K195" s="2">
        <v>73.209999999999994</v>
      </c>
      <c r="L195" s="2">
        <v>77.680000000000007</v>
      </c>
      <c r="O195" s="1" t="s">
        <v>17</v>
      </c>
      <c r="P195" s="2">
        <v>61.11</v>
      </c>
      <c r="Q195" s="2">
        <v>69.14</v>
      </c>
      <c r="R195" s="2">
        <v>73.209999999999994</v>
      </c>
      <c r="S195" s="2">
        <v>77.680000000000007</v>
      </c>
    </row>
    <row r="196" spans="8:19" x14ac:dyDescent="0.3">
      <c r="H196" s="1" t="s">
        <v>18</v>
      </c>
      <c r="I196" s="2">
        <v>19.02</v>
      </c>
      <c r="J196" s="2">
        <v>23.94</v>
      </c>
      <c r="K196" s="2">
        <v>21.75</v>
      </c>
      <c r="L196" s="2">
        <v>55.37</v>
      </c>
      <c r="O196" s="1" t="s">
        <v>18</v>
      </c>
      <c r="P196" s="2">
        <v>19.02</v>
      </c>
      <c r="Q196" s="2">
        <v>23.94</v>
      </c>
      <c r="R196" s="2">
        <v>21.75</v>
      </c>
      <c r="S196" s="2">
        <v>55.37</v>
      </c>
    </row>
    <row r="197" spans="8:19" x14ac:dyDescent="0.3">
      <c r="H197" s="1" t="s">
        <v>19</v>
      </c>
      <c r="I197" s="2">
        <v>22.48</v>
      </c>
      <c r="J197" s="2">
        <v>30.37</v>
      </c>
      <c r="K197" s="2">
        <v>30.55</v>
      </c>
      <c r="L197" s="2">
        <v>49.67</v>
      </c>
      <c r="O197" s="1" t="s">
        <v>19</v>
      </c>
      <c r="P197" s="2">
        <v>22.48</v>
      </c>
      <c r="Q197" s="2">
        <v>30.37</v>
      </c>
      <c r="R197" s="2">
        <v>30.55</v>
      </c>
      <c r="S197" s="2">
        <v>49.67</v>
      </c>
    </row>
    <row r="198" spans="8:19" x14ac:dyDescent="0.3">
      <c r="H198" s="1" t="s">
        <v>20</v>
      </c>
      <c r="I198" s="2">
        <v>55.64</v>
      </c>
      <c r="J198" s="2">
        <v>53.51</v>
      </c>
      <c r="K198" s="2">
        <v>58.79</v>
      </c>
      <c r="L198" s="2">
        <v>58.83</v>
      </c>
      <c r="O198" s="1" t="s">
        <v>20</v>
      </c>
      <c r="P198" s="2">
        <v>55.64</v>
      </c>
      <c r="Q198" s="2">
        <v>53.51</v>
      </c>
      <c r="R198" s="2">
        <v>58.79</v>
      </c>
      <c r="S198" s="2">
        <v>58.83</v>
      </c>
    </row>
    <row r="201" spans="8:19" x14ac:dyDescent="0.3">
      <c r="H201" t="s">
        <v>62</v>
      </c>
      <c r="O201" t="s">
        <v>63</v>
      </c>
    </row>
    <row r="202" spans="8:19" x14ac:dyDescent="0.3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3" t="s">
        <v>9</v>
      </c>
      <c r="Q202" s="3"/>
      <c r="R202" s="3" t="s">
        <v>10</v>
      </c>
      <c r="S202" s="3"/>
    </row>
    <row r="203" spans="8:19" x14ac:dyDescent="0.3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2</v>
      </c>
      <c r="Q203" s="1" t="s">
        <v>1</v>
      </c>
      <c r="R203" s="1" t="s">
        <v>2</v>
      </c>
      <c r="S203" s="1" t="s">
        <v>1</v>
      </c>
    </row>
    <row r="204" spans="8:19" x14ac:dyDescent="0.3">
      <c r="H204" s="1" t="s">
        <v>12</v>
      </c>
      <c r="O204" s="1" t="s">
        <v>12</v>
      </c>
    </row>
    <row r="205" spans="8:19" x14ac:dyDescent="0.3">
      <c r="H205" s="1" t="s">
        <v>13</v>
      </c>
      <c r="I205" s="2">
        <v>0.01</v>
      </c>
      <c r="J205" s="2">
        <v>0</v>
      </c>
      <c r="K205" s="2">
        <v>0.01</v>
      </c>
      <c r="L205" s="2">
        <v>0.01</v>
      </c>
      <c r="O205" s="1" t="s">
        <v>13</v>
      </c>
      <c r="P205" s="2">
        <v>337.23</v>
      </c>
      <c r="Q205" s="2">
        <v>217.06</v>
      </c>
      <c r="R205" s="2">
        <v>337.23</v>
      </c>
      <c r="S205" s="2">
        <v>219.4</v>
      </c>
    </row>
    <row r="206" spans="8:19" x14ac:dyDescent="0.3">
      <c r="H206" s="1" t="s">
        <v>14</v>
      </c>
      <c r="I206" s="2">
        <v>0.15</v>
      </c>
      <c r="J206" s="2">
        <v>0.06</v>
      </c>
      <c r="K206" s="2">
        <v>0.11</v>
      </c>
      <c r="L206" s="2">
        <v>0.04</v>
      </c>
      <c r="O206" s="1" t="s">
        <v>14</v>
      </c>
      <c r="P206" s="2">
        <v>51.54</v>
      </c>
      <c r="Q206" s="2">
        <v>27.45</v>
      </c>
      <c r="R206" s="2">
        <v>98.38</v>
      </c>
      <c r="S206" s="2">
        <v>58.32</v>
      </c>
    </row>
    <row r="207" spans="8:19" x14ac:dyDescent="0.3">
      <c r="H207" s="1" t="s">
        <v>15</v>
      </c>
      <c r="I207" s="2">
        <v>0.37</v>
      </c>
      <c r="J207" s="2">
        <v>0.04</v>
      </c>
      <c r="K207" s="2">
        <v>0.3</v>
      </c>
      <c r="L207" s="2">
        <v>0.03</v>
      </c>
      <c r="O207" s="1" t="s">
        <v>15</v>
      </c>
      <c r="P207" s="2">
        <v>150.52000000000001</v>
      </c>
      <c r="Q207" s="2">
        <v>127.32</v>
      </c>
      <c r="R207" s="2">
        <v>58.65</v>
      </c>
      <c r="S207" s="2">
        <v>38.19</v>
      </c>
    </row>
    <row r="208" spans="8:19" x14ac:dyDescent="0.3">
      <c r="H208" s="1" t="s">
        <v>16</v>
      </c>
      <c r="I208" s="2">
        <v>0.11</v>
      </c>
      <c r="J208" s="2">
        <v>0.06</v>
      </c>
      <c r="K208" s="2">
        <v>0.23</v>
      </c>
      <c r="L208" s="2">
        <v>0.14000000000000001</v>
      </c>
      <c r="O208" s="1" t="s">
        <v>16</v>
      </c>
      <c r="P208" s="2">
        <v>272.36</v>
      </c>
      <c r="Q208" s="2">
        <v>122.83</v>
      </c>
      <c r="R208" s="2">
        <v>216.55</v>
      </c>
      <c r="S208" s="2">
        <v>156.96</v>
      </c>
    </row>
    <row r="209" spans="8:19" x14ac:dyDescent="0.3">
      <c r="H209" s="1" t="s">
        <v>17</v>
      </c>
      <c r="I209" s="2">
        <v>0.09</v>
      </c>
      <c r="J209" s="2">
        <v>0.08</v>
      </c>
      <c r="K209" s="2">
        <v>0.14000000000000001</v>
      </c>
      <c r="L209" s="2">
        <v>0.16</v>
      </c>
      <c r="O209" s="1" t="s">
        <v>17</v>
      </c>
      <c r="P209" s="2">
        <v>329.45</v>
      </c>
      <c r="Q209" s="2">
        <v>207.78</v>
      </c>
      <c r="R209" s="2">
        <v>349.56</v>
      </c>
      <c r="S209" s="2">
        <v>235.07</v>
      </c>
    </row>
    <row r="210" spans="8:19" x14ac:dyDescent="0.3">
      <c r="H210" s="1" t="s">
        <v>18</v>
      </c>
      <c r="I210" s="2">
        <v>0.15</v>
      </c>
      <c r="J210" s="2">
        <v>0.24</v>
      </c>
      <c r="K210" s="2">
        <v>0.17</v>
      </c>
      <c r="L210" s="2">
        <v>0.36</v>
      </c>
      <c r="O210" s="1" t="s">
        <v>18</v>
      </c>
      <c r="P210" s="2">
        <v>97.85</v>
      </c>
      <c r="Q210" s="2">
        <v>64.67</v>
      </c>
      <c r="R210" s="2">
        <v>249.16</v>
      </c>
      <c r="S210" s="2">
        <v>81.400000000000006</v>
      </c>
    </row>
    <row r="211" spans="8:19" x14ac:dyDescent="0.3">
      <c r="H211" s="1" t="s">
        <v>19</v>
      </c>
      <c r="I211" s="2">
        <v>0.09</v>
      </c>
      <c r="J211" s="2">
        <v>0.21</v>
      </c>
      <c r="K211" s="2">
        <v>0.12</v>
      </c>
      <c r="L211" s="2">
        <v>0.3</v>
      </c>
      <c r="O211" s="1" t="s">
        <v>19</v>
      </c>
      <c r="P211" s="2">
        <v>137.47</v>
      </c>
      <c r="Q211" s="2">
        <v>76.42</v>
      </c>
      <c r="R211" s="2">
        <v>223.53</v>
      </c>
      <c r="S211" s="2">
        <v>103.27</v>
      </c>
    </row>
    <row r="212" spans="8:19" x14ac:dyDescent="0.3">
      <c r="H212" s="1" t="s">
        <v>20</v>
      </c>
      <c r="I212" s="2">
        <v>0.08</v>
      </c>
      <c r="J212" s="2">
        <v>0.06</v>
      </c>
      <c r="K212" s="2">
        <v>0.04</v>
      </c>
      <c r="L212" s="2">
        <v>0.02</v>
      </c>
      <c r="O212" s="1" t="s">
        <v>20</v>
      </c>
      <c r="P212" s="2">
        <v>264.56</v>
      </c>
      <c r="Q212" s="2">
        <v>189.18</v>
      </c>
      <c r="R212" s="2">
        <v>264.75</v>
      </c>
      <c r="S212" s="2">
        <v>181.92</v>
      </c>
    </row>
    <row r="215" spans="8:19" x14ac:dyDescent="0.3">
      <c r="H215" t="s">
        <v>64</v>
      </c>
      <c r="O215" t="s">
        <v>65</v>
      </c>
    </row>
    <row r="216" spans="8:19" x14ac:dyDescent="0.3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">
      <c r="H218" s="1" t="s">
        <v>12</v>
      </c>
      <c r="O218" s="1" t="s">
        <v>12</v>
      </c>
    </row>
    <row r="219" spans="8:19" x14ac:dyDescent="0.3">
      <c r="H219" s="1" t="s">
        <v>13</v>
      </c>
      <c r="I219" s="2">
        <v>0</v>
      </c>
      <c r="J219" s="2">
        <v>0</v>
      </c>
      <c r="K219" s="2">
        <v>0.01</v>
      </c>
      <c r="L219" s="2">
        <v>0</v>
      </c>
      <c r="O219" s="1" t="s">
        <v>13</v>
      </c>
      <c r="P219" s="2">
        <v>63.84</v>
      </c>
      <c r="Q219" s="2">
        <v>64.53</v>
      </c>
      <c r="R219" s="2">
        <v>74.94</v>
      </c>
      <c r="S219" s="2">
        <v>74.94</v>
      </c>
    </row>
    <row r="220" spans="8:19" x14ac:dyDescent="0.3">
      <c r="H220" s="1" t="s">
        <v>14</v>
      </c>
      <c r="I220" s="2">
        <v>0.1</v>
      </c>
      <c r="J220" s="2">
        <v>0.04</v>
      </c>
      <c r="K220" s="2">
        <v>0.08</v>
      </c>
      <c r="L220" s="2">
        <v>0.03</v>
      </c>
      <c r="O220" s="1" t="s">
        <v>14</v>
      </c>
      <c r="P220" s="2">
        <v>8.07</v>
      </c>
      <c r="Q220" s="2">
        <v>17.149999999999999</v>
      </c>
      <c r="R220" s="2">
        <v>11.45</v>
      </c>
      <c r="S220" s="2">
        <v>21.86</v>
      </c>
    </row>
    <row r="221" spans="8:19" x14ac:dyDescent="0.3">
      <c r="H221" s="1" t="s">
        <v>15</v>
      </c>
      <c r="I221" s="2">
        <v>0.26</v>
      </c>
      <c r="J221" s="2">
        <v>0.03</v>
      </c>
      <c r="K221" s="2">
        <v>0.21</v>
      </c>
      <c r="L221" s="2">
        <v>0.02</v>
      </c>
      <c r="O221" s="1" t="s">
        <v>15</v>
      </c>
      <c r="P221" s="2">
        <v>37.450000000000003</v>
      </c>
      <c r="Q221" s="2">
        <v>11.23</v>
      </c>
      <c r="R221" s="2">
        <v>33.450000000000003</v>
      </c>
      <c r="S221" s="2">
        <v>13.03</v>
      </c>
    </row>
    <row r="222" spans="8:19" x14ac:dyDescent="0.3">
      <c r="H222" s="1" t="s">
        <v>16</v>
      </c>
      <c r="I222" s="2">
        <v>0.08</v>
      </c>
      <c r="J222" s="2">
        <v>0.05</v>
      </c>
      <c r="K222" s="2">
        <v>0.16</v>
      </c>
      <c r="L222" s="2">
        <v>0.1</v>
      </c>
      <c r="O222" s="1" t="s">
        <v>16</v>
      </c>
      <c r="P222" s="2">
        <v>36.130000000000003</v>
      </c>
      <c r="Q222" s="2">
        <v>46.16</v>
      </c>
      <c r="R222" s="2">
        <v>60.53</v>
      </c>
      <c r="S222" s="2">
        <v>48.12</v>
      </c>
    </row>
    <row r="223" spans="8:19" x14ac:dyDescent="0.3">
      <c r="H223" s="1" t="s">
        <v>17</v>
      </c>
      <c r="I223" s="2">
        <v>0.06</v>
      </c>
      <c r="J223" s="2">
        <v>0.06</v>
      </c>
      <c r="K223" s="2">
        <v>0.1</v>
      </c>
      <c r="L223" s="2">
        <v>0.11</v>
      </c>
      <c r="O223" s="1" t="s">
        <v>17</v>
      </c>
      <c r="P223" s="2">
        <v>61.11</v>
      </c>
      <c r="Q223" s="2">
        <v>69.14</v>
      </c>
      <c r="R223" s="2">
        <v>73.209999999999994</v>
      </c>
      <c r="S223" s="2">
        <v>77.680000000000007</v>
      </c>
    </row>
    <row r="224" spans="8:19" x14ac:dyDescent="0.3">
      <c r="H224" s="1" t="s">
        <v>18</v>
      </c>
      <c r="I224" s="2">
        <v>0.11</v>
      </c>
      <c r="J224" s="2">
        <v>0.17</v>
      </c>
      <c r="K224" s="2">
        <v>0.12</v>
      </c>
      <c r="L224" s="2">
        <v>0.25</v>
      </c>
      <c r="O224" s="1" t="s">
        <v>18</v>
      </c>
      <c r="P224" s="2">
        <v>19.02</v>
      </c>
      <c r="Q224" s="2">
        <v>23.94</v>
      </c>
      <c r="R224" s="2">
        <v>21.75</v>
      </c>
      <c r="S224" s="2">
        <v>55.37</v>
      </c>
    </row>
    <row r="225" spans="8:19" x14ac:dyDescent="0.3">
      <c r="H225" s="1" t="s">
        <v>19</v>
      </c>
      <c r="I225" s="2">
        <v>0.06</v>
      </c>
      <c r="J225" s="2">
        <v>0.15</v>
      </c>
      <c r="K225" s="2">
        <v>0.08</v>
      </c>
      <c r="L225" s="2">
        <v>0.21</v>
      </c>
      <c r="O225" s="1" t="s">
        <v>19</v>
      </c>
      <c r="P225" s="2">
        <v>22.48</v>
      </c>
      <c r="Q225" s="2">
        <v>30.37</v>
      </c>
      <c r="R225" s="2">
        <v>30.55</v>
      </c>
      <c r="S225" s="2">
        <v>49.67</v>
      </c>
    </row>
    <row r="226" spans="8:19" x14ac:dyDescent="0.3">
      <c r="H226" s="1" t="s">
        <v>20</v>
      </c>
      <c r="I226" s="2">
        <v>0.06</v>
      </c>
      <c r="J226" s="2">
        <v>0.04</v>
      </c>
      <c r="K226" s="2">
        <v>0.03</v>
      </c>
      <c r="L226" s="2">
        <v>0.02</v>
      </c>
      <c r="O226" s="1" t="s">
        <v>20</v>
      </c>
      <c r="P226" s="2">
        <v>55.64</v>
      </c>
      <c r="Q226" s="2">
        <v>53.51</v>
      </c>
      <c r="R226" s="2">
        <v>58.79</v>
      </c>
      <c r="S226" s="2">
        <v>58.83</v>
      </c>
    </row>
    <row r="229" spans="8:19" x14ac:dyDescent="0.3">
      <c r="H229" t="s">
        <v>66</v>
      </c>
    </row>
    <row r="230" spans="8:19" x14ac:dyDescent="0.3">
      <c r="H230" s="1" t="s">
        <v>8</v>
      </c>
      <c r="I230" s="1" t="s">
        <v>9</v>
      </c>
      <c r="J230" s="1" t="s">
        <v>10</v>
      </c>
      <c r="K230" s="1" t="s">
        <v>9</v>
      </c>
      <c r="L230" s="1" t="s">
        <v>10</v>
      </c>
    </row>
    <row r="231" spans="8:19" x14ac:dyDescent="0.3">
      <c r="H231" s="1" t="s">
        <v>11</v>
      </c>
      <c r="I231" s="1" t="s">
        <v>1</v>
      </c>
      <c r="J231" s="1" t="s">
        <v>1</v>
      </c>
      <c r="K231" s="1" t="s">
        <v>2</v>
      </c>
      <c r="L231" s="1" t="s">
        <v>2</v>
      </c>
    </row>
    <row r="232" spans="8:19" x14ac:dyDescent="0.3">
      <c r="H232" s="1" t="s">
        <v>12</v>
      </c>
    </row>
    <row r="233" spans="8:19" x14ac:dyDescent="0.3">
      <c r="H233" s="1" t="s">
        <v>13</v>
      </c>
      <c r="I233" s="2">
        <v>0.99</v>
      </c>
      <c r="J233" s="2">
        <v>0.99</v>
      </c>
      <c r="K233" s="2">
        <v>0.98</v>
      </c>
      <c r="L233" s="2">
        <v>0.99</v>
      </c>
    </row>
    <row r="234" spans="8:19" x14ac:dyDescent="0.3">
      <c r="H234" s="1" t="s">
        <v>14</v>
      </c>
      <c r="I234" s="2">
        <v>0.75</v>
      </c>
      <c r="J234" s="2">
        <v>0.89</v>
      </c>
      <c r="K234" s="2">
        <v>0.8</v>
      </c>
      <c r="L234" s="2">
        <v>0.93</v>
      </c>
    </row>
    <row r="235" spans="8:19" x14ac:dyDescent="0.3">
      <c r="H235" s="1" t="s">
        <v>15</v>
      </c>
      <c r="I235" s="2">
        <v>0.37</v>
      </c>
      <c r="J235" s="2">
        <v>0.93</v>
      </c>
      <c r="K235" s="2">
        <v>0.49</v>
      </c>
      <c r="L235" s="2">
        <v>0.95</v>
      </c>
    </row>
    <row r="236" spans="8:19" x14ac:dyDescent="0.3">
      <c r="H236" s="1" t="s">
        <v>16</v>
      </c>
      <c r="I236" s="2">
        <v>0.81</v>
      </c>
      <c r="J236" s="2">
        <v>0.89</v>
      </c>
      <c r="K236" s="2">
        <v>0.61</v>
      </c>
      <c r="L236" s="2">
        <v>0.77</v>
      </c>
    </row>
    <row r="237" spans="8:19" x14ac:dyDescent="0.3">
      <c r="H237" s="1" t="s">
        <v>17</v>
      </c>
      <c r="I237" s="2">
        <v>0.85</v>
      </c>
      <c r="J237" s="2">
        <v>0.86</v>
      </c>
      <c r="K237" s="2">
        <v>0.77</v>
      </c>
      <c r="L237" s="2">
        <v>0.73</v>
      </c>
    </row>
    <row r="238" spans="8:19" x14ac:dyDescent="0.3">
      <c r="H238" s="1" t="s">
        <v>18</v>
      </c>
      <c r="I238" s="2">
        <v>0.74</v>
      </c>
      <c r="J238" s="2">
        <v>0.59</v>
      </c>
      <c r="K238" s="2">
        <v>0.7</v>
      </c>
      <c r="L238" s="2">
        <v>0.39</v>
      </c>
    </row>
    <row r="239" spans="8:19" x14ac:dyDescent="0.3">
      <c r="H239" s="1" t="s">
        <v>19</v>
      </c>
      <c r="I239" s="2">
        <v>0.84</v>
      </c>
      <c r="J239" s="2">
        <v>0.64</v>
      </c>
      <c r="K239" s="2">
        <v>0.79</v>
      </c>
      <c r="L239" s="2">
        <v>0.49</v>
      </c>
    </row>
    <row r="240" spans="8:19" x14ac:dyDescent="0.3">
      <c r="H240" s="1" t="s">
        <v>20</v>
      </c>
      <c r="I240" s="2">
        <v>0.86</v>
      </c>
      <c r="J240" s="2">
        <v>0.9</v>
      </c>
      <c r="K240" s="2">
        <v>0.93</v>
      </c>
      <c r="L240" s="2">
        <v>0.96</v>
      </c>
    </row>
  </sheetData>
  <mergeCells count="18"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  <mergeCell ref="I90:J90"/>
    <mergeCell ref="I174:J174"/>
    <mergeCell ref="P90:Q90"/>
    <mergeCell ref="P174:Q174"/>
    <mergeCell ref="I118:J118"/>
    <mergeCell ref="I146:J146"/>
  </mergeCells>
  <conditionalFormatting sqref="C9:F1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3:F30 E32:F3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5:F4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5:L7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65:S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3</v>
      </c>
    </row>
    <row r="5" spans="2:10" x14ac:dyDescent="0.3">
      <c r="B5" t="s">
        <v>4</v>
      </c>
      <c r="D5" t="s">
        <v>5</v>
      </c>
      <c r="G5" t="s">
        <v>6</v>
      </c>
      <c r="J5" t="s">
        <v>7</v>
      </c>
    </row>
    <row r="6" spans="2:10" x14ac:dyDescent="0.3">
      <c r="B6" s="1" t="s">
        <v>8</v>
      </c>
      <c r="D6" s="1" t="s">
        <v>8</v>
      </c>
      <c r="G6" s="1" t="s">
        <v>8</v>
      </c>
      <c r="J6" s="1" t="s">
        <v>8</v>
      </c>
    </row>
    <row r="7" spans="2:10" x14ac:dyDescent="0.3">
      <c r="B7" s="1" t="s">
        <v>12</v>
      </c>
      <c r="D7" s="1" t="s">
        <v>12</v>
      </c>
      <c r="G7" s="1" t="s">
        <v>12</v>
      </c>
      <c r="J7" s="1" t="s">
        <v>12</v>
      </c>
    </row>
    <row r="8" spans="2:10" x14ac:dyDescent="0.3">
      <c r="B8" s="1" t="s">
        <v>12</v>
      </c>
      <c r="D8" s="1" t="s">
        <v>12</v>
      </c>
      <c r="G8" s="1" t="s">
        <v>12</v>
      </c>
      <c r="J8" s="1" t="s">
        <v>12</v>
      </c>
    </row>
    <row r="11" spans="2:10" x14ac:dyDescent="0.3">
      <c r="B11" t="s">
        <v>21</v>
      </c>
      <c r="D11" t="s">
        <v>22</v>
      </c>
      <c r="G11" t="s">
        <v>23</v>
      </c>
      <c r="J11" t="s">
        <v>24</v>
      </c>
    </row>
    <row r="12" spans="2:10" x14ac:dyDescent="0.3">
      <c r="B12" s="1" t="s">
        <v>8</v>
      </c>
      <c r="D12" s="1" t="s">
        <v>8</v>
      </c>
      <c r="G12" s="1" t="s">
        <v>8</v>
      </c>
      <c r="J12" s="1" t="s">
        <v>8</v>
      </c>
    </row>
    <row r="13" spans="2:10" x14ac:dyDescent="0.3">
      <c r="B13" s="1" t="s">
        <v>12</v>
      </c>
      <c r="D13" s="1" t="s">
        <v>12</v>
      </c>
      <c r="G13" s="1" t="s">
        <v>12</v>
      </c>
      <c r="J13" s="1" t="s">
        <v>12</v>
      </c>
    </row>
    <row r="14" spans="2:10" x14ac:dyDescent="0.3">
      <c r="B14" s="1" t="s">
        <v>12</v>
      </c>
      <c r="D14" s="1" t="s">
        <v>12</v>
      </c>
      <c r="G14" s="1" t="s">
        <v>12</v>
      </c>
      <c r="J14" s="1" t="s">
        <v>12</v>
      </c>
    </row>
    <row r="17" spans="2:10" x14ac:dyDescent="0.3">
      <c r="B17" t="s">
        <v>25</v>
      </c>
      <c r="D17" t="s">
        <v>26</v>
      </c>
      <c r="G17" t="s">
        <v>27</v>
      </c>
      <c r="J17" t="s">
        <v>28</v>
      </c>
    </row>
    <row r="18" spans="2:10" x14ac:dyDescent="0.3">
      <c r="B18" s="1" t="s">
        <v>8</v>
      </c>
      <c r="D18" s="1" t="s">
        <v>8</v>
      </c>
      <c r="G18" s="1" t="s">
        <v>8</v>
      </c>
      <c r="J18" s="1" t="s">
        <v>8</v>
      </c>
    </row>
    <row r="19" spans="2:10" x14ac:dyDescent="0.3">
      <c r="B19" s="1" t="s">
        <v>12</v>
      </c>
      <c r="D19" s="1" t="s">
        <v>12</v>
      </c>
      <c r="G19" s="1" t="s">
        <v>12</v>
      </c>
      <c r="J19" s="1" t="s">
        <v>12</v>
      </c>
    </row>
    <row r="20" spans="2:10" x14ac:dyDescent="0.3">
      <c r="B20" s="1" t="s">
        <v>12</v>
      </c>
      <c r="D20" s="1" t="s">
        <v>12</v>
      </c>
      <c r="G20" s="1" t="s">
        <v>12</v>
      </c>
      <c r="J20" s="1" t="s">
        <v>12</v>
      </c>
    </row>
    <row r="23" spans="2:10" x14ac:dyDescent="0.3">
      <c r="B23" t="s">
        <v>29</v>
      </c>
      <c r="D23" t="s">
        <v>30</v>
      </c>
      <c r="G23" t="s">
        <v>31</v>
      </c>
      <c r="J23" t="s">
        <v>32</v>
      </c>
    </row>
    <row r="24" spans="2:10" x14ac:dyDescent="0.3">
      <c r="B24" s="1" t="s">
        <v>8</v>
      </c>
      <c r="D24" s="1" t="s">
        <v>8</v>
      </c>
      <c r="G24" s="1" t="s">
        <v>8</v>
      </c>
      <c r="J24" s="1" t="s">
        <v>8</v>
      </c>
    </row>
    <row r="25" spans="2:10" x14ac:dyDescent="0.3">
      <c r="B25" s="1" t="s">
        <v>12</v>
      </c>
      <c r="D25" s="1" t="s">
        <v>12</v>
      </c>
      <c r="G25" s="1" t="s">
        <v>12</v>
      </c>
      <c r="J25" s="1" t="s">
        <v>12</v>
      </c>
    </row>
    <row r="26" spans="2:10" x14ac:dyDescent="0.3">
      <c r="B26" s="1" t="s">
        <v>12</v>
      </c>
      <c r="D26" s="1" t="s">
        <v>12</v>
      </c>
      <c r="G26" s="1" t="s">
        <v>12</v>
      </c>
      <c r="J26" s="1" t="s">
        <v>12</v>
      </c>
    </row>
    <row r="29" spans="2:10" x14ac:dyDescent="0.3">
      <c r="B29" t="s">
        <v>33</v>
      </c>
      <c r="D29" t="s">
        <v>34</v>
      </c>
      <c r="G29" t="s">
        <v>35</v>
      </c>
      <c r="J29" t="s">
        <v>36</v>
      </c>
    </row>
    <row r="30" spans="2:10" x14ac:dyDescent="0.3">
      <c r="B30" s="1" t="s">
        <v>8</v>
      </c>
      <c r="D30" s="1" t="s">
        <v>8</v>
      </c>
      <c r="G30" s="1" t="s">
        <v>8</v>
      </c>
      <c r="J30" s="1" t="s">
        <v>8</v>
      </c>
    </row>
    <row r="31" spans="2:10" x14ac:dyDescent="0.3">
      <c r="B31" s="1" t="s">
        <v>12</v>
      </c>
      <c r="D31" s="1" t="s">
        <v>12</v>
      </c>
      <c r="G31" s="1" t="s">
        <v>12</v>
      </c>
      <c r="J31" s="1" t="s">
        <v>12</v>
      </c>
    </row>
    <row r="32" spans="2:10" x14ac:dyDescent="0.3">
      <c r="B32" s="1" t="s">
        <v>12</v>
      </c>
      <c r="D32" s="1" t="s">
        <v>12</v>
      </c>
      <c r="G32" s="1" t="s">
        <v>12</v>
      </c>
      <c r="J32" s="1" t="s">
        <v>12</v>
      </c>
    </row>
    <row r="35" spans="2:10" x14ac:dyDescent="0.3">
      <c r="B35" t="s">
        <v>37</v>
      </c>
      <c r="D35" t="s">
        <v>38</v>
      </c>
      <c r="G35" t="s">
        <v>39</v>
      </c>
      <c r="J35" t="s">
        <v>40</v>
      </c>
    </row>
    <row r="36" spans="2:10" x14ac:dyDescent="0.3">
      <c r="B36" s="1" t="s">
        <v>8</v>
      </c>
      <c r="D36" s="1" t="s">
        <v>8</v>
      </c>
      <c r="G36" s="1" t="s">
        <v>8</v>
      </c>
      <c r="J36" s="1" t="s">
        <v>8</v>
      </c>
    </row>
    <row r="37" spans="2:10" x14ac:dyDescent="0.3">
      <c r="B37" s="1" t="s">
        <v>12</v>
      </c>
      <c r="D37" s="1" t="s">
        <v>12</v>
      </c>
      <c r="G37" s="1" t="s">
        <v>12</v>
      </c>
      <c r="J37" s="1" t="s">
        <v>12</v>
      </c>
    </row>
    <row r="38" spans="2:10" x14ac:dyDescent="0.3">
      <c r="B38" s="1" t="s">
        <v>12</v>
      </c>
      <c r="D38" s="1" t="s">
        <v>12</v>
      </c>
      <c r="G38" s="1" t="s">
        <v>12</v>
      </c>
      <c r="J38" s="1" t="s">
        <v>12</v>
      </c>
    </row>
    <row r="41" spans="2:10" x14ac:dyDescent="0.3">
      <c r="B41" t="s">
        <v>41</v>
      </c>
      <c r="D41" t="s">
        <v>42</v>
      </c>
      <c r="G41" t="s">
        <v>43</v>
      </c>
      <c r="J41" t="s">
        <v>44</v>
      </c>
    </row>
    <row r="42" spans="2:10" x14ac:dyDescent="0.3">
      <c r="B42" s="1" t="s">
        <v>8</v>
      </c>
      <c r="D42" s="1" t="s">
        <v>8</v>
      </c>
      <c r="G42" s="1" t="s">
        <v>8</v>
      </c>
      <c r="J42" s="1" t="s">
        <v>8</v>
      </c>
    </row>
    <row r="43" spans="2:10" x14ac:dyDescent="0.3">
      <c r="B43" s="1" t="s">
        <v>12</v>
      </c>
      <c r="D43" s="1" t="s">
        <v>12</v>
      </c>
      <c r="G43" s="1" t="s">
        <v>12</v>
      </c>
      <c r="J43" s="1" t="s">
        <v>12</v>
      </c>
    </row>
    <row r="44" spans="2:10" x14ac:dyDescent="0.3">
      <c r="B44" s="1" t="s">
        <v>12</v>
      </c>
      <c r="D44" s="1" t="s">
        <v>12</v>
      </c>
      <c r="G44" s="1" t="s">
        <v>12</v>
      </c>
      <c r="J44" s="1" t="s">
        <v>12</v>
      </c>
    </row>
    <row r="47" spans="2:10" x14ac:dyDescent="0.3">
      <c r="B47" t="s">
        <v>45</v>
      </c>
      <c r="D47" t="s">
        <v>46</v>
      </c>
      <c r="G47" t="s">
        <v>47</v>
      </c>
      <c r="J47" t="s">
        <v>48</v>
      </c>
    </row>
    <row r="48" spans="2:10" x14ac:dyDescent="0.3">
      <c r="B48" s="1" t="s">
        <v>8</v>
      </c>
      <c r="D48" s="1" t="s">
        <v>8</v>
      </c>
      <c r="G48" s="1" t="s">
        <v>8</v>
      </c>
      <c r="J48" s="1" t="s">
        <v>8</v>
      </c>
    </row>
    <row r="49" spans="2:10" x14ac:dyDescent="0.3">
      <c r="B49" s="1" t="s">
        <v>12</v>
      </c>
      <c r="D49" s="1" t="s">
        <v>12</v>
      </c>
      <c r="G49" s="1" t="s">
        <v>12</v>
      </c>
      <c r="J49" s="1" t="s">
        <v>12</v>
      </c>
    </row>
    <row r="50" spans="2:10" x14ac:dyDescent="0.3">
      <c r="B50" s="1" t="s">
        <v>12</v>
      </c>
      <c r="D50" s="1" t="s">
        <v>12</v>
      </c>
      <c r="G50" s="1" t="s">
        <v>12</v>
      </c>
      <c r="J50" s="1" t="s">
        <v>12</v>
      </c>
    </row>
    <row r="53" spans="2:10" x14ac:dyDescent="0.3">
      <c r="D53" t="s">
        <v>49</v>
      </c>
      <c r="G53" t="s">
        <v>50</v>
      </c>
      <c r="J53" t="s">
        <v>51</v>
      </c>
    </row>
    <row r="54" spans="2:10" x14ac:dyDescent="0.3">
      <c r="D54" s="1" t="s">
        <v>8</v>
      </c>
      <c r="G54" s="1" t="s">
        <v>8</v>
      </c>
      <c r="J54" s="1" t="s">
        <v>8</v>
      </c>
    </row>
    <row r="55" spans="2:10" x14ac:dyDescent="0.3">
      <c r="D55" s="1" t="s">
        <v>12</v>
      </c>
      <c r="G55" s="1" t="s">
        <v>12</v>
      </c>
      <c r="J55" s="1" t="s">
        <v>12</v>
      </c>
    </row>
    <row r="56" spans="2:10" x14ac:dyDescent="0.3">
      <c r="D56" s="1" t="s">
        <v>12</v>
      </c>
      <c r="G56" s="1" t="s">
        <v>12</v>
      </c>
      <c r="J56" s="1" t="s">
        <v>12</v>
      </c>
    </row>
    <row r="59" spans="2:10" x14ac:dyDescent="0.3">
      <c r="D59" t="s">
        <v>52</v>
      </c>
      <c r="G59" t="s">
        <v>53</v>
      </c>
    </row>
    <row r="60" spans="2:10" x14ac:dyDescent="0.3">
      <c r="D60" s="1" t="s">
        <v>8</v>
      </c>
      <c r="G60" s="1" t="s">
        <v>8</v>
      </c>
    </row>
    <row r="61" spans="2:10" x14ac:dyDescent="0.3">
      <c r="D61" s="1" t="s">
        <v>12</v>
      </c>
      <c r="G61" s="1" t="s">
        <v>12</v>
      </c>
    </row>
    <row r="62" spans="2:10" x14ac:dyDescent="0.3">
      <c r="D62" s="1" t="s">
        <v>12</v>
      </c>
      <c r="G62" s="1" t="s">
        <v>12</v>
      </c>
    </row>
    <row r="65" spans="4:7" x14ac:dyDescent="0.3">
      <c r="D65" t="s">
        <v>54</v>
      </c>
      <c r="G65" t="s">
        <v>55</v>
      </c>
    </row>
    <row r="66" spans="4:7" x14ac:dyDescent="0.3">
      <c r="D66" s="1" t="s">
        <v>8</v>
      </c>
      <c r="G66" s="1" t="s">
        <v>8</v>
      </c>
    </row>
    <row r="67" spans="4:7" x14ac:dyDescent="0.3">
      <c r="D67" s="1" t="s">
        <v>12</v>
      </c>
      <c r="G67" s="1" t="s">
        <v>12</v>
      </c>
    </row>
    <row r="68" spans="4:7" x14ac:dyDescent="0.3">
      <c r="D68" s="1" t="s">
        <v>12</v>
      </c>
      <c r="G68" s="1" t="s">
        <v>12</v>
      </c>
    </row>
    <row r="71" spans="4:7" x14ac:dyDescent="0.3">
      <c r="D71" t="s">
        <v>56</v>
      </c>
      <c r="G71" t="s">
        <v>57</v>
      </c>
    </row>
    <row r="72" spans="4:7" x14ac:dyDescent="0.3">
      <c r="D72" s="1" t="s">
        <v>8</v>
      </c>
      <c r="G72" s="1" t="s">
        <v>8</v>
      </c>
    </row>
    <row r="73" spans="4:7" x14ac:dyDescent="0.3">
      <c r="D73" s="1" t="s">
        <v>12</v>
      </c>
      <c r="G73" s="1" t="s">
        <v>12</v>
      </c>
    </row>
    <row r="74" spans="4:7" x14ac:dyDescent="0.3">
      <c r="D74" s="1" t="s">
        <v>12</v>
      </c>
      <c r="G74" s="1" t="s">
        <v>12</v>
      </c>
    </row>
    <row r="77" spans="4:7" x14ac:dyDescent="0.3">
      <c r="D77" t="s">
        <v>58</v>
      </c>
      <c r="G77" t="s">
        <v>59</v>
      </c>
    </row>
    <row r="78" spans="4:7" x14ac:dyDescent="0.3">
      <c r="D78" s="1" t="s">
        <v>8</v>
      </c>
      <c r="G78" s="1" t="s">
        <v>8</v>
      </c>
    </row>
    <row r="79" spans="4:7" x14ac:dyDescent="0.3">
      <c r="D79" s="1" t="s">
        <v>12</v>
      </c>
      <c r="G79" s="1" t="s">
        <v>12</v>
      </c>
    </row>
    <row r="80" spans="4:7" x14ac:dyDescent="0.3">
      <c r="D80" s="1" t="s">
        <v>12</v>
      </c>
      <c r="G80" s="1" t="s">
        <v>12</v>
      </c>
    </row>
    <row r="83" spans="4:7" x14ac:dyDescent="0.3">
      <c r="D83" t="s">
        <v>60</v>
      </c>
      <c r="G83" t="s">
        <v>61</v>
      </c>
    </row>
    <row r="84" spans="4:7" x14ac:dyDescent="0.3">
      <c r="D84" s="1" t="s">
        <v>8</v>
      </c>
      <c r="G84" s="1" t="s">
        <v>8</v>
      </c>
    </row>
    <row r="85" spans="4:7" x14ac:dyDescent="0.3">
      <c r="D85" s="1" t="s">
        <v>12</v>
      </c>
      <c r="G85" s="1" t="s">
        <v>12</v>
      </c>
    </row>
    <row r="86" spans="4:7" x14ac:dyDescent="0.3">
      <c r="D86" s="1" t="s">
        <v>12</v>
      </c>
      <c r="G86" s="1" t="s">
        <v>12</v>
      </c>
    </row>
    <row r="89" spans="4:7" x14ac:dyDescent="0.3">
      <c r="D89" t="s">
        <v>62</v>
      </c>
      <c r="G89" t="s">
        <v>63</v>
      </c>
    </row>
    <row r="90" spans="4:7" x14ac:dyDescent="0.3">
      <c r="D90" s="1" t="s">
        <v>8</v>
      </c>
      <c r="G90" s="1" t="s">
        <v>8</v>
      </c>
    </row>
    <row r="91" spans="4:7" x14ac:dyDescent="0.3">
      <c r="D91" s="1" t="s">
        <v>12</v>
      </c>
      <c r="G91" s="1" t="s">
        <v>12</v>
      </c>
    </row>
    <row r="92" spans="4:7" x14ac:dyDescent="0.3">
      <c r="D92" s="1" t="s">
        <v>12</v>
      </c>
      <c r="G92" s="1" t="s">
        <v>12</v>
      </c>
    </row>
    <row r="95" spans="4:7" x14ac:dyDescent="0.3">
      <c r="D95" t="s">
        <v>64</v>
      </c>
      <c r="G95" t="s">
        <v>65</v>
      </c>
    </row>
    <row r="96" spans="4:7" x14ac:dyDescent="0.3">
      <c r="D96" s="1" t="s">
        <v>8</v>
      </c>
      <c r="G96" s="1" t="s">
        <v>8</v>
      </c>
    </row>
    <row r="97" spans="4:7" x14ac:dyDescent="0.3">
      <c r="D97" s="1" t="s">
        <v>12</v>
      </c>
      <c r="G97" s="1" t="s">
        <v>12</v>
      </c>
    </row>
    <row r="98" spans="4:7" x14ac:dyDescent="0.3">
      <c r="D98" s="1" t="s">
        <v>12</v>
      </c>
      <c r="G98" s="1" t="s">
        <v>12</v>
      </c>
    </row>
    <row r="101" spans="4:7" x14ac:dyDescent="0.3">
      <c r="D101" t="s">
        <v>66</v>
      </c>
    </row>
    <row r="102" spans="4:7" x14ac:dyDescent="0.3">
      <c r="D102" s="1" t="s">
        <v>8</v>
      </c>
    </row>
    <row r="103" spans="4:7" x14ac:dyDescent="0.3">
      <c r="D103" s="1" t="s">
        <v>12</v>
      </c>
    </row>
    <row r="104" spans="4:7" x14ac:dyDescent="0.3">
      <c r="D104" s="1" t="s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3</v>
      </c>
    </row>
    <row r="5" spans="2:10" x14ac:dyDescent="0.3">
      <c r="B5" t="s">
        <v>4</v>
      </c>
      <c r="D5" t="s">
        <v>5</v>
      </c>
      <c r="G5" t="s">
        <v>6</v>
      </c>
      <c r="J5" t="s">
        <v>7</v>
      </c>
    </row>
    <row r="6" spans="2:10" x14ac:dyDescent="0.3">
      <c r="B6" s="1" t="s">
        <v>8</v>
      </c>
      <c r="D6" s="1" t="s">
        <v>8</v>
      </c>
      <c r="G6" s="1" t="s">
        <v>8</v>
      </c>
      <c r="J6" s="1" t="s">
        <v>8</v>
      </c>
    </row>
    <row r="7" spans="2:10" x14ac:dyDescent="0.3">
      <c r="B7" s="1" t="s">
        <v>12</v>
      </c>
      <c r="D7" s="1" t="s">
        <v>12</v>
      </c>
      <c r="G7" s="1" t="s">
        <v>12</v>
      </c>
      <c r="J7" s="1" t="s">
        <v>12</v>
      </c>
    </row>
    <row r="8" spans="2:10" x14ac:dyDescent="0.3">
      <c r="B8" s="1" t="s">
        <v>12</v>
      </c>
      <c r="D8" s="1" t="s">
        <v>12</v>
      </c>
      <c r="G8" s="1" t="s">
        <v>12</v>
      </c>
      <c r="J8" s="1" t="s">
        <v>12</v>
      </c>
    </row>
    <row r="11" spans="2:10" x14ac:dyDescent="0.3">
      <c r="B11" t="s">
        <v>21</v>
      </c>
      <c r="D11" t="s">
        <v>22</v>
      </c>
      <c r="G11" t="s">
        <v>23</v>
      </c>
      <c r="J11" t="s">
        <v>24</v>
      </c>
    </row>
    <row r="12" spans="2:10" x14ac:dyDescent="0.3">
      <c r="B12" s="1" t="s">
        <v>8</v>
      </c>
      <c r="D12" s="1" t="s">
        <v>8</v>
      </c>
      <c r="G12" s="1" t="s">
        <v>8</v>
      </c>
      <c r="J12" s="1" t="s">
        <v>8</v>
      </c>
    </row>
    <row r="13" spans="2:10" x14ac:dyDescent="0.3">
      <c r="B13" s="1" t="s">
        <v>12</v>
      </c>
      <c r="D13" s="1" t="s">
        <v>12</v>
      </c>
      <c r="G13" s="1" t="s">
        <v>12</v>
      </c>
      <c r="J13" s="1" t="s">
        <v>12</v>
      </c>
    </row>
    <row r="14" spans="2:10" x14ac:dyDescent="0.3">
      <c r="B14" s="1" t="s">
        <v>12</v>
      </c>
      <c r="D14" s="1" t="s">
        <v>12</v>
      </c>
      <c r="G14" s="1" t="s">
        <v>12</v>
      </c>
      <c r="J14" s="1" t="s">
        <v>12</v>
      </c>
    </row>
    <row r="17" spans="2:10" x14ac:dyDescent="0.3">
      <c r="B17" t="s">
        <v>25</v>
      </c>
      <c r="D17" t="s">
        <v>26</v>
      </c>
      <c r="G17" t="s">
        <v>27</v>
      </c>
      <c r="J17" t="s">
        <v>28</v>
      </c>
    </row>
    <row r="18" spans="2:10" x14ac:dyDescent="0.3">
      <c r="B18" s="1" t="s">
        <v>8</v>
      </c>
      <c r="D18" s="1" t="s">
        <v>8</v>
      </c>
      <c r="G18" s="1" t="s">
        <v>8</v>
      </c>
      <c r="J18" s="1" t="s">
        <v>8</v>
      </c>
    </row>
    <row r="19" spans="2:10" x14ac:dyDescent="0.3">
      <c r="B19" s="1" t="s">
        <v>12</v>
      </c>
      <c r="D19" s="1" t="s">
        <v>12</v>
      </c>
      <c r="G19" s="1" t="s">
        <v>12</v>
      </c>
      <c r="J19" s="1" t="s">
        <v>12</v>
      </c>
    </row>
    <row r="20" spans="2:10" x14ac:dyDescent="0.3">
      <c r="B20" s="1" t="s">
        <v>12</v>
      </c>
      <c r="D20" s="1" t="s">
        <v>12</v>
      </c>
      <c r="G20" s="1" t="s">
        <v>12</v>
      </c>
      <c r="J20" s="1" t="s">
        <v>12</v>
      </c>
    </row>
    <row r="23" spans="2:10" x14ac:dyDescent="0.3">
      <c r="B23" t="s">
        <v>29</v>
      </c>
      <c r="D23" t="s">
        <v>30</v>
      </c>
      <c r="G23" t="s">
        <v>31</v>
      </c>
      <c r="J23" t="s">
        <v>32</v>
      </c>
    </row>
    <row r="24" spans="2:10" x14ac:dyDescent="0.3">
      <c r="B24" s="1" t="s">
        <v>8</v>
      </c>
      <c r="D24" s="1" t="s">
        <v>8</v>
      </c>
      <c r="G24" s="1" t="s">
        <v>8</v>
      </c>
      <c r="J24" s="1" t="s">
        <v>8</v>
      </c>
    </row>
    <row r="25" spans="2:10" x14ac:dyDescent="0.3">
      <c r="B25" s="1" t="s">
        <v>12</v>
      </c>
      <c r="D25" s="1" t="s">
        <v>12</v>
      </c>
      <c r="G25" s="1" t="s">
        <v>12</v>
      </c>
      <c r="J25" s="1" t="s">
        <v>12</v>
      </c>
    </row>
    <row r="26" spans="2:10" x14ac:dyDescent="0.3">
      <c r="B26" s="1" t="s">
        <v>12</v>
      </c>
      <c r="D26" s="1" t="s">
        <v>12</v>
      </c>
      <c r="G26" s="1" t="s">
        <v>12</v>
      </c>
      <c r="J26" s="1" t="s">
        <v>12</v>
      </c>
    </row>
    <row r="29" spans="2:10" x14ac:dyDescent="0.3">
      <c r="B29" t="s">
        <v>33</v>
      </c>
      <c r="D29" t="s">
        <v>34</v>
      </c>
      <c r="G29" t="s">
        <v>35</v>
      </c>
      <c r="J29" t="s">
        <v>36</v>
      </c>
    </row>
    <row r="30" spans="2:10" x14ac:dyDescent="0.3">
      <c r="B30" s="1" t="s">
        <v>8</v>
      </c>
      <c r="D30" s="1" t="s">
        <v>8</v>
      </c>
      <c r="G30" s="1" t="s">
        <v>8</v>
      </c>
      <c r="J30" s="1" t="s">
        <v>8</v>
      </c>
    </row>
    <row r="31" spans="2:10" x14ac:dyDescent="0.3">
      <c r="B31" s="1" t="s">
        <v>12</v>
      </c>
      <c r="D31" s="1" t="s">
        <v>12</v>
      </c>
      <c r="G31" s="1" t="s">
        <v>12</v>
      </c>
      <c r="J31" s="1" t="s">
        <v>12</v>
      </c>
    </row>
    <row r="32" spans="2:10" x14ac:dyDescent="0.3">
      <c r="B32" s="1" t="s">
        <v>12</v>
      </c>
      <c r="D32" s="1" t="s">
        <v>12</v>
      </c>
      <c r="G32" s="1" t="s">
        <v>12</v>
      </c>
      <c r="J32" s="1" t="s">
        <v>12</v>
      </c>
    </row>
    <row r="35" spans="2:10" x14ac:dyDescent="0.3">
      <c r="B35" t="s">
        <v>37</v>
      </c>
      <c r="D35" t="s">
        <v>38</v>
      </c>
      <c r="G35" t="s">
        <v>39</v>
      </c>
      <c r="J35" t="s">
        <v>40</v>
      </c>
    </row>
    <row r="36" spans="2:10" x14ac:dyDescent="0.3">
      <c r="B36" s="1" t="s">
        <v>8</v>
      </c>
      <c r="D36" s="1" t="s">
        <v>8</v>
      </c>
      <c r="G36" s="1" t="s">
        <v>8</v>
      </c>
      <c r="J36" s="1" t="s">
        <v>8</v>
      </c>
    </row>
    <row r="37" spans="2:10" x14ac:dyDescent="0.3">
      <c r="B37" s="1" t="s">
        <v>12</v>
      </c>
      <c r="D37" s="1" t="s">
        <v>12</v>
      </c>
      <c r="G37" s="1" t="s">
        <v>12</v>
      </c>
      <c r="J37" s="1" t="s">
        <v>12</v>
      </c>
    </row>
    <row r="38" spans="2:10" x14ac:dyDescent="0.3">
      <c r="B38" s="1" t="s">
        <v>12</v>
      </c>
      <c r="D38" s="1" t="s">
        <v>12</v>
      </c>
      <c r="G38" s="1" t="s">
        <v>12</v>
      </c>
      <c r="J38" s="1" t="s">
        <v>12</v>
      </c>
    </row>
    <row r="41" spans="2:10" x14ac:dyDescent="0.3">
      <c r="B41" t="s">
        <v>41</v>
      </c>
      <c r="D41" t="s">
        <v>42</v>
      </c>
      <c r="G41" t="s">
        <v>43</v>
      </c>
      <c r="J41" t="s">
        <v>44</v>
      </c>
    </row>
    <row r="42" spans="2:10" x14ac:dyDescent="0.3">
      <c r="B42" s="1" t="s">
        <v>8</v>
      </c>
      <c r="D42" s="1" t="s">
        <v>8</v>
      </c>
      <c r="G42" s="1" t="s">
        <v>8</v>
      </c>
      <c r="J42" s="1" t="s">
        <v>8</v>
      </c>
    </row>
    <row r="43" spans="2:10" x14ac:dyDescent="0.3">
      <c r="B43" s="1" t="s">
        <v>12</v>
      </c>
      <c r="D43" s="1" t="s">
        <v>12</v>
      </c>
      <c r="G43" s="1" t="s">
        <v>12</v>
      </c>
      <c r="J43" s="1" t="s">
        <v>12</v>
      </c>
    </row>
    <row r="44" spans="2:10" x14ac:dyDescent="0.3">
      <c r="B44" s="1" t="s">
        <v>12</v>
      </c>
      <c r="D44" s="1" t="s">
        <v>12</v>
      </c>
      <c r="G44" s="1" t="s">
        <v>12</v>
      </c>
      <c r="J44" s="1" t="s">
        <v>12</v>
      </c>
    </row>
    <row r="47" spans="2:10" x14ac:dyDescent="0.3">
      <c r="B47" t="s">
        <v>45</v>
      </c>
      <c r="D47" t="s">
        <v>46</v>
      </c>
      <c r="G47" t="s">
        <v>47</v>
      </c>
      <c r="J47" t="s">
        <v>48</v>
      </c>
    </row>
    <row r="48" spans="2:10" x14ac:dyDescent="0.3">
      <c r="B48" s="1" t="s">
        <v>8</v>
      </c>
      <c r="D48" s="1" t="s">
        <v>8</v>
      </c>
      <c r="G48" s="1" t="s">
        <v>8</v>
      </c>
      <c r="J48" s="1" t="s">
        <v>8</v>
      </c>
    </row>
    <row r="49" spans="2:10" x14ac:dyDescent="0.3">
      <c r="B49" s="1" t="s">
        <v>12</v>
      </c>
      <c r="D49" s="1" t="s">
        <v>12</v>
      </c>
      <c r="G49" s="1" t="s">
        <v>12</v>
      </c>
      <c r="J49" s="1" t="s">
        <v>12</v>
      </c>
    </row>
    <row r="50" spans="2:10" x14ac:dyDescent="0.3">
      <c r="B50" s="1" t="s">
        <v>12</v>
      </c>
      <c r="D50" s="1" t="s">
        <v>12</v>
      </c>
      <c r="G50" s="1" t="s">
        <v>12</v>
      </c>
      <c r="J50" s="1" t="s">
        <v>12</v>
      </c>
    </row>
    <row r="53" spans="2:10" x14ac:dyDescent="0.3">
      <c r="D53" t="s">
        <v>49</v>
      </c>
      <c r="G53" t="s">
        <v>50</v>
      </c>
      <c r="J53" t="s">
        <v>51</v>
      </c>
    </row>
    <row r="54" spans="2:10" x14ac:dyDescent="0.3">
      <c r="D54" s="1" t="s">
        <v>8</v>
      </c>
      <c r="G54" s="1" t="s">
        <v>8</v>
      </c>
      <c r="J54" s="1" t="s">
        <v>8</v>
      </c>
    </row>
    <row r="55" spans="2:10" x14ac:dyDescent="0.3">
      <c r="D55" s="1" t="s">
        <v>12</v>
      </c>
      <c r="G55" s="1" t="s">
        <v>12</v>
      </c>
      <c r="J55" s="1" t="s">
        <v>12</v>
      </c>
    </row>
    <row r="56" spans="2:10" x14ac:dyDescent="0.3">
      <c r="D56" s="1" t="s">
        <v>12</v>
      </c>
      <c r="G56" s="1" t="s">
        <v>12</v>
      </c>
      <c r="J56" s="1" t="s">
        <v>12</v>
      </c>
    </row>
    <row r="59" spans="2:10" x14ac:dyDescent="0.3">
      <c r="D59" t="s">
        <v>52</v>
      </c>
      <c r="G59" t="s">
        <v>53</v>
      </c>
    </row>
    <row r="60" spans="2:10" x14ac:dyDescent="0.3">
      <c r="D60" s="1" t="s">
        <v>8</v>
      </c>
      <c r="G60" s="1" t="s">
        <v>8</v>
      </c>
    </row>
    <row r="61" spans="2:10" x14ac:dyDescent="0.3">
      <c r="D61" s="1" t="s">
        <v>12</v>
      </c>
      <c r="G61" s="1" t="s">
        <v>12</v>
      </c>
    </row>
    <row r="62" spans="2:10" x14ac:dyDescent="0.3">
      <c r="D62" s="1" t="s">
        <v>12</v>
      </c>
      <c r="G62" s="1" t="s">
        <v>12</v>
      </c>
    </row>
    <row r="65" spans="4:7" x14ac:dyDescent="0.3">
      <c r="D65" t="s">
        <v>54</v>
      </c>
      <c r="G65" t="s">
        <v>55</v>
      </c>
    </row>
    <row r="66" spans="4:7" x14ac:dyDescent="0.3">
      <c r="D66" s="1" t="s">
        <v>8</v>
      </c>
      <c r="G66" s="1" t="s">
        <v>8</v>
      </c>
    </row>
    <row r="67" spans="4:7" x14ac:dyDescent="0.3">
      <c r="D67" s="1" t="s">
        <v>12</v>
      </c>
      <c r="G67" s="1" t="s">
        <v>12</v>
      </c>
    </row>
    <row r="68" spans="4:7" x14ac:dyDescent="0.3">
      <c r="D68" s="1" t="s">
        <v>12</v>
      </c>
      <c r="G68" s="1" t="s">
        <v>12</v>
      </c>
    </row>
    <row r="71" spans="4:7" x14ac:dyDescent="0.3">
      <c r="D71" t="s">
        <v>56</v>
      </c>
      <c r="G71" t="s">
        <v>57</v>
      </c>
    </row>
    <row r="72" spans="4:7" x14ac:dyDescent="0.3">
      <c r="D72" s="1" t="s">
        <v>8</v>
      </c>
      <c r="G72" s="1" t="s">
        <v>8</v>
      </c>
    </row>
    <row r="73" spans="4:7" x14ac:dyDescent="0.3">
      <c r="D73" s="1" t="s">
        <v>12</v>
      </c>
      <c r="G73" s="1" t="s">
        <v>12</v>
      </c>
    </row>
    <row r="74" spans="4:7" x14ac:dyDescent="0.3">
      <c r="D74" s="1" t="s">
        <v>12</v>
      </c>
      <c r="G74" s="1" t="s">
        <v>12</v>
      </c>
    </row>
    <row r="77" spans="4:7" x14ac:dyDescent="0.3">
      <c r="D77" t="s">
        <v>58</v>
      </c>
      <c r="G77" t="s">
        <v>59</v>
      </c>
    </row>
    <row r="78" spans="4:7" x14ac:dyDescent="0.3">
      <c r="D78" s="1" t="s">
        <v>8</v>
      </c>
      <c r="G78" s="1" t="s">
        <v>8</v>
      </c>
    </row>
    <row r="79" spans="4:7" x14ac:dyDescent="0.3">
      <c r="D79" s="1" t="s">
        <v>12</v>
      </c>
      <c r="G79" s="1" t="s">
        <v>12</v>
      </c>
    </row>
    <row r="80" spans="4:7" x14ac:dyDescent="0.3">
      <c r="D80" s="1" t="s">
        <v>12</v>
      </c>
      <c r="G80" s="1" t="s">
        <v>12</v>
      </c>
    </row>
    <row r="83" spans="4:7" x14ac:dyDescent="0.3">
      <c r="D83" t="s">
        <v>60</v>
      </c>
      <c r="G83" t="s">
        <v>61</v>
      </c>
    </row>
    <row r="84" spans="4:7" x14ac:dyDescent="0.3">
      <c r="D84" s="1" t="s">
        <v>8</v>
      </c>
      <c r="G84" s="1" t="s">
        <v>8</v>
      </c>
    </row>
    <row r="85" spans="4:7" x14ac:dyDescent="0.3">
      <c r="D85" s="1" t="s">
        <v>12</v>
      </c>
      <c r="G85" s="1" t="s">
        <v>12</v>
      </c>
    </row>
    <row r="86" spans="4:7" x14ac:dyDescent="0.3">
      <c r="D86" s="1" t="s">
        <v>12</v>
      </c>
      <c r="G86" s="1" t="s">
        <v>12</v>
      </c>
    </row>
    <row r="89" spans="4:7" x14ac:dyDescent="0.3">
      <c r="D89" t="s">
        <v>62</v>
      </c>
      <c r="G89" t="s">
        <v>63</v>
      </c>
    </row>
    <row r="90" spans="4:7" x14ac:dyDescent="0.3">
      <c r="D90" s="1" t="s">
        <v>8</v>
      </c>
      <c r="G90" s="1" t="s">
        <v>8</v>
      </c>
    </row>
    <row r="91" spans="4:7" x14ac:dyDescent="0.3">
      <c r="D91" s="1" t="s">
        <v>12</v>
      </c>
      <c r="G91" s="1" t="s">
        <v>12</v>
      </c>
    </row>
    <row r="92" spans="4:7" x14ac:dyDescent="0.3">
      <c r="D92" s="1" t="s">
        <v>12</v>
      </c>
      <c r="G92" s="1" t="s">
        <v>12</v>
      </c>
    </row>
    <row r="95" spans="4:7" x14ac:dyDescent="0.3">
      <c r="D95" t="s">
        <v>64</v>
      </c>
      <c r="G95" t="s">
        <v>65</v>
      </c>
    </row>
    <row r="96" spans="4:7" x14ac:dyDescent="0.3">
      <c r="D96" s="1" t="s">
        <v>8</v>
      </c>
      <c r="G96" s="1" t="s">
        <v>8</v>
      </c>
    </row>
    <row r="97" spans="4:7" x14ac:dyDescent="0.3">
      <c r="D97" s="1" t="s">
        <v>12</v>
      </c>
      <c r="G97" s="1" t="s">
        <v>12</v>
      </c>
    </row>
    <row r="98" spans="4:7" x14ac:dyDescent="0.3">
      <c r="D98" s="1" t="s">
        <v>12</v>
      </c>
      <c r="G98" s="1" t="s">
        <v>12</v>
      </c>
    </row>
    <row r="101" spans="4:7" x14ac:dyDescent="0.3">
      <c r="D101" t="s">
        <v>66</v>
      </c>
    </row>
    <row r="102" spans="4:7" x14ac:dyDescent="0.3">
      <c r="D102" s="1" t="s">
        <v>8</v>
      </c>
    </row>
    <row r="103" spans="4:7" x14ac:dyDescent="0.3">
      <c r="D103" s="1" t="s">
        <v>12</v>
      </c>
    </row>
    <row r="104" spans="4:7" x14ac:dyDescent="0.3">
      <c r="D104" s="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2025-12-04T09:48:22Z</dcterms:created>
  <dcterms:modified xsi:type="dcterms:W3CDTF">2025-12-04T10:25:22Z</dcterms:modified>
</cp:coreProperties>
</file>