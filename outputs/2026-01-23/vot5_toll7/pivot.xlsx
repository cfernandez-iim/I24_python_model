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23\vot5_toll7\"/>
    </mc:Choice>
  </mc:AlternateContent>
  <xr:revisionPtr revIDLastSave="0" documentId="13_ncr:1_{495932E0-A284-44B0-A56F-92E3C2E88888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55" i="2" l="1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AR254" i="2"/>
  <c r="AQ254" i="2"/>
  <c r="AP254" i="2"/>
  <c r="AO254" i="2"/>
  <c r="AN254" i="2"/>
  <c r="AM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AR253" i="2"/>
  <c r="AQ253" i="2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AR252" i="2"/>
  <c r="AQ252" i="2"/>
  <c r="AP252" i="2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AS256" i="2" s="1"/>
  <c r="AS241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W45" i="2"/>
  <c r="W87" i="2" s="1"/>
  <c r="W59" i="2" l="1"/>
  <c r="W73" i="2"/>
  <c r="W101" i="2"/>
</calcChain>
</file>

<file path=xl/sharedStrings.xml><?xml version="1.0" encoding="utf-8"?>
<sst xmlns="http://schemas.openxmlformats.org/spreadsheetml/2006/main" count="3096" uniqueCount="76">
  <si>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</si>
  <si>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</si>
  <si>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</si>
  <si>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</si>
  <si>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</si>
  <si>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</si>
  <si>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</si>
  <si>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</si>
  <si>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</si>
  <si>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</si>
  <si>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</si>
  <si>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</si>
  <si>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</si>
  <si>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</si>
  <si>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</si>
  <si>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</si>
  <si>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</si>
  <si>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</si>
  <si>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</si>
  <si>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</si>
  <si>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</si>
  <si>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</si>
  <si>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</si>
  <si>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</si>
  <si>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</si>
  <si>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</si>
  <si>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</si>
  <si>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</si>
  <si>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</si>
  <si>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</si>
  <si>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</si>
  <si>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</si>
  <si>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</si>
  <si>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</si>
  <si>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</si>
  <si>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</si>
  <si>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</si>
  <si>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</si>
  <si>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</si>
  <si>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</si>
  <si>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</si>
  <si>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</si>
  <si>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</si>
  <si>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</si>
  <si>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</si>
  <si>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</si>
  <si>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</si>
  <si>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</si>
  <si>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</si>
  <si>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</si>
  <si>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</si>
  <si>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</si>
  <si>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</si>
  <si>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</si>
  <si>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</si>
  <si>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</si>
  <si>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</si>
  <si>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</si>
  <si>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</si>
  <si>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</si>
  <si>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</si>
  <si>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</si>
  <si>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</si>
  <si>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</si>
  <si>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</si>
  <si>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</si>
  <si>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</si>
  <si>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</si>
  <si>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</si>
  <si>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</si>
  <si>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</si>
  <si>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</si>
  <si>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</si>
  <si>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</si>
  <si>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 Heavies</t>
  </si>
  <si>
    <t>Capture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</si>
</sst>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164" fontId="0" fillId="0" borderId="0" xfId="1" applyNumberFormat="1" applyFont="1"/>
    <xf numFmtId="9" fontId="0" fillId="0" borderId="2" xfId="1" applyFont="1" applyBorder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56"/>
  <sheetViews>
    <sheetView tabSelected="1" topLeftCell="AI228" zoomScale="66" workbookViewId="0">
      <selection activeCell="AU245" sqref="AU245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63</v>
      </c>
      <c r="D6" s="1" t="s">
        <v>64</v>
      </c>
      <c r="E6" s="1" t="s">
        <v>63</v>
      </c>
      <c r="F6" s="1" t="s">
        <v>64</v>
      </c>
      <c r="G6" s="1" t="s">
        <v>63</v>
      </c>
      <c r="H6" s="1" t="s">
        <v>64</v>
      </c>
      <c r="I6" s="1" t="s">
        <v>63</v>
      </c>
      <c r="J6" s="1" t="s">
        <v>64</v>
      </c>
      <c r="K6" s="1" t="s">
        <v>63</v>
      </c>
      <c r="L6" s="1" t="s">
        <v>64</v>
      </c>
      <c r="M6" s="1" t="s">
        <v>63</v>
      </c>
      <c r="N6" s="1" t="s">
        <v>64</v>
      </c>
      <c r="O6" s="1" t="s">
        <v>63</v>
      </c>
      <c r="P6" s="1" t="s">
        <v>64</v>
      </c>
      <c r="Q6" s="1" t="s">
        <v>63</v>
      </c>
      <c r="R6" s="1" t="s">
        <v>64</v>
      </c>
      <c r="S6" s="1" t="s">
        <v>63</v>
      </c>
      <c r="T6" s="1" t="s">
        <v>64</v>
      </c>
      <c r="U6" s="1" t="s">
        <v>63</v>
      </c>
      <c r="V6" s="1" t="s">
        <v>64</v>
      </c>
      <c r="X6" s="1" t="s">
        <v>6</v>
      </c>
      <c r="Y6" s="1" t="s">
        <v>63</v>
      </c>
      <c r="Z6" s="1" t="s">
        <v>64</v>
      </c>
      <c r="AA6" s="1" t="s">
        <v>63</v>
      </c>
      <c r="AB6" s="1" t="s">
        <v>64</v>
      </c>
      <c r="AC6" s="1" t="s">
        <v>63</v>
      </c>
      <c r="AD6" s="1" t="s">
        <v>64</v>
      </c>
      <c r="AE6" s="1" t="s">
        <v>63</v>
      </c>
      <c r="AF6" s="1" t="s">
        <v>64</v>
      </c>
      <c r="AG6" s="1" t="s">
        <v>63</v>
      </c>
      <c r="AH6" s="1" t="s">
        <v>64</v>
      </c>
      <c r="AI6" s="1" t="s">
        <v>63</v>
      </c>
      <c r="AJ6" s="1" t="s">
        <v>64</v>
      </c>
      <c r="AK6" s="1" t="s">
        <v>63</v>
      </c>
      <c r="AL6" s="1" t="s">
        <v>64</v>
      </c>
      <c r="AM6" s="1" t="s">
        <v>63</v>
      </c>
      <c r="AN6" s="1" t="s">
        <v>64</v>
      </c>
      <c r="AO6" s="1" t="s">
        <v>63</v>
      </c>
      <c r="AP6" s="1" t="s">
        <v>64</v>
      </c>
      <c r="AQ6" s="1" t="s">
        <v>63</v>
      </c>
      <c r="AR6" s="1" t="s">
        <v>64</v>
      </c>
      <c r="AU6" s="1" t="s">
        <v>6</v>
      </c>
      <c r="AV6" s="1" t="s">
        <v>63</v>
      </c>
      <c r="AW6" s="1" t="s">
        <v>64</v>
      </c>
      <c r="AX6" s="1" t="s">
        <v>63</v>
      </c>
      <c r="AY6" s="1" t="s">
        <v>64</v>
      </c>
      <c r="AZ6" s="1" t="s">
        <v>63</v>
      </c>
      <c r="BA6" s="1" t="s">
        <v>64</v>
      </c>
      <c r="BB6" s="1" t="s">
        <v>63</v>
      </c>
      <c r="BC6" s="1" t="s">
        <v>64</v>
      </c>
      <c r="BD6" s="1" t="s">
        <v>63</v>
      </c>
      <c r="BE6" s="1" t="s">
        <v>64</v>
      </c>
      <c r="BF6" s="1" t="s">
        <v>63</v>
      </c>
      <c r="BG6" s="1" t="s">
        <v>64</v>
      </c>
      <c r="BH6" s="1" t="s">
        <v>63</v>
      </c>
      <c r="BI6" s="1" t="s">
        <v>64</v>
      </c>
      <c r="BJ6" s="1" t="s">
        <v>63</v>
      </c>
      <c r="BK6" s="1" t="s">
        <v>64</v>
      </c>
      <c r="BL6" s="1" t="s">
        <v>63</v>
      </c>
      <c r="BM6" s="1" t="s">
        <v>64</v>
      </c>
      <c r="BN6" s="1" t="s">
        <v>63</v>
      </c>
      <c r="BO6" s="1" t="s">
        <v>64</v>
      </c>
      <c r="BR6" s="1" t="s">
        <v>6</v>
      </c>
      <c r="BS6" s="1" t="s">
        <v>63</v>
      </c>
      <c r="BT6" s="1" t="s">
        <v>64</v>
      </c>
      <c r="BU6" s="1" t="s">
        <v>63</v>
      </c>
      <c r="BV6" s="1" t="s">
        <v>64</v>
      </c>
      <c r="BW6" s="1" t="s">
        <v>63</v>
      </c>
      <c r="BX6" s="1" t="s">
        <v>64</v>
      </c>
      <c r="BY6" s="1" t="s">
        <v>63</v>
      </c>
      <c r="BZ6" s="1" t="s">
        <v>64</v>
      </c>
      <c r="CA6" s="1" t="s">
        <v>63</v>
      </c>
      <c r="CB6" s="1" t="s">
        <v>64</v>
      </c>
      <c r="CC6" s="1" t="s">
        <v>63</v>
      </c>
      <c r="CD6" s="1" t="s">
        <v>64</v>
      </c>
      <c r="CE6" s="1" t="s">
        <v>63</v>
      </c>
      <c r="CF6" s="1" t="s">
        <v>64</v>
      </c>
      <c r="CG6" s="1" t="s">
        <v>63</v>
      </c>
      <c r="CH6" s="1" t="s">
        <v>64</v>
      </c>
      <c r="CI6" s="1" t="s">
        <v>63</v>
      </c>
      <c r="CJ6" s="1" t="s">
        <v>64</v>
      </c>
      <c r="CK6" s="1" t="s">
        <v>63</v>
      </c>
      <c r="CL6" s="1" t="s">
        <v>64</v>
      </c>
    </row>
    <row r="7" spans="2:90" x14ac:dyDescent="0.3">
      <c r="B7" s="1" t="s">
        <v>65</v>
      </c>
      <c r="C7" s="1" t="s">
        <v>53</v>
      </c>
      <c r="D7" s="1" t="s">
        <v>53</v>
      </c>
      <c r="E7" s="1" t="s">
        <v>54</v>
      </c>
      <c r="F7" s="1" t="s">
        <v>54</v>
      </c>
      <c r="G7" s="1" t="s">
        <v>55</v>
      </c>
      <c r="H7" s="1" t="s">
        <v>55</v>
      </c>
      <c r="I7" s="1" t="s">
        <v>56</v>
      </c>
      <c r="J7" s="1" t="s">
        <v>56</v>
      </c>
      <c r="K7" s="1" t="s">
        <v>57</v>
      </c>
      <c r="L7" s="1" t="s">
        <v>57</v>
      </c>
      <c r="M7" s="1" t="s">
        <v>58</v>
      </c>
      <c r="N7" s="1" t="s">
        <v>58</v>
      </c>
      <c r="O7" s="1" t="s">
        <v>59</v>
      </c>
      <c r="P7" s="1" t="s">
        <v>59</v>
      </c>
      <c r="Q7" s="1" t="s">
        <v>60</v>
      </c>
      <c r="R7" s="1" t="s">
        <v>60</v>
      </c>
      <c r="S7" s="1" t="s">
        <v>61</v>
      </c>
      <c r="T7" s="1" t="s">
        <v>61</v>
      </c>
      <c r="U7" s="1" t="s">
        <v>62</v>
      </c>
      <c r="V7" s="1" t="s">
        <v>62</v>
      </c>
      <c r="X7" s="1" t="s">
        <v>65</v>
      </c>
      <c r="Y7" s="1" t="s">
        <v>53</v>
      </c>
      <c r="Z7" s="1" t="s">
        <v>53</v>
      </c>
      <c r="AA7" s="1" t="s">
        <v>54</v>
      </c>
      <c r="AB7" s="1" t="s">
        <v>54</v>
      </c>
      <c r="AC7" s="1" t="s">
        <v>55</v>
      </c>
      <c r="AD7" s="1" t="s">
        <v>55</v>
      </c>
      <c r="AE7" s="1" t="s">
        <v>56</v>
      </c>
      <c r="AF7" s="1" t="s">
        <v>56</v>
      </c>
      <c r="AG7" s="1" t="s">
        <v>57</v>
      </c>
      <c r="AH7" s="1" t="s">
        <v>57</v>
      </c>
      <c r="AI7" s="1" t="s">
        <v>58</v>
      </c>
      <c r="AJ7" s="1" t="s">
        <v>58</v>
      </c>
      <c r="AK7" s="1" t="s">
        <v>59</v>
      </c>
      <c r="AL7" s="1" t="s">
        <v>59</v>
      </c>
      <c r="AM7" s="1" t="s">
        <v>60</v>
      </c>
      <c r="AN7" s="1" t="s">
        <v>60</v>
      </c>
      <c r="AO7" s="1" t="s">
        <v>61</v>
      </c>
      <c r="AP7" s="1" t="s">
        <v>61</v>
      </c>
      <c r="AQ7" s="1" t="s">
        <v>62</v>
      </c>
      <c r="AR7" s="1" t="s">
        <v>62</v>
      </c>
      <c r="AU7" s="1" t="s">
        <v>65</v>
      </c>
      <c r="AV7" s="1" t="s">
        <v>53</v>
      </c>
      <c r="AW7" s="1" t="s">
        <v>53</v>
      </c>
      <c r="AX7" s="1" t="s">
        <v>54</v>
      </c>
      <c r="AY7" s="1" t="s">
        <v>54</v>
      </c>
      <c r="AZ7" s="1" t="s">
        <v>55</v>
      </c>
      <c r="BA7" s="1" t="s">
        <v>55</v>
      </c>
      <c r="BB7" s="1" t="s">
        <v>56</v>
      </c>
      <c r="BC7" s="1" t="s">
        <v>56</v>
      </c>
      <c r="BD7" s="1" t="s">
        <v>57</v>
      </c>
      <c r="BE7" s="1" t="s">
        <v>57</v>
      </c>
      <c r="BF7" s="1" t="s">
        <v>58</v>
      </c>
      <c r="BG7" s="1" t="s">
        <v>58</v>
      </c>
      <c r="BH7" s="1" t="s">
        <v>59</v>
      </c>
      <c r="BI7" s="1" t="s">
        <v>59</v>
      </c>
      <c r="BJ7" s="1" t="s">
        <v>60</v>
      </c>
      <c r="BK7" s="1" t="s">
        <v>60</v>
      </c>
      <c r="BL7" s="1" t="s">
        <v>61</v>
      </c>
      <c r="BM7" s="1" t="s">
        <v>61</v>
      </c>
      <c r="BN7" s="1" t="s">
        <v>62</v>
      </c>
      <c r="BO7" s="1" t="s">
        <v>62</v>
      </c>
      <c r="BR7" s="1" t="s">
        <v>65</v>
      </c>
      <c r="BS7" s="1" t="s">
        <v>53</v>
      </c>
      <c r="BT7" s="1" t="s">
        <v>53</v>
      </c>
      <c r="BU7" s="1" t="s">
        <v>54</v>
      </c>
      <c r="BV7" s="1" t="s">
        <v>54</v>
      </c>
      <c r="BW7" s="1" t="s">
        <v>55</v>
      </c>
      <c r="BX7" s="1" t="s">
        <v>55</v>
      </c>
      <c r="BY7" s="1" t="s">
        <v>56</v>
      </c>
      <c r="BZ7" s="1" t="s">
        <v>56</v>
      </c>
      <c r="CA7" s="1" t="s">
        <v>57</v>
      </c>
      <c r="CB7" s="1" t="s">
        <v>57</v>
      </c>
      <c r="CC7" s="1" t="s">
        <v>58</v>
      </c>
      <c r="CD7" s="1" t="s">
        <v>58</v>
      </c>
      <c r="CE7" s="1" t="s">
        <v>59</v>
      </c>
      <c r="CF7" s="1" t="s">
        <v>59</v>
      </c>
      <c r="CG7" s="1" t="s">
        <v>60</v>
      </c>
      <c r="CH7" s="1" t="s">
        <v>60</v>
      </c>
      <c r="CI7" s="1" t="s">
        <v>61</v>
      </c>
      <c r="CJ7" s="1" t="s">
        <v>61</v>
      </c>
      <c r="CK7" s="1" t="s">
        <v>62</v>
      </c>
      <c r="CL7" s="1" t="s">
        <v>62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66</v>
      </c>
      <c r="Y9" s="2">
        <v>4811.17</v>
      </c>
      <c r="Z9" s="2">
        <v>4637.3599999999997</v>
      </c>
      <c r="AA9" s="2">
        <v>1039.73</v>
      </c>
      <c r="AB9" s="2">
        <v>953.87</v>
      </c>
      <c r="AC9" s="2">
        <v>327.75</v>
      </c>
      <c r="AD9" s="2">
        <v>612.15</v>
      </c>
      <c r="AE9" s="2">
        <v>3905.44</v>
      </c>
      <c r="AF9" s="2">
        <v>2214.2399999999998</v>
      </c>
      <c r="AG9" s="2">
        <v>7137.2</v>
      </c>
      <c r="AH9" s="2">
        <v>2346.4</v>
      </c>
      <c r="AI9" s="2">
        <v>13043.52</v>
      </c>
      <c r="AJ9" s="2">
        <v>3069.36</v>
      </c>
      <c r="AK9" s="2">
        <v>9810.99</v>
      </c>
      <c r="AL9" s="2">
        <v>1025.1500000000001</v>
      </c>
      <c r="AM9" s="2">
        <v>9544.08</v>
      </c>
      <c r="AN9" s="2">
        <v>2981.86</v>
      </c>
      <c r="AO9" s="2">
        <v>566.94000000000005</v>
      </c>
      <c r="AP9" s="2">
        <v>432.45</v>
      </c>
      <c r="AQ9" s="2">
        <v>2025.45</v>
      </c>
      <c r="AR9" s="2">
        <v>606.33000000000004</v>
      </c>
      <c r="AU9" s="1" t="s">
        <v>66</v>
      </c>
      <c r="AV9" s="2">
        <v>21840</v>
      </c>
      <c r="AW9" s="2">
        <v>21840</v>
      </c>
      <c r="AX9" s="2">
        <v>18782.8</v>
      </c>
      <c r="AY9" s="2">
        <v>17592.84</v>
      </c>
      <c r="AZ9" s="2">
        <v>6849.7</v>
      </c>
      <c r="BA9" s="2">
        <v>8400</v>
      </c>
      <c r="BB9" s="2">
        <v>26880</v>
      </c>
      <c r="BC9" s="2">
        <v>26880</v>
      </c>
      <c r="BD9" s="2">
        <v>33600</v>
      </c>
      <c r="BE9" s="2">
        <v>33600</v>
      </c>
      <c r="BF9" s="2">
        <v>60480</v>
      </c>
      <c r="BG9" s="2">
        <v>60480</v>
      </c>
      <c r="BH9" s="2">
        <v>48720</v>
      </c>
      <c r="BI9" s="2">
        <v>48720</v>
      </c>
      <c r="BJ9" s="2">
        <v>63840</v>
      </c>
      <c r="BK9" s="2">
        <v>63840</v>
      </c>
      <c r="BL9" s="2">
        <v>56664.92</v>
      </c>
      <c r="BM9" s="2">
        <v>43702.27</v>
      </c>
      <c r="BN9" s="2">
        <v>75600</v>
      </c>
      <c r="BO9" s="2">
        <v>60906.87</v>
      </c>
      <c r="BR9" s="1" t="s">
        <v>66</v>
      </c>
      <c r="BS9" s="2">
        <v>26651.17</v>
      </c>
      <c r="BT9" s="2">
        <v>26477.360000000001</v>
      </c>
      <c r="BU9" s="2">
        <v>19822.53</v>
      </c>
      <c r="BV9" s="2">
        <v>18546.71</v>
      </c>
      <c r="BW9" s="2">
        <v>7177.45</v>
      </c>
      <c r="BX9" s="2">
        <v>9012.15</v>
      </c>
      <c r="BY9" s="2">
        <v>30785.439999999999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67</v>
      </c>
      <c r="C10" s="2">
        <v>1.59</v>
      </c>
      <c r="D10" s="2">
        <v>0.84</v>
      </c>
      <c r="E10" s="2">
        <v>1.3</v>
      </c>
      <c r="F10" s="2">
        <v>0.79</v>
      </c>
      <c r="G10" s="2">
        <v>1.1000000000000001</v>
      </c>
      <c r="H10" s="2">
        <v>1.02</v>
      </c>
      <c r="I10" s="2">
        <v>1.55</v>
      </c>
      <c r="J10" s="2">
        <v>1.54</v>
      </c>
      <c r="K10" s="2">
        <v>1.69</v>
      </c>
      <c r="L10" s="2">
        <v>1.2</v>
      </c>
      <c r="M10" s="2">
        <v>1.8</v>
      </c>
      <c r="N10" s="2">
        <v>1.23</v>
      </c>
      <c r="O10" s="2">
        <v>1.8</v>
      </c>
      <c r="P10" s="2">
        <v>1.4</v>
      </c>
      <c r="Q10" s="2">
        <v>1.69</v>
      </c>
      <c r="R10" s="2">
        <v>1.26</v>
      </c>
      <c r="S10" s="2">
        <v>1.58</v>
      </c>
      <c r="T10" s="2">
        <v>0.95</v>
      </c>
      <c r="U10" s="2">
        <v>1.37</v>
      </c>
      <c r="V10" s="2">
        <v>0.77</v>
      </c>
      <c r="X10" s="1" t="s">
        <v>67</v>
      </c>
      <c r="Y10" s="2">
        <v>1136.58</v>
      </c>
      <c r="Z10" s="2">
        <v>747.7</v>
      </c>
      <c r="AA10" s="2">
        <v>1159.56</v>
      </c>
      <c r="AB10" s="2">
        <v>748.9</v>
      </c>
      <c r="AC10" s="2">
        <v>312.33</v>
      </c>
      <c r="AD10" s="2">
        <v>363.39</v>
      </c>
      <c r="AE10" s="2">
        <v>1573.13</v>
      </c>
      <c r="AF10" s="2">
        <v>1144.73</v>
      </c>
      <c r="AG10" s="2">
        <v>1840.7</v>
      </c>
      <c r="AH10" s="2">
        <v>1307.19</v>
      </c>
      <c r="AI10" s="2">
        <v>3683.2</v>
      </c>
      <c r="AJ10" s="2">
        <v>2388.77</v>
      </c>
      <c r="AK10" s="2">
        <v>2230.7399999999998</v>
      </c>
      <c r="AL10" s="2">
        <v>2030.28</v>
      </c>
      <c r="AM10" s="2">
        <v>2832.38</v>
      </c>
      <c r="AN10" s="2">
        <v>2597.02</v>
      </c>
      <c r="AO10" s="2">
        <v>2479.92</v>
      </c>
      <c r="AP10" s="2">
        <v>1964.39</v>
      </c>
      <c r="AQ10" s="2">
        <v>3770.92</v>
      </c>
      <c r="AR10" s="2">
        <v>2349.52</v>
      </c>
      <c r="AU10" s="1" t="s">
        <v>67</v>
      </c>
      <c r="AV10" s="2">
        <v>9739.74</v>
      </c>
      <c r="AW10" s="2">
        <v>6318.32</v>
      </c>
      <c r="AX10" s="2">
        <v>8936.24</v>
      </c>
      <c r="AY10" s="2">
        <v>5959.36</v>
      </c>
      <c r="AZ10" s="2">
        <v>2208.37</v>
      </c>
      <c r="BA10" s="2">
        <v>2898.66</v>
      </c>
      <c r="BB10" s="2">
        <v>12369.59</v>
      </c>
      <c r="BC10" s="2">
        <v>8430.9500000000007</v>
      </c>
      <c r="BD10" s="2">
        <v>15577.9</v>
      </c>
      <c r="BE10" s="2">
        <v>10454.41</v>
      </c>
      <c r="BF10" s="2">
        <v>26778.92</v>
      </c>
      <c r="BG10" s="2">
        <v>19137.07</v>
      </c>
      <c r="BH10" s="2">
        <v>18349.98</v>
      </c>
      <c r="BI10" s="2">
        <v>16450.55</v>
      </c>
      <c r="BJ10" s="2">
        <v>23386.48</v>
      </c>
      <c r="BK10" s="2">
        <v>21719.94</v>
      </c>
      <c r="BL10" s="2">
        <v>20344.28</v>
      </c>
      <c r="BM10" s="2">
        <v>15424.91</v>
      </c>
      <c r="BN10" s="2">
        <v>33370.28</v>
      </c>
      <c r="BO10" s="2">
        <v>21262.43</v>
      </c>
      <c r="BR10" s="1" t="s">
        <v>67</v>
      </c>
      <c r="BS10" s="2">
        <v>10876.32</v>
      </c>
      <c r="BT10" s="2">
        <v>7066.02</v>
      </c>
      <c r="BU10" s="2">
        <v>10095.799999999999</v>
      </c>
      <c r="BV10" s="2">
        <v>6708.26</v>
      </c>
      <c r="BW10" s="2">
        <v>2520.6999999999998</v>
      </c>
      <c r="BX10" s="2">
        <v>3262.05</v>
      </c>
      <c r="BY10" s="2">
        <v>13942.72</v>
      </c>
      <c r="BZ10" s="2">
        <v>9575.68</v>
      </c>
      <c r="CA10" s="2">
        <v>17418.599999999999</v>
      </c>
      <c r="CB10" s="2">
        <v>11761.6</v>
      </c>
      <c r="CC10" s="2">
        <v>30462.12</v>
      </c>
      <c r="CD10" s="2">
        <v>21525.84</v>
      </c>
      <c r="CE10" s="2">
        <v>20580.72</v>
      </c>
      <c r="CF10" s="2">
        <v>18480.830000000002</v>
      </c>
      <c r="CG10" s="2">
        <v>26218.86</v>
      </c>
      <c r="CH10" s="2">
        <v>24316.959999999999</v>
      </c>
      <c r="CI10" s="2">
        <v>22824.2</v>
      </c>
      <c r="CJ10" s="2">
        <v>17389.3</v>
      </c>
      <c r="CK10" s="2">
        <v>37141.199999999997</v>
      </c>
      <c r="CL10" s="2">
        <v>23611.95</v>
      </c>
    </row>
    <row r="11" spans="2:90" x14ac:dyDescent="0.3">
      <c r="B11" s="1" t="s">
        <v>68</v>
      </c>
      <c r="C11" s="2">
        <v>3.6</v>
      </c>
      <c r="D11" s="2">
        <v>1.06</v>
      </c>
      <c r="E11" s="2">
        <v>4.05</v>
      </c>
      <c r="F11" s="2">
        <v>0.9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1.69</v>
      </c>
      <c r="U11" s="2">
        <v>1.65</v>
      </c>
      <c r="V11" s="2">
        <v>1.43</v>
      </c>
      <c r="X11" s="1" t="s">
        <v>68</v>
      </c>
      <c r="Y11" s="2">
        <v>7334.5</v>
      </c>
      <c r="Z11" s="2">
        <v>1875.78</v>
      </c>
      <c r="AA11" s="2">
        <v>6890.14</v>
      </c>
      <c r="AB11" s="2">
        <v>1697.92</v>
      </c>
      <c r="AC11" s="2">
        <v>3080.72</v>
      </c>
      <c r="AD11" s="2">
        <v>2744.96</v>
      </c>
      <c r="AE11" s="2">
        <v>10591.66</v>
      </c>
      <c r="AF11" s="2">
        <v>5110.6499999999996</v>
      </c>
      <c r="AG11" s="2">
        <v>14072.69</v>
      </c>
      <c r="AH11" s="2">
        <v>5331.2</v>
      </c>
      <c r="AI11" s="2">
        <v>25781.11</v>
      </c>
      <c r="AJ11" s="2">
        <v>9615.3799999999992</v>
      </c>
      <c r="AK11" s="2">
        <v>19728.54</v>
      </c>
      <c r="AL11" s="2">
        <v>7980.88</v>
      </c>
      <c r="AM11" s="2">
        <v>24982.37</v>
      </c>
      <c r="AN11" s="2">
        <v>9518.98</v>
      </c>
      <c r="AO11" s="2">
        <v>10677.87</v>
      </c>
      <c r="AP11" s="2">
        <v>6717.05</v>
      </c>
      <c r="AQ11" s="2">
        <v>8705.65</v>
      </c>
      <c r="AR11" s="2">
        <v>7922.25</v>
      </c>
      <c r="AU11" s="1" t="s">
        <v>68</v>
      </c>
      <c r="AV11" s="2">
        <v>30270.32</v>
      </c>
      <c r="AW11" s="2">
        <v>16150.41</v>
      </c>
      <c r="AX11" s="2">
        <v>29257.84</v>
      </c>
      <c r="AY11" s="2">
        <v>13545.62</v>
      </c>
      <c r="AZ11" s="2">
        <v>8040.56</v>
      </c>
      <c r="BA11" s="2">
        <v>9776.7999999999993</v>
      </c>
      <c r="BB11" s="2">
        <v>35642.99</v>
      </c>
      <c r="BC11" s="2">
        <v>28726.22</v>
      </c>
      <c r="BD11" s="2">
        <v>46377.31</v>
      </c>
      <c r="BE11" s="2">
        <v>35057.269999999997</v>
      </c>
      <c r="BF11" s="2">
        <v>83946.89</v>
      </c>
      <c r="BG11" s="2">
        <v>63237.82</v>
      </c>
      <c r="BH11" s="2">
        <v>62282.79</v>
      </c>
      <c r="BI11" s="2">
        <v>51475.86</v>
      </c>
      <c r="BJ11" s="2">
        <v>77195.59</v>
      </c>
      <c r="BK11" s="2">
        <v>65299.47</v>
      </c>
      <c r="BL11" s="2">
        <v>62670.16</v>
      </c>
      <c r="BM11" s="2">
        <v>52777.67</v>
      </c>
      <c r="BN11" s="2">
        <v>68457.13</v>
      </c>
      <c r="BO11" s="2">
        <v>61747.44</v>
      </c>
      <c r="BR11" s="1" t="s">
        <v>68</v>
      </c>
      <c r="BS11" s="2">
        <v>37604.82</v>
      </c>
      <c r="BT11" s="2">
        <v>18026.189999999999</v>
      </c>
      <c r="BU11" s="2">
        <v>36147.980000000003</v>
      </c>
      <c r="BV11" s="2">
        <v>15243.54</v>
      </c>
      <c r="BW11" s="2">
        <v>11121.28</v>
      </c>
      <c r="BX11" s="2">
        <v>12521.76</v>
      </c>
      <c r="BY11" s="2">
        <v>46234.65</v>
      </c>
      <c r="BZ11" s="2">
        <v>33836.870000000003</v>
      </c>
      <c r="CA11" s="2">
        <v>60450</v>
      </c>
      <c r="CB11" s="2">
        <v>40388.47</v>
      </c>
      <c r="CC11" s="2">
        <v>109728</v>
      </c>
      <c r="CD11" s="2">
        <v>72853.2</v>
      </c>
      <c r="CE11" s="2">
        <v>82011.34</v>
      </c>
      <c r="CF11" s="2">
        <v>59456.74</v>
      </c>
      <c r="CG11" s="2">
        <v>102177.96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69</v>
      </c>
      <c r="C12" s="2">
        <v>3.6</v>
      </c>
      <c r="D12" s="2">
        <v>0.94</v>
      </c>
      <c r="E12" s="2">
        <v>3.6</v>
      </c>
      <c r="F12" s="2">
        <v>0.76</v>
      </c>
      <c r="G12" s="2">
        <v>1.8</v>
      </c>
      <c r="H12" s="2">
        <v>1.8</v>
      </c>
      <c r="I12" s="2">
        <v>3.6</v>
      </c>
      <c r="J12" s="2">
        <v>1.8</v>
      </c>
      <c r="K12" s="2">
        <v>1.8</v>
      </c>
      <c r="L12" s="2">
        <v>1.64</v>
      </c>
      <c r="M12" s="2">
        <v>1.8</v>
      </c>
      <c r="N12" s="2">
        <v>1.53</v>
      </c>
      <c r="O12" s="2">
        <v>1.8</v>
      </c>
      <c r="P12" s="2">
        <v>1.55</v>
      </c>
      <c r="Q12" s="2">
        <v>1.8</v>
      </c>
      <c r="R12" s="2">
        <v>1.39</v>
      </c>
      <c r="S12" s="2">
        <v>1.39</v>
      </c>
      <c r="T12" s="2">
        <v>1.19</v>
      </c>
      <c r="U12" s="2">
        <v>1.18</v>
      </c>
      <c r="V12" s="2">
        <v>1.07</v>
      </c>
      <c r="X12" s="1" t="s">
        <v>69</v>
      </c>
      <c r="Y12" s="2">
        <v>1353.03</v>
      </c>
      <c r="Z12" s="2">
        <v>785.48</v>
      </c>
      <c r="AA12" s="2">
        <v>1363.03</v>
      </c>
      <c r="AB12" s="2">
        <v>687.94</v>
      </c>
      <c r="AC12" s="2">
        <v>713.12</v>
      </c>
      <c r="AD12" s="2">
        <v>868.1</v>
      </c>
      <c r="AE12" s="2">
        <v>1623.14</v>
      </c>
      <c r="AF12" s="2">
        <v>1451.22</v>
      </c>
      <c r="AG12" s="2">
        <v>3096.66</v>
      </c>
      <c r="AH12" s="2">
        <v>1514.63</v>
      </c>
      <c r="AI12" s="2">
        <v>5570.48</v>
      </c>
      <c r="AJ12" s="2">
        <v>2668.37</v>
      </c>
      <c r="AK12" s="2">
        <v>4476.8100000000004</v>
      </c>
      <c r="AL12" s="2">
        <v>2162.56</v>
      </c>
      <c r="AM12" s="2">
        <v>4465.88</v>
      </c>
      <c r="AN12" s="2">
        <v>2714.48</v>
      </c>
      <c r="AO12" s="2">
        <v>2418.52</v>
      </c>
      <c r="AP12" s="2">
        <v>2296.96</v>
      </c>
      <c r="AQ12" s="2">
        <v>3002.47</v>
      </c>
      <c r="AR12" s="2">
        <v>2866.79</v>
      </c>
      <c r="AU12" s="1" t="s">
        <v>69</v>
      </c>
      <c r="AV12" s="2">
        <v>9774.56</v>
      </c>
      <c r="AW12" s="2">
        <v>5623.26</v>
      </c>
      <c r="AX12" s="2">
        <v>9192.17</v>
      </c>
      <c r="AY12" s="2">
        <v>5620.96</v>
      </c>
      <c r="AZ12" s="2">
        <v>2756.22</v>
      </c>
      <c r="BA12" s="2">
        <v>3571.9</v>
      </c>
      <c r="BB12" s="2">
        <v>12584.86</v>
      </c>
      <c r="BC12" s="2">
        <v>10262.34</v>
      </c>
      <c r="BD12" s="2">
        <v>14663.34</v>
      </c>
      <c r="BE12" s="2">
        <v>12347.3</v>
      </c>
      <c r="BF12" s="2">
        <v>26397.52</v>
      </c>
      <c r="BG12" s="2">
        <v>21629.43</v>
      </c>
      <c r="BH12" s="2">
        <v>21275.19</v>
      </c>
      <c r="BI12" s="2">
        <v>17530.759999999998</v>
      </c>
      <c r="BJ12" s="2">
        <v>26441.040000000001</v>
      </c>
      <c r="BK12" s="2">
        <v>21828.58</v>
      </c>
      <c r="BL12" s="2">
        <v>19473.400000000001</v>
      </c>
      <c r="BM12" s="2">
        <v>18192.8</v>
      </c>
      <c r="BN12" s="2">
        <v>23794.58</v>
      </c>
      <c r="BO12" s="2">
        <v>22543.4</v>
      </c>
      <c r="BR12" s="1" t="s">
        <v>69</v>
      </c>
      <c r="BS12" s="2">
        <v>11127.59</v>
      </c>
      <c r="BT12" s="2">
        <v>6408.74</v>
      </c>
      <c r="BU12" s="2">
        <v>10555.19</v>
      </c>
      <c r="BV12" s="2">
        <v>6308.9</v>
      </c>
      <c r="BW12" s="2">
        <v>3469.34</v>
      </c>
      <c r="BX12" s="2">
        <v>4440</v>
      </c>
      <c r="BY12" s="2">
        <v>14208</v>
      </c>
      <c r="BZ12" s="2">
        <v>11713.56</v>
      </c>
      <c r="CA12" s="2">
        <v>17760</v>
      </c>
      <c r="CB12" s="2">
        <v>13861.93</v>
      </c>
      <c r="CC12" s="2">
        <v>31968</v>
      </c>
      <c r="CD12" s="2">
        <v>24297.8</v>
      </c>
      <c r="CE12" s="2">
        <v>25752</v>
      </c>
      <c r="CF12" s="2">
        <v>19693.32</v>
      </c>
      <c r="CG12" s="2">
        <v>30906.92</v>
      </c>
      <c r="CH12" s="2">
        <v>24543.06</v>
      </c>
      <c r="CI12" s="2">
        <v>21891.919999999998</v>
      </c>
      <c r="CJ12" s="2">
        <v>20489.759999999998</v>
      </c>
      <c r="CK12" s="2">
        <v>26797.05</v>
      </c>
      <c r="CL12" s="2">
        <v>25410.19</v>
      </c>
    </row>
    <row r="13" spans="2:90" x14ac:dyDescent="0.3">
      <c r="B13" s="1" t="s">
        <v>70</v>
      </c>
      <c r="C13" s="2">
        <v>1.8</v>
      </c>
      <c r="D13" s="2">
        <v>1.8</v>
      </c>
      <c r="E13" s="2">
        <v>3.6</v>
      </c>
      <c r="F13" s="2">
        <v>1.45</v>
      </c>
      <c r="G13" s="2">
        <v>1.8</v>
      </c>
      <c r="H13" s="2">
        <v>1.8</v>
      </c>
      <c r="I13" s="2">
        <v>1.41</v>
      </c>
      <c r="J13" s="2">
        <v>1.8</v>
      </c>
      <c r="K13" s="2">
        <v>1.8</v>
      </c>
      <c r="L13" s="2">
        <v>1.8</v>
      </c>
      <c r="M13" s="2">
        <v>1.8</v>
      </c>
      <c r="N13" s="2">
        <v>1.8</v>
      </c>
      <c r="O13" s="2">
        <v>1.8</v>
      </c>
      <c r="P13" s="2">
        <v>1.8</v>
      </c>
      <c r="Q13" s="2">
        <v>1.53</v>
      </c>
      <c r="R13" s="2">
        <v>1.58</v>
      </c>
      <c r="S13" s="2">
        <v>1.35</v>
      </c>
      <c r="T13" s="2">
        <v>1.26</v>
      </c>
      <c r="U13" s="2">
        <v>1.3</v>
      </c>
      <c r="V13" s="2">
        <v>1.07</v>
      </c>
      <c r="X13" s="1" t="s">
        <v>70</v>
      </c>
      <c r="Y13" s="2">
        <v>7333.77</v>
      </c>
      <c r="Z13" s="2">
        <v>7834.54</v>
      </c>
      <c r="AA13" s="2">
        <v>5621.15</v>
      </c>
      <c r="AB13" s="2">
        <v>6056.81</v>
      </c>
      <c r="AC13" s="2">
        <v>2791.31</v>
      </c>
      <c r="AD13" s="2">
        <v>3061.5</v>
      </c>
      <c r="AE13" s="2">
        <v>6497.55</v>
      </c>
      <c r="AF13" s="2">
        <v>10015.1</v>
      </c>
      <c r="AG13" s="2">
        <v>11690.46</v>
      </c>
      <c r="AH13" s="2">
        <v>12404.54</v>
      </c>
      <c r="AI13" s="2">
        <v>18332.78</v>
      </c>
      <c r="AJ13" s="2">
        <v>17051.62</v>
      </c>
      <c r="AK13" s="2">
        <v>12179.64</v>
      </c>
      <c r="AL13" s="2">
        <v>12264.92</v>
      </c>
      <c r="AM13" s="2">
        <v>14040.17</v>
      </c>
      <c r="AN13" s="2">
        <v>14158.14</v>
      </c>
      <c r="AO13" s="2">
        <v>11940.22</v>
      </c>
      <c r="AP13" s="2">
        <v>11828.53</v>
      </c>
      <c r="AQ13" s="2">
        <v>15844.93</v>
      </c>
      <c r="AR13" s="2">
        <v>15754.73</v>
      </c>
      <c r="AU13" s="1" t="s">
        <v>70</v>
      </c>
      <c r="AV13" s="2">
        <v>30514.45</v>
      </c>
      <c r="AW13" s="2">
        <v>40323.31</v>
      </c>
      <c r="AX13" s="2">
        <v>43248.24</v>
      </c>
      <c r="AY13" s="2">
        <v>47511.64</v>
      </c>
      <c r="AZ13" s="2">
        <v>11160.25</v>
      </c>
      <c r="BA13" s="2">
        <v>12494.71</v>
      </c>
      <c r="BB13" s="2">
        <v>53200.05</v>
      </c>
      <c r="BC13" s="2">
        <v>48341.7</v>
      </c>
      <c r="BD13" s="2">
        <v>69305.539999999994</v>
      </c>
      <c r="BE13" s="2">
        <v>68492.460000000006</v>
      </c>
      <c r="BF13" s="2">
        <v>121466.02</v>
      </c>
      <c r="BG13" s="2">
        <v>125844.98</v>
      </c>
      <c r="BH13" s="2">
        <v>94164.81</v>
      </c>
      <c r="BI13" s="2">
        <v>100545.08</v>
      </c>
      <c r="BJ13" s="2">
        <v>113765.23</v>
      </c>
      <c r="BK13" s="2">
        <v>115089.36</v>
      </c>
      <c r="BL13" s="2">
        <v>94508.68</v>
      </c>
      <c r="BM13" s="2">
        <v>96815.07</v>
      </c>
      <c r="BN13" s="2">
        <v>128096.57</v>
      </c>
      <c r="BO13" s="2">
        <v>144485.76999999999</v>
      </c>
      <c r="BR13" s="1" t="s">
        <v>70</v>
      </c>
      <c r="BS13" s="2">
        <v>37848.21</v>
      </c>
      <c r="BT13" s="2">
        <v>48157.85</v>
      </c>
      <c r="BU13" s="2">
        <v>48869.39</v>
      </c>
      <c r="BV13" s="2">
        <v>53568.45</v>
      </c>
      <c r="BW13" s="2">
        <v>13951.56</v>
      </c>
      <c r="BX13" s="2">
        <v>15556.21</v>
      </c>
      <c r="BY13" s="2">
        <v>59697.599999999999</v>
      </c>
      <c r="BZ13" s="2">
        <v>58356.800000000003</v>
      </c>
      <c r="CA13" s="2">
        <v>80996</v>
      </c>
      <c r="CB13" s="2">
        <v>80897</v>
      </c>
      <c r="CC13" s="2">
        <v>139798.79999999999</v>
      </c>
      <c r="CD13" s="2">
        <v>142896.6</v>
      </c>
      <c r="CE13" s="2">
        <v>106344.45</v>
      </c>
      <c r="CF13" s="2">
        <v>112810</v>
      </c>
      <c r="CG13" s="2">
        <v>127805.4</v>
      </c>
      <c r="CH13" s="2">
        <v>129247.5</v>
      </c>
      <c r="CI13" s="2">
        <v>106448.9</v>
      </c>
      <c r="CJ13" s="2">
        <v>108643.6</v>
      </c>
      <c r="CK13" s="2">
        <v>143941.5</v>
      </c>
      <c r="CL13" s="2">
        <v>160240.5</v>
      </c>
    </row>
    <row r="14" spans="2:90" x14ac:dyDescent="0.3">
      <c r="B14" s="1" t="s">
        <v>71</v>
      </c>
      <c r="C14" s="2">
        <v>1.8</v>
      </c>
      <c r="D14" s="2">
        <v>1.8</v>
      </c>
      <c r="E14" s="2">
        <v>3.6</v>
      </c>
      <c r="F14" s="2">
        <v>3.58</v>
      </c>
      <c r="G14" s="2">
        <v>1.8</v>
      </c>
      <c r="H14" s="2">
        <v>1.8</v>
      </c>
      <c r="I14" s="2">
        <v>1.47</v>
      </c>
      <c r="J14" s="2">
        <v>1.8</v>
      </c>
      <c r="K14" s="2">
        <v>1.44</v>
      </c>
      <c r="L14" s="2">
        <v>3.31</v>
      </c>
      <c r="M14" s="2">
        <v>1.7</v>
      </c>
      <c r="N14" s="2">
        <v>3.29</v>
      </c>
      <c r="O14" s="2">
        <v>1.67</v>
      </c>
      <c r="P14" s="2">
        <v>2.76</v>
      </c>
      <c r="Q14" s="2">
        <v>1.64</v>
      </c>
      <c r="R14" s="2">
        <v>2.75</v>
      </c>
      <c r="S14" s="2">
        <v>1.51</v>
      </c>
      <c r="T14" s="2">
        <v>1.8</v>
      </c>
      <c r="U14" s="2">
        <v>1.27</v>
      </c>
      <c r="V14" s="2">
        <v>1.1399999999999999</v>
      </c>
      <c r="X14" s="1" t="s">
        <v>71</v>
      </c>
      <c r="Y14" s="2">
        <v>1900.75</v>
      </c>
      <c r="Z14" s="2">
        <v>1935.37</v>
      </c>
      <c r="AA14" s="2">
        <v>1518.62</v>
      </c>
      <c r="AB14" s="2">
        <v>1534.13</v>
      </c>
      <c r="AC14" s="2">
        <v>646.66999999999996</v>
      </c>
      <c r="AD14" s="2">
        <v>718.11</v>
      </c>
      <c r="AE14" s="2">
        <v>1363.24</v>
      </c>
      <c r="AF14" s="2">
        <v>1915.98</v>
      </c>
      <c r="AG14" s="2">
        <v>1599.02</v>
      </c>
      <c r="AH14" s="2">
        <v>2045.6</v>
      </c>
      <c r="AI14" s="2">
        <v>3067.17</v>
      </c>
      <c r="AJ14" s="2">
        <v>3788.61</v>
      </c>
      <c r="AK14" s="2">
        <v>2451.0100000000002</v>
      </c>
      <c r="AL14" s="2">
        <v>2949.27</v>
      </c>
      <c r="AM14" s="2">
        <v>3163.1</v>
      </c>
      <c r="AN14" s="2">
        <v>3804.41</v>
      </c>
      <c r="AO14" s="2">
        <v>2699.55</v>
      </c>
      <c r="AP14" s="2">
        <v>3993.74</v>
      </c>
      <c r="AQ14" s="2">
        <v>3352.6</v>
      </c>
      <c r="AR14" s="2">
        <v>3170.63</v>
      </c>
      <c r="AU14" s="1" t="s">
        <v>71</v>
      </c>
      <c r="AV14" s="2">
        <v>7078.11</v>
      </c>
      <c r="AW14" s="2">
        <v>7215.01</v>
      </c>
      <c r="AX14" s="2">
        <v>10025.379999999999</v>
      </c>
      <c r="AY14" s="2">
        <v>10009.870000000001</v>
      </c>
      <c r="AZ14" s="2">
        <v>2241.69</v>
      </c>
      <c r="BA14" s="2">
        <v>2559.88</v>
      </c>
      <c r="BB14" s="2">
        <v>9238.0400000000009</v>
      </c>
      <c r="BC14" s="2">
        <v>6995.89</v>
      </c>
      <c r="BD14" s="2">
        <v>11711.38</v>
      </c>
      <c r="BE14" s="2">
        <v>15272.4</v>
      </c>
      <c r="BF14" s="2">
        <v>22683.99</v>
      </c>
      <c r="BG14" s="2">
        <v>28179.39</v>
      </c>
      <c r="BH14" s="2">
        <v>18130.25</v>
      </c>
      <c r="BI14" s="2">
        <v>21619.85</v>
      </c>
      <c r="BJ14" s="2">
        <v>23577.01</v>
      </c>
      <c r="BK14" s="2">
        <v>28262.52</v>
      </c>
      <c r="BL14" s="2">
        <v>20302.96</v>
      </c>
      <c r="BM14" s="2">
        <v>23188.11</v>
      </c>
      <c r="BN14" s="2">
        <v>24849.1</v>
      </c>
      <c r="BO14" s="2">
        <v>23217.37</v>
      </c>
      <c r="BR14" s="1" t="s">
        <v>71</v>
      </c>
      <c r="BS14" s="2">
        <v>8978.86</v>
      </c>
      <c r="BT14" s="2">
        <v>9150.3799999999992</v>
      </c>
      <c r="BU14" s="2">
        <v>11544</v>
      </c>
      <c r="BV14" s="2">
        <v>11544</v>
      </c>
      <c r="BW14" s="2">
        <v>2888.37</v>
      </c>
      <c r="BX14" s="2">
        <v>3277.99</v>
      </c>
      <c r="BY14" s="2">
        <v>10601.28</v>
      </c>
      <c r="BZ14" s="2">
        <v>8911.8700000000008</v>
      </c>
      <c r="CA14" s="2">
        <v>13310.4</v>
      </c>
      <c r="CB14" s="2">
        <v>17318</v>
      </c>
      <c r="CC14" s="2">
        <v>25751.16</v>
      </c>
      <c r="CD14" s="2">
        <v>31968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26388</v>
      </c>
    </row>
    <row r="15" spans="2:90" x14ac:dyDescent="0.3">
      <c r="B15" s="1" t="s">
        <v>72</v>
      </c>
      <c r="C15" s="2">
        <v>3.6</v>
      </c>
      <c r="D15" s="2">
        <v>3.6</v>
      </c>
      <c r="E15" s="2">
        <v>3.6</v>
      </c>
      <c r="F15" s="2">
        <v>3.74</v>
      </c>
      <c r="G15" s="2">
        <v>1.8</v>
      </c>
      <c r="H15" s="2">
        <v>3.6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3.58</v>
      </c>
      <c r="S15" s="2">
        <v>1.8</v>
      </c>
      <c r="T15" s="2">
        <v>1.8</v>
      </c>
      <c r="U15" s="2">
        <v>1.8</v>
      </c>
      <c r="V15" s="2">
        <v>1.8</v>
      </c>
      <c r="X15" s="1" t="s">
        <v>72</v>
      </c>
      <c r="Y15" s="2">
        <v>7056.15</v>
      </c>
      <c r="Z15" s="2">
        <v>7373.93</v>
      </c>
      <c r="AA15" s="2">
        <v>5159.3</v>
      </c>
      <c r="AB15" s="2">
        <v>7507.7</v>
      </c>
      <c r="AC15" s="2">
        <v>2285.63</v>
      </c>
      <c r="AD15" s="2">
        <v>2728.01</v>
      </c>
      <c r="AE15" s="2">
        <v>6952.64</v>
      </c>
      <c r="AF15" s="2">
        <v>9561.89</v>
      </c>
      <c r="AG15" s="2">
        <v>6607.6</v>
      </c>
      <c r="AH15" s="2">
        <v>14702.01</v>
      </c>
      <c r="AI15" s="2">
        <v>13029.92</v>
      </c>
      <c r="AJ15" s="2">
        <v>26471.13</v>
      </c>
      <c r="AK15" s="2">
        <v>10538.75</v>
      </c>
      <c r="AL15" s="2">
        <v>19056.3</v>
      </c>
      <c r="AM15" s="2">
        <v>15308.49</v>
      </c>
      <c r="AN15" s="2">
        <v>11187.85</v>
      </c>
      <c r="AO15" s="2">
        <v>10091.540000000001</v>
      </c>
      <c r="AP15" s="2">
        <v>10657.92</v>
      </c>
      <c r="AQ15" s="2">
        <v>11364.72</v>
      </c>
      <c r="AR15" s="2">
        <v>10938.05</v>
      </c>
      <c r="AU15" s="1" t="s">
        <v>72</v>
      </c>
      <c r="AV15" s="2">
        <v>27137.7</v>
      </c>
      <c r="AW15" s="2">
        <v>28887.37</v>
      </c>
      <c r="AX15" s="2">
        <v>28371.200000000001</v>
      </c>
      <c r="AY15" s="2">
        <v>31330.68</v>
      </c>
      <c r="AZ15" s="2">
        <v>6867.78</v>
      </c>
      <c r="BA15" s="2">
        <v>10247.68</v>
      </c>
      <c r="BB15" s="2">
        <v>30078.639999999999</v>
      </c>
      <c r="BC15" s="2">
        <v>24448.27</v>
      </c>
      <c r="BD15" s="2">
        <v>36662.800000000003</v>
      </c>
      <c r="BE15" s="2">
        <v>46257.99</v>
      </c>
      <c r="BF15" s="2">
        <v>67880.539999999994</v>
      </c>
      <c r="BG15" s="2">
        <v>83256.87</v>
      </c>
      <c r="BH15" s="2">
        <v>54769.32</v>
      </c>
      <c r="BI15" s="2">
        <v>64863.03</v>
      </c>
      <c r="BJ15" s="2">
        <v>74062.25</v>
      </c>
      <c r="BK15" s="2">
        <v>84861.24</v>
      </c>
      <c r="BL15" s="2">
        <v>60587.839999999997</v>
      </c>
      <c r="BM15" s="2">
        <v>61497.06</v>
      </c>
      <c r="BN15" s="2">
        <v>76360.149999999994</v>
      </c>
      <c r="BO15" s="2">
        <v>75338.62</v>
      </c>
      <c r="BR15" s="1" t="s">
        <v>72</v>
      </c>
      <c r="BS15" s="2">
        <v>34193.85</v>
      </c>
      <c r="BT15" s="2">
        <v>36261.300000000003</v>
      </c>
      <c r="BU15" s="2">
        <v>33530.51</v>
      </c>
      <c r="BV15" s="2">
        <v>38838.370000000003</v>
      </c>
      <c r="BW15" s="2">
        <v>9153.41</v>
      </c>
      <c r="BX15" s="2">
        <v>12975.7</v>
      </c>
      <c r="BY15" s="2">
        <v>37031.269999999997</v>
      </c>
      <c r="BZ15" s="2">
        <v>34010.15</v>
      </c>
      <c r="CA15" s="2">
        <v>43270.41</v>
      </c>
      <c r="CB15" s="2">
        <v>60960</v>
      </c>
      <c r="CC15" s="2">
        <v>80910.47</v>
      </c>
      <c r="CD15" s="2">
        <v>109728</v>
      </c>
      <c r="CE15" s="2">
        <v>65308.07</v>
      </c>
      <c r="CF15" s="2">
        <v>83919.33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73</v>
      </c>
      <c r="C16" s="2">
        <v>1.06</v>
      </c>
      <c r="D16" s="2">
        <v>1.56</v>
      </c>
      <c r="E16" s="2">
        <v>0.56000000000000005</v>
      </c>
      <c r="F16" s="2">
        <v>0.59</v>
      </c>
      <c r="G16" s="2">
        <v>0.92</v>
      </c>
      <c r="H16" s="2">
        <v>0.66</v>
      </c>
      <c r="I16" s="2">
        <v>0.51</v>
      </c>
      <c r="J16" s="2">
        <v>1.8</v>
      </c>
      <c r="K16" s="2">
        <v>1.01</v>
      </c>
      <c r="L16" s="2">
        <v>1.8</v>
      </c>
      <c r="M16" s="2">
        <v>1.45</v>
      </c>
      <c r="N16" s="2">
        <v>1.8</v>
      </c>
      <c r="O16" s="2">
        <v>1.62</v>
      </c>
      <c r="P16" s="2">
        <v>1.75</v>
      </c>
      <c r="Q16" s="2">
        <v>1.38</v>
      </c>
      <c r="R16" s="2">
        <v>1.29</v>
      </c>
      <c r="S16" s="2">
        <v>1.23</v>
      </c>
      <c r="T16" s="2">
        <v>1</v>
      </c>
      <c r="U16" s="2">
        <v>1.05</v>
      </c>
      <c r="V16" s="2">
        <v>0.86</v>
      </c>
      <c r="X16" s="1" t="s">
        <v>73</v>
      </c>
      <c r="Y16" s="2">
        <v>2574.44</v>
      </c>
      <c r="Z16" s="2">
        <v>2954.67</v>
      </c>
      <c r="AA16" s="2">
        <v>2077.0700000000002</v>
      </c>
      <c r="AB16" s="2">
        <v>2211.62</v>
      </c>
      <c r="AC16" s="2">
        <v>241.48</v>
      </c>
      <c r="AD16" s="2">
        <v>893.12</v>
      </c>
      <c r="AE16" s="2">
        <v>1972.02</v>
      </c>
      <c r="AF16" s="2">
        <v>3932.43</v>
      </c>
      <c r="AG16" s="2">
        <v>3486.59</v>
      </c>
      <c r="AH16" s="2">
        <v>4609.75</v>
      </c>
      <c r="AI16" s="2">
        <v>6307.33</v>
      </c>
      <c r="AJ16" s="2">
        <v>8505.36</v>
      </c>
      <c r="AK16" s="2">
        <v>5033.82</v>
      </c>
      <c r="AL16" s="2">
        <v>5859.95</v>
      </c>
      <c r="AM16" s="2">
        <v>6484.87</v>
      </c>
      <c r="AN16" s="2">
        <v>6795.32</v>
      </c>
      <c r="AO16" s="2">
        <v>5617.39</v>
      </c>
      <c r="AP16" s="2">
        <v>5602.04</v>
      </c>
      <c r="AQ16" s="2">
        <v>7573.13</v>
      </c>
      <c r="AR16" s="2">
        <v>7477.12</v>
      </c>
      <c r="AU16" s="1" t="s">
        <v>73</v>
      </c>
      <c r="AV16" s="2">
        <v>15615.16</v>
      </c>
      <c r="AW16" s="2">
        <v>19319.009999999998</v>
      </c>
      <c r="AX16" s="2">
        <v>13873.93</v>
      </c>
      <c r="AY16" s="2">
        <v>14791.21</v>
      </c>
      <c r="AZ16" s="2">
        <v>4418.2700000000004</v>
      </c>
      <c r="BA16" s="2">
        <v>6292.48</v>
      </c>
      <c r="BB16" s="2">
        <v>15076.62</v>
      </c>
      <c r="BC16" s="2">
        <v>19448.14</v>
      </c>
      <c r="BD16" s="2">
        <v>20043.61</v>
      </c>
      <c r="BE16" s="2">
        <v>25124.5</v>
      </c>
      <c r="BF16" s="2">
        <v>35043.71</v>
      </c>
      <c r="BG16" s="2">
        <v>46709.84</v>
      </c>
      <c r="BH16" s="2">
        <v>28242.81</v>
      </c>
      <c r="BI16" s="2">
        <v>36768.31</v>
      </c>
      <c r="BJ16" s="2">
        <v>35128.550000000003</v>
      </c>
      <c r="BK16" s="2">
        <v>38140.06</v>
      </c>
      <c r="BL16" s="2">
        <v>29340.05</v>
      </c>
      <c r="BM16" s="2">
        <v>30010.240000000002</v>
      </c>
      <c r="BN16" s="2">
        <v>40858.120000000003</v>
      </c>
      <c r="BO16" s="2">
        <v>43539.38</v>
      </c>
      <c r="BR16" s="1" t="s">
        <v>73</v>
      </c>
      <c r="BS16" s="2">
        <v>18189.599999999999</v>
      </c>
      <c r="BT16" s="2">
        <v>22273.68</v>
      </c>
      <c r="BU16" s="2">
        <v>15951</v>
      </c>
      <c r="BV16" s="2">
        <v>17002.830000000002</v>
      </c>
      <c r="BW16" s="2">
        <v>4659.75</v>
      </c>
      <c r="BX16" s="2">
        <v>7185.6</v>
      </c>
      <c r="BY16" s="2">
        <v>17048.64</v>
      </c>
      <c r="BZ16" s="2">
        <v>23380.57</v>
      </c>
      <c r="CA16" s="2">
        <v>23530.2</v>
      </c>
      <c r="CB16" s="2">
        <v>29734.25</v>
      </c>
      <c r="CC16" s="2">
        <v>41351.040000000001</v>
      </c>
      <c r="CD16" s="2">
        <v>55215.199999999997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63</v>
      </c>
      <c r="D20" s="1" t="s">
        <v>64</v>
      </c>
      <c r="E20" s="1" t="s">
        <v>63</v>
      </c>
      <c r="F20" s="1" t="s">
        <v>64</v>
      </c>
      <c r="G20" s="1" t="s">
        <v>63</v>
      </c>
      <c r="H20" s="1" t="s">
        <v>64</v>
      </c>
      <c r="I20" s="1" t="s">
        <v>63</v>
      </c>
      <c r="J20" s="1" t="s">
        <v>64</v>
      </c>
      <c r="K20" s="1" t="s">
        <v>63</v>
      </c>
      <c r="L20" s="1" t="s">
        <v>64</v>
      </c>
      <c r="M20" s="1" t="s">
        <v>63</v>
      </c>
      <c r="N20" s="1" t="s">
        <v>64</v>
      </c>
      <c r="O20" s="1" t="s">
        <v>63</v>
      </c>
      <c r="P20" s="1" t="s">
        <v>64</v>
      </c>
      <c r="Q20" s="1" t="s">
        <v>63</v>
      </c>
      <c r="R20" s="1" t="s">
        <v>64</v>
      </c>
      <c r="S20" s="1" t="s">
        <v>63</v>
      </c>
      <c r="T20" s="1" t="s">
        <v>64</v>
      </c>
      <c r="U20" s="1" t="s">
        <v>63</v>
      </c>
      <c r="V20" s="1" t="s">
        <v>64</v>
      </c>
      <c r="X20" s="1" t="s">
        <v>6</v>
      </c>
      <c r="Y20" s="1" t="s">
        <v>63</v>
      </c>
      <c r="Z20" s="1" t="s">
        <v>64</v>
      </c>
      <c r="AA20" s="1" t="s">
        <v>63</v>
      </c>
      <c r="AB20" s="1" t="s">
        <v>64</v>
      </c>
      <c r="AC20" s="1" t="s">
        <v>63</v>
      </c>
      <c r="AD20" s="1" t="s">
        <v>64</v>
      </c>
      <c r="AE20" s="1" t="s">
        <v>63</v>
      </c>
      <c r="AF20" s="1" t="s">
        <v>64</v>
      </c>
      <c r="AG20" s="1" t="s">
        <v>63</v>
      </c>
      <c r="AH20" s="1" t="s">
        <v>64</v>
      </c>
      <c r="AI20" s="1" t="s">
        <v>63</v>
      </c>
      <c r="AJ20" s="1" t="s">
        <v>64</v>
      </c>
      <c r="AK20" s="1" t="s">
        <v>63</v>
      </c>
      <c r="AL20" s="1" t="s">
        <v>64</v>
      </c>
      <c r="AM20" s="1" t="s">
        <v>63</v>
      </c>
      <c r="AN20" s="1" t="s">
        <v>64</v>
      </c>
      <c r="AO20" s="1" t="s">
        <v>63</v>
      </c>
      <c r="AP20" s="1" t="s">
        <v>64</v>
      </c>
      <c r="AQ20" s="1" t="s">
        <v>63</v>
      </c>
      <c r="AR20" s="1" t="s">
        <v>64</v>
      </c>
      <c r="AU20" s="1" t="s">
        <v>6</v>
      </c>
      <c r="AV20" s="1" t="s">
        <v>63</v>
      </c>
      <c r="AW20" s="1" t="s">
        <v>64</v>
      </c>
      <c r="AX20" s="1" t="s">
        <v>63</v>
      </c>
      <c r="AY20" s="1" t="s">
        <v>64</v>
      </c>
      <c r="AZ20" s="1" t="s">
        <v>63</v>
      </c>
      <c r="BA20" s="1" t="s">
        <v>64</v>
      </c>
      <c r="BB20" s="1" t="s">
        <v>63</v>
      </c>
      <c r="BC20" s="1" t="s">
        <v>64</v>
      </c>
      <c r="BD20" s="1" t="s">
        <v>63</v>
      </c>
      <c r="BE20" s="1" t="s">
        <v>64</v>
      </c>
      <c r="BF20" s="1" t="s">
        <v>63</v>
      </c>
      <c r="BG20" s="1" t="s">
        <v>64</v>
      </c>
      <c r="BH20" s="1" t="s">
        <v>63</v>
      </c>
      <c r="BI20" s="1" t="s">
        <v>64</v>
      </c>
      <c r="BJ20" s="1" t="s">
        <v>63</v>
      </c>
      <c r="BK20" s="1" t="s">
        <v>64</v>
      </c>
      <c r="BL20" s="1" t="s">
        <v>63</v>
      </c>
      <c r="BM20" s="1" t="s">
        <v>64</v>
      </c>
      <c r="BN20" s="1" t="s">
        <v>63</v>
      </c>
      <c r="BO20" s="1" t="s">
        <v>64</v>
      </c>
      <c r="BR20" s="1" t="s">
        <v>6</v>
      </c>
      <c r="BS20" s="1" t="s">
        <v>63</v>
      </c>
      <c r="BT20" s="1" t="s">
        <v>64</v>
      </c>
      <c r="BU20" s="1" t="s">
        <v>63</v>
      </c>
      <c r="BV20" s="1" t="s">
        <v>64</v>
      </c>
      <c r="BW20" s="1" t="s">
        <v>63</v>
      </c>
      <c r="BX20" s="1" t="s">
        <v>64</v>
      </c>
      <c r="BY20" s="1" t="s">
        <v>63</v>
      </c>
      <c r="BZ20" s="1" t="s">
        <v>64</v>
      </c>
      <c r="CA20" s="1" t="s">
        <v>63</v>
      </c>
      <c r="CB20" s="1" t="s">
        <v>64</v>
      </c>
      <c r="CC20" s="1" t="s">
        <v>63</v>
      </c>
      <c r="CD20" s="1" t="s">
        <v>64</v>
      </c>
      <c r="CE20" s="1" t="s">
        <v>63</v>
      </c>
      <c r="CF20" s="1" t="s">
        <v>64</v>
      </c>
      <c r="CG20" s="1" t="s">
        <v>63</v>
      </c>
      <c r="CH20" s="1" t="s">
        <v>64</v>
      </c>
      <c r="CI20" s="1" t="s">
        <v>63</v>
      </c>
      <c r="CJ20" s="1" t="s">
        <v>64</v>
      </c>
      <c r="CK20" s="1" t="s">
        <v>63</v>
      </c>
      <c r="CL20" s="1" t="s">
        <v>64</v>
      </c>
    </row>
    <row r="21" spans="2:90" x14ac:dyDescent="0.3">
      <c r="B21" s="1" t="s">
        <v>65</v>
      </c>
      <c r="C21" s="1" t="s">
        <v>53</v>
      </c>
      <c r="D21" s="1" t="s">
        <v>53</v>
      </c>
      <c r="E21" s="1" t="s">
        <v>54</v>
      </c>
      <c r="F21" s="1" t="s">
        <v>54</v>
      </c>
      <c r="G21" s="1" t="s">
        <v>55</v>
      </c>
      <c r="H21" s="1" t="s">
        <v>55</v>
      </c>
      <c r="I21" s="1" t="s">
        <v>56</v>
      </c>
      <c r="J21" s="1" t="s">
        <v>56</v>
      </c>
      <c r="K21" s="1" t="s">
        <v>57</v>
      </c>
      <c r="L21" s="1" t="s">
        <v>57</v>
      </c>
      <c r="M21" s="1" t="s">
        <v>58</v>
      </c>
      <c r="N21" s="1" t="s">
        <v>58</v>
      </c>
      <c r="O21" s="1" t="s">
        <v>59</v>
      </c>
      <c r="P21" s="1" t="s">
        <v>59</v>
      </c>
      <c r="Q21" s="1" t="s">
        <v>60</v>
      </c>
      <c r="R21" s="1" t="s">
        <v>60</v>
      </c>
      <c r="S21" s="1" t="s">
        <v>61</v>
      </c>
      <c r="T21" s="1" t="s">
        <v>61</v>
      </c>
      <c r="U21" s="1" t="s">
        <v>62</v>
      </c>
      <c r="V21" s="1" t="s">
        <v>62</v>
      </c>
      <c r="X21" s="1" t="s">
        <v>65</v>
      </c>
      <c r="Y21" s="1" t="s">
        <v>53</v>
      </c>
      <c r="Z21" s="1" t="s">
        <v>53</v>
      </c>
      <c r="AA21" s="1" t="s">
        <v>54</v>
      </c>
      <c r="AB21" s="1" t="s">
        <v>54</v>
      </c>
      <c r="AC21" s="1" t="s">
        <v>55</v>
      </c>
      <c r="AD21" s="1" t="s">
        <v>55</v>
      </c>
      <c r="AE21" s="1" t="s">
        <v>56</v>
      </c>
      <c r="AF21" s="1" t="s">
        <v>56</v>
      </c>
      <c r="AG21" s="1" t="s">
        <v>57</v>
      </c>
      <c r="AH21" s="1" t="s">
        <v>57</v>
      </c>
      <c r="AI21" s="1" t="s">
        <v>58</v>
      </c>
      <c r="AJ21" s="1" t="s">
        <v>58</v>
      </c>
      <c r="AK21" s="1" t="s">
        <v>59</v>
      </c>
      <c r="AL21" s="1" t="s">
        <v>59</v>
      </c>
      <c r="AM21" s="1" t="s">
        <v>60</v>
      </c>
      <c r="AN21" s="1" t="s">
        <v>60</v>
      </c>
      <c r="AO21" s="1" t="s">
        <v>61</v>
      </c>
      <c r="AP21" s="1" t="s">
        <v>61</v>
      </c>
      <c r="AQ21" s="1" t="s">
        <v>62</v>
      </c>
      <c r="AR21" s="1" t="s">
        <v>62</v>
      </c>
      <c r="AU21" s="1" t="s">
        <v>65</v>
      </c>
      <c r="AV21" s="1" t="s">
        <v>53</v>
      </c>
      <c r="AW21" s="1" t="s">
        <v>53</v>
      </c>
      <c r="AX21" s="1" t="s">
        <v>54</v>
      </c>
      <c r="AY21" s="1" t="s">
        <v>54</v>
      </c>
      <c r="AZ21" s="1" t="s">
        <v>55</v>
      </c>
      <c r="BA21" s="1" t="s">
        <v>55</v>
      </c>
      <c r="BB21" s="1" t="s">
        <v>56</v>
      </c>
      <c r="BC21" s="1" t="s">
        <v>56</v>
      </c>
      <c r="BD21" s="1" t="s">
        <v>57</v>
      </c>
      <c r="BE21" s="1" t="s">
        <v>57</v>
      </c>
      <c r="BF21" s="1" t="s">
        <v>58</v>
      </c>
      <c r="BG21" s="1" t="s">
        <v>58</v>
      </c>
      <c r="BH21" s="1" t="s">
        <v>59</v>
      </c>
      <c r="BI21" s="1" t="s">
        <v>59</v>
      </c>
      <c r="BJ21" s="1" t="s">
        <v>60</v>
      </c>
      <c r="BK21" s="1" t="s">
        <v>60</v>
      </c>
      <c r="BL21" s="1" t="s">
        <v>61</v>
      </c>
      <c r="BM21" s="1" t="s">
        <v>61</v>
      </c>
      <c r="BN21" s="1" t="s">
        <v>62</v>
      </c>
      <c r="BO21" s="1" t="s">
        <v>62</v>
      </c>
      <c r="BR21" s="1" t="s">
        <v>65</v>
      </c>
      <c r="BS21" s="1" t="s">
        <v>53</v>
      </c>
      <c r="BT21" s="1" t="s">
        <v>53</v>
      </c>
      <c r="BU21" s="1" t="s">
        <v>54</v>
      </c>
      <c r="BV21" s="1" t="s">
        <v>54</v>
      </c>
      <c r="BW21" s="1" t="s">
        <v>55</v>
      </c>
      <c r="BX21" s="1" t="s">
        <v>55</v>
      </c>
      <c r="BY21" s="1" t="s">
        <v>56</v>
      </c>
      <c r="BZ21" s="1" t="s">
        <v>56</v>
      </c>
      <c r="CA21" s="1" t="s">
        <v>57</v>
      </c>
      <c r="CB21" s="1" t="s">
        <v>57</v>
      </c>
      <c r="CC21" s="1" t="s">
        <v>58</v>
      </c>
      <c r="CD21" s="1" t="s">
        <v>58</v>
      </c>
      <c r="CE21" s="1" t="s">
        <v>59</v>
      </c>
      <c r="CF21" s="1" t="s">
        <v>59</v>
      </c>
      <c r="CG21" s="1" t="s">
        <v>60</v>
      </c>
      <c r="CH21" s="1" t="s">
        <v>60</v>
      </c>
      <c r="CI21" s="1" t="s">
        <v>61</v>
      </c>
      <c r="CJ21" s="1" t="s">
        <v>61</v>
      </c>
      <c r="CK21" s="1" t="s">
        <v>62</v>
      </c>
      <c r="CL21" s="1" t="s">
        <v>62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66</v>
      </c>
      <c r="C23" s="2">
        <v>0.21</v>
      </c>
      <c r="D23" s="2">
        <v>0.21</v>
      </c>
      <c r="E23" s="2">
        <v>0.06</v>
      </c>
      <c r="F23" s="2">
        <v>0.06</v>
      </c>
      <c r="G23" s="2">
        <v>0.06</v>
      </c>
      <c r="H23" s="2">
        <v>0.08</v>
      </c>
      <c r="I23" s="2">
        <v>0.15</v>
      </c>
      <c r="J23" s="2">
        <v>0.09</v>
      </c>
      <c r="K23" s="2">
        <v>0.21</v>
      </c>
      <c r="L23" s="2">
        <v>0.08</v>
      </c>
      <c r="M23" s="2">
        <v>0.21</v>
      </c>
      <c r="N23" s="2">
        <v>0.06</v>
      </c>
      <c r="O23" s="2">
        <v>0.21</v>
      </c>
      <c r="P23" s="2">
        <v>0.02</v>
      </c>
      <c r="Q23" s="2">
        <v>0.15</v>
      </c>
      <c r="R23" s="2">
        <v>0.05</v>
      </c>
      <c r="S23" s="2">
        <v>0.01</v>
      </c>
      <c r="T23" s="2">
        <v>0.01</v>
      </c>
      <c r="U23" s="2">
        <v>0.03</v>
      </c>
      <c r="V23" s="2">
        <v>0.01</v>
      </c>
      <c r="X23" s="1" t="s">
        <v>66</v>
      </c>
      <c r="Y23" s="2">
        <v>3700.9</v>
      </c>
      <c r="Z23" s="2">
        <v>3567.2</v>
      </c>
      <c r="AA23" s="2">
        <v>799.79</v>
      </c>
      <c r="AB23" s="2">
        <v>733.75</v>
      </c>
      <c r="AC23" s="2">
        <v>655.5</v>
      </c>
      <c r="AD23" s="2">
        <v>1224.3</v>
      </c>
      <c r="AE23" s="2">
        <v>2440.9</v>
      </c>
      <c r="AF23" s="2">
        <v>1383.9</v>
      </c>
      <c r="AG23" s="2">
        <v>3568.6</v>
      </c>
      <c r="AH23" s="2">
        <v>1173.2</v>
      </c>
      <c r="AI23" s="2">
        <v>3623.2</v>
      </c>
      <c r="AJ23" s="2">
        <v>852.6</v>
      </c>
      <c r="AK23" s="2">
        <v>3383.1</v>
      </c>
      <c r="AL23" s="2">
        <v>353.5</v>
      </c>
      <c r="AM23" s="2">
        <v>2511.6</v>
      </c>
      <c r="AN23" s="2">
        <v>784.7</v>
      </c>
      <c r="AO23" s="2">
        <v>166.75</v>
      </c>
      <c r="AP23" s="2">
        <v>127.19</v>
      </c>
      <c r="AQ23" s="2">
        <v>450.1</v>
      </c>
      <c r="AR23" s="2">
        <v>134.74</v>
      </c>
      <c r="AU23" s="1" t="s">
        <v>66</v>
      </c>
      <c r="AV23" s="2">
        <v>16800</v>
      </c>
      <c r="AW23" s="2">
        <v>16800</v>
      </c>
      <c r="AX23" s="2">
        <v>14448.31</v>
      </c>
      <c r="AY23" s="2">
        <v>13532.95</v>
      </c>
      <c r="AZ23" s="2">
        <v>13699.4</v>
      </c>
      <c r="BA23" s="2">
        <v>16800</v>
      </c>
      <c r="BB23" s="2">
        <v>16800</v>
      </c>
      <c r="BC23" s="2">
        <v>16800</v>
      </c>
      <c r="BD23" s="2">
        <v>16800</v>
      </c>
      <c r="BE23" s="2">
        <v>16800</v>
      </c>
      <c r="BF23" s="2">
        <v>16800</v>
      </c>
      <c r="BG23" s="2">
        <v>16800</v>
      </c>
      <c r="BH23" s="2">
        <v>16800</v>
      </c>
      <c r="BI23" s="2">
        <v>16800</v>
      </c>
      <c r="BJ23" s="2">
        <v>16800</v>
      </c>
      <c r="BK23" s="2">
        <v>16800</v>
      </c>
      <c r="BL23" s="2">
        <v>16666.150000000001</v>
      </c>
      <c r="BM23" s="2">
        <v>12853.61</v>
      </c>
      <c r="BN23" s="2">
        <v>16800</v>
      </c>
      <c r="BO23" s="2">
        <v>13534.86</v>
      </c>
      <c r="BR23" s="1" t="s">
        <v>66</v>
      </c>
      <c r="BS23" s="2">
        <v>20500.900000000001</v>
      </c>
      <c r="BT23" s="2">
        <v>20367.2</v>
      </c>
      <c r="BU23" s="2">
        <v>15248.1</v>
      </c>
      <c r="BV23" s="2">
        <v>14266.7</v>
      </c>
      <c r="BW23" s="2">
        <v>14354.9</v>
      </c>
      <c r="BX23" s="2">
        <v>18024.3</v>
      </c>
      <c r="BY23" s="2">
        <v>19240.900000000001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67</v>
      </c>
      <c r="C24" s="2">
        <v>0.11</v>
      </c>
      <c r="D24" s="2">
        <v>0.12</v>
      </c>
      <c r="E24" s="2">
        <v>0.12</v>
      </c>
      <c r="F24" s="2">
        <v>0.12</v>
      </c>
      <c r="G24" s="2">
        <v>0.13</v>
      </c>
      <c r="H24" s="2">
        <v>0.12</v>
      </c>
      <c r="I24" s="2">
        <v>0.12</v>
      </c>
      <c r="J24" s="2">
        <v>0.13</v>
      </c>
      <c r="K24" s="2">
        <v>0.11</v>
      </c>
      <c r="L24" s="2">
        <v>0.12</v>
      </c>
      <c r="M24" s="2">
        <v>0.13</v>
      </c>
      <c r="N24" s="2">
        <v>0.12</v>
      </c>
      <c r="O24" s="2">
        <v>0.12</v>
      </c>
      <c r="P24" s="2">
        <v>0.12</v>
      </c>
      <c r="Q24" s="2">
        <v>0.12</v>
      </c>
      <c r="R24" s="2">
        <v>0.12</v>
      </c>
      <c r="S24" s="2">
        <v>0.12</v>
      </c>
      <c r="T24" s="2">
        <v>0.13</v>
      </c>
      <c r="U24" s="2">
        <v>0.11</v>
      </c>
      <c r="V24" s="2">
        <v>0.11</v>
      </c>
      <c r="X24" s="1" t="s">
        <v>67</v>
      </c>
      <c r="Y24" s="2">
        <v>874.29</v>
      </c>
      <c r="Z24" s="2">
        <v>575.15</v>
      </c>
      <c r="AA24" s="2">
        <v>891.97</v>
      </c>
      <c r="AB24" s="2">
        <v>576.08000000000004</v>
      </c>
      <c r="AC24" s="2">
        <v>624.66999999999996</v>
      </c>
      <c r="AD24" s="2">
        <v>726.78</v>
      </c>
      <c r="AE24" s="2">
        <v>983.21</v>
      </c>
      <c r="AF24" s="2">
        <v>715.46</v>
      </c>
      <c r="AG24" s="2">
        <v>920.35</v>
      </c>
      <c r="AH24" s="2">
        <v>653.6</v>
      </c>
      <c r="AI24" s="2">
        <v>1023.11</v>
      </c>
      <c r="AJ24" s="2">
        <v>663.55</v>
      </c>
      <c r="AK24" s="2">
        <v>769.22</v>
      </c>
      <c r="AL24" s="2">
        <v>700.1</v>
      </c>
      <c r="AM24" s="2">
        <v>745.36</v>
      </c>
      <c r="AN24" s="2">
        <v>683.43</v>
      </c>
      <c r="AO24" s="2">
        <v>729.39</v>
      </c>
      <c r="AP24" s="2">
        <v>577.76</v>
      </c>
      <c r="AQ24" s="2">
        <v>837.98</v>
      </c>
      <c r="AR24" s="2">
        <v>522.12</v>
      </c>
      <c r="AU24" s="1" t="s">
        <v>67</v>
      </c>
      <c r="AV24" s="2">
        <v>7492.11</v>
      </c>
      <c r="AW24" s="2">
        <v>4860.25</v>
      </c>
      <c r="AX24" s="2">
        <v>6874.03</v>
      </c>
      <c r="AY24" s="2">
        <v>4584.12</v>
      </c>
      <c r="AZ24" s="2">
        <v>4416.7299999999996</v>
      </c>
      <c r="BA24" s="2">
        <v>5797.32</v>
      </c>
      <c r="BB24" s="2">
        <v>7730.99</v>
      </c>
      <c r="BC24" s="2">
        <v>5269.34</v>
      </c>
      <c r="BD24" s="2">
        <v>7788.95</v>
      </c>
      <c r="BE24" s="2">
        <v>5227.2</v>
      </c>
      <c r="BF24" s="2">
        <v>7438.59</v>
      </c>
      <c r="BG24" s="2">
        <v>5315.85</v>
      </c>
      <c r="BH24" s="2">
        <v>6327.58</v>
      </c>
      <c r="BI24" s="2">
        <v>5672.6</v>
      </c>
      <c r="BJ24" s="2">
        <v>6154.34</v>
      </c>
      <c r="BK24" s="2">
        <v>5715.77</v>
      </c>
      <c r="BL24" s="2">
        <v>5983.61</v>
      </c>
      <c r="BM24" s="2">
        <v>4536.74</v>
      </c>
      <c r="BN24" s="2">
        <v>7415.62</v>
      </c>
      <c r="BO24" s="2">
        <v>4724.9799999999996</v>
      </c>
      <c r="BR24" s="1" t="s">
        <v>67</v>
      </c>
      <c r="BS24" s="2">
        <v>8366.4</v>
      </c>
      <c r="BT24" s="2">
        <v>5435.4</v>
      </c>
      <c r="BU24" s="2">
        <v>7766</v>
      </c>
      <c r="BV24" s="2">
        <v>5160.2</v>
      </c>
      <c r="BW24" s="2">
        <v>5041.3999999999996</v>
      </c>
      <c r="BX24" s="2">
        <v>6524.1</v>
      </c>
      <c r="BY24" s="2">
        <v>8714.2000000000007</v>
      </c>
      <c r="BZ24" s="2">
        <v>5984.8</v>
      </c>
      <c r="CA24" s="2">
        <v>8709.2999999999993</v>
      </c>
      <c r="CB24" s="2">
        <v>5880.8</v>
      </c>
      <c r="CC24" s="2">
        <v>8461.7000000000007</v>
      </c>
      <c r="CD24" s="2">
        <v>5979.4</v>
      </c>
      <c r="CE24" s="2">
        <v>7096.8</v>
      </c>
      <c r="CF24" s="2">
        <v>6372.7</v>
      </c>
      <c r="CG24" s="2">
        <v>6899.7</v>
      </c>
      <c r="CH24" s="2">
        <v>6399.2</v>
      </c>
      <c r="CI24" s="2">
        <v>6713</v>
      </c>
      <c r="CJ24" s="2">
        <v>5114.5</v>
      </c>
      <c r="CK24" s="2">
        <v>8253.6</v>
      </c>
      <c r="CL24" s="2">
        <v>5247.1</v>
      </c>
    </row>
    <row r="25" spans="2:90" x14ac:dyDescent="0.3">
      <c r="B25" s="1" t="s">
        <v>68</v>
      </c>
      <c r="C25" s="2">
        <v>0.21</v>
      </c>
      <c r="D25" s="2">
        <v>0.12</v>
      </c>
      <c r="E25" s="2">
        <v>0.2</v>
      </c>
      <c r="F25" s="2">
        <v>0.12</v>
      </c>
      <c r="G25" s="2">
        <v>0.31</v>
      </c>
      <c r="H25" s="2">
        <v>0.24</v>
      </c>
      <c r="I25" s="2">
        <v>0.25</v>
      </c>
      <c r="J25" s="2">
        <v>0.17</v>
      </c>
      <c r="K25" s="2">
        <v>0.25</v>
      </c>
      <c r="L25" s="2">
        <v>0.15</v>
      </c>
      <c r="M25" s="2">
        <v>0.25</v>
      </c>
      <c r="N25" s="2">
        <v>0.15</v>
      </c>
      <c r="O25" s="2">
        <v>0.26</v>
      </c>
      <c r="P25" s="2">
        <v>0.15</v>
      </c>
      <c r="Q25" s="2">
        <v>0.27</v>
      </c>
      <c r="R25" s="2">
        <v>0.14000000000000001</v>
      </c>
      <c r="S25" s="2">
        <v>0.16</v>
      </c>
      <c r="T25" s="2">
        <v>0.13</v>
      </c>
      <c r="U25" s="2">
        <v>0.13</v>
      </c>
      <c r="V25" s="2">
        <v>0.13</v>
      </c>
      <c r="X25" s="1" t="s">
        <v>68</v>
      </c>
      <c r="Y25" s="2">
        <v>5641.92</v>
      </c>
      <c r="Z25" s="2">
        <v>1442.91</v>
      </c>
      <c r="AA25" s="2">
        <v>5300.11</v>
      </c>
      <c r="AB25" s="2">
        <v>1306.0899999999999</v>
      </c>
      <c r="AC25" s="2">
        <v>6161.44</v>
      </c>
      <c r="AD25" s="2">
        <v>5489.92</v>
      </c>
      <c r="AE25" s="2">
        <v>6619.79</v>
      </c>
      <c r="AF25" s="2">
        <v>3194.16</v>
      </c>
      <c r="AG25" s="2">
        <v>7036.35</v>
      </c>
      <c r="AH25" s="2">
        <v>2665.6</v>
      </c>
      <c r="AI25" s="2">
        <v>7161.42</v>
      </c>
      <c r="AJ25" s="2">
        <v>2670.94</v>
      </c>
      <c r="AK25" s="2">
        <v>6802.95</v>
      </c>
      <c r="AL25" s="2">
        <v>2752.03</v>
      </c>
      <c r="AM25" s="2">
        <v>6574.31</v>
      </c>
      <c r="AN25" s="2">
        <v>2504.9899999999998</v>
      </c>
      <c r="AO25" s="2">
        <v>3140.55</v>
      </c>
      <c r="AP25" s="2">
        <v>1975.6</v>
      </c>
      <c r="AQ25" s="2">
        <v>1934.59</v>
      </c>
      <c r="AR25" s="2">
        <v>1760.5</v>
      </c>
      <c r="AU25" s="1" t="s">
        <v>68</v>
      </c>
      <c r="AV25" s="2">
        <v>23284.86</v>
      </c>
      <c r="AW25" s="2">
        <v>12423.39</v>
      </c>
      <c r="AX25" s="2">
        <v>22506.03</v>
      </c>
      <c r="AY25" s="2">
        <v>10419.709999999999</v>
      </c>
      <c r="AZ25" s="2">
        <v>16081.13</v>
      </c>
      <c r="BA25" s="2">
        <v>19553.599999999999</v>
      </c>
      <c r="BB25" s="2">
        <v>22276.87</v>
      </c>
      <c r="BC25" s="2">
        <v>17953.89</v>
      </c>
      <c r="BD25" s="2">
        <v>23188.65</v>
      </c>
      <c r="BE25" s="2">
        <v>17528.63</v>
      </c>
      <c r="BF25" s="2">
        <v>23318.58</v>
      </c>
      <c r="BG25" s="2">
        <v>17566.060000000001</v>
      </c>
      <c r="BH25" s="2">
        <v>21476.83</v>
      </c>
      <c r="BI25" s="2">
        <v>17750.3</v>
      </c>
      <c r="BJ25" s="2">
        <v>20314.63</v>
      </c>
      <c r="BK25" s="2">
        <v>17184.07</v>
      </c>
      <c r="BL25" s="2">
        <v>18432.400000000001</v>
      </c>
      <c r="BM25" s="2">
        <v>15522.84</v>
      </c>
      <c r="BN25" s="2">
        <v>15212.69</v>
      </c>
      <c r="BO25" s="2">
        <v>13721.65</v>
      </c>
      <c r="BR25" s="1" t="s">
        <v>68</v>
      </c>
      <c r="BS25" s="2">
        <v>28926.78</v>
      </c>
      <c r="BT25" s="2">
        <v>13866.3</v>
      </c>
      <c r="BU25" s="2">
        <v>27806.14</v>
      </c>
      <c r="BV25" s="2">
        <v>11725.8</v>
      </c>
      <c r="BW25" s="2">
        <v>22242.57</v>
      </c>
      <c r="BX25" s="2">
        <v>25043.52</v>
      </c>
      <c r="BY25" s="2">
        <v>28896.66</v>
      </c>
      <c r="BZ25" s="2">
        <v>21148.05</v>
      </c>
      <c r="CA25" s="2">
        <v>30225</v>
      </c>
      <c r="CB25" s="2">
        <v>20194.240000000002</v>
      </c>
      <c r="CC25" s="2">
        <v>30480</v>
      </c>
      <c r="CD25" s="2">
        <v>20237</v>
      </c>
      <c r="CE25" s="2">
        <v>28279.77</v>
      </c>
      <c r="CF25" s="2">
        <v>20502.32</v>
      </c>
      <c r="CG25" s="2">
        <v>26888.94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69</v>
      </c>
      <c r="C26" s="2">
        <v>0.14000000000000001</v>
      </c>
      <c r="D26" s="2">
        <v>0.15</v>
      </c>
      <c r="E26" s="2">
        <v>0.14000000000000001</v>
      </c>
      <c r="F26" s="2">
        <v>0.12</v>
      </c>
      <c r="G26" s="2">
        <v>0.23</v>
      </c>
      <c r="H26" s="2">
        <v>0.22</v>
      </c>
      <c r="I26" s="2">
        <v>0.13</v>
      </c>
      <c r="J26" s="2">
        <v>0.14000000000000001</v>
      </c>
      <c r="K26" s="2">
        <v>0.2</v>
      </c>
      <c r="L26" s="2">
        <v>0.13</v>
      </c>
      <c r="M26" s="2">
        <v>0.2</v>
      </c>
      <c r="N26" s="2">
        <v>0.13</v>
      </c>
      <c r="O26" s="2">
        <v>0.2</v>
      </c>
      <c r="P26" s="2">
        <v>0.13</v>
      </c>
      <c r="Q26" s="2">
        <v>0.16</v>
      </c>
      <c r="R26" s="2">
        <v>0.13</v>
      </c>
      <c r="S26" s="2">
        <v>0.13</v>
      </c>
      <c r="T26" s="2">
        <v>0.13</v>
      </c>
      <c r="U26" s="2">
        <v>0.13</v>
      </c>
      <c r="V26" s="2">
        <v>0.13</v>
      </c>
      <c r="X26" s="1" t="s">
        <v>69</v>
      </c>
      <c r="Y26" s="2">
        <v>1040.8</v>
      </c>
      <c r="Z26" s="2">
        <v>604.22</v>
      </c>
      <c r="AA26" s="2">
        <v>1048.48</v>
      </c>
      <c r="AB26" s="2">
        <v>529.17999999999995</v>
      </c>
      <c r="AC26" s="2">
        <v>1426.24</v>
      </c>
      <c r="AD26" s="2">
        <v>1736.19</v>
      </c>
      <c r="AE26" s="2">
        <v>1014.46</v>
      </c>
      <c r="AF26" s="2">
        <v>907.01</v>
      </c>
      <c r="AG26" s="2">
        <v>1548.33</v>
      </c>
      <c r="AH26" s="2">
        <v>757.32</v>
      </c>
      <c r="AI26" s="2">
        <v>1547.36</v>
      </c>
      <c r="AJ26" s="2">
        <v>741.21</v>
      </c>
      <c r="AK26" s="2">
        <v>1543.73</v>
      </c>
      <c r="AL26" s="2">
        <v>745.71</v>
      </c>
      <c r="AM26" s="2">
        <v>1175.23</v>
      </c>
      <c r="AN26" s="2">
        <v>714.34</v>
      </c>
      <c r="AO26" s="2">
        <v>711.33</v>
      </c>
      <c r="AP26" s="2">
        <v>675.58</v>
      </c>
      <c r="AQ26" s="2">
        <v>667.22</v>
      </c>
      <c r="AR26" s="2">
        <v>637.05999999999995</v>
      </c>
      <c r="AU26" s="1" t="s">
        <v>69</v>
      </c>
      <c r="AV26" s="2">
        <v>7518.89</v>
      </c>
      <c r="AW26" s="2">
        <v>4325.58</v>
      </c>
      <c r="AX26" s="2">
        <v>7070.9</v>
      </c>
      <c r="AY26" s="2">
        <v>4323.82</v>
      </c>
      <c r="AZ26" s="2">
        <v>5512.44</v>
      </c>
      <c r="BA26" s="2">
        <v>7143.81</v>
      </c>
      <c r="BB26" s="2">
        <v>7865.54</v>
      </c>
      <c r="BC26" s="2">
        <v>6413.96</v>
      </c>
      <c r="BD26" s="2">
        <v>7331.67</v>
      </c>
      <c r="BE26" s="2">
        <v>6173.65</v>
      </c>
      <c r="BF26" s="2">
        <v>7332.64</v>
      </c>
      <c r="BG26" s="2">
        <v>6008.17</v>
      </c>
      <c r="BH26" s="2">
        <v>7336.27</v>
      </c>
      <c r="BI26" s="2">
        <v>6045.09</v>
      </c>
      <c r="BJ26" s="2">
        <v>6958.17</v>
      </c>
      <c r="BK26" s="2">
        <v>5744.36</v>
      </c>
      <c r="BL26" s="2">
        <v>5727.47</v>
      </c>
      <c r="BM26" s="2">
        <v>5350.82</v>
      </c>
      <c r="BN26" s="2">
        <v>5287.68</v>
      </c>
      <c r="BO26" s="2">
        <v>5009.6499999999996</v>
      </c>
      <c r="BR26" s="1" t="s">
        <v>69</v>
      </c>
      <c r="BS26" s="2">
        <v>8559.69</v>
      </c>
      <c r="BT26" s="2">
        <v>4929.8</v>
      </c>
      <c r="BU26" s="2">
        <v>8119.38</v>
      </c>
      <c r="BV26" s="2">
        <v>4853</v>
      </c>
      <c r="BW26" s="2">
        <v>6938.68</v>
      </c>
      <c r="BX26" s="2">
        <v>8880</v>
      </c>
      <c r="BY26" s="2">
        <v>8880</v>
      </c>
      <c r="BZ26" s="2">
        <v>7320.97</v>
      </c>
      <c r="CA26" s="2">
        <v>8880</v>
      </c>
      <c r="CB26" s="2">
        <v>6930.96</v>
      </c>
      <c r="CC26" s="2">
        <v>8880</v>
      </c>
      <c r="CD26" s="2">
        <v>6749.39</v>
      </c>
      <c r="CE26" s="2">
        <v>8880</v>
      </c>
      <c r="CF26" s="2">
        <v>6790.8</v>
      </c>
      <c r="CG26" s="2">
        <v>8133.4</v>
      </c>
      <c r="CH26" s="2">
        <v>6458.7</v>
      </c>
      <c r="CI26" s="2">
        <v>6438.8</v>
      </c>
      <c r="CJ26" s="2">
        <v>6026.4</v>
      </c>
      <c r="CK26" s="2">
        <v>5954.9</v>
      </c>
      <c r="CL26" s="2">
        <v>5646.71</v>
      </c>
    </row>
    <row r="27" spans="2:90" x14ac:dyDescent="0.3">
      <c r="B27" s="1" t="s">
        <v>70</v>
      </c>
      <c r="C27" s="2">
        <v>0.22</v>
      </c>
      <c r="D27" s="2">
        <v>0.18</v>
      </c>
      <c r="E27" s="2">
        <v>0.12</v>
      </c>
      <c r="F27" s="2">
        <v>0.12</v>
      </c>
      <c r="G27" s="2">
        <v>0.22</v>
      </c>
      <c r="H27" s="2">
        <v>0.22</v>
      </c>
      <c r="I27" s="2">
        <v>0.12</v>
      </c>
      <c r="J27" s="2">
        <v>0.19</v>
      </c>
      <c r="K27" s="2">
        <v>0.16</v>
      </c>
      <c r="L27" s="2">
        <v>0.17</v>
      </c>
      <c r="M27" s="2">
        <v>0.15</v>
      </c>
      <c r="N27" s="2">
        <v>0.13</v>
      </c>
      <c r="O27" s="2">
        <v>0.13</v>
      </c>
      <c r="P27" s="2">
        <v>0.12</v>
      </c>
      <c r="Q27" s="2">
        <v>0.12</v>
      </c>
      <c r="R27" s="2">
        <v>0.12</v>
      </c>
      <c r="S27" s="2">
        <v>0.13</v>
      </c>
      <c r="T27" s="2">
        <v>0.12</v>
      </c>
      <c r="U27" s="2">
        <v>0.13</v>
      </c>
      <c r="V27" s="2">
        <v>0.11</v>
      </c>
      <c r="X27" s="1" t="s">
        <v>70</v>
      </c>
      <c r="Y27" s="2">
        <v>5641.36</v>
      </c>
      <c r="Z27" s="2">
        <v>6026.57</v>
      </c>
      <c r="AA27" s="2">
        <v>4323.96</v>
      </c>
      <c r="AB27" s="2">
        <v>4659.09</v>
      </c>
      <c r="AC27" s="2">
        <v>5582.61</v>
      </c>
      <c r="AD27" s="2">
        <v>6123</v>
      </c>
      <c r="AE27" s="2">
        <v>4060.97</v>
      </c>
      <c r="AF27" s="2">
        <v>6259.44</v>
      </c>
      <c r="AG27" s="2">
        <v>5845.23</v>
      </c>
      <c r="AH27" s="2">
        <v>6202.27</v>
      </c>
      <c r="AI27" s="2">
        <v>5092.4399999999996</v>
      </c>
      <c r="AJ27" s="2">
        <v>4736.5600000000004</v>
      </c>
      <c r="AK27" s="2">
        <v>4199.87</v>
      </c>
      <c r="AL27" s="2">
        <v>4229.28</v>
      </c>
      <c r="AM27" s="2">
        <v>3694.78</v>
      </c>
      <c r="AN27" s="2">
        <v>3725.83</v>
      </c>
      <c r="AO27" s="2">
        <v>3511.83</v>
      </c>
      <c r="AP27" s="2">
        <v>3478.98</v>
      </c>
      <c r="AQ27" s="2">
        <v>3521.09</v>
      </c>
      <c r="AR27" s="2">
        <v>3501.05</v>
      </c>
      <c r="AU27" s="1" t="s">
        <v>70</v>
      </c>
      <c r="AV27" s="2">
        <v>23472.65</v>
      </c>
      <c r="AW27" s="2">
        <v>31017.93</v>
      </c>
      <c r="AX27" s="2">
        <v>33267.870000000003</v>
      </c>
      <c r="AY27" s="2">
        <v>36547.410000000003</v>
      </c>
      <c r="AZ27" s="2">
        <v>22320.5</v>
      </c>
      <c r="BA27" s="2">
        <v>24989.41</v>
      </c>
      <c r="BB27" s="2">
        <v>33250.03</v>
      </c>
      <c r="BC27" s="2">
        <v>30213.56</v>
      </c>
      <c r="BD27" s="2">
        <v>34652.769999999997</v>
      </c>
      <c r="BE27" s="2">
        <v>34246.230000000003</v>
      </c>
      <c r="BF27" s="2">
        <v>33740.559999999998</v>
      </c>
      <c r="BG27" s="2">
        <v>34956.94</v>
      </c>
      <c r="BH27" s="2">
        <v>32470.63</v>
      </c>
      <c r="BI27" s="2">
        <v>34670.720000000001</v>
      </c>
      <c r="BJ27" s="2">
        <v>29938.22</v>
      </c>
      <c r="BK27" s="2">
        <v>30286.67</v>
      </c>
      <c r="BL27" s="2">
        <v>27796.67</v>
      </c>
      <c r="BM27" s="2">
        <v>28475.02</v>
      </c>
      <c r="BN27" s="2">
        <v>28465.91</v>
      </c>
      <c r="BO27" s="2">
        <v>32107.95</v>
      </c>
      <c r="BR27" s="1" t="s">
        <v>70</v>
      </c>
      <c r="BS27" s="2">
        <v>29114.01</v>
      </c>
      <c r="BT27" s="2">
        <v>37044.5</v>
      </c>
      <c r="BU27" s="2">
        <v>37591.839999999997</v>
      </c>
      <c r="BV27" s="2">
        <v>41206.5</v>
      </c>
      <c r="BW27" s="2">
        <v>27903.11</v>
      </c>
      <c r="BX27" s="2">
        <v>31112.41</v>
      </c>
      <c r="BY27" s="2">
        <v>37311</v>
      </c>
      <c r="BZ27" s="2">
        <v>36473</v>
      </c>
      <c r="CA27" s="2">
        <v>40498</v>
      </c>
      <c r="CB27" s="2">
        <v>40448.5</v>
      </c>
      <c r="CC27" s="2">
        <v>38833</v>
      </c>
      <c r="CD27" s="2">
        <v>39693.5</v>
      </c>
      <c r="CE27" s="2">
        <v>36670.5</v>
      </c>
      <c r="CF27" s="2">
        <v>38900</v>
      </c>
      <c r="CG27" s="2">
        <v>33633</v>
      </c>
      <c r="CH27" s="2">
        <v>34012.5</v>
      </c>
      <c r="CI27" s="2">
        <v>31308.5</v>
      </c>
      <c r="CJ27" s="2">
        <v>31954</v>
      </c>
      <c r="CK27" s="2">
        <v>31987</v>
      </c>
      <c r="CL27" s="2">
        <v>35609</v>
      </c>
    </row>
    <row r="28" spans="2:90" x14ac:dyDescent="0.3">
      <c r="B28" s="1" t="s">
        <v>71</v>
      </c>
      <c r="C28" s="2">
        <v>0.24</v>
      </c>
      <c r="D28" s="2">
        <v>0.24</v>
      </c>
      <c r="E28" s="2">
        <v>0.14000000000000001</v>
      </c>
      <c r="F28" s="2">
        <v>0.14000000000000001</v>
      </c>
      <c r="G28" s="2">
        <v>0.25</v>
      </c>
      <c r="H28" s="2">
        <v>0.24</v>
      </c>
      <c r="I28" s="2">
        <v>0.14000000000000001</v>
      </c>
      <c r="J28" s="2">
        <v>0.24</v>
      </c>
      <c r="K28" s="2">
        <v>0.13</v>
      </c>
      <c r="L28" s="2">
        <v>0.13</v>
      </c>
      <c r="M28" s="2">
        <v>0.13</v>
      </c>
      <c r="N28" s="2">
        <v>0.13</v>
      </c>
      <c r="O28" s="2">
        <v>0.13</v>
      </c>
      <c r="P28" s="2">
        <v>0.13</v>
      </c>
      <c r="Q28" s="2">
        <v>0.13</v>
      </c>
      <c r="R28" s="2">
        <v>0.13</v>
      </c>
      <c r="S28" s="2">
        <v>0.13</v>
      </c>
      <c r="T28" s="2">
        <v>0.16</v>
      </c>
      <c r="U28" s="2">
        <v>0.14000000000000001</v>
      </c>
      <c r="V28" s="2">
        <v>0.13</v>
      </c>
      <c r="X28" s="1" t="s">
        <v>71</v>
      </c>
      <c r="Y28" s="2">
        <v>1462.11</v>
      </c>
      <c r="Z28" s="2">
        <v>1488.75</v>
      </c>
      <c r="AA28" s="2">
        <v>1168.17</v>
      </c>
      <c r="AB28" s="2">
        <v>1180.0999999999999</v>
      </c>
      <c r="AC28" s="2">
        <v>1293.3499999999999</v>
      </c>
      <c r="AD28" s="2">
        <v>1436.22</v>
      </c>
      <c r="AE28" s="2">
        <v>852.03</v>
      </c>
      <c r="AF28" s="2">
        <v>1197.49</v>
      </c>
      <c r="AG28" s="2">
        <v>799.51</v>
      </c>
      <c r="AH28" s="2">
        <v>1022.8</v>
      </c>
      <c r="AI28" s="2">
        <v>851.99</v>
      </c>
      <c r="AJ28" s="2">
        <v>1052.3900000000001</v>
      </c>
      <c r="AK28" s="2">
        <v>845.18</v>
      </c>
      <c r="AL28" s="2">
        <v>1016.99</v>
      </c>
      <c r="AM28" s="2">
        <v>832.39</v>
      </c>
      <c r="AN28" s="2">
        <v>1001.16</v>
      </c>
      <c r="AO28" s="2">
        <v>793.99</v>
      </c>
      <c r="AP28" s="2">
        <v>1174.6300000000001</v>
      </c>
      <c r="AQ28" s="2">
        <v>745.02</v>
      </c>
      <c r="AR28" s="2">
        <v>704.59</v>
      </c>
      <c r="AU28" s="1" t="s">
        <v>71</v>
      </c>
      <c r="AV28" s="2">
        <v>5444.7</v>
      </c>
      <c r="AW28" s="2">
        <v>5550.01</v>
      </c>
      <c r="AX28" s="2">
        <v>7711.83</v>
      </c>
      <c r="AY28" s="2">
        <v>7699.9</v>
      </c>
      <c r="AZ28" s="2">
        <v>4483.3900000000003</v>
      </c>
      <c r="BA28" s="2">
        <v>5119.76</v>
      </c>
      <c r="BB28" s="2">
        <v>5773.77</v>
      </c>
      <c r="BC28" s="2">
        <v>4372.43</v>
      </c>
      <c r="BD28" s="2">
        <v>5855.69</v>
      </c>
      <c r="BE28" s="2">
        <v>7636.2</v>
      </c>
      <c r="BF28" s="2">
        <v>6301.11</v>
      </c>
      <c r="BG28" s="2">
        <v>7827.61</v>
      </c>
      <c r="BH28" s="2">
        <v>6251.81</v>
      </c>
      <c r="BI28" s="2">
        <v>7455.12</v>
      </c>
      <c r="BJ28" s="2">
        <v>6204.48</v>
      </c>
      <c r="BK28" s="2">
        <v>7437.5</v>
      </c>
      <c r="BL28" s="2">
        <v>5971.46</v>
      </c>
      <c r="BM28" s="2">
        <v>6820.03</v>
      </c>
      <c r="BN28" s="2">
        <v>5522.02</v>
      </c>
      <c r="BO28" s="2">
        <v>5159.41</v>
      </c>
      <c r="BR28" s="1" t="s">
        <v>71</v>
      </c>
      <c r="BS28" s="2">
        <v>6906.81</v>
      </c>
      <c r="BT28" s="2">
        <v>7038.75</v>
      </c>
      <c r="BU28" s="2">
        <v>8880</v>
      </c>
      <c r="BV28" s="2">
        <v>8880</v>
      </c>
      <c r="BW28" s="2">
        <v>5776.74</v>
      </c>
      <c r="BX28" s="2">
        <v>6555.98</v>
      </c>
      <c r="BY28" s="2">
        <v>6625.8</v>
      </c>
      <c r="BZ28" s="2">
        <v>5569.92</v>
      </c>
      <c r="CA28" s="2">
        <v>6655.2</v>
      </c>
      <c r="CB28" s="2">
        <v>8659</v>
      </c>
      <c r="CC28" s="2">
        <v>7153.1</v>
      </c>
      <c r="CD28" s="2">
        <v>8880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5864</v>
      </c>
    </row>
    <row r="29" spans="2:90" x14ac:dyDescent="0.3">
      <c r="B29" s="1" t="s">
        <v>72</v>
      </c>
      <c r="C29" s="2">
        <v>0.23</v>
      </c>
      <c r="D29" s="2">
        <v>0.23</v>
      </c>
      <c r="E29" s="2">
        <v>0.16</v>
      </c>
      <c r="F29" s="2">
        <v>0.2</v>
      </c>
      <c r="G29" s="2">
        <v>0.27</v>
      </c>
      <c r="H29" s="2">
        <v>0.23</v>
      </c>
      <c r="I29" s="2">
        <v>0.21</v>
      </c>
      <c r="J29" s="2">
        <v>0.31</v>
      </c>
      <c r="K29" s="2">
        <v>0.17</v>
      </c>
      <c r="L29" s="2">
        <v>0.26</v>
      </c>
      <c r="M29" s="2">
        <v>0.18</v>
      </c>
      <c r="N29" s="2">
        <v>0.26</v>
      </c>
      <c r="O29" s="2">
        <v>0.18</v>
      </c>
      <c r="P29" s="2">
        <v>0.25</v>
      </c>
      <c r="Q29" s="2">
        <v>0.19</v>
      </c>
      <c r="R29" s="2">
        <v>0.13</v>
      </c>
      <c r="S29" s="2">
        <v>0.16</v>
      </c>
      <c r="T29" s="2">
        <v>0.17</v>
      </c>
      <c r="U29" s="2">
        <v>0.15</v>
      </c>
      <c r="V29" s="2">
        <v>0.14000000000000001</v>
      </c>
      <c r="X29" s="1" t="s">
        <v>72</v>
      </c>
      <c r="Y29" s="2">
        <v>5427.81</v>
      </c>
      <c r="Z29" s="2">
        <v>5672.26</v>
      </c>
      <c r="AA29" s="2">
        <v>3968.69</v>
      </c>
      <c r="AB29" s="2">
        <v>5775.15</v>
      </c>
      <c r="AC29" s="2">
        <v>4571.25</v>
      </c>
      <c r="AD29" s="2">
        <v>5456.03</v>
      </c>
      <c r="AE29" s="2">
        <v>4345.3999999999996</v>
      </c>
      <c r="AF29" s="2">
        <v>5976.18</v>
      </c>
      <c r="AG29" s="2">
        <v>3303.8</v>
      </c>
      <c r="AH29" s="2">
        <v>7351.01</v>
      </c>
      <c r="AI29" s="2">
        <v>3619.42</v>
      </c>
      <c r="AJ29" s="2">
        <v>7353.09</v>
      </c>
      <c r="AK29" s="2">
        <v>3634.05</v>
      </c>
      <c r="AL29" s="2">
        <v>6571.14</v>
      </c>
      <c r="AM29" s="2">
        <v>4028.55</v>
      </c>
      <c r="AN29" s="2">
        <v>2944.17</v>
      </c>
      <c r="AO29" s="2">
        <v>2968.1</v>
      </c>
      <c r="AP29" s="2">
        <v>3134.68</v>
      </c>
      <c r="AQ29" s="2">
        <v>2525.4899999999998</v>
      </c>
      <c r="AR29" s="2">
        <v>2430.6799999999998</v>
      </c>
      <c r="AU29" s="1" t="s">
        <v>72</v>
      </c>
      <c r="AV29" s="2">
        <v>20875.16</v>
      </c>
      <c r="AW29" s="2">
        <v>22221.05</v>
      </c>
      <c r="AX29" s="2">
        <v>21824</v>
      </c>
      <c r="AY29" s="2">
        <v>24100.52</v>
      </c>
      <c r="AZ29" s="2">
        <v>13735.56</v>
      </c>
      <c r="BA29" s="2">
        <v>20495.36</v>
      </c>
      <c r="BB29" s="2">
        <v>18799.150000000001</v>
      </c>
      <c r="BC29" s="2">
        <v>15280.17</v>
      </c>
      <c r="BD29" s="2">
        <v>18331.400000000001</v>
      </c>
      <c r="BE29" s="2">
        <v>23128.99</v>
      </c>
      <c r="BF29" s="2">
        <v>18855.71</v>
      </c>
      <c r="BG29" s="2">
        <v>23126.91</v>
      </c>
      <c r="BH29" s="2">
        <v>18885.97</v>
      </c>
      <c r="BI29" s="2">
        <v>22366.560000000001</v>
      </c>
      <c r="BJ29" s="2">
        <v>19490.07</v>
      </c>
      <c r="BK29" s="2">
        <v>22331.91</v>
      </c>
      <c r="BL29" s="2">
        <v>17819.95</v>
      </c>
      <c r="BM29" s="2">
        <v>18087.37</v>
      </c>
      <c r="BN29" s="2">
        <v>16968.919999999998</v>
      </c>
      <c r="BO29" s="2">
        <v>16741.919999999998</v>
      </c>
      <c r="BR29" s="1" t="s">
        <v>72</v>
      </c>
      <c r="BS29" s="2">
        <v>26302.959999999999</v>
      </c>
      <c r="BT29" s="2">
        <v>27893.31</v>
      </c>
      <c r="BU29" s="2">
        <v>25792.7</v>
      </c>
      <c r="BV29" s="2">
        <v>29875.67</v>
      </c>
      <c r="BW29" s="2">
        <v>18306.810000000001</v>
      </c>
      <c r="BX29" s="2">
        <v>25951.39</v>
      </c>
      <c r="BY29" s="2">
        <v>23144.55</v>
      </c>
      <c r="BZ29" s="2">
        <v>21256.35</v>
      </c>
      <c r="CA29" s="2">
        <v>21635.200000000001</v>
      </c>
      <c r="CB29" s="2">
        <v>30480</v>
      </c>
      <c r="CC29" s="2">
        <v>22475.13</v>
      </c>
      <c r="CD29" s="2">
        <v>30480</v>
      </c>
      <c r="CE29" s="2">
        <v>22520.02</v>
      </c>
      <c r="CF29" s="2">
        <v>28937.7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73</v>
      </c>
      <c r="C30" s="2">
        <v>0.17</v>
      </c>
      <c r="D30" s="2">
        <v>0.15</v>
      </c>
      <c r="E30" s="2">
        <v>0.14000000000000001</v>
      </c>
      <c r="F30" s="2">
        <v>0.14000000000000001</v>
      </c>
      <c r="G30" s="2">
        <v>0.05</v>
      </c>
      <c r="H30" s="2">
        <v>0.14000000000000001</v>
      </c>
      <c r="I30" s="2">
        <v>0.14000000000000001</v>
      </c>
      <c r="J30" s="2">
        <v>0.19</v>
      </c>
      <c r="K30" s="2">
        <v>0.18</v>
      </c>
      <c r="L30" s="2">
        <v>0.17</v>
      </c>
      <c r="M30" s="2">
        <v>0.18</v>
      </c>
      <c r="N30" s="2">
        <v>0.17</v>
      </c>
      <c r="O30" s="2">
        <v>0.18</v>
      </c>
      <c r="P30" s="2">
        <v>0.16</v>
      </c>
      <c r="Q30" s="2">
        <v>0.19</v>
      </c>
      <c r="R30" s="2">
        <v>0.18</v>
      </c>
      <c r="S30" s="2">
        <v>0.19</v>
      </c>
      <c r="T30" s="2">
        <v>0.19</v>
      </c>
      <c r="U30" s="2">
        <v>0.19</v>
      </c>
      <c r="V30" s="2">
        <v>0.18</v>
      </c>
      <c r="X30" s="1" t="s">
        <v>73</v>
      </c>
      <c r="Y30" s="2">
        <v>1980.34</v>
      </c>
      <c r="Z30" s="2">
        <v>2272.8200000000002</v>
      </c>
      <c r="AA30" s="2">
        <v>1597.75</v>
      </c>
      <c r="AB30" s="2">
        <v>1701.25</v>
      </c>
      <c r="AC30" s="2">
        <v>482.97</v>
      </c>
      <c r="AD30" s="2">
        <v>1786.24</v>
      </c>
      <c r="AE30" s="2">
        <v>1232.51</v>
      </c>
      <c r="AF30" s="2">
        <v>2457.77</v>
      </c>
      <c r="AG30" s="2">
        <v>1743.29</v>
      </c>
      <c r="AH30" s="2">
        <v>2304.88</v>
      </c>
      <c r="AI30" s="2">
        <v>1752.04</v>
      </c>
      <c r="AJ30" s="2">
        <v>2362.6</v>
      </c>
      <c r="AK30" s="2">
        <v>1735.8</v>
      </c>
      <c r="AL30" s="2">
        <v>2020.67</v>
      </c>
      <c r="AM30" s="2">
        <v>1706.54</v>
      </c>
      <c r="AN30" s="2">
        <v>1788.24</v>
      </c>
      <c r="AO30" s="2">
        <v>1652.17</v>
      </c>
      <c r="AP30" s="2">
        <v>1647.66</v>
      </c>
      <c r="AQ30" s="2">
        <v>1682.92</v>
      </c>
      <c r="AR30" s="2">
        <v>1661.58</v>
      </c>
      <c r="AU30" s="1" t="s">
        <v>73</v>
      </c>
      <c r="AV30" s="2">
        <v>12011.66</v>
      </c>
      <c r="AW30" s="2">
        <v>14860.78</v>
      </c>
      <c r="AX30" s="2">
        <v>10672.25</v>
      </c>
      <c r="AY30" s="2">
        <v>11377.85</v>
      </c>
      <c r="AZ30" s="2">
        <v>8836.5300000000007</v>
      </c>
      <c r="BA30" s="2">
        <v>12584.96</v>
      </c>
      <c r="BB30" s="2">
        <v>9422.89</v>
      </c>
      <c r="BC30" s="2">
        <v>12155.09</v>
      </c>
      <c r="BD30" s="2">
        <v>10021.81</v>
      </c>
      <c r="BE30" s="2">
        <v>12562.25</v>
      </c>
      <c r="BF30" s="2">
        <v>9734.36</v>
      </c>
      <c r="BG30" s="2">
        <v>12974.95</v>
      </c>
      <c r="BH30" s="2">
        <v>9738.9</v>
      </c>
      <c r="BI30" s="2">
        <v>12678.73</v>
      </c>
      <c r="BJ30" s="2">
        <v>9244.36</v>
      </c>
      <c r="BK30" s="2">
        <v>10036.86</v>
      </c>
      <c r="BL30" s="2">
        <v>8629.43</v>
      </c>
      <c r="BM30" s="2">
        <v>8826.5400000000009</v>
      </c>
      <c r="BN30" s="2">
        <v>9079.58</v>
      </c>
      <c r="BO30" s="2">
        <v>9675.42</v>
      </c>
      <c r="BR30" s="1" t="s">
        <v>73</v>
      </c>
      <c r="BS30" s="2">
        <v>13992</v>
      </c>
      <c r="BT30" s="2">
        <v>17133.599999999999</v>
      </c>
      <c r="BU30" s="2">
        <v>12270</v>
      </c>
      <c r="BV30" s="2">
        <v>13079.1</v>
      </c>
      <c r="BW30" s="2">
        <v>9319.5</v>
      </c>
      <c r="BX30" s="2">
        <v>14371.2</v>
      </c>
      <c r="BY30" s="2">
        <v>10655.4</v>
      </c>
      <c r="BZ30" s="2">
        <v>14612.86</v>
      </c>
      <c r="CA30" s="2">
        <v>11765.1</v>
      </c>
      <c r="CB30" s="2">
        <v>14867.13</v>
      </c>
      <c r="CC30" s="2">
        <v>11486.4</v>
      </c>
      <c r="CD30" s="2">
        <v>15337.55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63</v>
      </c>
      <c r="D34" s="1" t="s">
        <v>64</v>
      </c>
      <c r="E34" s="1" t="s">
        <v>63</v>
      </c>
      <c r="F34" s="1" t="s">
        <v>64</v>
      </c>
      <c r="G34" s="1" t="s">
        <v>63</v>
      </c>
      <c r="H34" s="1" t="s">
        <v>64</v>
      </c>
      <c r="I34" s="1" t="s">
        <v>63</v>
      </c>
      <c r="J34" s="1" t="s">
        <v>64</v>
      </c>
      <c r="K34" s="1" t="s">
        <v>63</v>
      </c>
      <c r="L34" s="1" t="s">
        <v>64</v>
      </c>
      <c r="M34" s="1" t="s">
        <v>63</v>
      </c>
      <c r="N34" s="1" t="s">
        <v>64</v>
      </c>
      <c r="O34" s="1" t="s">
        <v>63</v>
      </c>
      <c r="P34" s="1" t="s">
        <v>64</v>
      </c>
      <c r="Q34" s="1" t="s">
        <v>63</v>
      </c>
      <c r="R34" s="1" t="s">
        <v>64</v>
      </c>
      <c r="S34" s="1" t="s">
        <v>63</v>
      </c>
      <c r="T34" s="1" t="s">
        <v>64</v>
      </c>
      <c r="U34" s="1" t="s">
        <v>63</v>
      </c>
      <c r="V34" s="1" t="s">
        <v>64</v>
      </c>
      <c r="X34" s="1" t="s">
        <v>6</v>
      </c>
      <c r="Y34" s="1" t="s">
        <v>63</v>
      </c>
      <c r="Z34" s="1" t="s">
        <v>64</v>
      </c>
      <c r="AA34" s="1" t="s">
        <v>63</v>
      </c>
      <c r="AB34" s="1" t="s">
        <v>64</v>
      </c>
      <c r="AC34" s="1" t="s">
        <v>63</v>
      </c>
      <c r="AD34" s="1" t="s">
        <v>64</v>
      </c>
      <c r="AE34" s="1" t="s">
        <v>63</v>
      </c>
      <c r="AF34" s="1" t="s">
        <v>64</v>
      </c>
      <c r="AG34" s="1" t="s">
        <v>63</v>
      </c>
      <c r="AH34" s="1" t="s">
        <v>64</v>
      </c>
      <c r="AI34" s="1" t="s">
        <v>63</v>
      </c>
      <c r="AJ34" s="1" t="s">
        <v>64</v>
      </c>
      <c r="AK34" s="1" t="s">
        <v>63</v>
      </c>
      <c r="AL34" s="1" t="s">
        <v>64</v>
      </c>
      <c r="AM34" s="1" t="s">
        <v>63</v>
      </c>
      <c r="AN34" s="1" t="s">
        <v>64</v>
      </c>
      <c r="AO34" s="1" t="s">
        <v>63</v>
      </c>
      <c r="AP34" s="1" t="s">
        <v>64</v>
      </c>
      <c r="AQ34" s="1" t="s">
        <v>63</v>
      </c>
      <c r="AR34" s="1" t="s">
        <v>64</v>
      </c>
      <c r="AU34" s="1" t="s">
        <v>6</v>
      </c>
      <c r="AV34" s="1" t="s">
        <v>63</v>
      </c>
      <c r="AW34" s="1" t="s">
        <v>64</v>
      </c>
      <c r="AX34" s="1" t="s">
        <v>63</v>
      </c>
      <c r="AY34" s="1" t="s">
        <v>64</v>
      </c>
      <c r="AZ34" s="1" t="s">
        <v>63</v>
      </c>
      <c r="BA34" s="1" t="s">
        <v>64</v>
      </c>
      <c r="BB34" s="1" t="s">
        <v>63</v>
      </c>
      <c r="BC34" s="1" t="s">
        <v>64</v>
      </c>
      <c r="BD34" s="1" t="s">
        <v>63</v>
      </c>
      <c r="BE34" s="1" t="s">
        <v>64</v>
      </c>
      <c r="BF34" s="1" t="s">
        <v>63</v>
      </c>
      <c r="BG34" s="1" t="s">
        <v>64</v>
      </c>
      <c r="BH34" s="1" t="s">
        <v>63</v>
      </c>
      <c r="BI34" s="1" t="s">
        <v>64</v>
      </c>
      <c r="BJ34" s="1" t="s">
        <v>63</v>
      </c>
      <c r="BK34" s="1" t="s">
        <v>64</v>
      </c>
      <c r="BL34" s="1" t="s">
        <v>63</v>
      </c>
      <c r="BM34" s="1" t="s">
        <v>64</v>
      </c>
      <c r="BN34" s="1" t="s">
        <v>63</v>
      </c>
      <c r="BO34" s="1" t="s">
        <v>64</v>
      </c>
      <c r="BR34" s="1" t="s">
        <v>6</v>
      </c>
      <c r="BS34" s="1" t="s">
        <v>63</v>
      </c>
      <c r="BT34" s="1" t="s">
        <v>64</v>
      </c>
      <c r="BU34" s="1" t="s">
        <v>63</v>
      </c>
      <c r="BV34" s="1" t="s">
        <v>64</v>
      </c>
      <c r="BW34" s="1" t="s">
        <v>63</v>
      </c>
      <c r="BX34" s="1" t="s">
        <v>64</v>
      </c>
      <c r="BY34" s="1" t="s">
        <v>63</v>
      </c>
      <c r="BZ34" s="1" t="s">
        <v>64</v>
      </c>
      <c r="CA34" s="1" t="s">
        <v>63</v>
      </c>
      <c r="CB34" s="1" t="s">
        <v>64</v>
      </c>
      <c r="CC34" s="1" t="s">
        <v>63</v>
      </c>
      <c r="CD34" s="1" t="s">
        <v>64</v>
      </c>
      <c r="CE34" s="1" t="s">
        <v>63</v>
      </c>
      <c r="CF34" s="1" t="s">
        <v>64</v>
      </c>
      <c r="CG34" s="1" t="s">
        <v>63</v>
      </c>
      <c r="CH34" s="1" t="s">
        <v>64</v>
      </c>
      <c r="CI34" s="1" t="s">
        <v>63</v>
      </c>
      <c r="CJ34" s="1" t="s">
        <v>64</v>
      </c>
      <c r="CK34" s="1" t="s">
        <v>63</v>
      </c>
      <c r="CL34" s="1" t="s">
        <v>64</v>
      </c>
    </row>
    <row r="35" spans="2:90" x14ac:dyDescent="0.3">
      <c r="B35" s="1" t="s">
        <v>65</v>
      </c>
      <c r="C35" s="1" t="s">
        <v>53</v>
      </c>
      <c r="D35" s="1" t="s">
        <v>53</v>
      </c>
      <c r="E35" s="1" t="s">
        <v>54</v>
      </c>
      <c r="F35" s="1" t="s">
        <v>54</v>
      </c>
      <c r="G35" s="1" t="s">
        <v>55</v>
      </c>
      <c r="H35" s="1" t="s">
        <v>55</v>
      </c>
      <c r="I35" s="1" t="s">
        <v>56</v>
      </c>
      <c r="J35" s="1" t="s">
        <v>56</v>
      </c>
      <c r="K35" s="1" t="s">
        <v>57</v>
      </c>
      <c r="L35" s="1" t="s">
        <v>57</v>
      </c>
      <c r="M35" s="1" t="s">
        <v>58</v>
      </c>
      <c r="N35" s="1" t="s">
        <v>58</v>
      </c>
      <c r="O35" s="1" t="s">
        <v>59</v>
      </c>
      <c r="P35" s="1" t="s">
        <v>59</v>
      </c>
      <c r="Q35" s="1" t="s">
        <v>60</v>
      </c>
      <c r="R35" s="1" t="s">
        <v>60</v>
      </c>
      <c r="S35" s="1" t="s">
        <v>61</v>
      </c>
      <c r="T35" s="1" t="s">
        <v>61</v>
      </c>
      <c r="U35" s="1" t="s">
        <v>62</v>
      </c>
      <c r="V35" s="1" t="s">
        <v>62</v>
      </c>
      <c r="X35" s="1" t="s">
        <v>65</v>
      </c>
      <c r="Y35" s="1" t="s">
        <v>53</v>
      </c>
      <c r="Z35" s="1" t="s">
        <v>53</v>
      </c>
      <c r="AA35" s="1" t="s">
        <v>54</v>
      </c>
      <c r="AB35" s="1" t="s">
        <v>54</v>
      </c>
      <c r="AC35" s="1" t="s">
        <v>55</v>
      </c>
      <c r="AD35" s="1" t="s">
        <v>55</v>
      </c>
      <c r="AE35" s="1" t="s">
        <v>56</v>
      </c>
      <c r="AF35" s="1" t="s">
        <v>56</v>
      </c>
      <c r="AG35" s="1" t="s">
        <v>57</v>
      </c>
      <c r="AH35" s="1" t="s">
        <v>57</v>
      </c>
      <c r="AI35" s="1" t="s">
        <v>58</v>
      </c>
      <c r="AJ35" s="1" t="s">
        <v>58</v>
      </c>
      <c r="AK35" s="1" t="s">
        <v>59</v>
      </c>
      <c r="AL35" s="1" t="s">
        <v>59</v>
      </c>
      <c r="AM35" s="1" t="s">
        <v>60</v>
      </c>
      <c r="AN35" s="1" t="s">
        <v>60</v>
      </c>
      <c r="AO35" s="1" t="s">
        <v>61</v>
      </c>
      <c r="AP35" s="1" t="s">
        <v>61</v>
      </c>
      <c r="AQ35" s="1" t="s">
        <v>62</v>
      </c>
      <c r="AR35" s="1" t="s">
        <v>62</v>
      </c>
      <c r="AU35" s="1" t="s">
        <v>65</v>
      </c>
      <c r="AV35" s="1" t="s">
        <v>53</v>
      </c>
      <c r="AW35" s="1" t="s">
        <v>53</v>
      </c>
      <c r="AX35" s="1" t="s">
        <v>54</v>
      </c>
      <c r="AY35" s="1" t="s">
        <v>54</v>
      </c>
      <c r="AZ35" s="1" t="s">
        <v>55</v>
      </c>
      <c r="BA35" s="1" t="s">
        <v>55</v>
      </c>
      <c r="BB35" s="1" t="s">
        <v>56</v>
      </c>
      <c r="BC35" s="1" t="s">
        <v>56</v>
      </c>
      <c r="BD35" s="1" t="s">
        <v>57</v>
      </c>
      <c r="BE35" s="1" t="s">
        <v>57</v>
      </c>
      <c r="BF35" s="1" t="s">
        <v>58</v>
      </c>
      <c r="BG35" s="1" t="s">
        <v>58</v>
      </c>
      <c r="BH35" s="1" t="s">
        <v>59</v>
      </c>
      <c r="BI35" s="1" t="s">
        <v>59</v>
      </c>
      <c r="BJ35" s="1" t="s">
        <v>60</v>
      </c>
      <c r="BK35" s="1" t="s">
        <v>60</v>
      </c>
      <c r="BL35" s="1" t="s">
        <v>61</v>
      </c>
      <c r="BM35" s="1" t="s">
        <v>61</v>
      </c>
      <c r="BN35" s="1" t="s">
        <v>62</v>
      </c>
      <c r="BO35" s="1" t="s">
        <v>62</v>
      </c>
      <c r="BR35" s="1" t="s">
        <v>65</v>
      </c>
      <c r="BS35" s="1" t="s">
        <v>53</v>
      </c>
      <c r="BT35" s="1" t="s">
        <v>53</v>
      </c>
      <c r="BU35" s="1" t="s">
        <v>54</v>
      </c>
      <c r="BV35" s="1" t="s">
        <v>54</v>
      </c>
      <c r="BW35" s="1" t="s">
        <v>55</v>
      </c>
      <c r="BX35" s="1" t="s">
        <v>55</v>
      </c>
      <c r="BY35" s="1" t="s">
        <v>56</v>
      </c>
      <c r="BZ35" s="1" t="s">
        <v>56</v>
      </c>
      <c r="CA35" s="1" t="s">
        <v>57</v>
      </c>
      <c r="CB35" s="1" t="s">
        <v>57</v>
      </c>
      <c r="CC35" s="1" t="s">
        <v>58</v>
      </c>
      <c r="CD35" s="1" t="s">
        <v>58</v>
      </c>
      <c r="CE35" s="1" t="s">
        <v>59</v>
      </c>
      <c r="CF35" s="1" t="s">
        <v>59</v>
      </c>
      <c r="CG35" s="1" t="s">
        <v>60</v>
      </c>
      <c r="CH35" s="1" t="s">
        <v>60</v>
      </c>
      <c r="CI35" s="1" t="s">
        <v>61</v>
      </c>
      <c r="CJ35" s="1" t="s">
        <v>61</v>
      </c>
      <c r="CK35" s="1" t="s">
        <v>62</v>
      </c>
      <c r="CL35" s="1" t="s">
        <v>62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66</v>
      </c>
      <c r="C37" s="2">
        <v>1308.9000000000001</v>
      </c>
      <c r="D37" s="2">
        <v>1249.42</v>
      </c>
      <c r="E37" s="2">
        <v>230.24</v>
      </c>
      <c r="F37" s="2">
        <v>213.54</v>
      </c>
      <c r="G37" s="2">
        <v>78.73</v>
      </c>
      <c r="H37" s="2">
        <v>151.81</v>
      </c>
      <c r="I37" s="2">
        <v>1026.9100000000001</v>
      </c>
      <c r="J37" s="2">
        <v>604.99</v>
      </c>
      <c r="K37" s="2">
        <v>1848.29</v>
      </c>
      <c r="L37" s="2">
        <v>633.29999999999995</v>
      </c>
      <c r="M37" s="2">
        <v>3396.99</v>
      </c>
      <c r="N37" s="2">
        <v>808.58</v>
      </c>
      <c r="O37" s="2">
        <v>2474.6799999999998</v>
      </c>
      <c r="P37" s="2">
        <v>295.67</v>
      </c>
      <c r="Q37" s="2">
        <v>2512.5300000000002</v>
      </c>
      <c r="R37" s="2">
        <v>822.71</v>
      </c>
      <c r="S37" s="2">
        <v>157.91</v>
      </c>
      <c r="T37" s="2">
        <v>133.16</v>
      </c>
      <c r="U37" s="2">
        <v>573.83000000000004</v>
      </c>
      <c r="V37" s="2">
        <v>193.36</v>
      </c>
      <c r="X37" s="1" t="s">
        <v>66</v>
      </c>
      <c r="Y37" s="2">
        <v>528.70000000000005</v>
      </c>
      <c r="Z37" s="2">
        <v>509.6</v>
      </c>
      <c r="AA37" s="2">
        <v>114.26</v>
      </c>
      <c r="AB37" s="2">
        <v>104.82</v>
      </c>
      <c r="AC37" s="2">
        <v>93.64</v>
      </c>
      <c r="AD37" s="2">
        <v>174.9</v>
      </c>
      <c r="AE37" s="2">
        <v>348.7</v>
      </c>
      <c r="AF37" s="2">
        <v>197.7</v>
      </c>
      <c r="AG37" s="2">
        <v>509.8</v>
      </c>
      <c r="AH37" s="2">
        <v>167.6</v>
      </c>
      <c r="AI37" s="2">
        <v>517.6</v>
      </c>
      <c r="AJ37" s="2">
        <v>121.8</v>
      </c>
      <c r="AK37" s="2">
        <v>483.3</v>
      </c>
      <c r="AL37" s="2">
        <v>50.5</v>
      </c>
      <c r="AM37" s="2">
        <v>358.8</v>
      </c>
      <c r="AN37" s="2">
        <v>112.1</v>
      </c>
      <c r="AO37" s="2">
        <v>23.82</v>
      </c>
      <c r="AP37" s="2">
        <v>18.170000000000002</v>
      </c>
      <c r="AQ37" s="2">
        <v>64.3</v>
      </c>
      <c r="AR37" s="2">
        <v>19.25</v>
      </c>
      <c r="AU37" s="1" t="s">
        <v>66</v>
      </c>
      <c r="AV37" s="2">
        <v>2400</v>
      </c>
      <c r="AW37" s="2">
        <v>2400</v>
      </c>
      <c r="AX37" s="2">
        <v>2064.04</v>
      </c>
      <c r="AY37" s="2">
        <v>1933.28</v>
      </c>
      <c r="AZ37" s="2">
        <v>1957.06</v>
      </c>
      <c r="BA37" s="2">
        <v>2400</v>
      </c>
      <c r="BB37" s="2">
        <v>2400</v>
      </c>
      <c r="BC37" s="2">
        <v>2400</v>
      </c>
      <c r="BD37" s="2">
        <v>2400</v>
      </c>
      <c r="BE37" s="2">
        <v>2400</v>
      </c>
      <c r="BF37" s="2">
        <v>2400</v>
      </c>
      <c r="BG37" s="2">
        <v>2400</v>
      </c>
      <c r="BH37" s="2">
        <v>2400</v>
      </c>
      <c r="BI37" s="2">
        <v>2400</v>
      </c>
      <c r="BJ37" s="2">
        <v>2400</v>
      </c>
      <c r="BK37" s="2">
        <v>2400</v>
      </c>
      <c r="BL37" s="2">
        <v>2380.88</v>
      </c>
      <c r="BM37" s="2">
        <v>1836.23</v>
      </c>
      <c r="BN37" s="2">
        <v>2400</v>
      </c>
      <c r="BO37" s="2">
        <v>1933.55</v>
      </c>
      <c r="BR37" s="1" t="s">
        <v>66</v>
      </c>
      <c r="BS37" s="2">
        <v>2928.7</v>
      </c>
      <c r="BT37" s="2">
        <v>2909.6</v>
      </c>
      <c r="BU37" s="2">
        <v>2178.3000000000002</v>
      </c>
      <c r="BV37" s="2">
        <v>2038.1</v>
      </c>
      <c r="BW37" s="2">
        <v>2050.6999999999998</v>
      </c>
      <c r="BX37" s="2">
        <v>2574.9</v>
      </c>
      <c r="BY37" s="2">
        <v>2748.7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67</v>
      </c>
      <c r="C38" s="2">
        <v>1934.28</v>
      </c>
      <c r="D38" s="2">
        <v>701</v>
      </c>
      <c r="E38" s="2">
        <v>1559.4</v>
      </c>
      <c r="F38" s="2">
        <v>633.54999999999995</v>
      </c>
      <c r="G38" s="2">
        <v>370.58</v>
      </c>
      <c r="H38" s="2">
        <v>396.83</v>
      </c>
      <c r="I38" s="2">
        <v>2554.23</v>
      </c>
      <c r="J38" s="2">
        <v>1929.06</v>
      </c>
      <c r="K38" s="2">
        <v>3263.85</v>
      </c>
      <c r="L38" s="2">
        <v>1699.95</v>
      </c>
      <c r="M38" s="2">
        <v>6979.74</v>
      </c>
      <c r="N38" s="2">
        <v>3216.31</v>
      </c>
      <c r="O38" s="2">
        <v>4296.72</v>
      </c>
      <c r="P38" s="2">
        <v>3081.77</v>
      </c>
      <c r="Q38" s="2">
        <v>5139.6899999999996</v>
      </c>
      <c r="R38" s="2">
        <v>3540.21</v>
      </c>
      <c r="S38" s="2">
        <v>4210.8500000000004</v>
      </c>
      <c r="T38" s="2">
        <v>2079.7600000000002</v>
      </c>
      <c r="U38" s="2">
        <v>5647.82</v>
      </c>
      <c r="V38" s="2">
        <v>2049.37</v>
      </c>
      <c r="X38" s="1" t="s">
        <v>67</v>
      </c>
      <c r="Y38" s="2">
        <v>874.29</v>
      </c>
      <c r="Z38" s="2">
        <v>575.15</v>
      </c>
      <c r="AA38" s="2">
        <v>891.97</v>
      </c>
      <c r="AB38" s="2">
        <v>576.08000000000004</v>
      </c>
      <c r="AC38" s="2">
        <v>624.66999999999996</v>
      </c>
      <c r="AD38" s="2">
        <v>726.78</v>
      </c>
      <c r="AE38" s="2">
        <v>983.21</v>
      </c>
      <c r="AF38" s="2">
        <v>715.46</v>
      </c>
      <c r="AG38" s="2">
        <v>920.35</v>
      </c>
      <c r="AH38" s="2">
        <v>653.6</v>
      </c>
      <c r="AI38" s="2">
        <v>1023.11</v>
      </c>
      <c r="AJ38" s="2">
        <v>663.55</v>
      </c>
      <c r="AK38" s="2">
        <v>769.22</v>
      </c>
      <c r="AL38" s="2">
        <v>700.1</v>
      </c>
      <c r="AM38" s="2">
        <v>745.36</v>
      </c>
      <c r="AN38" s="2">
        <v>683.43</v>
      </c>
      <c r="AO38" s="2">
        <v>729.39</v>
      </c>
      <c r="AP38" s="2">
        <v>577.76</v>
      </c>
      <c r="AQ38" s="2">
        <v>837.98</v>
      </c>
      <c r="AR38" s="2">
        <v>522.12</v>
      </c>
      <c r="AU38" s="1" t="s">
        <v>67</v>
      </c>
      <c r="AV38" s="2">
        <v>7492.11</v>
      </c>
      <c r="AW38" s="2">
        <v>4860.25</v>
      </c>
      <c r="AX38" s="2">
        <v>6874.03</v>
      </c>
      <c r="AY38" s="2">
        <v>4584.12</v>
      </c>
      <c r="AZ38" s="2">
        <v>4416.7299999999996</v>
      </c>
      <c r="BA38" s="2">
        <v>5797.32</v>
      </c>
      <c r="BB38" s="2">
        <v>7730.99</v>
      </c>
      <c r="BC38" s="2">
        <v>5269.34</v>
      </c>
      <c r="BD38" s="2">
        <v>7788.95</v>
      </c>
      <c r="BE38" s="2">
        <v>5227.2</v>
      </c>
      <c r="BF38" s="2">
        <v>7438.59</v>
      </c>
      <c r="BG38" s="2">
        <v>5315.85</v>
      </c>
      <c r="BH38" s="2">
        <v>6327.58</v>
      </c>
      <c r="BI38" s="2">
        <v>5672.6</v>
      </c>
      <c r="BJ38" s="2">
        <v>6154.34</v>
      </c>
      <c r="BK38" s="2">
        <v>5715.77</v>
      </c>
      <c r="BL38" s="2">
        <v>5983.61</v>
      </c>
      <c r="BM38" s="2">
        <v>4536.74</v>
      </c>
      <c r="BN38" s="2">
        <v>7415.62</v>
      </c>
      <c r="BO38" s="2">
        <v>4724.9799999999996</v>
      </c>
      <c r="BR38" s="1" t="s">
        <v>67</v>
      </c>
      <c r="BS38" s="2">
        <v>8366.4</v>
      </c>
      <c r="BT38" s="2">
        <v>5435.4</v>
      </c>
      <c r="BU38" s="2">
        <v>7766</v>
      </c>
      <c r="BV38" s="2">
        <v>5160.2</v>
      </c>
      <c r="BW38" s="2">
        <v>5041.3999999999996</v>
      </c>
      <c r="BX38" s="2">
        <v>6524.1</v>
      </c>
      <c r="BY38" s="2">
        <v>8714.2000000000007</v>
      </c>
      <c r="BZ38" s="2">
        <v>5984.8</v>
      </c>
      <c r="CA38" s="2">
        <v>8709.2999999999993</v>
      </c>
      <c r="CB38" s="2">
        <v>5880.8</v>
      </c>
      <c r="CC38" s="2">
        <v>8461.7000000000007</v>
      </c>
      <c r="CD38" s="2">
        <v>5979.4</v>
      </c>
      <c r="CE38" s="2">
        <v>7096.8</v>
      </c>
      <c r="CF38" s="2">
        <v>6372.7</v>
      </c>
      <c r="CG38" s="2">
        <v>6899.7</v>
      </c>
      <c r="CH38" s="2">
        <v>6399.2</v>
      </c>
      <c r="CI38" s="2">
        <v>6713</v>
      </c>
      <c r="CJ38" s="2">
        <v>5114.5</v>
      </c>
      <c r="CK38" s="2">
        <v>8253.6</v>
      </c>
      <c r="CL38" s="2">
        <v>5247.1</v>
      </c>
    </row>
    <row r="39" spans="2:90" x14ac:dyDescent="0.3">
      <c r="B39" s="1" t="s">
        <v>68</v>
      </c>
      <c r="C39" s="2">
        <v>29656.36</v>
      </c>
      <c r="D39" s="2">
        <v>2258.31</v>
      </c>
      <c r="E39" s="2">
        <v>29453.279999999999</v>
      </c>
      <c r="F39" s="2">
        <v>1624.7</v>
      </c>
      <c r="G39" s="2">
        <v>6368.52</v>
      </c>
      <c r="H39" s="2">
        <v>5453.64</v>
      </c>
      <c r="I39" s="2">
        <v>21111.040000000001</v>
      </c>
      <c r="J39" s="2">
        <v>10323.02</v>
      </c>
      <c r="K39" s="2">
        <v>28152.23</v>
      </c>
      <c r="L39" s="2">
        <v>10815.13</v>
      </c>
      <c r="M39" s="2">
        <v>51674.54</v>
      </c>
      <c r="N39" s="2">
        <v>19633.34</v>
      </c>
      <c r="O39" s="2">
        <v>40338.269999999997</v>
      </c>
      <c r="P39" s="2">
        <v>16407.650000000001</v>
      </c>
      <c r="Q39" s="2">
        <v>51161.71</v>
      </c>
      <c r="R39" s="2">
        <v>19332.91</v>
      </c>
      <c r="S39" s="2">
        <v>21577.73</v>
      </c>
      <c r="T39" s="2">
        <v>13092.55</v>
      </c>
      <c r="U39" s="2">
        <v>16402.669999999998</v>
      </c>
      <c r="V39" s="2">
        <v>13056.98</v>
      </c>
      <c r="X39" s="1" t="s">
        <v>68</v>
      </c>
      <c r="Y39" s="2">
        <v>1880.64</v>
      </c>
      <c r="Z39" s="2">
        <v>480.97</v>
      </c>
      <c r="AA39" s="2">
        <v>1766.7</v>
      </c>
      <c r="AB39" s="2">
        <v>435.36</v>
      </c>
      <c r="AC39" s="2">
        <v>2053.81</v>
      </c>
      <c r="AD39" s="2">
        <v>1829.97</v>
      </c>
      <c r="AE39" s="2">
        <v>2206.6</v>
      </c>
      <c r="AF39" s="2">
        <v>1064.72</v>
      </c>
      <c r="AG39" s="2">
        <v>2345.4499999999998</v>
      </c>
      <c r="AH39" s="2">
        <v>888.53</v>
      </c>
      <c r="AI39" s="2">
        <v>2387.14</v>
      </c>
      <c r="AJ39" s="2">
        <v>890.31</v>
      </c>
      <c r="AK39" s="2">
        <v>2267.65</v>
      </c>
      <c r="AL39" s="2">
        <v>917.34</v>
      </c>
      <c r="AM39" s="2">
        <v>2191.44</v>
      </c>
      <c r="AN39" s="2">
        <v>835</v>
      </c>
      <c r="AO39" s="2">
        <v>1046.8499999999999</v>
      </c>
      <c r="AP39" s="2">
        <v>658.53</v>
      </c>
      <c r="AQ39" s="2">
        <v>644.86</v>
      </c>
      <c r="AR39" s="2">
        <v>586.83000000000004</v>
      </c>
      <c r="AU39" s="1" t="s">
        <v>68</v>
      </c>
      <c r="AV39" s="2">
        <v>7761.62</v>
      </c>
      <c r="AW39" s="2">
        <v>4141.13</v>
      </c>
      <c r="AX39" s="2">
        <v>7502.01</v>
      </c>
      <c r="AY39" s="2">
        <v>3473.24</v>
      </c>
      <c r="AZ39" s="2">
        <v>5360.38</v>
      </c>
      <c r="BA39" s="2">
        <v>6517.87</v>
      </c>
      <c r="BB39" s="2">
        <v>7425.62</v>
      </c>
      <c r="BC39" s="2">
        <v>5984.63</v>
      </c>
      <c r="BD39" s="2">
        <v>7729.55</v>
      </c>
      <c r="BE39" s="2">
        <v>5842.88</v>
      </c>
      <c r="BF39" s="2">
        <v>7772.86</v>
      </c>
      <c r="BG39" s="2">
        <v>5855.35</v>
      </c>
      <c r="BH39" s="2">
        <v>7158.94</v>
      </c>
      <c r="BI39" s="2">
        <v>5916.77</v>
      </c>
      <c r="BJ39" s="2">
        <v>6771.54</v>
      </c>
      <c r="BK39" s="2">
        <v>5728.02</v>
      </c>
      <c r="BL39" s="2">
        <v>6144.13</v>
      </c>
      <c r="BM39" s="2">
        <v>5174.28</v>
      </c>
      <c r="BN39" s="2">
        <v>5070.8999999999996</v>
      </c>
      <c r="BO39" s="2">
        <v>4573.88</v>
      </c>
      <c r="BR39" s="1" t="s">
        <v>68</v>
      </c>
      <c r="BS39" s="2">
        <v>9642.26</v>
      </c>
      <c r="BT39" s="2">
        <v>4622.1000000000004</v>
      </c>
      <c r="BU39" s="2">
        <v>9268.7099999999991</v>
      </c>
      <c r="BV39" s="2">
        <v>3908.6</v>
      </c>
      <c r="BW39" s="2">
        <v>7414.19</v>
      </c>
      <c r="BX39" s="2">
        <v>8347.84</v>
      </c>
      <c r="BY39" s="2">
        <v>9632.2199999999993</v>
      </c>
      <c r="BZ39" s="2">
        <v>7049.35</v>
      </c>
      <c r="CA39" s="2">
        <v>10075</v>
      </c>
      <c r="CB39" s="2">
        <v>6731.41</v>
      </c>
      <c r="CC39" s="2">
        <v>10160</v>
      </c>
      <c r="CD39" s="2">
        <v>6745.67</v>
      </c>
      <c r="CE39" s="2">
        <v>9426.59</v>
      </c>
      <c r="CF39" s="2">
        <v>6834.11</v>
      </c>
      <c r="CG39" s="2">
        <v>8962.98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69</v>
      </c>
      <c r="C40" s="2">
        <v>5627.55</v>
      </c>
      <c r="D40" s="2">
        <v>873.72</v>
      </c>
      <c r="E40" s="2">
        <v>5245.78</v>
      </c>
      <c r="F40" s="2">
        <v>569.30999999999995</v>
      </c>
      <c r="G40" s="2">
        <v>1497.93</v>
      </c>
      <c r="H40" s="2">
        <v>1782.19</v>
      </c>
      <c r="I40" s="2">
        <v>6532.3</v>
      </c>
      <c r="J40" s="2">
        <v>3007.57</v>
      </c>
      <c r="K40" s="2">
        <v>6342.58</v>
      </c>
      <c r="L40" s="2">
        <v>2852.07</v>
      </c>
      <c r="M40" s="2">
        <v>11419.76</v>
      </c>
      <c r="N40" s="2">
        <v>4740.72</v>
      </c>
      <c r="O40" s="2">
        <v>9264.2900000000009</v>
      </c>
      <c r="P40" s="2">
        <v>3904.48</v>
      </c>
      <c r="Q40" s="2">
        <v>9201.6299999999992</v>
      </c>
      <c r="R40" s="2">
        <v>4361.6099999999997</v>
      </c>
      <c r="S40" s="2">
        <v>3835.38</v>
      </c>
      <c r="T40" s="2">
        <v>3259.42</v>
      </c>
      <c r="U40" s="2">
        <v>4142.66</v>
      </c>
      <c r="V40" s="2">
        <v>3627.08</v>
      </c>
      <c r="X40" s="1" t="s">
        <v>69</v>
      </c>
      <c r="Y40" s="2">
        <v>1040.8</v>
      </c>
      <c r="Z40" s="2">
        <v>604.22</v>
      </c>
      <c r="AA40" s="2">
        <v>1048.48</v>
      </c>
      <c r="AB40" s="2">
        <v>529.17999999999995</v>
      </c>
      <c r="AC40" s="2">
        <v>1426.24</v>
      </c>
      <c r="AD40" s="2">
        <v>1736.19</v>
      </c>
      <c r="AE40" s="2">
        <v>1014.46</v>
      </c>
      <c r="AF40" s="2">
        <v>907.01</v>
      </c>
      <c r="AG40" s="2">
        <v>1548.33</v>
      </c>
      <c r="AH40" s="2">
        <v>757.32</v>
      </c>
      <c r="AI40" s="2">
        <v>1547.36</v>
      </c>
      <c r="AJ40" s="2">
        <v>741.21</v>
      </c>
      <c r="AK40" s="2">
        <v>1543.73</v>
      </c>
      <c r="AL40" s="2">
        <v>745.71</v>
      </c>
      <c r="AM40" s="2">
        <v>1175.23</v>
      </c>
      <c r="AN40" s="2">
        <v>714.34</v>
      </c>
      <c r="AO40" s="2">
        <v>711.33</v>
      </c>
      <c r="AP40" s="2">
        <v>675.58</v>
      </c>
      <c r="AQ40" s="2">
        <v>667.22</v>
      </c>
      <c r="AR40" s="2">
        <v>637.05999999999995</v>
      </c>
      <c r="AU40" s="1" t="s">
        <v>69</v>
      </c>
      <c r="AV40" s="2">
        <v>7518.89</v>
      </c>
      <c r="AW40" s="2">
        <v>4325.58</v>
      </c>
      <c r="AX40" s="2">
        <v>7070.9</v>
      </c>
      <c r="AY40" s="2">
        <v>4323.82</v>
      </c>
      <c r="AZ40" s="2">
        <v>5512.44</v>
      </c>
      <c r="BA40" s="2">
        <v>7143.81</v>
      </c>
      <c r="BB40" s="2">
        <v>7865.54</v>
      </c>
      <c r="BC40" s="2">
        <v>6413.96</v>
      </c>
      <c r="BD40" s="2">
        <v>7331.67</v>
      </c>
      <c r="BE40" s="2">
        <v>6173.65</v>
      </c>
      <c r="BF40" s="2">
        <v>7332.64</v>
      </c>
      <c r="BG40" s="2">
        <v>6008.17</v>
      </c>
      <c r="BH40" s="2">
        <v>7336.27</v>
      </c>
      <c r="BI40" s="2">
        <v>6045.09</v>
      </c>
      <c r="BJ40" s="2">
        <v>6958.17</v>
      </c>
      <c r="BK40" s="2">
        <v>5744.36</v>
      </c>
      <c r="BL40" s="2">
        <v>5727.47</v>
      </c>
      <c r="BM40" s="2">
        <v>5350.82</v>
      </c>
      <c r="BN40" s="2">
        <v>5287.68</v>
      </c>
      <c r="BO40" s="2">
        <v>5009.6499999999996</v>
      </c>
      <c r="BR40" s="1" t="s">
        <v>69</v>
      </c>
      <c r="BS40" s="2">
        <v>8559.69</v>
      </c>
      <c r="BT40" s="2">
        <v>4929.8</v>
      </c>
      <c r="BU40" s="2">
        <v>8119.38</v>
      </c>
      <c r="BV40" s="2">
        <v>4853</v>
      </c>
      <c r="BW40" s="2">
        <v>6938.68</v>
      </c>
      <c r="BX40" s="2">
        <v>8880</v>
      </c>
      <c r="BY40" s="2">
        <v>8880</v>
      </c>
      <c r="BZ40" s="2">
        <v>7320.97</v>
      </c>
      <c r="CA40" s="2">
        <v>8880</v>
      </c>
      <c r="CB40" s="2">
        <v>6930.96</v>
      </c>
      <c r="CC40" s="2">
        <v>8880</v>
      </c>
      <c r="CD40" s="2">
        <v>6749.39</v>
      </c>
      <c r="CE40" s="2">
        <v>8880</v>
      </c>
      <c r="CF40" s="2">
        <v>6790.8</v>
      </c>
      <c r="CG40" s="2">
        <v>8133.4</v>
      </c>
      <c r="CH40" s="2">
        <v>6458.7</v>
      </c>
      <c r="CI40" s="2">
        <v>6438.8</v>
      </c>
      <c r="CJ40" s="2">
        <v>6026.4</v>
      </c>
      <c r="CK40" s="2">
        <v>5954.9</v>
      </c>
      <c r="CL40" s="2">
        <v>5646.71</v>
      </c>
    </row>
    <row r="41" spans="2:90" x14ac:dyDescent="0.3">
      <c r="B41" s="1" t="s">
        <v>70</v>
      </c>
      <c r="C41" s="2">
        <v>15251.96</v>
      </c>
      <c r="D41" s="2">
        <v>16204.29</v>
      </c>
      <c r="E41" s="2">
        <v>21398.32</v>
      </c>
      <c r="F41" s="2">
        <v>9312.09</v>
      </c>
      <c r="G41" s="2">
        <v>5694.21</v>
      </c>
      <c r="H41" s="2">
        <v>6151.3</v>
      </c>
      <c r="I41" s="2">
        <v>10029.91</v>
      </c>
      <c r="J41" s="2">
        <v>20214.38</v>
      </c>
      <c r="K41" s="2">
        <v>23356.69</v>
      </c>
      <c r="L41" s="2">
        <v>24924.560000000001</v>
      </c>
      <c r="M41" s="2">
        <v>36672.68</v>
      </c>
      <c r="N41" s="2">
        <v>34051.65</v>
      </c>
      <c r="O41" s="2">
        <v>24465.279999999999</v>
      </c>
      <c r="P41" s="2">
        <v>24498.400000000001</v>
      </c>
      <c r="Q41" s="2">
        <v>24152.560000000001</v>
      </c>
      <c r="R41" s="2">
        <v>24965.86</v>
      </c>
      <c r="S41" s="2">
        <v>18317.919999999998</v>
      </c>
      <c r="T41" s="2">
        <v>16735.75</v>
      </c>
      <c r="U41" s="2">
        <v>23570.99</v>
      </c>
      <c r="V41" s="2">
        <v>19239.990000000002</v>
      </c>
      <c r="X41" s="1" t="s">
        <v>70</v>
      </c>
      <c r="Y41" s="2">
        <v>1128.27</v>
      </c>
      <c r="Z41" s="2">
        <v>1205.31</v>
      </c>
      <c r="AA41" s="2">
        <v>864.79</v>
      </c>
      <c r="AB41" s="2">
        <v>931.82</v>
      </c>
      <c r="AC41" s="2">
        <v>1116.52</v>
      </c>
      <c r="AD41" s="2">
        <v>1224.5999999999999</v>
      </c>
      <c r="AE41" s="2">
        <v>812.19</v>
      </c>
      <c r="AF41" s="2">
        <v>1251.8900000000001</v>
      </c>
      <c r="AG41" s="2">
        <v>1169.05</v>
      </c>
      <c r="AH41" s="2">
        <v>1240.45</v>
      </c>
      <c r="AI41" s="2">
        <v>1018.49</v>
      </c>
      <c r="AJ41" s="2">
        <v>947.31</v>
      </c>
      <c r="AK41" s="2">
        <v>839.97</v>
      </c>
      <c r="AL41" s="2">
        <v>845.86</v>
      </c>
      <c r="AM41" s="2">
        <v>738.96</v>
      </c>
      <c r="AN41" s="2">
        <v>745.17</v>
      </c>
      <c r="AO41" s="2">
        <v>702.37</v>
      </c>
      <c r="AP41" s="2">
        <v>695.8</v>
      </c>
      <c r="AQ41" s="2">
        <v>704.22</v>
      </c>
      <c r="AR41" s="2">
        <v>700.21</v>
      </c>
      <c r="AU41" s="1" t="s">
        <v>70</v>
      </c>
      <c r="AV41" s="2">
        <v>4694.53</v>
      </c>
      <c r="AW41" s="2">
        <v>6203.59</v>
      </c>
      <c r="AX41" s="2">
        <v>6653.57</v>
      </c>
      <c r="AY41" s="2">
        <v>7309.48</v>
      </c>
      <c r="AZ41" s="2">
        <v>4464.1000000000004</v>
      </c>
      <c r="BA41" s="2">
        <v>4997.88</v>
      </c>
      <c r="BB41" s="2">
        <v>6650.01</v>
      </c>
      <c r="BC41" s="2">
        <v>6042.71</v>
      </c>
      <c r="BD41" s="2">
        <v>6930.55</v>
      </c>
      <c r="BE41" s="2">
        <v>6849.25</v>
      </c>
      <c r="BF41" s="2">
        <v>6748.11</v>
      </c>
      <c r="BG41" s="2">
        <v>6991.39</v>
      </c>
      <c r="BH41" s="2">
        <v>6494.13</v>
      </c>
      <c r="BI41" s="2">
        <v>6934.14</v>
      </c>
      <c r="BJ41" s="2">
        <v>5987.64</v>
      </c>
      <c r="BK41" s="2">
        <v>6057.33</v>
      </c>
      <c r="BL41" s="2">
        <v>5559.33</v>
      </c>
      <c r="BM41" s="2">
        <v>5695</v>
      </c>
      <c r="BN41" s="2">
        <v>5693.18</v>
      </c>
      <c r="BO41" s="2">
        <v>6421.59</v>
      </c>
      <c r="BR41" s="1" t="s">
        <v>70</v>
      </c>
      <c r="BS41" s="2">
        <v>5822.8</v>
      </c>
      <c r="BT41" s="2">
        <v>7408.9</v>
      </c>
      <c r="BU41" s="2">
        <v>7518.37</v>
      </c>
      <c r="BV41" s="2">
        <v>8241.2999999999993</v>
      </c>
      <c r="BW41" s="2">
        <v>5580.62</v>
      </c>
      <c r="BX41" s="2">
        <v>6222.48</v>
      </c>
      <c r="BY41" s="2">
        <v>7462.2</v>
      </c>
      <c r="BZ41" s="2">
        <v>7294.6</v>
      </c>
      <c r="CA41" s="2">
        <v>8099.6</v>
      </c>
      <c r="CB41" s="2">
        <v>8089.7</v>
      </c>
      <c r="CC41" s="2">
        <v>7766.6</v>
      </c>
      <c r="CD41" s="2">
        <v>7938.7</v>
      </c>
      <c r="CE41" s="2">
        <v>7334.1</v>
      </c>
      <c r="CF41" s="2">
        <v>7780</v>
      </c>
      <c r="CG41" s="2">
        <v>6726.6</v>
      </c>
      <c r="CH41" s="2">
        <v>6802.5</v>
      </c>
      <c r="CI41" s="2">
        <v>6261.7</v>
      </c>
      <c r="CJ41" s="2">
        <v>6390.8</v>
      </c>
      <c r="CK41" s="2">
        <v>6397.4</v>
      </c>
      <c r="CL41" s="2">
        <v>7121.8</v>
      </c>
    </row>
    <row r="42" spans="2:90" x14ac:dyDescent="0.3">
      <c r="B42" s="1" t="s">
        <v>71</v>
      </c>
      <c r="C42" s="2">
        <v>3857.8</v>
      </c>
      <c r="D42" s="2">
        <v>3881.08</v>
      </c>
      <c r="E42" s="2">
        <v>5696.11</v>
      </c>
      <c r="F42" s="2">
        <v>5643.58</v>
      </c>
      <c r="G42" s="2">
        <v>1289.8699999999999</v>
      </c>
      <c r="H42" s="2">
        <v>1408.12</v>
      </c>
      <c r="I42" s="2">
        <v>2133.4699999999998</v>
      </c>
      <c r="J42" s="2">
        <v>3779.75</v>
      </c>
      <c r="K42" s="2">
        <v>2456.1</v>
      </c>
      <c r="L42" s="2">
        <v>7271.44</v>
      </c>
      <c r="M42" s="2">
        <v>5593.84</v>
      </c>
      <c r="N42" s="2">
        <v>13248.76</v>
      </c>
      <c r="O42" s="2">
        <v>4393.42</v>
      </c>
      <c r="P42" s="2">
        <v>8614.3700000000008</v>
      </c>
      <c r="Q42" s="2">
        <v>5595.89</v>
      </c>
      <c r="R42" s="2">
        <v>11138.52</v>
      </c>
      <c r="S42" s="2">
        <v>4433.01</v>
      </c>
      <c r="T42" s="2">
        <v>7631.52</v>
      </c>
      <c r="U42" s="2">
        <v>4698.66</v>
      </c>
      <c r="V42" s="2">
        <v>3852.61</v>
      </c>
      <c r="X42" s="1" t="s">
        <v>71</v>
      </c>
      <c r="Y42" s="2">
        <v>1462.11</v>
      </c>
      <c r="Z42" s="2">
        <v>1488.75</v>
      </c>
      <c r="AA42" s="2">
        <v>1168.17</v>
      </c>
      <c r="AB42" s="2">
        <v>1180.0999999999999</v>
      </c>
      <c r="AC42" s="2">
        <v>1293.3499999999999</v>
      </c>
      <c r="AD42" s="2">
        <v>1436.22</v>
      </c>
      <c r="AE42" s="2">
        <v>852.03</v>
      </c>
      <c r="AF42" s="2">
        <v>1197.49</v>
      </c>
      <c r="AG42" s="2">
        <v>799.51</v>
      </c>
      <c r="AH42" s="2">
        <v>1022.8</v>
      </c>
      <c r="AI42" s="2">
        <v>851.99</v>
      </c>
      <c r="AJ42" s="2">
        <v>1052.3900000000001</v>
      </c>
      <c r="AK42" s="2">
        <v>845.18</v>
      </c>
      <c r="AL42" s="2">
        <v>1016.99</v>
      </c>
      <c r="AM42" s="2">
        <v>832.39</v>
      </c>
      <c r="AN42" s="2">
        <v>1001.16</v>
      </c>
      <c r="AO42" s="2">
        <v>793.99</v>
      </c>
      <c r="AP42" s="2">
        <v>1174.6300000000001</v>
      </c>
      <c r="AQ42" s="2">
        <v>745.02</v>
      </c>
      <c r="AR42" s="2">
        <v>704.59</v>
      </c>
      <c r="AU42" s="1" t="s">
        <v>71</v>
      </c>
      <c r="AV42" s="2">
        <v>5444.7</v>
      </c>
      <c r="AW42" s="2">
        <v>5550.01</v>
      </c>
      <c r="AX42" s="2">
        <v>7711.83</v>
      </c>
      <c r="AY42" s="2">
        <v>7699.9</v>
      </c>
      <c r="AZ42" s="2">
        <v>4483.3900000000003</v>
      </c>
      <c r="BA42" s="2">
        <v>5119.76</v>
      </c>
      <c r="BB42" s="2">
        <v>5773.77</v>
      </c>
      <c r="BC42" s="2">
        <v>4372.43</v>
      </c>
      <c r="BD42" s="2">
        <v>5855.69</v>
      </c>
      <c r="BE42" s="2">
        <v>7636.2</v>
      </c>
      <c r="BF42" s="2">
        <v>6301.11</v>
      </c>
      <c r="BG42" s="2">
        <v>7827.61</v>
      </c>
      <c r="BH42" s="2">
        <v>6251.81</v>
      </c>
      <c r="BI42" s="2">
        <v>7455.12</v>
      </c>
      <c r="BJ42" s="2">
        <v>6204.48</v>
      </c>
      <c r="BK42" s="2">
        <v>7437.5</v>
      </c>
      <c r="BL42" s="2">
        <v>5971.46</v>
      </c>
      <c r="BM42" s="2">
        <v>6820.03</v>
      </c>
      <c r="BN42" s="2">
        <v>5522.02</v>
      </c>
      <c r="BO42" s="2">
        <v>5159.41</v>
      </c>
      <c r="BR42" s="1" t="s">
        <v>71</v>
      </c>
      <c r="BS42" s="2">
        <v>6906.81</v>
      </c>
      <c r="BT42" s="2">
        <v>7038.75</v>
      </c>
      <c r="BU42" s="2">
        <v>8880</v>
      </c>
      <c r="BV42" s="2">
        <v>8880</v>
      </c>
      <c r="BW42" s="2">
        <v>5776.74</v>
      </c>
      <c r="BX42" s="2">
        <v>6555.98</v>
      </c>
      <c r="BY42" s="2">
        <v>6625.8</v>
      </c>
      <c r="BZ42" s="2">
        <v>5569.92</v>
      </c>
      <c r="CA42" s="2">
        <v>6655.2</v>
      </c>
      <c r="CB42" s="2">
        <v>8659</v>
      </c>
      <c r="CC42" s="2">
        <v>7153.1</v>
      </c>
      <c r="CD42" s="2">
        <v>8880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5864</v>
      </c>
    </row>
    <row r="43" spans="2:90" x14ac:dyDescent="0.3">
      <c r="B43" s="1" t="s">
        <v>72</v>
      </c>
      <c r="C43" s="2">
        <v>28119.31</v>
      </c>
      <c r="D43" s="2">
        <v>29558.62</v>
      </c>
      <c r="E43" s="2">
        <v>19380.78</v>
      </c>
      <c r="F43" s="2">
        <v>29201.08</v>
      </c>
      <c r="G43" s="2">
        <v>4518.1099999999997</v>
      </c>
      <c r="H43" s="2">
        <v>10758.42</v>
      </c>
      <c r="I43" s="2">
        <v>13514.85</v>
      </c>
      <c r="J43" s="2">
        <v>19089.22</v>
      </c>
      <c r="K43" s="2">
        <v>12856.57</v>
      </c>
      <c r="L43" s="2">
        <v>29005.79</v>
      </c>
      <c r="M43" s="2">
        <v>25438.37</v>
      </c>
      <c r="N43" s="2">
        <v>51962.03</v>
      </c>
      <c r="O43" s="2">
        <v>20642.45</v>
      </c>
      <c r="P43" s="2">
        <v>37443.65</v>
      </c>
      <c r="Q43" s="2">
        <v>30269.34</v>
      </c>
      <c r="R43" s="2">
        <v>43311.07</v>
      </c>
      <c r="S43" s="2">
        <v>20112.93</v>
      </c>
      <c r="T43" s="2">
        <v>20970.3</v>
      </c>
      <c r="U43" s="2">
        <v>22734.1</v>
      </c>
      <c r="V43" s="2">
        <v>21640.2</v>
      </c>
      <c r="X43" s="1" t="s">
        <v>72</v>
      </c>
      <c r="Y43" s="2">
        <v>1809.27</v>
      </c>
      <c r="Z43" s="2">
        <v>1890.75</v>
      </c>
      <c r="AA43" s="2">
        <v>1322.9</v>
      </c>
      <c r="AB43" s="2">
        <v>1925.05</v>
      </c>
      <c r="AC43" s="2">
        <v>1523.75</v>
      </c>
      <c r="AD43" s="2">
        <v>1818.68</v>
      </c>
      <c r="AE43" s="2">
        <v>1448.47</v>
      </c>
      <c r="AF43" s="2">
        <v>1992.06</v>
      </c>
      <c r="AG43" s="2">
        <v>1101.27</v>
      </c>
      <c r="AH43" s="2">
        <v>2450.34</v>
      </c>
      <c r="AI43" s="2">
        <v>1206.47</v>
      </c>
      <c r="AJ43" s="2">
        <v>2451.0300000000002</v>
      </c>
      <c r="AK43" s="2">
        <v>1211.3499999999999</v>
      </c>
      <c r="AL43" s="2">
        <v>2190.38</v>
      </c>
      <c r="AM43" s="2">
        <v>1342.85</v>
      </c>
      <c r="AN43" s="2">
        <v>981.39</v>
      </c>
      <c r="AO43" s="2">
        <v>989.37</v>
      </c>
      <c r="AP43" s="2">
        <v>1044.8900000000001</v>
      </c>
      <c r="AQ43" s="2">
        <v>841.83</v>
      </c>
      <c r="AR43" s="2">
        <v>810.23</v>
      </c>
      <c r="AU43" s="1" t="s">
        <v>72</v>
      </c>
      <c r="AV43" s="2">
        <v>6958.39</v>
      </c>
      <c r="AW43" s="2">
        <v>7407.02</v>
      </c>
      <c r="AX43" s="2">
        <v>7274.67</v>
      </c>
      <c r="AY43" s="2">
        <v>8033.51</v>
      </c>
      <c r="AZ43" s="2">
        <v>4578.5200000000004</v>
      </c>
      <c r="BA43" s="2">
        <v>6831.79</v>
      </c>
      <c r="BB43" s="2">
        <v>6266.38</v>
      </c>
      <c r="BC43" s="2">
        <v>5093.3900000000003</v>
      </c>
      <c r="BD43" s="2">
        <v>6110.47</v>
      </c>
      <c r="BE43" s="2">
        <v>7709.66</v>
      </c>
      <c r="BF43" s="2">
        <v>6285.24</v>
      </c>
      <c r="BG43" s="2">
        <v>7708.97</v>
      </c>
      <c r="BH43" s="2">
        <v>6295.32</v>
      </c>
      <c r="BI43" s="2">
        <v>7455.52</v>
      </c>
      <c r="BJ43" s="2">
        <v>6496.69</v>
      </c>
      <c r="BK43" s="2">
        <v>7443.97</v>
      </c>
      <c r="BL43" s="2">
        <v>5939.98</v>
      </c>
      <c r="BM43" s="2">
        <v>6029.12</v>
      </c>
      <c r="BN43" s="2">
        <v>5656.31</v>
      </c>
      <c r="BO43" s="2">
        <v>5580.64</v>
      </c>
      <c r="BR43" s="1" t="s">
        <v>72</v>
      </c>
      <c r="BS43" s="2">
        <v>8767.65</v>
      </c>
      <c r="BT43" s="2">
        <v>9297.77</v>
      </c>
      <c r="BU43" s="2">
        <v>8597.57</v>
      </c>
      <c r="BV43" s="2">
        <v>9958.56</v>
      </c>
      <c r="BW43" s="2">
        <v>6102.27</v>
      </c>
      <c r="BX43" s="2">
        <v>8650.4599999999991</v>
      </c>
      <c r="BY43" s="2">
        <v>7714.85</v>
      </c>
      <c r="BZ43" s="2">
        <v>7085.45</v>
      </c>
      <c r="CA43" s="2">
        <v>7211.73</v>
      </c>
      <c r="CB43" s="2">
        <v>10160</v>
      </c>
      <c r="CC43" s="2">
        <v>7491.71</v>
      </c>
      <c r="CD43" s="2">
        <v>10160</v>
      </c>
      <c r="CE43" s="2">
        <v>7506.67</v>
      </c>
      <c r="CF43" s="2">
        <v>9645.9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73</v>
      </c>
      <c r="C44" s="2">
        <v>3064.46</v>
      </c>
      <c r="D44" s="2">
        <v>5101.57</v>
      </c>
      <c r="E44" s="2">
        <v>1222.6400000000001</v>
      </c>
      <c r="F44" s="2">
        <v>1374.01</v>
      </c>
      <c r="G44" s="2">
        <v>284.91000000000003</v>
      </c>
      <c r="H44" s="2">
        <v>642.29</v>
      </c>
      <c r="I44" s="2">
        <v>1132.96</v>
      </c>
      <c r="J44" s="2">
        <v>7747.08</v>
      </c>
      <c r="K44" s="2">
        <v>4011.29</v>
      </c>
      <c r="L44" s="2">
        <v>9076.67</v>
      </c>
      <c r="M44" s="2">
        <v>10390.93</v>
      </c>
      <c r="N44" s="2">
        <v>16775.98</v>
      </c>
      <c r="O44" s="2">
        <v>9304.32</v>
      </c>
      <c r="P44" s="2">
        <v>11359.14</v>
      </c>
      <c r="Q44" s="2">
        <v>10272.52</v>
      </c>
      <c r="R44" s="2">
        <v>9918.67</v>
      </c>
      <c r="S44" s="2">
        <v>7971.23</v>
      </c>
      <c r="T44" s="2">
        <v>6475.17</v>
      </c>
      <c r="U44" s="2">
        <v>9197.49</v>
      </c>
      <c r="V44" s="2">
        <v>7532.78</v>
      </c>
      <c r="X44" s="1" t="s">
        <v>73</v>
      </c>
      <c r="Y44" s="2">
        <v>660.11</v>
      </c>
      <c r="Z44" s="2">
        <v>757.61</v>
      </c>
      <c r="AA44" s="2">
        <v>532.58000000000004</v>
      </c>
      <c r="AB44" s="2">
        <v>567.08000000000004</v>
      </c>
      <c r="AC44" s="2">
        <v>160.99</v>
      </c>
      <c r="AD44" s="2">
        <v>595.41</v>
      </c>
      <c r="AE44" s="2">
        <v>410.84</v>
      </c>
      <c r="AF44" s="2">
        <v>819.26</v>
      </c>
      <c r="AG44" s="2">
        <v>581.1</v>
      </c>
      <c r="AH44" s="2">
        <v>768.29</v>
      </c>
      <c r="AI44" s="2">
        <v>584.01</v>
      </c>
      <c r="AJ44" s="2">
        <v>787.53</v>
      </c>
      <c r="AK44" s="2">
        <v>578.6</v>
      </c>
      <c r="AL44" s="2">
        <v>673.56</v>
      </c>
      <c r="AM44" s="2">
        <v>568.85</v>
      </c>
      <c r="AN44" s="2">
        <v>596.08000000000004</v>
      </c>
      <c r="AO44" s="2">
        <v>550.72</v>
      </c>
      <c r="AP44" s="2">
        <v>549.22</v>
      </c>
      <c r="AQ44" s="2">
        <v>560.97</v>
      </c>
      <c r="AR44" s="2">
        <v>553.86</v>
      </c>
      <c r="AU44" s="1" t="s">
        <v>73</v>
      </c>
      <c r="AV44" s="2">
        <v>4003.89</v>
      </c>
      <c r="AW44" s="2">
        <v>4953.59</v>
      </c>
      <c r="AX44" s="2">
        <v>3557.42</v>
      </c>
      <c r="AY44" s="2">
        <v>3792.62</v>
      </c>
      <c r="AZ44" s="2">
        <v>2945.51</v>
      </c>
      <c r="BA44" s="2">
        <v>4194.99</v>
      </c>
      <c r="BB44" s="2">
        <v>3140.96</v>
      </c>
      <c r="BC44" s="2">
        <v>4051.7</v>
      </c>
      <c r="BD44" s="2">
        <v>3340.6</v>
      </c>
      <c r="BE44" s="2">
        <v>4187.42</v>
      </c>
      <c r="BF44" s="2">
        <v>3244.79</v>
      </c>
      <c r="BG44" s="2">
        <v>4324.9799999999996</v>
      </c>
      <c r="BH44" s="2">
        <v>3246.3</v>
      </c>
      <c r="BI44" s="2">
        <v>4226.24</v>
      </c>
      <c r="BJ44" s="2">
        <v>3081.45</v>
      </c>
      <c r="BK44" s="2">
        <v>3345.62</v>
      </c>
      <c r="BL44" s="2">
        <v>2876.48</v>
      </c>
      <c r="BM44" s="2">
        <v>2942.18</v>
      </c>
      <c r="BN44" s="2">
        <v>3026.53</v>
      </c>
      <c r="BO44" s="2">
        <v>3225.14</v>
      </c>
      <c r="BR44" s="1" t="s">
        <v>73</v>
      </c>
      <c r="BS44" s="2">
        <v>4664</v>
      </c>
      <c r="BT44" s="2">
        <v>5711.2</v>
      </c>
      <c r="BU44" s="2">
        <v>4090</v>
      </c>
      <c r="BV44" s="2">
        <v>4359.7</v>
      </c>
      <c r="BW44" s="2">
        <v>3106.5</v>
      </c>
      <c r="BX44" s="2">
        <v>4790.3999999999996</v>
      </c>
      <c r="BY44" s="2">
        <v>3551.8</v>
      </c>
      <c r="BZ44" s="2">
        <v>4870.95</v>
      </c>
      <c r="CA44" s="2">
        <v>3921.7</v>
      </c>
      <c r="CB44" s="2">
        <v>4955.71</v>
      </c>
      <c r="CC44" s="2">
        <v>3828.8</v>
      </c>
      <c r="CD44" s="2">
        <v>5112.5200000000004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5" spans="2:90" x14ac:dyDescent="0.3">
      <c r="W45">
        <f>SUM(C37:V44)</f>
        <v>1703193.1400000004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63</v>
      </c>
      <c r="D48" s="1" t="s">
        <v>64</v>
      </c>
      <c r="E48" s="1" t="s">
        <v>63</v>
      </c>
      <c r="F48" s="1" t="s">
        <v>64</v>
      </c>
      <c r="G48" s="1" t="s">
        <v>63</v>
      </c>
      <c r="H48" s="1" t="s">
        <v>64</v>
      </c>
      <c r="I48" s="1" t="s">
        <v>63</v>
      </c>
      <c r="J48" s="1" t="s">
        <v>64</v>
      </c>
      <c r="K48" s="1" t="s">
        <v>63</v>
      </c>
      <c r="L48" s="1" t="s">
        <v>64</v>
      </c>
      <c r="M48" s="1" t="s">
        <v>63</v>
      </c>
      <c r="N48" s="1" t="s">
        <v>64</v>
      </c>
      <c r="O48" s="1" t="s">
        <v>63</v>
      </c>
      <c r="P48" s="1" t="s">
        <v>64</v>
      </c>
      <c r="Q48" s="1" t="s">
        <v>63</v>
      </c>
      <c r="R48" s="1" t="s">
        <v>64</v>
      </c>
      <c r="S48" s="1" t="s">
        <v>63</v>
      </c>
      <c r="T48" s="1" t="s">
        <v>64</v>
      </c>
      <c r="U48" s="1" t="s">
        <v>63</v>
      </c>
      <c r="V48" s="1" t="s">
        <v>64</v>
      </c>
      <c r="X48" s="1" t="s">
        <v>6</v>
      </c>
      <c r="Y48" s="1" t="s">
        <v>63</v>
      </c>
      <c r="Z48" s="1" t="s">
        <v>64</v>
      </c>
      <c r="AA48" s="1" t="s">
        <v>63</v>
      </c>
      <c r="AB48" s="1" t="s">
        <v>64</v>
      </c>
      <c r="AC48" s="1" t="s">
        <v>63</v>
      </c>
      <c r="AD48" s="1" t="s">
        <v>64</v>
      </c>
      <c r="AE48" s="1" t="s">
        <v>63</v>
      </c>
      <c r="AF48" s="1" t="s">
        <v>64</v>
      </c>
      <c r="AG48" s="1" t="s">
        <v>63</v>
      </c>
      <c r="AH48" s="1" t="s">
        <v>64</v>
      </c>
      <c r="AI48" s="1" t="s">
        <v>63</v>
      </c>
      <c r="AJ48" s="1" t="s">
        <v>64</v>
      </c>
      <c r="AK48" s="1" t="s">
        <v>63</v>
      </c>
      <c r="AL48" s="1" t="s">
        <v>64</v>
      </c>
      <c r="AM48" s="1" t="s">
        <v>63</v>
      </c>
      <c r="AN48" s="1" t="s">
        <v>64</v>
      </c>
      <c r="AO48" s="1" t="s">
        <v>63</v>
      </c>
      <c r="AP48" s="1" t="s">
        <v>64</v>
      </c>
      <c r="AQ48" s="1" t="s">
        <v>63</v>
      </c>
      <c r="AR48" s="1" t="s">
        <v>64</v>
      </c>
      <c r="AU48" s="1" t="s">
        <v>6</v>
      </c>
      <c r="AV48" s="1" t="s">
        <v>63</v>
      </c>
      <c r="AW48" s="1" t="s">
        <v>64</v>
      </c>
      <c r="AX48" s="1" t="s">
        <v>63</v>
      </c>
      <c r="AY48" s="1" t="s">
        <v>64</v>
      </c>
      <c r="AZ48" s="1" t="s">
        <v>63</v>
      </c>
      <c r="BA48" s="1" t="s">
        <v>64</v>
      </c>
      <c r="BB48" s="1" t="s">
        <v>63</v>
      </c>
      <c r="BC48" s="1" t="s">
        <v>64</v>
      </c>
      <c r="BD48" s="1" t="s">
        <v>63</v>
      </c>
      <c r="BE48" s="1" t="s">
        <v>64</v>
      </c>
      <c r="BF48" s="1" t="s">
        <v>63</v>
      </c>
      <c r="BG48" s="1" t="s">
        <v>64</v>
      </c>
      <c r="BH48" s="1" t="s">
        <v>63</v>
      </c>
      <c r="BI48" s="1" t="s">
        <v>64</v>
      </c>
      <c r="BJ48" s="1" t="s">
        <v>63</v>
      </c>
      <c r="BK48" s="1" t="s">
        <v>64</v>
      </c>
      <c r="BL48" s="1" t="s">
        <v>63</v>
      </c>
      <c r="BM48" s="1" t="s">
        <v>64</v>
      </c>
      <c r="BN48" s="1" t="s">
        <v>63</v>
      </c>
      <c r="BO48" s="1" t="s">
        <v>64</v>
      </c>
      <c r="BR48" s="1" t="s">
        <v>6</v>
      </c>
      <c r="BS48" s="1" t="s">
        <v>63</v>
      </c>
      <c r="BT48" s="1" t="s">
        <v>64</v>
      </c>
      <c r="BU48" s="1" t="s">
        <v>63</v>
      </c>
      <c r="BV48" s="1" t="s">
        <v>64</v>
      </c>
      <c r="BW48" s="1" t="s">
        <v>63</v>
      </c>
      <c r="BX48" s="1" t="s">
        <v>64</v>
      </c>
      <c r="BY48" s="1" t="s">
        <v>63</v>
      </c>
      <c r="BZ48" s="1" t="s">
        <v>64</v>
      </c>
      <c r="CA48" s="1" t="s">
        <v>63</v>
      </c>
      <c r="CB48" s="1" t="s">
        <v>64</v>
      </c>
      <c r="CC48" s="1" t="s">
        <v>63</v>
      </c>
      <c r="CD48" s="1" t="s">
        <v>64</v>
      </c>
      <c r="CE48" s="1" t="s">
        <v>63</v>
      </c>
      <c r="CF48" s="1" t="s">
        <v>64</v>
      </c>
      <c r="CG48" s="1" t="s">
        <v>63</v>
      </c>
      <c r="CH48" s="1" t="s">
        <v>64</v>
      </c>
      <c r="CI48" s="1" t="s">
        <v>63</v>
      </c>
      <c r="CJ48" s="1" t="s">
        <v>64</v>
      </c>
      <c r="CK48" s="1" t="s">
        <v>63</v>
      </c>
      <c r="CL48" s="1" t="s">
        <v>64</v>
      </c>
    </row>
    <row r="49" spans="2:90" x14ac:dyDescent="0.3">
      <c r="B49" s="1" t="s">
        <v>65</v>
      </c>
      <c r="C49" s="1" t="s">
        <v>53</v>
      </c>
      <c r="D49" s="1" t="s">
        <v>53</v>
      </c>
      <c r="E49" s="1" t="s">
        <v>54</v>
      </c>
      <c r="F49" s="1" t="s">
        <v>54</v>
      </c>
      <c r="G49" s="1" t="s">
        <v>55</v>
      </c>
      <c r="H49" s="1" t="s">
        <v>55</v>
      </c>
      <c r="I49" s="1" t="s">
        <v>56</v>
      </c>
      <c r="J49" s="1" t="s">
        <v>56</v>
      </c>
      <c r="K49" s="1" t="s">
        <v>57</v>
      </c>
      <c r="L49" s="1" t="s">
        <v>57</v>
      </c>
      <c r="M49" s="1" t="s">
        <v>58</v>
      </c>
      <c r="N49" s="1" t="s">
        <v>58</v>
      </c>
      <c r="O49" s="1" t="s">
        <v>59</v>
      </c>
      <c r="P49" s="1" t="s">
        <v>59</v>
      </c>
      <c r="Q49" s="1" t="s">
        <v>60</v>
      </c>
      <c r="R49" s="1" t="s">
        <v>60</v>
      </c>
      <c r="S49" s="1" t="s">
        <v>61</v>
      </c>
      <c r="T49" s="1" t="s">
        <v>61</v>
      </c>
      <c r="U49" s="1" t="s">
        <v>62</v>
      </c>
      <c r="V49" s="1" t="s">
        <v>62</v>
      </c>
      <c r="X49" s="1" t="s">
        <v>65</v>
      </c>
      <c r="Y49" s="1" t="s">
        <v>53</v>
      </c>
      <c r="Z49" s="1" t="s">
        <v>53</v>
      </c>
      <c r="AA49" s="1" t="s">
        <v>54</v>
      </c>
      <c r="AB49" s="1" t="s">
        <v>54</v>
      </c>
      <c r="AC49" s="1" t="s">
        <v>55</v>
      </c>
      <c r="AD49" s="1" t="s">
        <v>55</v>
      </c>
      <c r="AE49" s="1" t="s">
        <v>56</v>
      </c>
      <c r="AF49" s="1" t="s">
        <v>56</v>
      </c>
      <c r="AG49" s="1" t="s">
        <v>57</v>
      </c>
      <c r="AH49" s="1" t="s">
        <v>57</v>
      </c>
      <c r="AI49" s="1" t="s">
        <v>58</v>
      </c>
      <c r="AJ49" s="1" t="s">
        <v>58</v>
      </c>
      <c r="AK49" s="1" t="s">
        <v>59</v>
      </c>
      <c r="AL49" s="1" t="s">
        <v>59</v>
      </c>
      <c r="AM49" s="1" t="s">
        <v>60</v>
      </c>
      <c r="AN49" s="1" t="s">
        <v>60</v>
      </c>
      <c r="AO49" s="1" t="s">
        <v>61</v>
      </c>
      <c r="AP49" s="1" t="s">
        <v>61</v>
      </c>
      <c r="AQ49" s="1" t="s">
        <v>62</v>
      </c>
      <c r="AR49" s="1" t="s">
        <v>62</v>
      </c>
      <c r="AU49" s="1" t="s">
        <v>65</v>
      </c>
      <c r="AV49" s="1" t="s">
        <v>53</v>
      </c>
      <c r="AW49" s="1" t="s">
        <v>53</v>
      </c>
      <c r="AX49" s="1" t="s">
        <v>54</v>
      </c>
      <c r="AY49" s="1" t="s">
        <v>54</v>
      </c>
      <c r="AZ49" s="1" t="s">
        <v>55</v>
      </c>
      <c r="BA49" s="1" t="s">
        <v>55</v>
      </c>
      <c r="BB49" s="1" t="s">
        <v>56</v>
      </c>
      <c r="BC49" s="1" t="s">
        <v>56</v>
      </c>
      <c r="BD49" s="1" t="s">
        <v>57</v>
      </c>
      <c r="BE49" s="1" t="s">
        <v>57</v>
      </c>
      <c r="BF49" s="1" t="s">
        <v>58</v>
      </c>
      <c r="BG49" s="1" t="s">
        <v>58</v>
      </c>
      <c r="BH49" s="1" t="s">
        <v>59</v>
      </c>
      <c r="BI49" s="1" t="s">
        <v>59</v>
      </c>
      <c r="BJ49" s="1" t="s">
        <v>60</v>
      </c>
      <c r="BK49" s="1" t="s">
        <v>60</v>
      </c>
      <c r="BL49" s="1" t="s">
        <v>61</v>
      </c>
      <c r="BM49" s="1" t="s">
        <v>61</v>
      </c>
      <c r="BN49" s="1" t="s">
        <v>62</v>
      </c>
      <c r="BO49" s="1" t="s">
        <v>62</v>
      </c>
      <c r="BR49" s="1" t="s">
        <v>65</v>
      </c>
      <c r="BS49" s="1" t="s">
        <v>53</v>
      </c>
      <c r="BT49" s="1" t="s">
        <v>53</v>
      </c>
      <c r="BU49" s="1" t="s">
        <v>54</v>
      </c>
      <c r="BV49" s="1" t="s">
        <v>54</v>
      </c>
      <c r="BW49" s="1" t="s">
        <v>55</v>
      </c>
      <c r="BX49" s="1" t="s">
        <v>55</v>
      </c>
      <c r="BY49" s="1" t="s">
        <v>56</v>
      </c>
      <c r="BZ49" s="1" t="s">
        <v>56</v>
      </c>
      <c r="CA49" s="1" t="s">
        <v>57</v>
      </c>
      <c r="CB49" s="1" t="s">
        <v>57</v>
      </c>
      <c r="CC49" s="1" t="s">
        <v>58</v>
      </c>
      <c r="CD49" s="1" t="s">
        <v>58</v>
      </c>
      <c r="CE49" s="1" t="s">
        <v>59</v>
      </c>
      <c r="CF49" s="1" t="s">
        <v>59</v>
      </c>
      <c r="CG49" s="1" t="s">
        <v>60</v>
      </c>
      <c r="CH49" s="1" t="s">
        <v>60</v>
      </c>
      <c r="CI49" s="1" t="s">
        <v>61</v>
      </c>
      <c r="CJ49" s="1" t="s">
        <v>61</v>
      </c>
      <c r="CK49" s="1" t="s">
        <v>62</v>
      </c>
      <c r="CL49" s="1" t="s">
        <v>62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66</v>
      </c>
      <c r="C51" s="2">
        <v>659.01</v>
      </c>
      <c r="D51" s="2">
        <v>630.21</v>
      </c>
      <c r="E51" s="2">
        <v>177.94</v>
      </c>
      <c r="F51" s="2">
        <v>160.49</v>
      </c>
      <c r="G51" s="2">
        <v>50.48</v>
      </c>
      <c r="H51" s="2">
        <v>90.81</v>
      </c>
      <c r="I51" s="2">
        <v>556.52</v>
      </c>
      <c r="J51" s="2">
        <v>293.76</v>
      </c>
      <c r="K51" s="2">
        <v>1048.28</v>
      </c>
      <c r="L51" s="2">
        <v>318.18</v>
      </c>
      <c r="M51" s="2">
        <v>1958.67</v>
      </c>
      <c r="N51" s="2">
        <v>446.4</v>
      </c>
      <c r="O51" s="2">
        <v>1512.81</v>
      </c>
      <c r="P51" s="2">
        <v>125.46</v>
      </c>
      <c r="Q51" s="2">
        <v>1379.91</v>
      </c>
      <c r="R51" s="2">
        <v>401.01</v>
      </c>
      <c r="S51" s="2">
        <v>72.78</v>
      </c>
      <c r="T51" s="2">
        <v>44.99</v>
      </c>
      <c r="U51" s="2">
        <v>259.66000000000003</v>
      </c>
      <c r="V51" s="2">
        <v>58.5</v>
      </c>
      <c r="X51" s="1" t="s">
        <v>66</v>
      </c>
      <c r="Y51" s="2">
        <v>0.15</v>
      </c>
      <c r="Z51" s="2">
        <v>0.14000000000000001</v>
      </c>
      <c r="AA51" s="2">
        <v>0.03</v>
      </c>
      <c r="AB51" s="2">
        <v>0.03</v>
      </c>
      <c r="AC51" s="2">
        <v>0.03</v>
      </c>
      <c r="AD51" s="2">
        <v>0.05</v>
      </c>
      <c r="AE51" s="2">
        <v>0.1</v>
      </c>
      <c r="AF51" s="2">
        <v>0.05</v>
      </c>
      <c r="AG51" s="2">
        <v>0.14000000000000001</v>
      </c>
      <c r="AH51" s="2">
        <v>0.05</v>
      </c>
      <c r="AI51" s="2">
        <v>0.14000000000000001</v>
      </c>
      <c r="AJ51" s="2">
        <v>0.03</v>
      </c>
      <c r="AK51" s="2">
        <v>0.13</v>
      </c>
      <c r="AL51" s="2">
        <v>0.01</v>
      </c>
      <c r="AM51" s="2">
        <v>0.1</v>
      </c>
      <c r="AN51" s="2">
        <v>0.03</v>
      </c>
      <c r="AO51" s="2">
        <v>0.01</v>
      </c>
      <c r="AP51" s="2">
        <v>0.01</v>
      </c>
      <c r="AQ51" s="2">
        <v>0.02</v>
      </c>
      <c r="AR51" s="2">
        <v>0.01</v>
      </c>
      <c r="AU51" s="1" t="s">
        <v>66</v>
      </c>
      <c r="AV51" s="2">
        <v>0.3</v>
      </c>
      <c r="AW51" s="2">
        <v>0.3</v>
      </c>
      <c r="AX51" s="2">
        <v>0.26</v>
      </c>
      <c r="AY51" s="2">
        <v>0.24</v>
      </c>
      <c r="AZ51" s="2">
        <v>0.24</v>
      </c>
      <c r="BA51" s="2">
        <v>0.3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0.3</v>
      </c>
      <c r="BM51" s="2">
        <v>0.23</v>
      </c>
      <c r="BN51" s="2">
        <v>0.3</v>
      </c>
      <c r="BO51" s="2">
        <v>0.24</v>
      </c>
      <c r="BR51" s="1" t="s">
        <v>66</v>
      </c>
      <c r="BS51" s="2">
        <v>0.37</v>
      </c>
      <c r="BT51" s="2">
        <v>0.36</v>
      </c>
      <c r="BU51" s="2">
        <v>0.27</v>
      </c>
      <c r="BV51" s="2">
        <v>0.25</v>
      </c>
      <c r="BW51" s="2">
        <v>0.26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0.32</v>
      </c>
      <c r="CE51" s="2">
        <v>0.36</v>
      </c>
      <c r="CF51" s="2">
        <v>0.31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67</v>
      </c>
      <c r="C52" s="2">
        <v>1518.74</v>
      </c>
      <c r="D52" s="2">
        <v>490.11</v>
      </c>
      <c r="E52" s="2">
        <v>1365.04</v>
      </c>
      <c r="F52" s="2">
        <v>504.73</v>
      </c>
      <c r="G52" s="2">
        <v>294.68</v>
      </c>
      <c r="H52" s="2">
        <v>303.13</v>
      </c>
      <c r="I52" s="2">
        <v>2153.98</v>
      </c>
      <c r="J52" s="2">
        <v>1353.57</v>
      </c>
      <c r="K52" s="2">
        <v>2719.67</v>
      </c>
      <c r="L52" s="2">
        <v>1205.81</v>
      </c>
      <c r="M52" s="2">
        <v>5814.18</v>
      </c>
      <c r="N52" s="2">
        <v>2259.44</v>
      </c>
      <c r="O52" s="2">
        <v>3397.16</v>
      </c>
      <c r="P52" s="2">
        <v>2284.2199999999998</v>
      </c>
      <c r="Q52" s="2">
        <v>4017.63</v>
      </c>
      <c r="R52" s="2">
        <v>2704.32</v>
      </c>
      <c r="S52" s="2">
        <v>3344.19</v>
      </c>
      <c r="T52" s="2">
        <v>1454.75</v>
      </c>
      <c r="U52" s="2">
        <v>4321.6400000000003</v>
      </c>
      <c r="V52" s="2">
        <v>1397.66</v>
      </c>
      <c r="X52" s="1" t="s">
        <v>67</v>
      </c>
      <c r="Y52" s="2">
        <v>0.24</v>
      </c>
      <c r="Z52" s="2">
        <v>0.16</v>
      </c>
      <c r="AA52" s="2">
        <v>0.25</v>
      </c>
      <c r="AB52" s="2">
        <v>0.16</v>
      </c>
      <c r="AC52" s="2">
        <v>0.17</v>
      </c>
      <c r="AD52" s="2">
        <v>0.2</v>
      </c>
      <c r="AE52" s="2">
        <v>0.27</v>
      </c>
      <c r="AF52" s="2">
        <v>0.2</v>
      </c>
      <c r="AG52" s="2">
        <v>0.26</v>
      </c>
      <c r="AH52" s="2">
        <v>0.18</v>
      </c>
      <c r="AI52" s="2">
        <v>0.28000000000000003</v>
      </c>
      <c r="AJ52" s="2">
        <v>0.18</v>
      </c>
      <c r="AK52" s="2">
        <v>0.21</v>
      </c>
      <c r="AL52" s="2">
        <v>0.19</v>
      </c>
      <c r="AM52" s="2">
        <v>0.21</v>
      </c>
      <c r="AN52" s="2">
        <v>0.19</v>
      </c>
      <c r="AO52" s="2">
        <v>0.2</v>
      </c>
      <c r="AP52" s="2">
        <v>0.16</v>
      </c>
      <c r="AQ52" s="2">
        <v>0.23</v>
      </c>
      <c r="AR52" s="2">
        <v>0.15</v>
      </c>
      <c r="AU52" s="1" t="s">
        <v>67</v>
      </c>
      <c r="AV52" s="2">
        <v>0.72</v>
      </c>
      <c r="AW52" s="2">
        <v>0.47</v>
      </c>
      <c r="AX52" s="2">
        <v>0.66</v>
      </c>
      <c r="AY52" s="2">
        <v>0.44</v>
      </c>
      <c r="AZ52" s="2">
        <v>0.57999999999999996</v>
      </c>
      <c r="BA52" s="2">
        <v>0.56000000000000005</v>
      </c>
      <c r="BB52" s="2">
        <v>0.74</v>
      </c>
      <c r="BC52" s="2">
        <v>0.72</v>
      </c>
      <c r="BD52" s="2">
        <v>0.78</v>
      </c>
      <c r="BE52" s="2">
        <v>0.65</v>
      </c>
      <c r="BF52" s="2">
        <v>0.83</v>
      </c>
      <c r="BG52" s="2">
        <v>0.66</v>
      </c>
      <c r="BH52" s="2">
        <v>0.79</v>
      </c>
      <c r="BI52" s="2">
        <v>0.71</v>
      </c>
      <c r="BJ52" s="2">
        <v>0.77</v>
      </c>
      <c r="BK52" s="2">
        <v>0.67</v>
      </c>
      <c r="BL52" s="2">
        <v>0.75</v>
      </c>
      <c r="BM52" s="2">
        <v>0.56999999999999995</v>
      </c>
      <c r="BN52" s="2">
        <v>0.71</v>
      </c>
      <c r="BO52" s="2">
        <v>0.47</v>
      </c>
      <c r="BR52" s="1" t="s">
        <v>67</v>
      </c>
      <c r="BS52" s="2">
        <v>0.8</v>
      </c>
      <c r="BT52" s="2">
        <v>0.52</v>
      </c>
      <c r="BU52" s="2">
        <v>0.75</v>
      </c>
      <c r="BV52" s="2">
        <v>0.5</v>
      </c>
      <c r="BW52" s="2">
        <v>0.66</v>
      </c>
      <c r="BX52" s="2">
        <v>0.63</v>
      </c>
      <c r="BY52" s="2">
        <v>0.84</v>
      </c>
      <c r="BZ52" s="2">
        <v>0.82</v>
      </c>
      <c r="CA52" s="2">
        <v>0.88</v>
      </c>
      <c r="CB52" s="2">
        <v>0.74</v>
      </c>
      <c r="CC52" s="2">
        <v>0.94</v>
      </c>
      <c r="CD52" s="2">
        <v>0.75</v>
      </c>
      <c r="CE52" s="2">
        <v>0.89</v>
      </c>
      <c r="CF52" s="2">
        <v>0.8</v>
      </c>
      <c r="CG52" s="2">
        <v>0.86</v>
      </c>
      <c r="CH52" s="2">
        <v>0.75</v>
      </c>
      <c r="CI52" s="2">
        <v>0.84</v>
      </c>
      <c r="CJ52" s="2">
        <v>0.64</v>
      </c>
      <c r="CK52" s="2">
        <v>0.79</v>
      </c>
      <c r="CL52" s="2">
        <v>0.53</v>
      </c>
    </row>
    <row r="53" spans="2:90" x14ac:dyDescent="0.3">
      <c r="B53" s="1" t="s">
        <v>68</v>
      </c>
      <c r="C53" s="2">
        <v>20894.150000000001</v>
      </c>
      <c r="D53" s="2">
        <v>1507.5</v>
      </c>
      <c r="E53" s="2">
        <v>24143.93</v>
      </c>
      <c r="F53" s="2">
        <v>1276.1500000000001</v>
      </c>
      <c r="G53" s="2">
        <v>4240.3999999999996</v>
      </c>
      <c r="H53" s="2">
        <v>3708.26</v>
      </c>
      <c r="I53" s="2">
        <v>15145.58</v>
      </c>
      <c r="J53" s="2">
        <v>6737.14</v>
      </c>
      <c r="K53" s="2">
        <v>19724.27</v>
      </c>
      <c r="L53" s="2">
        <v>6894.32</v>
      </c>
      <c r="M53" s="2">
        <v>36416.68</v>
      </c>
      <c r="N53" s="2">
        <v>12283.34</v>
      </c>
      <c r="O53" s="2">
        <v>26698.94</v>
      </c>
      <c r="P53" s="2">
        <v>10367.780000000001</v>
      </c>
      <c r="Q53" s="2">
        <v>33891.68</v>
      </c>
      <c r="R53" s="2">
        <v>12832.54</v>
      </c>
      <c r="S53" s="2">
        <v>14859.97</v>
      </c>
      <c r="T53" s="2">
        <v>7906.76</v>
      </c>
      <c r="U53" s="2">
        <v>10717.54</v>
      </c>
      <c r="V53" s="2">
        <v>8230.5499999999993</v>
      </c>
      <c r="X53" s="1" t="s">
        <v>68</v>
      </c>
      <c r="Y53" s="2">
        <v>0.52</v>
      </c>
      <c r="Z53" s="2">
        <v>0.13</v>
      </c>
      <c r="AA53" s="2">
        <v>0.49</v>
      </c>
      <c r="AB53" s="2">
        <v>0.12</v>
      </c>
      <c r="AC53" s="2">
        <v>0.56999999999999995</v>
      </c>
      <c r="AD53" s="2">
        <v>0.51</v>
      </c>
      <c r="AE53" s="2">
        <v>0.61</v>
      </c>
      <c r="AF53" s="2">
        <v>0.3</v>
      </c>
      <c r="AG53" s="2">
        <v>0.65</v>
      </c>
      <c r="AH53" s="2">
        <v>0.25</v>
      </c>
      <c r="AI53" s="2">
        <v>0.66</v>
      </c>
      <c r="AJ53" s="2">
        <v>0.25</v>
      </c>
      <c r="AK53" s="2">
        <v>0.63</v>
      </c>
      <c r="AL53" s="2">
        <v>0.25</v>
      </c>
      <c r="AM53" s="2">
        <v>0.61</v>
      </c>
      <c r="AN53" s="2">
        <v>0.23</v>
      </c>
      <c r="AO53" s="2">
        <v>0.28999999999999998</v>
      </c>
      <c r="AP53" s="2">
        <v>0.18</v>
      </c>
      <c r="AQ53" s="2">
        <v>0.18</v>
      </c>
      <c r="AR53" s="2">
        <v>0.16</v>
      </c>
      <c r="AU53" s="1" t="s">
        <v>68</v>
      </c>
      <c r="AV53" s="2">
        <v>1.02</v>
      </c>
      <c r="AW53" s="2">
        <v>0.4</v>
      </c>
      <c r="AX53" s="2">
        <v>1.03</v>
      </c>
      <c r="AY53" s="2">
        <v>0.33</v>
      </c>
      <c r="AZ53" s="2">
        <v>0.92</v>
      </c>
      <c r="BA53" s="2">
        <v>0.87</v>
      </c>
      <c r="BB53" s="2">
        <v>0.93</v>
      </c>
      <c r="BC53" s="2">
        <v>0.75</v>
      </c>
      <c r="BD53" s="2">
        <v>0.97</v>
      </c>
      <c r="BE53" s="2">
        <v>0.73</v>
      </c>
      <c r="BF53" s="2">
        <v>0.97</v>
      </c>
      <c r="BG53" s="2">
        <v>0.73</v>
      </c>
      <c r="BH53" s="2">
        <v>0.96</v>
      </c>
      <c r="BI53" s="2">
        <v>0.74</v>
      </c>
      <c r="BJ53" s="2">
        <v>0.96</v>
      </c>
      <c r="BK53" s="2">
        <v>0.72</v>
      </c>
      <c r="BL53" s="2">
        <v>0.77</v>
      </c>
      <c r="BM53" s="2">
        <v>0.65</v>
      </c>
      <c r="BN53" s="2">
        <v>0.63</v>
      </c>
      <c r="BO53" s="2">
        <v>0.56999999999999995</v>
      </c>
      <c r="BR53" s="1" t="s">
        <v>68</v>
      </c>
      <c r="BS53" s="2">
        <v>1.27</v>
      </c>
      <c r="BT53" s="2">
        <v>0.44</v>
      </c>
      <c r="BU53" s="2">
        <v>1.27</v>
      </c>
      <c r="BV53" s="2">
        <v>0.38</v>
      </c>
      <c r="BW53" s="2">
        <v>1.27</v>
      </c>
      <c r="BX53" s="2">
        <v>1.1100000000000001</v>
      </c>
      <c r="BY53" s="2">
        <v>1.2</v>
      </c>
      <c r="BZ53" s="2">
        <v>0.88</v>
      </c>
      <c r="CA53" s="2">
        <v>1.26</v>
      </c>
      <c r="CB53" s="2">
        <v>0.84</v>
      </c>
      <c r="CC53" s="2">
        <v>1.27</v>
      </c>
      <c r="CD53" s="2">
        <v>0.84</v>
      </c>
      <c r="CE53" s="2">
        <v>1.27</v>
      </c>
      <c r="CF53" s="2">
        <v>0.85</v>
      </c>
      <c r="CG53" s="2">
        <v>1.27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69</v>
      </c>
      <c r="C54" s="2">
        <v>3675.98</v>
      </c>
      <c r="D54" s="2">
        <v>541.74</v>
      </c>
      <c r="E54" s="2">
        <v>4191.37</v>
      </c>
      <c r="F54" s="2">
        <v>424.48</v>
      </c>
      <c r="G54" s="2">
        <v>967.75</v>
      </c>
      <c r="H54" s="2">
        <v>1205.98</v>
      </c>
      <c r="I54" s="2">
        <v>4408.24</v>
      </c>
      <c r="J54" s="2">
        <v>1950.31</v>
      </c>
      <c r="K54" s="2">
        <v>4140.21</v>
      </c>
      <c r="L54" s="2">
        <v>1796.72</v>
      </c>
      <c r="M54" s="2">
        <v>7417.74</v>
      </c>
      <c r="N54" s="2">
        <v>2900.32</v>
      </c>
      <c r="O54" s="2">
        <v>5822.98</v>
      </c>
      <c r="P54" s="2">
        <v>2427.33</v>
      </c>
      <c r="Q54" s="2">
        <v>5788.11</v>
      </c>
      <c r="R54" s="2">
        <v>2697.05</v>
      </c>
      <c r="S54" s="2">
        <v>2447.8200000000002</v>
      </c>
      <c r="T54" s="2">
        <v>1934.83</v>
      </c>
      <c r="U54" s="2">
        <v>2504.11</v>
      </c>
      <c r="V54" s="2">
        <v>2169.39</v>
      </c>
      <c r="X54" s="1" t="s">
        <v>69</v>
      </c>
      <c r="Y54" s="2">
        <v>0.28999999999999998</v>
      </c>
      <c r="Z54" s="2">
        <v>0.17</v>
      </c>
      <c r="AA54" s="2">
        <v>0.28999999999999998</v>
      </c>
      <c r="AB54" s="2">
        <v>0.15</v>
      </c>
      <c r="AC54" s="2">
        <v>0.4</v>
      </c>
      <c r="AD54" s="2">
        <v>0.48</v>
      </c>
      <c r="AE54" s="2">
        <v>0.28000000000000003</v>
      </c>
      <c r="AF54" s="2">
        <v>0.25</v>
      </c>
      <c r="AG54" s="2">
        <v>0.43</v>
      </c>
      <c r="AH54" s="2">
        <v>0.21</v>
      </c>
      <c r="AI54" s="2">
        <v>0.43</v>
      </c>
      <c r="AJ54" s="2">
        <v>0.21</v>
      </c>
      <c r="AK54" s="2">
        <v>0.43</v>
      </c>
      <c r="AL54" s="2">
        <v>0.21</v>
      </c>
      <c r="AM54" s="2">
        <v>0.33</v>
      </c>
      <c r="AN54" s="2">
        <v>0.2</v>
      </c>
      <c r="AO54" s="2">
        <v>0.2</v>
      </c>
      <c r="AP54" s="2">
        <v>0.19</v>
      </c>
      <c r="AQ54" s="2">
        <v>0.19</v>
      </c>
      <c r="AR54" s="2">
        <v>0.18</v>
      </c>
      <c r="AU54" s="1" t="s">
        <v>69</v>
      </c>
      <c r="AV54" s="2">
        <v>0.98</v>
      </c>
      <c r="AW54" s="2">
        <v>0.54</v>
      </c>
      <c r="AX54" s="2">
        <v>0.97</v>
      </c>
      <c r="AY54" s="2">
        <v>0.42</v>
      </c>
      <c r="AZ54" s="2">
        <v>0.88</v>
      </c>
      <c r="BA54" s="2">
        <v>0.89</v>
      </c>
      <c r="BB54" s="2">
        <v>0.98</v>
      </c>
      <c r="BC54" s="2">
        <v>0.8</v>
      </c>
      <c r="BD54" s="2">
        <v>0.92</v>
      </c>
      <c r="BE54" s="2">
        <v>0.77</v>
      </c>
      <c r="BF54" s="2">
        <v>0.92</v>
      </c>
      <c r="BG54" s="2">
        <v>0.75</v>
      </c>
      <c r="BH54" s="2">
        <v>0.92</v>
      </c>
      <c r="BI54" s="2">
        <v>0.76</v>
      </c>
      <c r="BJ54" s="2">
        <v>0.87</v>
      </c>
      <c r="BK54" s="2">
        <v>0.72</v>
      </c>
      <c r="BL54" s="2">
        <v>0.72</v>
      </c>
      <c r="BM54" s="2">
        <v>0.67</v>
      </c>
      <c r="BN54" s="2">
        <v>0.66</v>
      </c>
      <c r="BO54" s="2">
        <v>0.63</v>
      </c>
      <c r="BR54" s="1" t="s">
        <v>69</v>
      </c>
      <c r="BS54" s="2">
        <v>1.1100000000000001</v>
      </c>
      <c r="BT54" s="2">
        <v>0.62</v>
      </c>
      <c r="BU54" s="2">
        <v>1.1100000000000001</v>
      </c>
      <c r="BV54" s="2">
        <v>0.47</v>
      </c>
      <c r="BW54" s="2">
        <v>1.1100000000000001</v>
      </c>
      <c r="BX54" s="2">
        <v>1.1100000000000001</v>
      </c>
      <c r="BY54" s="2">
        <v>1.1100000000000001</v>
      </c>
      <c r="BZ54" s="2">
        <v>0.92</v>
      </c>
      <c r="CA54" s="2">
        <v>1.1100000000000001</v>
      </c>
      <c r="CB54" s="2">
        <v>0.87</v>
      </c>
      <c r="CC54" s="2">
        <v>1.1100000000000001</v>
      </c>
      <c r="CD54" s="2">
        <v>0.84</v>
      </c>
      <c r="CE54" s="2">
        <v>1.1100000000000001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70</v>
      </c>
      <c r="C55" s="2">
        <v>10273.459999999999</v>
      </c>
      <c r="D55" s="2">
        <v>11077.06</v>
      </c>
      <c r="E55" s="2">
        <v>17522.87</v>
      </c>
      <c r="F55" s="2">
        <v>7639.54</v>
      </c>
      <c r="G55" s="2">
        <v>4004.59</v>
      </c>
      <c r="H55" s="2">
        <v>4464.6400000000003</v>
      </c>
      <c r="I55" s="2">
        <v>7197.29</v>
      </c>
      <c r="J55" s="2">
        <v>14029.96</v>
      </c>
      <c r="K55" s="2">
        <v>16341.78</v>
      </c>
      <c r="L55" s="2">
        <v>17550.47</v>
      </c>
      <c r="M55" s="2">
        <v>25771.759999999998</v>
      </c>
      <c r="N55" s="2">
        <v>24462.16</v>
      </c>
      <c r="O55" s="2">
        <v>16941.419999999998</v>
      </c>
      <c r="P55" s="2">
        <v>17610.03</v>
      </c>
      <c r="Q55" s="2">
        <v>16463.05</v>
      </c>
      <c r="R55" s="2">
        <v>17389.740000000002</v>
      </c>
      <c r="S55" s="2">
        <v>12139.64</v>
      </c>
      <c r="T55" s="2">
        <v>11785.13</v>
      </c>
      <c r="U55" s="2">
        <v>15503.68</v>
      </c>
      <c r="V55" s="2">
        <v>13196.4</v>
      </c>
      <c r="X55" s="1" t="s">
        <v>70</v>
      </c>
      <c r="Y55" s="2">
        <v>0.31</v>
      </c>
      <c r="Z55" s="2">
        <v>0.33</v>
      </c>
      <c r="AA55" s="2">
        <v>0.24</v>
      </c>
      <c r="AB55" s="2">
        <v>0.26</v>
      </c>
      <c r="AC55" s="2">
        <v>0.31</v>
      </c>
      <c r="AD55" s="2">
        <v>0.34</v>
      </c>
      <c r="AE55" s="2">
        <v>0.23</v>
      </c>
      <c r="AF55" s="2">
        <v>0.35</v>
      </c>
      <c r="AG55" s="2">
        <v>0.32</v>
      </c>
      <c r="AH55" s="2">
        <v>0.34</v>
      </c>
      <c r="AI55" s="2">
        <v>0.28000000000000003</v>
      </c>
      <c r="AJ55" s="2">
        <v>0.26</v>
      </c>
      <c r="AK55" s="2">
        <v>0.23</v>
      </c>
      <c r="AL55" s="2">
        <v>0.23</v>
      </c>
      <c r="AM55" s="2">
        <v>0.21</v>
      </c>
      <c r="AN55" s="2">
        <v>0.21</v>
      </c>
      <c r="AO55" s="2">
        <v>0.2</v>
      </c>
      <c r="AP55" s="2">
        <v>0.19</v>
      </c>
      <c r="AQ55" s="2">
        <v>0.2</v>
      </c>
      <c r="AR55" s="2">
        <v>0.19</v>
      </c>
      <c r="AU55" s="1" t="s">
        <v>70</v>
      </c>
      <c r="AV55" s="2">
        <v>0.86</v>
      </c>
      <c r="AW55" s="2">
        <v>0.85</v>
      </c>
      <c r="AX55" s="2">
        <v>0.95</v>
      </c>
      <c r="AY55" s="2">
        <v>0.7</v>
      </c>
      <c r="AZ55" s="2">
        <v>0.86</v>
      </c>
      <c r="BA55" s="2">
        <v>0.86</v>
      </c>
      <c r="BB55" s="2">
        <v>0.69</v>
      </c>
      <c r="BC55" s="2">
        <v>0.87</v>
      </c>
      <c r="BD55" s="2">
        <v>0.87</v>
      </c>
      <c r="BE55" s="2">
        <v>0.88</v>
      </c>
      <c r="BF55" s="2">
        <v>0.84</v>
      </c>
      <c r="BG55" s="2">
        <v>0.83</v>
      </c>
      <c r="BH55" s="2">
        <v>0.81</v>
      </c>
      <c r="BI55" s="2">
        <v>0.81</v>
      </c>
      <c r="BJ55" s="2">
        <v>0.75</v>
      </c>
      <c r="BK55" s="2">
        <v>0.76</v>
      </c>
      <c r="BL55" s="2">
        <v>0.71</v>
      </c>
      <c r="BM55" s="2">
        <v>0.68</v>
      </c>
      <c r="BN55" s="2">
        <v>0.69</v>
      </c>
      <c r="BO55" s="2">
        <v>0.62</v>
      </c>
      <c r="BR55" s="1" t="s">
        <v>70</v>
      </c>
      <c r="BS55" s="2">
        <v>1.07</v>
      </c>
      <c r="BT55" s="2">
        <v>1.01</v>
      </c>
      <c r="BU55" s="2">
        <v>1.07</v>
      </c>
      <c r="BV55" s="2">
        <v>0.79</v>
      </c>
      <c r="BW55" s="2">
        <v>1.07</v>
      </c>
      <c r="BX55" s="2">
        <v>1.07</v>
      </c>
      <c r="BY55" s="2">
        <v>0.78</v>
      </c>
      <c r="BZ55" s="2">
        <v>1.05</v>
      </c>
      <c r="CA55" s="2">
        <v>1.01</v>
      </c>
      <c r="CB55" s="2">
        <v>1.04</v>
      </c>
      <c r="CC55" s="2">
        <v>0.97</v>
      </c>
      <c r="CD55" s="2">
        <v>0.94</v>
      </c>
      <c r="CE55" s="2">
        <v>0.92</v>
      </c>
      <c r="CF55" s="2">
        <v>0.9</v>
      </c>
      <c r="CG55" s="2">
        <v>0.84</v>
      </c>
      <c r="CH55" s="2">
        <v>0.85</v>
      </c>
      <c r="CI55" s="2">
        <v>0.8</v>
      </c>
      <c r="CJ55" s="2">
        <v>0.76</v>
      </c>
      <c r="CK55" s="2">
        <v>0.78</v>
      </c>
      <c r="CL55" s="2">
        <v>0.68</v>
      </c>
    </row>
    <row r="56" spans="2:90" x14ac:dyDescent="0.3">
      <c r="B56" s="1" t="s">
        <v>71</v>
      </c>
      <c r="C56" s="2">
        <v>2816.12</v>
      </c>
      <c r="D56" s="2">
        <v>2959.68</v>
      </c>
      <c r="E56" s="2">
        <v>4945.34</v>
      </c>
      <c r="F56" s="2">
        <v>5047.4799999999996</v>
      </c>
      <c r="G56" s="2">
        <v>973.31</v>
      </c>
      <c r="H56" s="2">
        <v>1128.0999999999999</v>
      </c>
      <c r="I56" s="2">
        <v>1711.39</v>
      </c>
      <c r="J56" s="2">
        <v>2947.69</v>
      </c>
      <c r="K56" s="2">
        <v>1959.32</v>
      </c>
      <c r="L56" s="2">
        <v>5817.43</v>
      </c>
      <c r="M56" s="2">
        <v>4369.5200000000004</v>
      </c>
      <c r="N56" s="2">
        <v>10855.08</v>
      </c>
      <c r="O56" s="2">
        <v>3436.04</v>
      </c>
      <c r="P56" s="2">
        <v>7179.65</v>
      </c>
      <c r="Q56" s="2">
        <v>4342.59</v>
      </c>
      <c r="R56" s="2">
        <v>8967.2099999999991</v>
      </c>
      <c r="S56" s="2">
        <v>3331.89</v>
      </c>
      <c r="T56" s="2">
        <v>6376.33</v>
      </c>
      <c r="U56" s="2">
        <v>3484.71</v>
      </c>
      <c r="V56" s="2">
        <v>3108.31</v>
      </c>
      <c r="X56" s="1" t="s">
        <v>71</v>
      </c>
      <c r="Y56" s="2">
        <v>0.41</v>
      </c>
      <c r="Z56" s="2">
        <v>0.41</v>
      </c>
      <c r="AA56" s="2">
        <v>0.32</v>
      </c>
      <c r="AB56" s="2">
        <v>0.33</v>
      </c>
      <c r="AC56" s="2">
        <v>0.36</v>
      </c>
      <c r="AD56" s="2">
        <v>0.4</v>
      </c>
      <c r="AE56" s="2">
        <v>0.24</v>
      </c>
      <c r="AF56" s="2">
        <v>0.33</v>
      </c>
      <c r="AG56" s="2">
        <v>0.22</v>
      </c>
      <c r="AH56" s="2">
        <v>0.28000000000000003</v>
      </c>
      <c r="AI56" s="2">
        <v>0.24</v>
      </c>
      <c r="AJ56" s="2">
        <v>0.28999999999999998</v>
      </c>
      <c r="AK56" s="2">
        <v>0.23</v>
      </c>
      <c r="AL56" s="2">
        <v>0.28000000000000003</v>
      </c>
      <c r="AM56" s="2">
        <v>0.23</v>
      </c>
      <c r="AN56" s="2">
        <v>0.28000000000000003</v>
      </c>
      <c r="AO56" s="2">
        <v>0.22</v>
      </c>
      <c r="AP56" s="2">
        <v>0.33</v>
      </c>
      <c r="AQ56" s="2">
        <v>0.21</v>
      </c>
      <c r="AR56" s="2">
        <v>0.2</v>
      </c>
      <c r="AU56" s="1" t="s">
        <v>71</v>
      </c>
      <c r="AV56" s="2">
        <v>0.88</v>
      </c>
      <c r="AW56" s="2">
        <v>0.88</v>
      </c>
      <c r="AX56" s="2">
        <v>0.96</v>
      </c>
      <c r="AY56" s="2">
        <v>0.96</v>
      </c>
      <c r="AZ56" s="2">
        <v>0.86</v>
      </c>
      <c r="BA56" s="2">
        <v>0.87</v>
      </c>
      <c r="BB56" s="2">
        <v>0.72</v>
      </c>
      <c r="BC56" s="2">
        <v>0.87</v>
      </c>
      <c r="BD56" s="2">
        <v>0.73</v>
      </c>
      <c r="BE56" s="2">
        <v>0.98</v>
      </c>
      <c r="BF56" s="2">
        <v>0.79</v>
      </c>
      <c r="BG56" s="2">
        <v>0.98</v>
      </c>
      <c r="BH56" s="2">
        <v>0.78</v>
      </c>
      <c r="BI56" s="2">
        <v>0.93</v>
      </c>
      <c r="BJ56" s="2">
        <v>0.78</v>
      </c>
      <c r="BK56" s="2">
        <v>0.93</v>
      </c>
      <c r="BL56" s="2">
        <v>0.75</v>
      </c>
      <c r="BM56" s="2">
        <v>0.85</v>
      </c>
      <c r="BN56" s="2">
        <v>0.69</v>
      </c>
      <c r="BO56" s="2">
        <v>0.64</v>
      </c>
      <c r="BR56" s="1" t="s">
        <v>71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0.83</v>
      </c>
      <c r="BZ56" s="2">
        <v>1.1100000000000001</v>
      </c>
      <c r="CA56" s="2">
        <v>0.83</v>
      </c>
      <c r="CB56" s="2">
        <v>1.1100000000000001</v>
      </c>
      <c r="CC56" s="2">
        <v>0.89</v>
      </c>
      <c r="CD56" s="2">
        <v>1.1100000000000001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72</v>
      </c>
      <c r="C57" s="2">
        <v>21867.88</v>
      </c>
      <c r="D57" s="2">
        <v>22553.759999999998</v>
      </c>
      <c r="E57" s="2">
        <v>17051.68</v>
      </c>
      <c r="F57" s="2">
        <v>25874.53</v>
      </c>
      <c r="G57" s="2">
        <v>3540.5</v>
      </c>
      <c r="H57" s="2">
        <v>8570</v>
      </c>
      <c r="I57" s="2">
        <v>10845.54</v>
      </c>
      <c r="J57" s="2">
        <v>14623.38</v>
      </c>
      <c r="K57" s="2">
        <v>10244.48</v>
      </c>
      <c r="L57" s="2">
        <v>22769.18</v>
      </c>
      <c r="M57" s="2">
        <v>20197.330000000002</v>
      </c>
      <c r="N57" s="2">
        <v>41372.03</v>
      </c>
      <c r="O57" s="2">
        <v>16408.47</v>
      </c>
      <c r="P57" s="2">
        <v>29921.57</v>
      </c>
      <c r="Q57" s="2">
        <v>23500.240000000002</v>
      </c>
      <c r="R57" s="2">
        <v>34577.279999999999</v>
      </c>
      <c r="S57" s="2">
        <v>15249.82</v>
      </c>
      <c r="T57" s="2">
        <v>16711.25</v>
      </c>
      <c r="U57" s="2">
        <v>17272.849999999999</v>
      </c>
      <c r="V57" s="2">
        <v>16895</v>
      </c>
      <c r="X57" s="1" t="s">
        <v>72</v>
      </c>
      <c r="Y57" s="2">
        <v>0.5</v>
      </c>
      <c r="Z57" s="2">
        <v>0.53</v>
      </c>
      <c r="AA57" s="2">
        <v>0.37</v>
      </c>
      <c r="AB57" s="2">
        <v>0.53</v>
      </c>
      <c r="AC57" s="2">
        <v>0.42</v>
      </c>
      <c r="AD57" s="2">
        <v>0.51</v>
      </c>
      <c r="AE57" s="2">
        <v>0.4</v>
      </c>
      <c r="AF57" s="2">
        <v>0.55000000000000004</v>
      </c>
      <c r="AG57" s="2">
        <v>0.31</v>
      </c>
      <c r="AH57" s="2">
        <v>0.68</v>
      </c>
      <c r="AI57" s="2">
        <v>0.34</v>
      </c>
      <c r="AJ57" s="2">
        <v>0.68</v>
      </c>
      <c r="AK57" s="2">
        <v>0.34</v>
      </c>
      <c r="AL57" s="2">
        <v>0.61</v>
      </c>
      <c r="AM57" s="2">
        <v>0.37</v>
      </c>
      <c r="AN57" s="2">
        <v>0.27</v>
      </c>
      <c r="AO57" s="2">
        <v>0.27</v>
      </c>
      <c r="AP57" s="2">
        <v>0.28999999999999998</v>
      </c>
      <c r="AQ57" s="2">
        <v>0.23</v>
      </c>
      <c r="AR57" s="2">
        <v>0.23</v>
      </c>
      <c r="AU57" s="1" t="s">
        <v>72</v>
      </c>
      <c r="AV57" s="2">
        <v>1.01</v>
      </c>
      <c r="AW57" s="2">
        <v>1.01</v>
      </c>
      <c r="AX57" s="2">
        <v>0.94</v>
      </c>
      <c r="AY57" s="2">
        <v>1</v>
      </c>
      <c r="AZ57" s="2">
        <v>0.83</v>
      </c>
      <c r="BA57" s="2">
        <v>1</v>
      </c>
      <c r="BB57" s="2">
        <v>0.81</v>
      </c>
      <c r="BC57" s="2">
        <v>0.91</v>
      </c>
      <c r="BD57" s="2">
        <v>0.76</v>
      </c>
      <c r="BE57" s="2">
        <v>0.96</v>
      </c>
      <c r="BF57" s="2">
        <v>0.79</v>
      </c>
      <c r="BG57" s="2">
        <v>0.96</v>
      </c>
      <c r="BH57" s="2">
        <v>0.79</v>
      </c>
      <c r="BI57" s="2">
        <v>0.93</v>
      </c>
      <c r="BJ57" s="2">
        <v>0.81</v>
      </c>
      <c r="BK57" s="2">
        <v>0.93</v>
      </c>
      <c r="BL57" s="2">
        <v>0.74</v>
      </c>
      <c r="BM57" s="2">
        <v>0.75</v>
      </c>
      <c r="BN57" s="2">
        <v>0.71</v>
      </c>
      <c r="BO57" s="2">
        <v>0.7</v>
      </c>
      <c r="BR57" s="1" t="s">
        <v>72</v>
      </c>
      <c r="BS57" s="2">
        <v>1.27</v>
      </c>
      <c r="BT57" s="2">
        <v>1.27</v>
      </c>
      <c r="BU57" s="2">
        <v>1.1100000000000001</v>
      </c>
      <c r="BV57" s="2">
        <v>1.24</v>
      </c>
      <c r="BW57" s="2">
        <v>1.1100000000000001</v>
      </c>
      <c r="BX57" s="2">
        <v>1.27</v>
      </c>
      <c r="BY57" s="2">
        <v>1</v>
      </c>
      <c r="BZ57" s="2">
        <v>1.27</v>
      </c>
      <c r="CA57" s="2">
        <v>0.9</v>
      </c>
      <c r="CB57" s="2">
        <v>1.27</v>
      </c>
      <c r="CC57" s="2">
        <v>0.94</v>
      </c>
      <c r="CD57" s="2">
        <v>1.27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73</v>
      </c>
      <c r="C58" s="2">
        <v>2319.27</v>
      </c>
      <c r="D58" s="2">
        <v>4088.4</v>
      </c>
      <c r="E58" s="2">
        <v>1086.81</v>
      </c>
      <c r="F58" s="2">
        <v>1216.28</v>
      </c>
      <c r="G58" s="2">
        <v>167.2</v>
      </c>
      <c r="H58" s="2">
        <v>537.75</v>
      </c>
      <c r="I58" s="2">
        <v>854.58</v>
      </c>
      <c r="J58" s="2">
        <v>6367.18</v>
      </c>
      <c r="K58" s="2">
        <v>3002.61</v>
      </c>
      <c r="L58" s="2">
        <v>7494.52</v>
      </c>
      <c r="M58" s="2">
        <v>7788.26</v>
      </c>
      <c r="N58" s="2">
        <v>13807.71</v>
      </c>
      <c r="O58" s="2">
        <v>6910.14</v>
      </c>
      <c r="P58" s="2">
        <v>9122.9599999999991</v>
      </c>
      <c r="Q58" s="2">
        <v>7629.12</v>
      </c>
      <c r="R58" s="2">
        <v>7573.14</v>
      </c>
      <c r="S58" s="2">
        <v>5758.7</v>
      </c>
      <c r="T58" s="2">
        <v>4805.6400000000003</v>
      </c>
      <c r="U58" s="2">
        <v>6624.02</v>
      </c>
      <c r="V58" s="2">
        <v>5325.54</v>
      </c>
      <c r="X58" s="1" t="s">
        <v>73</v>
      </c>
      <c r="Y58" s="2">
        <v>0.18</v>
      </c>
      <c r="Z58" s="2">
        <v>0.21</v>
      </c>
      <c r="AA58" s="2">
        <v>0.15</v>
      </c>
      <c r="AB58" s="2">
        <v>0.16</v>
      </c>
      <c r="AC58" s="2">
        <v>0.04</v>
      </c>
      <c r="AD58" s="2">
        <v>0.17</v>
      </c>
      <c r="AE58" s="2">
        <v>0.11</v>
      </c>
      <c r="AF58" s="2">
        <v>0.23</v>
      </c>
      <c r="AG58" s="2">
        <v>0.16</v>
      </c>
      <c r="AH58" s="2">
        <v>0.21</v>
      </c>
      <c r="AI58" s="2">
        <v>0.16</v>
      </c>
      <c r="AJ58" s="2">
        <v>0.22</v>
      </c>
      <c r="AK58" s="2">
        <v>0.16</v>
      </c>
      <c r="AL58" s="2">
        <v>0.19</v>
      </c>
      <c r="AM58" s="2">
        <v>0.16</v>
      </c>
      <c r="AN58" s="2">
        <v>0.17</v>
      </c>
      <c r="AO58" s="2">
        <v>0.15</v>
      </c>
      <c r="AP58" s="2">
        <v>0.15</v>
      </c>
      <c r="AQ58" s="2">
        <v>0.16</v>
      </c>
      <c r="AR58" s="2">
        <v>0.15</v>
      </c>
      <c r="AU58" s="1" t="s">
        <v>73</v>
      </c>
      <c r="AV58" s="2">
        <v>0.6</v>
      </c>
      <c r="AW58" s="2">
        <v>0.73</v>
      </c>
      <c r="AX58" s="2">
        <v>0.34</v>
      </c>
      <c r="AY58" s="2">
        <v>0.36</v>
      </c>
      <c r="AZ58" s="2">
        <v>0.3</v>
      </c>
      <c r="BA58" s="2">
        <v>0.4</v>
      </c>
      <c r="BB58" s="2">
        <v>0.3</v>
      </c>
      <c r="BC58" s="2">
        <v>0.82</v>
      </c>
      <c r="BD58" s="2">
        <v>0.62</v>
      </c>
      <c r="BE58" s="2">
        <v>0.83</v>
      </c>
      <c r="BF58" s="2">
        <v>0.75</v>
      </c>
      <c r="BG58" s="2">
        <v>0.83</v>
      </c>
      <c r="BH58" s="2">
        <v>0.78</v>
      </c>
      <c r="BI58" s="2">
        <v>0.8</v>
      </c>
      <c r="BJ58" s="2">
        <v>0.73</v>
      </c>
      <c r="BK58" s="2">
        <v>0.71</v>
      </c>
      <c r="BL58" s="2">
        <v>0.69</v>
      </c>
      <c r="BM58" s="2">
        <v>0.62</v>
      </c>
      <c r="BN58" s="2">
        <v>0.64</v>
      </c>
      <c r="BO58" s="2">
        <v>0.56000000000000005</v>
      </c>
      <c r="BR58" s="1" t="s">
        <v>73</v>
      </c>
      <c r="BS58" s="2">
        <v>0.7</v>
      </c>
      <c r="BT58" s="2">
        <v>0.84</v>
      </c>
      <c r="BU58" s="2">
        <v>0.39</v>
      </c>
      <c r="BV58" s="2">
        <v>0.42</v>
      </c>
      <c r="BW58" s="2">
        <v>0.32</v>
      </c>
      <c r="BX58" s="2">
        <v>0.46</v>
      </c>
      <c r="BY58" s="2">
        <v>0.34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59" spans="2:90" x14ac:dyDescent="0.3">
      <c r="W59" s="4">
        <f>SUM(C51:V58)/$W$45</f>
        <v>0.73432007834413893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63</v>
      </c>
      <c r="D62" s="1" t="s">
        <v>64</v>
      </c>
      <c r="E62" s="1" t="s">
        <v>63</v>
      </c>
      <c r="F62" s="1" t="s">
        <v>64</v>
      </c>
      <c r="G62" s="1" t="s">
        <v>63</v>
      </c>
      <c r="H62" s="1" t="s">
        <v>64</v>
      </c>
      <c r="I62" s="1" t="s">
        <v>63</v>
      </c>
      <c r="J62" s="1" t="s">
        <v>64</v>
      </c>
      <c r="K62" s="1" t="s">
        <v>63</v>
      </c>
      <c r="L62" s="1" t="s">
        <v>64</v>
      </c>
      <c r="M62" s="1" t="s">
        <v>63</v>
      </c>
      <c r="N62" s="1" t="s">
        <v>64</v>
      </c>
      <c r="O62" s="1" t="s">
        <v>63</v>
      </c>
      <c r="P62" s="1" t="s">
        <v>64</v>
      </c>
      <c r="Q62" s="1" t="s">
        <v>63</v>
      </c>
      <c r="R62" s="1" t="s">
        <v>64</v>
      </c>
      <c r="S62" s="1" t="s">
        <v>63</v>
      </c>
      <c r="T62" s="1" t="s">
        <v>64</v>
      </c>
      <c r="U62" s="1" t="s">
        <v>63</v>
      </c>
      <c r="V62" s="1" t="s">
        <v>64</v>
      </c>
      <c r="X62" s="1" t="s">
        <v>6</v>
      </c>
      <c r="Y62" s="1" t="s">
        <v>63</v>
      </c>
      <c r="Z62" s="1" t="s">
        <v>64</v>
      </c>
      <c r="AA62" s="1" t="s">
        <v>63</v>
      </c>
      <c r="AB62" s="1" t="s">
        <v>64</v>
      </c>
      <c r="AC62" s="1" t="s">
        <v>63</v>
      </c>
      <c r="AD62" s="1" t="s">
        <v>64</v>
      </c>
      <c r="AE62" s="1" t="s">
        <v>63</v>
      </c>
      <c r="AF62" s="1" t="s">
        <v>64</v>
      </c>
      <c r="AG62" s="1" t="s">
        <v>63</v>
      </c>
      <c r="AH62" s="1" t="s">
        <v>64</v>
      </c>
      <c r="AI62" s="1" t="s">
        <v>63</v>
      </c>
      <c r="AJ62" s="1" t="s">
        <v>64</v>
      </c>
      <c r="AK62" s="1" t="s">
        <v>63</v>
      </c>
      <c r="AL62" s="1" t="s">
        <v>64</v>
      </c>
      <c r="AM62" s="1" t="s">
        <v>63</v>
      </c>
      <c r="AN62" s="1" t="s">
        <v>64</v>
      </c>
      <c r="AO62" s="1" t="s">
        <v>63</v>
      </c>
      <c r="AP62" s="1" t="s">
        <v>64</v>
      </c>
      <c r="AQ62" s="1" t="s">
        <v>63</v>
      </c>
      <c r="AR62" s="1" t="s">
        <v>64</v>
      </c>
      <c r="AU62" s="1" t="s">
        <v>6</v>
      </c>
      <c r="AV62" s="1" t="s">
        <v>63</v>
      </c>
      <c r="AW62" s="1" t="s">
        <v>64</v>
      </c>
      <c r="AX62" s="1" t="s">
        <v>63</v>
      </c>
      <c r="AY62" s="1" t="s">
        <v>64</v>
      </c>
      <c r="AZ62" s="1" t="s">
        <v>63</v>
      </c>
      <c r="BA62" s="1" t="s">
        <v>64</v>
      </c>
      <c r="BB62" s="1" t="s">
        <v>63</v>
      </c>
      <c r="BC62" s="1" t="s">
        <v>64</v>
      </c>
      <c r="BD62" s="1" t="s">
        <v>63</v>
      </c>
      <c r="BE62" s="1" t="s">
        <v>64</v>
      </c>
      <c r="BF62" s="1" t="s">
        <v>63</v>
      </c>
      <c r="BG62" s="1" t="s">
        <v>64</v>
      </c>
      <c r="BH62" s="1" t="s">
        <v>63</v>
      </c>
      <c r="BI62" s="1" t="s">
        <v>64</v>
      </c>
      <c r="BJ62" s="1" t="s">
        <v>63</v>
      </c>
      <c r="BK62" s="1" t="s">
        <v>64</v>
      </c>
      <c r="BL62" s="1" t="s">
        <v>63</v>
      </c>
      <c r="BM62" s="1" t="s">
        <v>64</v>
      </c>
      <c r="BN62" s="1" t="s">
        <v>63</v>
      </c>
      <c r="BO62" s="1" t="s">
        <v>64</v>
      </c>
      <c r="BR62" s="1" t="s">
        <v>6</v>
      </c>
      <c r="BS62" s="1" t="s">
        <v>63</v>
      </c>
      <c r="BT62" s="1" t="s">
        <v>64</v>
      </c>
      <c r="BU62" s="1" t="s">
        <v>63</v>
      </c>
      <c r="BV62" s="1" t="s">
        <v>64</v>
      </c>
      <c r="BW62" s="1" t="s">
        <v>63</v>
      </c>
      <c r="BX62" s="1" t="s">
        <v>64</v>
      </c>
      <c r="BY62" s="1" t="s">
        <v>63</v>
      </c>
      <c r="BZ62" s="1" t="s">
        <v>64</v>
      </c>
      <c r="CA62" s="1" t="s">
        <v>63</v>
      </c>
      <c r="CB62" s="1" t="s">
        <v>64</v>
      </c>
      <c r="CC62" s="1" t="s">
        <v>63</v>
      </c>
      <c r="CD62" s="1" t="s">
        <v>64</v>
      </c>
      <c r="CE62" s="1" t="s">
        <v>63</v>
      </c>
      <c r="CF62" s="1" t="s">
        <v>64</v>
      </c>
      <c r="CG62" s="1" t="s">
        <v>63</v>
      </c>
      <c r="CH62" s="1" t="s">
        <v>64</v>
      </c>
      <c r="CI62" s="1" t="s">
        <v>63</v>
      </c>
      <c r="CJ62" s="1" t="s">
        <v>64</v>
      </c>
      <c r="CK62" s="1" t="s">
        <v>63</v>
      </c>
      <c r="CL62" s="1" t="s">
        <v>64</v>
      </c>
    </row>
    <row r="63" spans="2:90" x14ac:dyDescent="0.3">
      <c r="B63" s="1" t="s">
        <v>65</v>
      </c>
      <c r="C63" s="1" t="s">
        <v>53</v>
      </c>
      <c r="D63" s="1" t="s">
        <v>53</v>
      </c>
      <c r="E63" s="1" t="s">
        <v>54</v>
      </c>
      <c r="F63" s="1" t="s">
        <v>54</v>
      </c>
      <c r="G63" s="1" t="s">
        <v>55</v>
      </c>
      <c r="H63" s="1" t="s">
        <v>55</v>
      </c>
      <c r="I63" s="1" t="s">
        <v>56</v>
      </c>
      <c r="J63" s="1" t="s">
        <v>56</v>
      </c>
      <c r="K63" s="1" t="s">
        <v>57</v>
      </c>
      <c r="L63" s="1" t="s">
        <v>57</v>
      </c>
      <c r="M63" s="1" t="s">
        <v>58</v>
      </c>
      <c r="N63" s="1" t="s">
        <v>58</v>
      </c>
      <c r="O63" s="1" t="s">
        <v>59</v>
      </c>
      <c r="P63" s="1" t="s">
        <v>59</v>
      </c>
      <c r="Q63" s="1" t="s">
        <v>60</v>
      </c>
      <c r="R63" s="1" t="s">
        <v>60</v>
      </c>
      <c r="S63" s="1" t="s">
        <v>61</v>
      </c>
      <c r="T63" s="1" t="s">
        <v>61</v>
      </c>
      <c r="U63" s="1" t="s">
        <v>62</v>
      </c>
      <c r="V63" s="1" t="s">
        <v>62</v>
      </c>
      <c r="X63" s="1" t="s">
        <v>65</v>
      </c>
      <c r="Y63" s="1" t="s">
        <v>53</v>
      </c>
      <c r="Z63" s="1" t="s">
        <v>53</v>
      </c>
      <c r="AA63" s="1" t="s">
        <v>54</v>
      </c>
      <c r="AB63" s="1" t="s">
        <v>54</v>
      </c>
      <c r="AC63" s="1" t="s">
        <v>55</v>
      </c>
      <c r="AD63" s="1" t="s">
        <v>55</v>
      </c>
      <c r="AE63" s="1" t="s">
        <v>56</v>
      </c>
      <c r="AF63" s="1" t="s">
        <v>56</v>
      </c>
      <c r="AG63" s="1" t="s">
        <v>57</v>
      </c>
      <c r="AH63" s="1" t="s">
        <v>57</v>
      </c>
      <c r="AI63" s="1" t="s">
        <v>58</v>
      </c>
      <c r="AJ63" s="1" t="s">
        <v>58</v>
      </c>
      <c r="AK63" s="1" t="s">
        <v>59</v>
      </c>
      <c r="AL63" s="1" t="s">
        <v>59</v>
      </c>
      <c r="AM63" s="1" t="s">
        <v>60</v>
      </c>
      <c r="AN63" s="1" t="s">
        <v>60</v>
      </c>
      <c r="AO63" s="1" t="s">
        <v>61</v>
      </c>
      <c r="AP63" s="1" t="s">
        <v>61</v>
      </c>
      <c r="AQ63" s="1" t="s">
        <v>62</v>
      </c>
      <c r="AR63" s="1" t="s">
        <v>62</v>
      </c>
      <c r="AU63" s="1" t="s">
        <v>65</v>
      </c>
      <c r="AV63" s="1" t="s">
        <v>53</v>
      </c>
      <c r="AW63" s="1" t="s">
        <v>53</v>
      </c>
      <c r="AX63" s="1" t="s">
        <v>54</v>
      </c>
      <c r="AY63" s="1" t="s">
        <v>54</v>
      </c>
      <c r="AZ63" s="1" t="s">
        <v>55</v>
      </c>
      <c r="BA63" s="1" t="s">
        <v>55</v>
      </c>
      <c r="BB63" s="1" t="s">
        <v>56</v>
      </c>
      <c r="BC63" s="1" t="s">
        <v>56</v>
      </c>
      <c r="BD63" s="1" t="s">
        <v>57</v>
      </c>
      <c r="BE63" s="1" t="s">
        <v>57</v>
      </c>
      <c r="BF63" s="1" t="s">
        <v>58</v>
      </c>
      <c r="BG63" s="1" t="s">
        <v>58</v>
      </c>
      <c r="BH63" s="1" t="s">
        <v>59</v>
      </c>
      <c r="BI63" s="1" t="s">
        <v>59</v>
      </c>
      <c r="BJ63" s="1" t="s">
        <v>60</v>
      </c>
      <c r="BK63" s="1" t="s">
        <v>60</v>
      </c>
      <c r="BL63" s="1" t="s">
        <v>61</v>
      </c>
      <c r="BM63" s="1" t="s">
        <v>61</v>
      </c>
      <c r="BN63" s="1" t="s">
        <v>62</v>
      </c>
      <c r="BO63" s="1" t="s">
        <v>62</v>
      </c>
      <c r="BR63" s="1" t="s">
        <v>65</v>
      </c>
      <c r="BS63" s="1" t="s">
        <v>53</v>
      </c>
      <c r="BT63" s="1" t="s">
        <v>53</v>
      </c>
      <c r="BU63" s="1" t="s">
        <v>54</v>
      </c>
      <c r="BV63" s="1" t="s">
        <v>54</v>
      </c>
      <c r="BW63" s="1" t="s">
        <v>55</v>
      </c>
      <c r="BX63" s="1" t="s">
        <v>55</v>
      </c>
      <c r="BY63" s="1" t="s">
        <v>56</v>
      </c>
      <c r="BZ63" s="1" t="s">
        <v>56</v>
      </c>
      <c r="CA63" s="1" t="s">
        <v>57</v>
      </c>
      <c r="CB63" s="1" t="s">
        <v>57</v>
      </c>
      <c r="CC63" s="1" t="s">
        <v>58</v>
      </c>
      <c r="CD63" s="1" t="s">
        <v>58</v>
      </c>
      <c r="CE63" s="1" t="s">
        <v>59</v>
      </c>
      <c r="CF63" s="1" t="s">
        <v>59</v>
      </c>
      <c r="CG63" s="1" t="s">
        <v>60</v>
      </c>
      <c r="CH63" s="1" t="s">
        <v>60</v>
      </c>
      <c r="CI63" s="1" t="s">
        <v>61</v>
      </c>
      <c r="CJ63" s="1" t="s">
        <v>61</v>
      </c>
      <c r="CK63" s="1" t="s">
        <v>62</v>
      </c>
      <c r="CL63" s="1" t="s">
        <v>62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66</v>
      </c>
      <c r="C65" s="2">
        <v>34.33</v>
      </c>
      <c r="D65" s="2">
        <v>39.83</v>
      </c>
      <c r="E65" s="2">
        <v>10.3</v>
      </c>
      <c r="F65" s="2">
        <v>10.24</v>
      </c>
      <c r="G65" s="2">
        <v>4.21</v>
      </c>
      <c r="H65" s="2">
        <v>7.27</v>
      </c>
      <c r="I65" s="2">
        <v>25.4</v>
      </c>
      <c r="J65" s="2">
        <v>26.22</v>
      </c>
      <c r="K65" s="2">
        <v>44.89</v>
      </c>
      <c r="L65" s="2">
        <v>17.420000000000002</v>
      </c>
      <c r="M65" s="2">
        <v>48.96</v>
      </c>
      <c r="N65" s="2">
        <v>13.92</v>
      </c>
      <c r="O65" s="2">
        <v>53.07</v>
      </c>
      <c r="P65" s="2">
        <v>8.68</v>
      </c>
      <c r="Q65" s="2">
        <v>64.17</v>
      </c>
      <c r="R65" s="2">
        <v>21.56</v>
      </c>
      <c r="S65" s="2">
        <v>6.5</v>
      </c>
      <c r="T65" s="2">
        <v>5.23</v>
      </c>
      <c r="U65" s="2">
        <v>17.48</v>
      </c>
      <c r="V65" s="2">
        <v>7.72</v>
      </c>
      <c r="X65" s="1" t="s">
        <v>66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66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69.989999999999995</v>
      </c>
      <c r="BR65" s="1" t="s">
        <v>66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67</v>
      </c>
      <c r="C66" s="2">
        <v>130.81</v>
      </c>
      <c r="D66" s="2">
        <v>57.59</v>
      </c>
      <c r="E66" s="2">
        <v>58.94</v>
      </c>
      <c r="F66" s="2">
        <v>39.840000000000003</v>
      </c>
      <c r="G66" s="2">
        <v>22.17</v>
      </c>
      <c r="H66" s="2">
        <v>33.53</v>
      </c>
      <c r="I66" s="2">
        <v>135.44999999999999</v>
      </c>
      <c r="J66" s="2">
        <v>197.03</v>
      </c>
      <c r="K66" s="2">
        <v>186.66</v>
      </c>
      <c r="L66" s="2">
        <v>175.19</v>
      </c>
      <c r="M66" s="2">
        <v>413.95</v>
      </c>
      <c r="N66" s="2">
        <v>360.26</v>
      </c>
      <c r="O66" s="2">
        <v>301.91000000000003</v>
      </c>
      <c r="P66" s="2">
        <v>268.31</v>
      </c>
      <c r="Q66" s="2">
        <v>354.22</v>
      </c>
      <c r="R66" s="2">
        <v>263.33</v>
      </c>
      <c r="S66" s="2">
        <v>253.88</v>
      </c>
      <c r="T66" s="2">
        <v>178.4</v>
      </c>
      <c r="U66" s="2">
        <v>384.64</v>
      </c>
      <c r="V66" s="2">
        <v>172.58</v>
      </c>
      <c r="X66" s="1" t="s">
        <v>67</v>
      </c>
      <c r="Y66" s="2">
        <v>59.99</v>
      </c>
      <c r="Z66" s="2">
        <v>60</v>
      </c>
      <c r="AA66" s="2">
        <v>59.99</v>
      </c>
      <c r="AB66" s="2">
        <v>60</v>
      </c>
      <c r="AC66" s="2">
        <v>60</v>
      </c>
      <c r="AD66" s="2">
        <v>60</v>
      </c>
      <c r="AE66" s="2">
        <v>69.97</v>
      </c>
      <c r="AF66" s="2">
        <v>70</v>
      </c>
      <c r="AG66" s="2">
        <v>69.98</v>
      </c>
      <c r="AH66" s="2">
        <v>70</v>
      </c>
      <c r="AI66" s="2">
        <v>69.959999999999994</v>
      </c>
      <c r="AJ66" s="2">
        <v>70</v>
      </c>
      <c r="AK66" s="2">
        <v>69.989999999999995</v>
      </c>
      <c r="AL66" s="2">
        <v>70</v>
      </c>
      <c r="AM66" s="2">
        <v>69.989999999999995</v>
      </c>
      <c r="AN66" s="2">
        <v>70</v>
      </c>
      <c r="AO66" s="2">
        <v>70</v>
      </c>
      <c r="AP66" s="2">
        <v>70</v>
      </c>
      <c r="AQ66" s="2">
        <v>69.989999999999995</v>
      </c>
      <c r="AR66" s="2">
        <v>70</v>
      </c>
      <c r="AU66" s="1" t="s">
        <v>67</v>
      </c>
      <c r="AV66" s="2">
        <v>48.26</v>
      </c>
      <c r="AW66" s="2">
        <v>54.43</v>
      </c>
      <c r="AX66" s="2">
        <v>50.77</v>
      </c>
      <c r="AY66" s="2">
        <v>54.6</v>
      </c>
      <c r="AZ66" s="2">
        <v>53</v>
      </c>
      <c r="BA66" s="2">
        <v>53.4</v>
      </c>
      <c r="BB66" s="2">
        <v>55.62</v>
      </c>
      <c r="BC66" s="2">
        <v>56.94</v>
      </c>
      <c r="BD66" s="2">
        <v>56.91</v>
      </c>
      <c r="BE66" s="2">
        <v>64.94</v>
      </c>
      <c r="BF66" s="2">
        <v>53.03</v>
      </c>
      <c r="BG66" s="2">
        <v>64.430000000000007</v>
      </c>
      <c r="BH66" s="2">
        <v>56.23</v>
      </c>
      <c r="BI66" s="2">
        <v>62.11</v>
      </c>
      <c r="BJ66" s="2">
        <v>57.98</v>
      </c>
      <c r="BK66" s="2">
        <v>64.28</v>
      </c>
      <c r="BL66" s="2">
        <v>59.57</v>
      </c>
      <c r="BM66" s="2">
        <v>67.75</v>
      </c>
      <c r="BN66" s="2">
        <v>61.87</v>
      </c>
      <c r="BO66" s="2">
        <v>69.22</v>
      </c>
      <c r="BR66" s="1" t="s">
        <v>67</v>
      </c>
      <c r="BS66" s="2">
        <v>-0.32</v>
      </c>
      <c r="BT66" s="2">
        <v>-0.13</v>
      </c>
      <c r="BU66" s="2">
        <v>-0.24</v>
      </c>
      <c r="BV66" s="2">
        <v>-0.13</v>
      </c>
      <c r="BW66" s="2">
        <v>-7.0000000000000007E-2</v>
      </c>
      <c r="BX66" s="2">
        <v>-0.06</v>
      </c>
      <c r="BY66" s="2">
        <v>-0.35</v>
      </c>
      <c r="BZ66" s="2">
        <v>-0.31</v>
      </c>
      <c r="CA66" s="2">
        <v>-0.39</v>
      </c>
      <c r="CB66" s="2">
        <v>-0.13</v>
      </c>
      <c r="CC66" s="2">
        <v>-0.99</v>
      </c>
      <c r="CD66" s="2">
        <v>-0.27</v>
      </c>
      <c r="CE66" s="2">
        <v>-0.61</v>
      </c>
      <c r="CF66" s="2">
        <v>-0.32</v>
      </c>
      <c r="CG66" s="2">
        <v>-0.67</v>
      </c>
      <c r="CH66" s="2">
        <v>-0.28999999999999998</v>
      </c>
      <c r="CI66" s="2">
        <v>-0.51</v>
      </c>
      <c r="CJ66" s="2">
        <v>-0.1</v>
      </c>
      <c r="CK66" s="2">
        <v>-0.51</v>
      </c>
      <c r="CL66" s="2">
        <v>-0.04</v>
      </c>
    </row>
    <row r="67" spans="2:90" x14ac:dyDescent="0.3">
      <c r="B67" s="1" t="s">
        <v>68</v>
      </c>
      <c r="C67" s="2">
        <v>2461.5100000000002</v>
      </c>
      <c r="D67" s="2">
        <v>205.17</v>
      </c>
      <c r="E67" s="2">
        <v>2108.59</v>
      </c>
      <c r="F67" s="2">
        <v>128.72</v>
      </c>
      <c r="G67" s="2">
        <v>579.64</v>
      </c>
      <c r="H67" s="2">
        <v>661.28</v>
      </c>
      <c r="I67" s="2">
        <v>1784.62</v>
      </c>
      <c r="J67" s="2">
        <v>1176.9000000000001</v>
      </c>
      <c r="K67" s="2">
        <v>2761.6</v>
      </c>
      <c r="L67" s="2">
        <v>1367.5</v>
      </c>
      <c r="M67" s="2">
        <v>4794.1099999999997</v>
      </c>
      <c r="N67" s="2">
        <v>2593.04</v>
      </c>
      <c r="O67" s="2">
        <v>4081.17</v>
      </c>
      <c r="P67" s="2">
        <v>1887.9</v>
      </c>
      <c r="Q67" s="2">
        <v>5014.2</v>
      </c>
      <c r="R67" s="2">
        <v>2030.65</v>
      </c>
      <c r="S67" s="2">
        <v>2069.1799999999998</v>
      </c>
      <c r="T67" s="2">
        <v>1672.83</v>
      </c>
      <c r="U67" s="2">
        <v>1679.23</v>
      </c>
      <c r="V67" s="2">
        <v>1371.98</v>
      </c>
      <c r="X67" s="1" t="s">
        <v>68</v>
      </c>
      <c r="Y67" s="2">
        <v>58.44</v>
      </c>
      <c r="Z67" s="2">
        <v>60</v>
      </c>
      <c r="AA67" s="2">
        <v>58.94</v>
      </c>
      <c r="AB67" s="2">
        <v>60</v>
      </c>
      <c r="AC67" s="2">
        <v>57.33</v>
      </c>
      <c r="AD67" s="2">
        <v>58.68</v>
      </c>
      <c r="AE67" s="2">
        <v>65.22</v>
      </c>
      <c r="AF67" s="2">
        <v>69.95</v>
      </c>
      <c r="AG67" s="2">
        <v>63.2</v>
      </c>
      <c r="AH67" s="2">
        <v>69.98</v>
      </c>
      <c r="AI67" s="2">
        <v>62.49</v>
      </c>
      <c r="AJ67" s="2">
        <v>69.98</v>
      </c>
      <c r="AK67" s="2">
        <v>64.400000000000006</v>
      </c>
      <c r="AL67" s="2">
        <v>69.98</v>
      </c>
      <c r="AM67" s="2">
        <v>65.41</v>
      </c>
      <c r="AN67" s="2">
        <v>69.989999999999995</v>
      </c>
      <c r="AO67" s="2">
        <v>69.95</v>
      </c>
      <c r="AP67" s="2">
        <v>70</v>
      </c>
      <c r="AQ67" s="2">
        <v>70</v>
      </c>
      <c r="AR67" s="2">
        <v>70</v>
      </c>
      <c r="AU67" s="1" t="s">
        <v>68</v>
      </c>
      <c r="AV67" s="2">
        <v>25.68</v>
      </c>
      <c r="AW67" s="2">
        <v>54.78</v>
      </c>
      <c r="AX67" s="2">
        <v>25.23</v>
      </c>
      <c r="AY67" s="2">
        <v>54.92</v>
      </c>
      <c r="AZ67" s="2">
        <v>34.39</v>
      </c>
      <c r="BA67" s="2">
        <v>38.630000000000003</v>
      </c>
      <c r="BB67" s="2">
        <v>39.65</v>
      </c>
      <c r="BC67" s="2">
        <v>55.31</v>
      </c>
      <c r="BD67" s="2">
        <v>38.6</v>
      </c>
      <c r="BE67" s="2">
        <v>60.78</v>
      </c>
      <c r="BF67" s="2">
        <v>38.020000000000003</v>
      </c>
      <c r="BG67" s="2">
        <v>60.67</v>
      </c>
      <c r="BH67" s="2">
        <v>38.78</v>
      </c>
      <c r="BI67" s="2">
        <v>60.15</v>
      </c>
      <c r="BJ67" s="2">
        <v>39.32</v>
      </c>
      <c r="BK67" s="2">
        <v>61.69</v>
      </c>
      <c r="BL67" s="2">
        <v>58.08</v>
      </c>
      <c r="BM67" s="2">
        <v>65.22</v>
      </c>
      <c r="BN67" s="2">
        <v>65.739999999999995</v>
      </c>
      <c r="BO67" s="2">
        <v>67.64</v>
      </c>
      <c r="BR67" s="1" t="s">
        <v>68</v>
      </c>
      <c r="BS67" s="2">
        <v>-1.7</v>
      </c>
      <c r="BT67" s="2">
        <v>-0.12</v>
      </c>
      <c r="BU67" s="2">
        <v>-1.77</v>
      </c>
      <c r="BV67" s="2">
        <v>-0.12</v>
      </c>
      <c r="BW67" s="2">
        <v>-0.35</v>
      </c>
      <c r="BX67" s="2">
        <v>-0.27</v>
      </c>
      <c r="BY67" s="2">
        <v>-0.95</v>
      </c>
      <c r="BZ67" s="2">
        <v>-0.36</v>
      </c>
      <c r="CA67" s="2">
        <v>-1.21</v>
      </c>
      <c r="CB67" s="2">
        <v>-0.26</v>
      </c>
      <c r="CC67" s="2">
        <v>-2.2200000000000002</v>
      </c>
      <c r="CD67" s="2">
        <v>-0.47</v>
      </c>
      <c r="CE67" s="2">
        <v>-1.78</v>
      </c>
      <c r="CF67" s="2">
        <v>-0.41</v>
      </c>
      <c r="CG67" s="2">
        <v>-2.31</v>
      </c>
      <c r="CH67" s="2">
        <v>-0.44</v>
      </c>
      <c r="CI67" s="2">
        <v>-0.6</v>
      </c>
      <c r="CJ67" s="2">
        <v>-0.21</v>
      </c>
      <c r="CK67" s="2">
        <v>-0.25</v>
      </c>
      <c r="CL67" s="2">
        <v>-0.13</v>
      </c>
    </row>
    <row r="68" spans="2:90" x14ac:dyDescent="0.3">
      <c r="B68" s="1" t="s">
        <v>69</v>
      </c>
      <c r="C68" s="2">
        <v>491.09</v>
      </c>
      <c r="D68" s="2">
        <v>65.67</v>
      </c>
      <c r="E68" s="2">
        <v>342.03</v>
      </c>
      <c r="F68" s="2">
        <v>47.3</v>
      </c>
      <c r="G68" s="2">
        <v>123.84</v>
      </c>
      <c r="H68" s="2">
        <v>145.34</v>
      </c>
      <c r="I68" s="2">
        <v>645.5</v>
      </c>
      <c r="J68" s="2">
        <v>252.93</v>
      </c>
      <c r="K68" s="2">
        <v>584.78</v>
      </c>
      <c r="L68" s="2">
        <v>307.08</v>
      </c>
      <c r="M68" s="2">
        <v>1114.23</v>
      </c>
      <c r="N68" s="2">
        <v>535.92999999999995</v>
      </c>
      <c r="O68" s="2">
        <v>936.66</v>
      </c>
      <c r="P68" s="2">
        <v>370.76</v>
      </c>
      <c r="Q68" s="2">
        <v>948.14</v>
      </c>
      <c r="R68" s="2">
        <v>447.2</v>
      </c>
      <c r="S68" s="2">
        <v>379.03</v>
      </c>
      <c r="T68" s="2">
        <v>296.38</v>
      </c>
      <c r="U68" s="2">
        <v>403.4</v>
      </c>
      <c r="V68" s="2">
        <v>316.97000000000003</v>
      </c>
      <c r="X68" s="1" t="s">
        <v>69</v>
      </c>
      <c r="Y68" s="2">
        <v>59.96</v>
      </c>
      <c r="Z68" s="2">
        <v>60</v>
      </c>
      <c r="AA68" s="2">
        <v>59.96</v>
      </c>
      <c r="AB68" s="2">
        <v>60</v>
      </c>
      <c r="AC68" s="2">
        <v>59.72</v>
      </c>
      <c r="AD68" s="2">
        <v>59.04</v>
      </c>
      <c r="AE68" s="2">
        <v>69.959999999999994</v>
      </c>
      <c r="AF68" s="2">
        <v>69.98</v>
      </c>
      <c r="AG68" s="2">
        <v>69.45</v>
      </c>
      <c r="AH68" s="2">
        <v>69.989999999999995</v>
      </c>
      <c r="AI68" s="2">
        <v>69.459999999999994</v>
      </c>
      <c r="AJ68" s="2">
        <v>69.989999999999995</v>
      </c>
      <c r="AK68" s="2">
        <v>69.459999999999994</v>
      </c>
      <c r="AL68" s="2">
        <v>69.989999999999995</v>
      </c>
      <c r="AM68" s="2">
        <v>69.900000000000006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69</v>
      </c>
      <c r="AV68" s="2">
        <v>29.58</v>
      </c>
      <c r="AW68" s="2">
        <v>53.66</v>
      </c>
      <c r="AX68" s="2">
        <v>30.29</v>
      </c>
      <c r="AY68" s="2">
        <v>54.72</v>
      </c>
      <c r="AZ68" s="2">
        <v>37.409999999999997</v>
      </c>
      <c r="BA68" s="2">
        <v>36.5</v>
      </c>
      <c r="BB68" s="2">
        <v>34.15</v>
      </c>
      <c r="BC68" s="2">
        <v>51.36</v>
      </c>
      <c r="BD68" s="2">
        <v>43.96</v>
      </c>
      <c r="BE68" s="2">
        <v>57.79</v>
      </c>
      <c r="BF68" s="2">
        <v>43.94</v>
      </c>
      <c r="BG68" s="2">
        <v>59.35</v>
      </c>
      <c r="BH68" s="2">
        <v>43.89</v>
      </c>
      <c r="BI68" s="2">
        <v>59.01</v>
      </c>
      <c r="BJ68" s="2">
        <v>48.85</v>
      </c>
      <c r="BK68" s="2">
        <v>61.56</v>
      </c>
      <c r="BL68" s="2">
        <v>61.69</v>
      </c>
      <c r="BM68" s="2">
        <v>64.25</v>
      </c>
      <c r="BN68" s="2">
        <v>64.61</v>
      </c>
      <c r="BO68" s="2">
        <v>66.02</v>
      </c>
      <c r="BR68" s="1" t="s">
        <v>69</v>
      </c>
      <c r="BS68" s="2">
        <v>-1.34</v>
      </c>
      <c r="BT68" s="2">
        <v>-0.15</v>
      </c>
      <c r="BU68" s="2">
        <v>-1.27</v>
      </c>
      <c r="BV68" s="2">
        <v>-0.13</v>
      </c>
      <c r="BW68" s="2">
        <v>-0.3</v>
      </c>
      <c r="BX68" s="2">
        <v>-0.31</v>
      </c>
      <c r="BY68" s="2">
        <v>-1.44</v>
      </c>
      <c r="BZ68" s="2">
        <v>-0.5</v>
      </c>
      <c r="CA68" s="2">
        <v>-1</v>
      </c>
      <c r="CB68" s="2">
        <v>-0.36</v>
      </c>
      <c r="CC68" s="2">
        <v>-1.81</v>
      </c>
      <c r="CD68" s="2">
        <v>-0.55000000000000004</v>
      </c>
      <c r="CE68" s="2">
        <v>-1.46</v>
      </c>
      <c r="CF68" s="2">
        <v>-0.46</v>
      </c>
      <c r="CG68" s="2">
        <v>-1.41</v>
      </c>
      <c r="CH68" s="2">
        <v>-0.45</v>
      </c>
      <c r="CI68" s="2">
        <v>-0.39</v>
      </c>
      <c r="CJ68" s="2">
        <v>-0.26</v>
      </c>
      <c r="CK68" s="2">
        <v>-0.32</v>
      </c>
      <c r="CL68" s="2">
        <v>-0.23</v>
      </c>
    </row>
    <row r="69" spans="2:90" x14ac:dyDescent="0.3">
      <c r="B69" s="1" t="s">
        <v>70</v>
      </c>
      <c r="C69" s="2">
        <v>1091.04</v>
      </c>
      <c r="D69" s="2">
        <v>1104.3399999999999</v>
      </c>
      <c r="E69" s="2">
        <v>1479.7</v>
      </c>
      <c r="F69" s="2">
        <v>670.03</v>
      </c>
      <c r="G69" s="2">
        <v>412.27</v>
      </c>
      <c r="H69" s="2">
        <v>411.9</v>
      </c>
      <c r="I69" s="2">
        <v>919.67</v>
      </c>
      <c r="J69" s="2">
        <v>1754.7</v>
      </c>
      <c r="K69" s="2">
        <v>2218.61</v>
      </c>
      <c r="L69" s="2">
        <v>2079.39</v>
      </c>
      <c r="M69" s="2">
        <v>3484.96</v>
      </c>
      <c r="N69" s="2">
        <v>2827.59</v>
      </c>
      <c r="O69" s="2">
        <v>2331.36</v>
      </c>
      <c r="P69" s="2">
        <v>1945.98</v>
      </c>
      <c r="Q69" s="2">
        <v>2250.67</v>
      </c>
      <c r="R69" s="2">
        <v>2148.66</v>
      </c>
      <c r="S69" s="2">
        <v>1772.31</v>
      </c>
      <c r="T69" s="2">
        <v>1176.69</v>
      </c>
      <c r="U69" s="2">
        <v>2022.44</v>
      </c>
      <c r="V69" s="2">
        <v>1449.25</v>
      </c>
      <c r="X69" s="1" t="s">
        <v>70</v>
      </c>
      <c r="Y69" s="2">
        <v>59.94</v>
      </c>
      <c r="Z69" s="2">
        <v>59.9</v>
      </c>
      <c r="AA69" s="2">
        <v>59.99</v>
      </c>
      <c r="AB69" s="2">
        <v>59.98</v>
      </c>
      <c r="AC69" s="2">
        <v>59.94</v>
      </c>
      <c r="AD69" s="2">
        <v>59.89</v>
      </c>
      <c r="AE69" s="2">
        <v>69.989999999999995</v>
      </c>
      <c r="AF69" s="2">
        <v>69.86</v>
      </c>
      <c r="AG69" s="2">
        <v>69.91</v>
      </c>
      <c r="AH69" s="2">
        <v>69.86</v>
      </c>
      <c r="AI69" s="2">
        <v>69.959999999999994</v>
      </c>
      <c r="AJ69" s="2">
        <v>69.98</v>
      </c>
      <c r="AK69" s="2">
        <v>69.989999999999995</v>
      </c>
      <c r="AL69" s="2">
        <v>69.989999999999995</v>
      </c>
      <c r="AM69" s="2">
        <v>69.989999999999995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70</v>
      </c>
      <c r="AU69" s="1" t="s">
        <v>70</v>
      </c>
      <c r="AV69" s="2">
        <v>38.950000000000003</v>
      </c>
      <c r="AW69" s="2">
        <v>40.25</v>
      </c>
      <c r="AX69" s="2">
        <v>31.96</v>
      </c>
      <c r="AY69" s="2">
        <v>49.08</v>
      </c>
      <c r="AZ69" s="2">
        <v>39.479999999999997</v>
      </c>
      <c r="BA69" s="2">
        <v>39.200000000000003</v>
      </c>
      <c r="BB69" s="2">
        <v>58.46</v>
      </c>
      <c r="BC69" s="2">
        <v>45.57</v>
      </c>
      <c r="BD69" s="2">
        <v>49.2</v>
      </c>
      <c r="BE69" s="2">
        <v>47.88</v>
      </c>
      <c r="BF69" s="2">
        <v>51.46</v>
      </c>
      <c r="BG69" s="2">
        <v>53.11</v>
      </c>
      <c r="BH69" s="2">
        <v>54.43</v>
      </c>
      <c r="BI69" s="2">
        <v>54.98</v>
      </c>
      <c r="BJ69" s="2">
        <v>59.53</v>
      </c>
      <c r="BK69" s="2">
        <v>58.9</v>
      </c>
      <c r="BL69" s="2">
        <v>62.11</v>
      </c>
      <c r="BM69" s="2">
        <v>63.75</v>
      </c>
      <c r="BN69" s="2">
        <v>62.93</v>
      </c>
      <c r="BO69" s="2">
        <v>66.319999999999993</v>
      </c>
      <c r="BR69" s="1" t="s">
        <v>70</v>
      </c>
      <c r="BS69" s="2">
        <v>-0.7</v>
      </c>
      <c r="BT69" s="2">
        <v>-0.64</v>
      </c>
      <c r="BU69" s="2">
        <v>-1.1399999999999999</v>
      </c>
      <c r="BV69" s="2">
        <v>-0.28999999999999998</v>
      </c>
      <c r="BW69" s="2">
        <v>-0.26</v>
      </c>
      <c r="BX69" s="2">
        <v>-0.26</v>
      </c>
      <c r="BY69" s="2">
        <v>-0.27</v>
      </c>
      <c r="BZ69" s="2">
        <v>-0.73</v>
      </c>
      <c r="CA69" s="2">
        <v>-0.72</v>
      </c>
      <c r="CB69" s="2">
        <v>-0.79</v>
      </c>
      <c r="CC69" s="2">
        <v>-1.1100000000000001</v>
      </c>
      <c r="CD69" s="2">
        <v>-0.98</v>
      </c>
      <c r="CE69" s="2">
        <v>-0.71</v>
      </c>
      <c r="CF69" s="2">
        <v>-0.68</v>
      </c>
      <c r="CG69" s="2">
        <v>-0.56999999999999995</v>
      </c>
      <c r="CH69" s="2">
        <v>-0.61</v>
      </c>
      <c r="CI69" s="2">
        <v>-0.37</v>
      </c>
      <c r="CJ69" s="2">
        <v>-0.28999999999999998</v>
      </c>
      <c r="CK69" s="2">
        <v>-0.43</v>
      </c>
      <c r="CL69" s="2">
        <v>-0.21</v>
      </c>
    </row>
    <row r="70" spans="2:90" x14ac:dyDescent="0.3">
      <c r="B70" s="1" t="s">
        <v>71</v>
      </c>
      <c r="C70" s="2">
        <v>207.89</v>
      </c>
      <c r="D70" s="2">
        <v>199.05</v>
      </c>
      <c r="E70" s="2">
        <v>267.37</v>
      </c>
      <c r="F70" s="2">
        <v>307.98</v>
      </c>
      <c r="G70" s="2">
        <v>77.06</v>
      </c>
      <c r="H70" s="2">
        <v>63.14</v>
      </c>
      <c r="I70" s="2">
        <v>159.91</v>
      </c>
      <c r="J70" s="2">
        <v>205.34</v>
      </c>
      <c r="K70" s="2">
        <v>180.01</v>
      </c>
      <c r="L70" s="2">
        <v>472.49</v>
      </c>
      <c r="M70" s="2">
        <v>452.53</v>
      </c>
      <c r="N70" s="2">
        <v>874.96</v>
      </c>
      <c r="O70" s="2">
        <v>330.03</v>
      </c>
      <c r="P70" s="2">
        <v>495.58</v>
      </c>
      <c r="Q70" s="2">
        <v>431.24</v>
      </c>
      <c r="R70" s="2">
        <v>772.7</v>
      </c>
      <c r="S70" s="2">
        <v>360.73</v>
      </c>
      <c r="T70" s="2">
        <v>404.5</v>
      </c>
      <c r="U70" s="2">
        <v>350.62</v>
      </c>
      <c r="V70" s="2">
        <v>253.33</v>
      </c>
      <c r="X70" s="1" t="s">
        <v>71</v>
      </c>
      <c r="Y70" s="2">
        <v>59.67</v>
      </c>
      <c r="Z70" s="2">
        <v>59.63</v>
      </c>
      <c r="AA70" s="2">
        <v>59.92</v>
      </c>
      <c r="AB70" s="2">
        <v>59.91</v>
      </c>
      <c r="AC70" s="2">
        <v>59.85</v>
      </c>
      <c r="AD70" s="2">
        <v>59.71</v>
      </c>
      <c r="AE70" s="2">
        <v>69.989999999999995</v>
      </c>
      <c r="AF70" s="2">
        <v>69.89</v>
      </c>
      <c r="AG70" s="2">
        <v>69.989999999999995</v>
      </c>
      <c r="AH70" s="2">
        <v>69.959999999999994</v>
      </c>
      <c r="AI70" s="2">
        <v>69.989999999999995</v>
      </c>
      <c r="AJ70" s="2">
        <v>69.95</v>
      </c>
      <c r="AK70" s="2">
        <v>69.989999999999995</v>
      </c>
      <c r="AL70" s="2">
        <v>69.959999999999994</v>
      </c>
      <c r="AM70" s="2">
        <v>69.989999999999995</v>
      </c>
      <c r="AN70" s="2">
        <v>69.959999999999994</v>
      </c>
      <c r="AO70" s="2">
        <v>69.989999999999995</v>
      </c>
      <c r="AP70" s="2">
        <v>69.900000000000006</v>
      </c>
      <c r="AQ70" s="2">
        <v>69.989999999999995</v>
      </c>
      <c r="AR70" s="2">
        <v>70</v>
      </c>
      <c r="AU70" s="1" t="s">
        <v>71</v>
      </c>
      <c r="AV70" s="2">
        <v>37.96</v>
      </c>
      <c r="AW70" s="2">
        <v>37.94</v>
      </c>
      <c r="AX70" s="2">
        <v>30.51</v>
      </c>
      <c r="AY70" s="2">
        <v>30.64</v>
      </c>
      <c r="AZ70" s="2">
        <v>39.04</v>
      </c>
      <c r="BA70" s="2">
        <v>38.619999999999997</v>
      </c>
      <c r="BB70" s="2">
        <v>56.95</v>
      </c>
      <c r="BC70" s="2">
        <v>45.21</v>
      </c>
      <c r="BD70" s="2">
        <v>60.67</v>
      </c>
      <c r="BE70" s="2">
        <v>37.24</v>
      </c>
      <c r="BF70" s="2">
        <v>56.51</v>
      </c>
      <c r="BG70" s="2">
        <v>37.28</v>
      </c>
      <c r="BH70" s="2">
        <v>57.01</v>
      </c>
      <c r="BI70" s="2">
        <v>42.3</v>
      </c>
      <c r="BJ70" s="2">
        <v>57.49</v>
      </c>
      <c r="BK70" s="2">
        <v>42.54</v>
      </c>
      <c r="BL70" s="2">
        <v>59.68</v>
      </c>
      <c r="BM70" s="2">
        <v>50.58</v>
      </c>
      <c r="BN70" s="2">
        <v>63.17</v>
      </c>
      <c r="BO70" s="2">
        <v>65.3</v>
      </c>
      <c r="BR70" s="1" t="s">
        <v>71</v>
      </c>
      <c r="BS70" s="2">
        <v>-0.75</v>
      </c>
      <c r="BT70" s="2">
        <v>-0.75</v>
      </c>
      <c r="BU70" s="2">
        <v>-1.25</v>
      </c>
      <c r="BV70" s="2">
        <v>-1.24</v>
      </c>
      <c r="BW70" s="2">
        <v>-0.27</v>
      </c>
      <c r="BX70" s="2">
        <v>-0.27</v>
      </c>
      <c r="BY70" s="2">
        <v>-0.31</v>
      </c>
      <c r="BZ70" s="2">
        <v>-0.75</v>
      </c>
      <c r="CA70" s="2">
        <v>-0.26</v>
      </c>
      <c r="CB70" s="2">
        <v>-1.51</v>
      </c>
      <c r="CC70" s="2">
        <v>-0.74</v>
      </c>
      <c r="CD70" s="2">
        <v>-2.71</v>
      </c>
      <c r="CE70" s="2">
        <v>-0.56999999999999995</v>
      </c>
      <c r="CF70" s="2">
        <v>-1.63</v>
      </c>
      <c r="CG70" s="2">
        <v>-0.71</v>
      </c>
      <c r="CH70" s="2">
        <v>-2.1</v>
      </c>
      <c r="CI70" s="2">
        <v>-0.5</v>
      </c>
      <c r="CJ70" s="2">
        <v>-1.1100000000000001</v>
      </c>
      <c r="CK70" s="2">
        <v>-0.42</v>
      </c>
      <c r="CL70" s="2">
        <v>-0.28000000000000003</v>
      </c>
    </row>
    <row r="71" spans="2:90" x14ac:dyDescent="0.3">
      <c r="B71" s="1" t="s">
        <v>72</v>
      </c>
      <c r="C71" s="2">
        <v>1227.52</v>
      </c>
      <c r="D71" s="2">
        <v>1455.99</v>
      </c>
      <c r="E71" s="2">
        <v>763.33</v>
      </c>
      <c r="F71" s="2">
        <v>1108.8399999999999</v>
      </c>
      <c r="G71" s="2">
        <v>222.41</v>
      </c>
      <c r="H71" s="2">
        <v>431.51</v>
      </c>
      <c r="I71" s="2">
        <v>736.9</v>
      </c>
      <c r="J71" s="2">
        <v>985.59</v>
      </c>
      <c r="K71" s="2">
        <v>741.54</v>
      </c>
      <c r="L71" s="2">
        <v>1501.4</v>
      </c>
      <c r="M71" s="2">
        <v>1466.45</v>
      </c>
      <c r="N71" s="2">
        <v>2545.6799999999998</v>
      </c>
      <c r="O71" s="2">
        <v>1068.93</v>
      </c>
      <c r="P71" s="2">
        <v>1626.98</v>
      </c>
      <c r="Q71" s="2">
        <v>1606.35</v>
      </c>
      <c r="R71" s="2">
        <v>2401.75</v>
      </c>
      <c r="S71" s="2">
        <v>1162.8</v>
      </c>
      <c r="T71" s="2">
        <v>917.97</v>
      </c>
      <c r="U71" s="2">
        <v>1188.5899999999999</v>
      </c>
      <c r="V71" s="2">
        <v>1116.8399999999999</v>
      </c>
      <c r="X71" s="1" t="s">
        <v>72</v>
      </c>
      <c r="Y71" s="2">
        <v>58.77</v>
      </c>
      <c r="Z71" s="2">
        <v>58.38</v>
      </c>
      <c r="AA71" s="2">
        <v>59.83</v>
      </c>
      <c r="AB71" s="2">
        <v>58.2</v>
      </c>
      <c r="AC71" s="2">
        <v>59.58</v>
      </c>
      <c r="AD71" s="2">
        <v>58.73</v>
      </c>
      <c r="AE71" s="2">
        <v>69.64</v>
      </c>
      <c r="AF71" s="2">
        <v>67.41</v>
      </c>
      <c r="AG71" s="2">
        <v>69.94</v>
      </c>
      <c r="AH71" s="2">
        <v>61.31</v>
      </c>
      <c r="AI71" s="2">
        <v>69.89</v>
      </c>
      <c r="AJ71" s="2">
        <v>61.3</v>
      </c>
      <c r="AK71" s="2">
        <v>69.88</v>
      </c>
      <c r="AL71" s="2">
        <v>65.42</v>
      </c>
      <c r="AM71" s="2">
        <v>69.78</v>
      </c>
      <c r="AN71" s="2">
        <v>69.97</v>
      </c>
      <c r="AO71" s="2">
        <v>69.97</v>
      </c>
      <c r="AP71" s="2">
        <v>69.95</v>
      </c>
      <c r="AQ71" s="2">
        <v>69.989999999999995</v>
      </c>
      <c r="AR71" s="2">
        <v>69.989999999999995</v>
      </c>
      <c r="AU71" s="1" t="s">
        <v>72</v>
      </c>
      <c r="AV71" s="2">
        <v>26.85</v>
      </c>
      <c r="AW71" s="2">
        <v>26.54</v>
      </c>
      <c r="AX71" s="2">
        <v>32.86</v>
      </c>
      <c r="AY71" s="2">
        <v>27.16</v>
      </c>
      <c r="AZ71" s="2">
        <v>41.24</v>
      </c>
      <c r="BA71" s="2">
        <v>27.25</v>
      </c>
      <c r="BB71" s="2">
        <v>50.79</v>
      </c>
      <c r="BC71" s="2">
        <v>41.17</v>
      </c>
      <c r="BD71" s="2">
        <v>58.4</v>
      </c>
      <c r="BE71" s="2">
        <v>38.869999999999997</v>
      </c>
      <c r="BF71" s="2">
        <v>56.67</v>
      </c>
      <c r="BG71" s="2">
        <v>38.880000000000003</v>
      </c>
      <c r="BH71" s="2">
        <v>56.57</v>
      </c>
      <c r="BI71" s="2">
        <v>42.29</v>
      </c>
      <c r="BJ71" s="2">
        <v>54.4</v>
      </c>
      <c r="BK71" s="2">
        <v>42.45</v>
      </c>
      <c r="BL71" s="2">
        <v>59.95</v>
      </c>
      <c r="BM71" s="2">
        <v>59.16</v>
      </c>
      <c r="BN71" s="2">
        <v>62.23</v>
      </c>
      <c r="BO71" s="2">
        <v>62.77</v>
      </c>
      <c r="BR71" s="1" t="s">
        <v>72</v>
      </c>
      <c r="BS71" s="2">
        <v>-1.58</v>
      </c>
      <c r="BT71" s="2">
        <v>-1.6</v>
      </c>
      <c r="BU71" s="2">
        <v>-1.07</v>
      </c>
      <c r="BV71" s="2">
        <v>-1.53</v>
      </c>
      <c r="BW71" s="2">
        <v>-0.22</v>
      </c>
      <c r="BX71" s="2">
        <v>-0.59</v>
      </c>
      <c r="BY71" s="2">
        <v>-0.51</v>
      </c>
      <c r="BZ71" s="2">
        <v>-0.91</v>
      </c>
      <c r="CA71" s="2">
        <v>-0.34</v>
      </c>
      <c r="CB71" s="2">
        <v>-1.1299999999999999</v>
      </c>
      <c r="CC71" s="2">
        <v>-0.72</v>
      </c>
      <c r="CD71" s="2">
        <v>-2.0299999999999998</v>
      </c>
      <c r="CE71" s="2">
        <v>-0.59</v>
      </c>
      <c r="CF71" s="2">
        <v>-1.45</v>
      </c>
      <c r="CG71" s="2">
        <v>-0.92</v>
      </c>
      <c r="CH71" s="2">
        <v>-2.11</v>
      </c>
      <c r="CI71" s="2">
        <v>-0.49</v>
      </c>
      <c r="CJ71" s="2">
        <v>-0.53</v>
      </c>
      <c r="CK71" s="2">
        <v>-0.48</v>
      </c>
      <c r="CL71" s="2">
        <v>-0.44</v>
      </c>
    </row>
    <row r="72" spans="2:90" x14ac:dyDescent="0.3">
      <c r="B72" s="1" t="s">
        <v>73</v>
      </c>
      <c r="C72" s="2">
        <v>130.28</v>
      </c>
      <c r="D72" s="2">
        <v>134.72</v>
      </c>
      <c r="E72" s="2">
        <v>25.89</v>
      </c>
      <c r="F72" s="2">
        <v>32.270000000000003</v>
      </c>
      <c r="G72" s="2">
        <v>8.01</v>
      </c>
      <c r="H72" s="2">
        <v>14.88</v>
      </c>
      <c r="I72" s="2">
        <v>37.69</v>
      </c>
      <c r="J72" s="2">
        <v>181.24</v>
      </c>
      <c r="K72" s="2">
        <v>156.07</v>
      </c>
      <c r="L72" s="2">
        <v>160.72999999999999</v>
      </c>
      <c r="M72" s="2">
        <v>294.76</v>
      </c>
      <c r="N72" s="2">
        <v>331.03</v>
      </c>
      <c r="O72" s="2">
        <v>287.2</v>
      </c>
      <c r="P72" s="2">
        <v>307.06</v>
      </c>
      <c r="Q72" s="2">
        <v>263.27999999999997</v>
      </c>
      <c r="R72" s="2">
        <v>273.37</v>
      </c>
      <c r="S72" s="2">
        <v>301.70999999999998</v>
      </c>
      <c r="T72" s="2">
        <v>171.49</v>
      </c>
      <c r="U72" s="2">
        <v>328.77</v>
      </c>
      <c r="V72" s="2">
        <v>202.33</v>
      </c>
      <c r="X72" s="1" t="s">
        <v>73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73</v>
      </c>
      <c r="AV72" s="2">
        <v>52.62</v>
      </c>
      <c r="AW72" s="2">
        <v>47.89</v>
      </c>
      <c r="AX72" s="2">
        <v>54.91</v>
      </c>
      <c r="AY72" s="2">
        <v>54.87</v>
      </c>
      <c r="AZ72" s="2">
        <v>54.96</v>
      </c>
      <c r="BA72" s="2">
        <v>54.76</v>
      </c>
      <c r="BB72" s="2">
        <v>64.95</v>
      </c>
      <c r="BC72" s="2">
        <v>50.25</v>
      </c>
      <c r="BD72" s="2">
        <v>66.12</v>
      </c>
      <c r="BE72" s="2">
        <v>52.93</v>
      </c>
      <c r="BF72" s="2">
        <v>59.69</v>
      </c>
      <c r="BG72" s="2">
        <v>52.84</v>
      </c>
      <c r="BH72" s="2">
        <v>56.98</v>
      </c>
      <c r="BI72" s="2">
        <v>55.52</v>
      </c>
      <c r="BJ72" s="2">
        <v>60.64</v>
      </c>
      <c r="BK72" s="2">
        <v>62.26</v>
      </c>
      <c r="BL72" s="2">
        <v>62.95</v>
      </c>
      <c r="BM72" s="2">
        <v>66.150000000000006</v>
      </c>
      <c r="BN72" s="2">
        <v>65.53</v>
      </c>
      <c r="BO72" s="2">
        <v>67.849999999999994</v>
      </c>
      <c r="BR72" s="1" t="s">
        <v>73</v>
      </c>
      <c r="BS72" s="2">
        <v>-0.18</v>
      </c>
      <c r="BT72" s="2">
        <v>-0.33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-0.1</v>
      </c>
      <c r="CB72" s="2">
        <v>-0.55000000000000004</v>
      </c>
      <c r="CC72" s="2">
        <v>-0.53</v>
      </c>
      <c r="CD72" s="2">
        <v>-1</v>
      </c>
      <c r="CE72" s="2">
        <v>-0.56999999999999995</v>
      </c>
      <c r="CF72" s="2">
        <v>-0.65</v>
      </c>
      <c r="CG72" s="2">
        <v>-0.5</v>
      </c>
      <c r="CH72" s="2">
        <v>-0.4</v>
      </c>
      <c r="CI72" s="2">
        <v>-0.33</v>
      </c>
      <c r="CJ72" s="2">
        <v>-0.17</v>
      </c>
      <c r="CK72" s="2">
        <v>-0.26</v>
      </c>
      <c r="CL72" s="2">
        <v>-0.12</v>
      </c>
    </row>
    <row r="73" spans="2:90" x14ac:dyDescent="0.3">
      <c r="W73" s="5">
        <f>SUM(C65:V72)/$W$45</f>
        <v>7.1617444396235616E-2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63</v>
      </c>
      <c r="D76" s="1" t="s">
        <v>64</v>
      </c>
      <c r="E76" s="1" t="s">
        <v>63</v>
      </c>
      <c r="F76" s="1" t="s">
        <v>64</v>
      </c>
      <c r="G76" s="1" t="s">
        <v>63</v>
      </c>
      <c r="H76" s="1" t="s">
        <v>64</v>
      </c>
      <c r="I76" s="1" t="s">
        <v>63</v>
      </c>
      <c r="J76" s="1" t="s">
        <v>64</v>
      </c>
      <c r="K76" s="1" t="s">
        <v>63</v>
      </c>
      <c r="L76" s="1" t="s">
        <v>64</v>
      </c>
      <c r="M76" s="1" t="s">
        <v>63</v>
      </c>
      <c r="N76" s="1" t="s">
        <v>64</v>
      </c>
      <c r="O76" s="1" t="s">
        <v>63</v>
      </c>
      <c r="P76" s="1" t="s">
        <v>64</v>
      </c>
      <c r="Q76" s="1" t="s">
        <v>63</v>
      </c>
      <c r="R76" s="1" t="s">
        <v>64</v>
      </c>
      <c r="S76" s="1" t="s">
        <v>63</v>
      </c>
      <c r="T76" s="1" t="s">
        <v>64</v>
      </c>
      <c r="U76" s="1" t="s">
        <v>63</v>
      </c>
      <c r="V76" s="1" t="s">
        <v>64</v>
      </c>
      <c r="X76" s="1" t="s">
        <v>6</v>
      </c>
      <c r="Y76" s="1" t="s">
        <v>63</v>
      </c>
      <c r="Z76" s="1" t="s">
        <v>64</v>
      </c>
      <c r="AA76" s="1" t="s">
        <v>63</v>
      </c>
      <c r="AB76" s="1" t="s">
        <v>64</v>
      </c>
      <c r="AC76" s="1" t="s">
        <v>63</v>
      </c>
      <c r="AD76" s="1" t="s">
        <v>64</v>
      </c>
      <c r="AE76" s="1" t="s">
        <v>63</v>
      </c>
      <c r="AF76" s="1" t="s">
        <v>64</v>
      </c>
      <c r="AG76" s="1" t="s">
        <v>63</v>
      </c>
      <c r="AH76" s="1" t="s">
        <v>64</v>
      </c>
      <c r="AI76" s="1" t="s">
        <v>63</v>
      </c>
      <c r="AJ76" s="1" t="s">
        <v>64</v>
      </c>
      <c r="AK76" s="1" t="s">
        <v>63</v>
      </c>
      <c r="AL76" s="1" t="s">
        <v>64</v>
      </c>
      <c r="AM76" s="1" t="s">
        <v>63</v>
      </c>
      <c r="AN76" s="1" t="s">
        <v>64</v>
      </c>
      <c r="AO76" s="1" t="s">
        <v>63</v>
      </c>
      <c r="AP76" s="1" t="s">
        <v>64</v>
      </c>
      <c r="AQ76" s="1" t="s">
        <v>63</v>
      </c>
      <c r="AR76" s="1" t="s">
        <v>64</v>
      </c>
      <c r="AU76" s="1" t="s">
        <v>6</v>
      </c>
      <c r="AV76" s="1" t="s">
        <v>63</v>
      </c>
      <c r="AW76" s="1" t="s">
        <v>64</v>
      </c>
      <c r="AX76" s="1" t="s">
        <v>63</v>
      </c>
      <c r="AY76" s="1" t="s">
        <v>64</v>
      </c>
      <c r="AZ76" s="1" t="s">
        <v>63</v>
      </c>
      <c r="BA76" s="1" t="s">
        <v>64</v>
      </c>
      <c r="BB76" s="1" t="s">
        <v>63</v>
      </c>
      <c r="BC76" s="1" t="s">
        <v>64</v>
      </c>
      <c r="BD76" s="1" t="s">
        <v>63</v>
      </c>
      <c r="BE76" s="1" t="s">
        <v>64</v>
      </c>
      <c r="BF76" s="1" t="s">
        <v>63</v>
      </c>
      <c r="BG76" s="1" t="s">
        <v>64</v>
      </c>
      <c r="BH76" s="1" t="s">
        <v>63</v>
      </c>
      <c r="BI76" s="1" t="s">
        <v>64</v>
      </c>
      <c r="BJ76" s="1" t="s">
        <v>63</v>
      </c>
      <c r="BK76" s="1" t="s">
        <v>64</v>
      </c>
      <c r="BL76" s="1" t="s">
        <v>63</v>
      </c>
      <c r="BM76" s="1" t="s">
        <v>64</v>
      </c>
      <c r="BN76" s="1" t="s">
        <v>63</v>
      </c>
      <c r="BO76" s="1" t="s">
        <v>64</v>
      </c>
      <c r="BR76" s="1" t="s">
        <v>6</v>
      </c>
      <c r="BS76" s="1" t="s">
        <v>63</v>
      </c>
      <c r="BT76" s="1" t="s">
        <v>64</v>
      </c>
      <c r="BU76" s="1" t="s">
        <v>63</v>
      </c>
      <c r="BV76" s="1" t="s">
        <v>64</v>
      </c>
      <c r="BW76" s="1" t="s">
        <v>63</v>
      </c>
      <c r="BX76" s="1" t="s">
        <v>64</v>
      </c>
      <c r="BY76" s="1" t="s">
        <v>63</v>
      </c>
      <c r="BZ76" s="1" t="s">
        <v>64</v>
      </c>
      <c r="CA76" s="1" t="s">
        <v>63</v>
      </c>
      <c r="CB76" s="1" t="s">
        <v>64</v>
      </c>
      <c r="CC76" s="1" t="s">
        <v>63</v>
      </c>
      <c r="CD76" s="1" t="s">
        <v>64</v>
      </c>
      <c r="CE76" s="1" t="s">
        <v>63</v>
      </c>
      <c r="CF76" s="1" t="s">
        <v>64</v>
      </c>
      <c r="CG76" s="1" t="s">
        <v>63</v>
      </c>
      <c r="CH76" s="1" t="s">
        <v>64</v>
      </c>
      <c r="CI76" s="1" t="s">
        <v>63</v>
      </c>
      <c r="CJ76" s="1" t="s">
        <v>64</v>
      </c>
      <c r="CK76" s="1" t="s">
        <v>63</v>
      </c>
      <c r="CL76" s="1" t="s">
        <v>64</v>
      </c>
    </row>
    <row r="77" spans="2:90" x14ac:dyDescent="0.3">
      <c r="B77" s="1" t="s">
        <v>65</v>
      </c>
      <c r="C77" s="1" t="s">
        <v>53</v>
      </c>
      <c r="D77" s="1" t="s">
        <v>53</v>
      </c>
      <c r="E77" s="1" t="s">
        <v>54</v>
      </c>
      <c r="F77" s="1" t="s">
        <v>54</v>
      </c>
      <c r="G77" s="1" t="s">
        <v>55</v>
      </c>
      <c r="H77" s="1" t="s">
        <v>55</v>
      </c>
      <c r="I77" s="1" t="s">
        <v>56</v>
      </c>
      <c r="J77" s="1" t="s">
        <v>56</v>
      </c>
      <c r="K77" s="1" t="s">
        <v>57</v>
      </c>
      <c r="L77" s="1" t="s">
        <v>57</v>
      </c>
      <c r="M77" s="1" t="s">
        <v>58</v>
      </c>
      <c r="N77" s="1" t="s">
        <v>58</v>
      </c>
      <c r="O77" s="1" t="s">
        <v>59</v>
      </c>
      <c r="P77" s="1" t="s">
        <v>59</v>
      </c>
      <c r="Q77" s="1" t="s">
        <v>60</v>
      </c>
      <c r="R77" s="1" t="s">
        <v>60</v>
      </c>
      <c r="S77" s="1" t="s">
        <v>61</v>
      </c>
      <c r="T77" s="1" t="s">
        <v>61</v>
      </c>
      <c r="U77" s="1" t="s">
        <v>62</v>
      </c>
      <c r="V77" s="1" t="s">
        <v>62</v>
      </c>
      <c r="X77" s="1" t="s">
        <v>65</v>
      </c>
      <c r="Y77" s="1" t="s">
        <v>53</v>
      </c>
      <c r="Z77" s="1" t="s">
        <v>53</v>
      </c>
      <c r="AA77" s="1" t="s">
        <v>54</v>
      </c>
      <c r="AB77" s="1" t="s">
        <v>54</v>
      </c>
      <c r="AC77" s="1" t="s">
        <v>55</v>
      </c>
      <c r="AD77" s="1" t="s">
        <v>55</v>
      </c>
      <c r="AE77" s="1" t="s">
        <v>56</v>
      </c>
      <c r="AF77" s="1" t="s">
        <v>56</v>
      </c>
      <c r="AG77" s="1" t="s">
        <v>57</v>
      </c>
      <c r="AH77" s="1" t="s">
        <v>57</v>
      </c>
      <c r="AI77" s="1" t="s">
        <v>58</v>
      </c>
      <c r="AJ77" s="1" t="s">
        <v>58</v>
      </c>
      <c r="AK77" s="1" t="s">
        <v>59</v>
      </c>
      <c r="AL77" s="1" t="s">
        <v>59</v>
      </c>
      <c r="AM77" s="1" t="s">
        <v>60</v>
      </c>
      <c r="AN77" s="1" t="s">
        <v>60</v>
      </c>
      <c r="AO77" s="1" t="s">
        <v>61</v>
      </c>
      <c r="AP77" s="1" t="s">
        <v>61</v>
      </c>
      <c r="AQ77" s="1" t="s">
        <v>62</v>
      </c>
      <c r="AR77" s="1" t="s">
        <v>62</v>
      </c>
      <c r="AU77" s="1" t="s">
        <v>65</v>
      </c>
      <c r="AV77" s="1" t="s">
        <v>53</v>
      </c>
      <c r="AW77" s="1" t="s">
        <v>53</v>
      </c>
      <c r="AX77" s="1" t="s">
        <v>54</v>
      </c>
      <c r="AY77" s="1" t="s">
        <v>54</v>
      </c>
      <c r="AZ77" s="1" t="s">
        <v>55</v>
      </c>
      <c r="BA77" s="1" t="s">
        <v>55</v>
      </c>
      <c r="BB77" s="1" t="s">
        <v>56</v>
      </c>
      <c r="BC77" s="1" t="s">
        <v>56</v>
      </c>
      <c r="BD77" s="1" t="s">
        <v>57</v>
      </c>
      <c r="BE77" s="1" t="s">
        <v>57</v>
      </c>
      <c r="BF77" s="1" t="s">
        <v>58</v>
      </c>
      <c r="BG77" s="1" t="s">
        <v>58</v>
      </c>
      <c r="BH77" s="1" t="s">
        <v>59</v>
      </c>
      <c r="BI77" s="1" t="s">
        <v>59</v>
      </c>
      <c r="BJ77" s="1" t="s">
        <v>60</v>
      </c>
      <c r="BK77" s="1" t="s">
        <v>60</v>
      </c>
      <c r="BL77" s="1" t="s">
        <v>61</v>
      </c>
      <c r="BM77" s="1" t="s">
        <v>61</v>
      </c>
      <c r="BN77" s="1" t="s">
        <v>62</v>
      </c>
      <c r="BO77" s="1" t="s">
        <v>62</v>
      </c>
      <c r="BR77" s="1" t="s">
        <v>65</v>
      </c>
      <c r="BS77" s="1" t="s">
        <v>53</v>
      </c>
      <c r="BT77" s="1" t="s">
        <v>53</v>
      </c>
      <c r="BU77" s="1" t="s">
        <v>54</v>
      </c>
      <c r="BV77" s="1" t="s">
        <v>54</v>
      </c>
      <c r="BW77" s="1" t="s">
        <v>55</v>
      </c>
      <c r="BX77" s="1" t="s">
        <v>55</v>
      </c>
      <c r="BY77" s="1" t="s">
        <v>56</v>
      </c>
      <c r="BZ77" s="1" t="s">
        <v>56</v>
      </c>
      <c r="CA77" s="1" t="s">
        <v>57</v>
      </c>
      <c r="CB77" s="1" t="s">
        <v>57</v>
      </c>
      <c r="CC77" s="1" t="s">
        <v>58</v>
      </c>
      <c r="CD77" s="1" t="s">
        <v>58</v>
      </c>
      <c r="CE77" s="1" t="s">
        <v>59</v>
      </c>
      <c r="CF77" s="1" t="s">
        <v>59</v>
      </c>
      <c r="CG77" s="1" t="s">
        <v>60</v>
      </c>
      <c r="CH77" s="1" t="s">
        <v>60</v>
      </c>
      <c r="CI77" s="1" t="s">
        <v>61</v>
      </c>
      <c r="CJ77" s="1" t="s">
        <v>61</v>
      </c>
      <c r="CK77" s="1" t="s">
        <v>62</v>
      </c>
      <c r="CL77" s="1" t="s">
        <v>62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66</v>
      </c>
      <c r="C79" s="2">
        <v>8.89</v>
      </c>
      <c r="D79" s="2">
        <v>15.97</v>
      </c>
      <c r="E79" s="2">
        <v>2.98</v>
      </c>
      <c r="F79" s="2">
        <v>2.97</v>
      </c>
      <c r="G79" s="2">
        <v>0.98</v>
      </c>
      <c r="H79" s="2">
        <v>2.31</v>
      </c>
      <c r="I79" s="2">
        <v>14.8</v>
      </c>
      <c r="J79" s="2">
        <v>1.25</v>
      </c>
      <c r="K79" s="2">
        <v>18.64</v>
      </c>
      <c r="L79" s="2">
        <v>10.66</v>
      </c>
      <c r="M79" s="2">
        <v>9.86</v>
      </c>
      <c r="N79" s="2">
        <v>7.52</v>
      </c>
      <c r="O79" s="2">
        <v>11.96</v>
      </c>
      <c r="P79" s="2">
        <v>2.91</v>
      </c>
      <c r="Q79" s="2">
        <v>11.95</v>
      </c>
      <c r="R79" s="2">
        <v>4.04</v>
      </c>
      <c r="S79" s="2">
        <v>0.72</v>
      </c>
      <c r="T79" s="2">
        <v>1.26</v>
      </c>
      <c r="U79" s="2">
        <v>1.4</v>
      </c>
      <c r="V79" s="2">
        <v>0.97</v>
      </c>
      <c r="X79" s="1" t="s">
        <v>66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66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66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67</v>
      </c>
      <c r="C80" s="2">
        <v>68.459999999999994</v>
      </c>
      <c r="D80" s="2">
        <v>25.64</v>
      </c>
      <c r="E80" s="2">
        <v>39.54</v>
      </c>
      <c r="F80" s="2">
        <v>18.03</v>
      </c>
      <c r="G80" s="2">
        <v>8.69</v>
      </c>
      <c r="H80" s="2">
        <v>16.3</v>
      </c>
      <c r="I80" s="2">
        <v>64.930000000000007</v>
      </c>
      <c r="J80" s="2">
        <v>92.36</v>
      </c>
      <c r="K80" s="2">
        <v>80.02</v>
      </c>
      <c r="L80" s="2">
        <v>79.48</v>
      </c>
      <c r="M80" s="2">
        <v>139.13999999999999</v>
      </c>
      <c r="N80" s="2">
        <v>111.33</v>
      </c>
      <c r="O80" s="2">
        <v>105.22</v>
      </c>
      <c r="P80" s="2">
        <v>97.4</v>
      </c>
      <c r="Q80" s="2">
        <v>135.04</v>
      </c>
      <c r="R80" s="2">
        <v>94.15</v>
      </c>
      <c r="S80" s="2">
        <v>91.72</v>
      </c>
      <c r="T80" s="2">
        <v>74.099999999999994</v>
      </c>
      <c r="U80" s="2">
        <v>119.59</v>
      </c>
      <c r="V80" s="2">
        <v>72.37</v>
      </c>
      <c r="X80" s="1" t="s">
        <v>67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67</v>
      </c>
      <c r="AV80" s="2">
        <v>1.62</v>
      </c>
      <c r="AW80" s="2">
        <v>1.43</v>
      </c>
      <c r="AX80" s="2">
        <v>1.54</v>
      </c>
      <c r="AY80" s="2">
        <v>1.43</v>
      </c>
      <c r="AZ80" s="2">
        <v>0.56999999999999995</v>
      </c>
      <c r="BA80" s="2">
        <v>0.56000000000000005</v>
      </c>
      <c r="BB80" s="2">
        <v>1.73</v>
      </c>
      <c r="BC80" s="2">
        <v>1.69</v>
      </c>
      <c r="BD80" s="2">
        <v>2.11</v>
      </c>
      <c r="BE80" s="2">
        <v>1.85</v>
      </c>
      <c r="BF80" s="2">
        <v>4.07</v>
      </c>
      <c r="BG80" s="2">
        <v>3.35</v>
      </c>
      <c r="BH80" s="2">
        <v>3.09</v>
      </c>
      <c r="BI80" s="2">
        <v>2.8</v>
      </c>
      <c r="BJ80" s="2">
        <v>3.93</v>
      </c>
      <c r="BK80" s="2">
        <v>3.55</v>
      </c>
      <c r="BL80" s="2">
        <v>3.42</v>
      </c>
      <c r="BM80" s="2">
        <v>3.01</v>
      </c>
      <c r="BN80" s="2">
        <v>4.3600000000000003</v>
      </c>
      <c r="BO80" s="2">
        <v>3.9</v>
      </c>
      <c r="BR80" s="1" t="s">
        <v>67</v>
      </c>
      <c r="BS80" s="2">
        <v>-0.2</v>
      </c>
      <c r="BT80" s="2">
        <v>-0.09</v>
      </c>
      <c r="BU80" s="2">
        <v>-0.15</v>
      </c>
      <c r="BV80" s="2">
        <v>-0.09</v>
      </c>
      <c r="BW80" s="2">
        <v>-0.12</v>
      </c>
      <c r="BX80" s="2">
        <v>-0.11</v>
      </c>
      <c r="BY80" s="2">
        <v>-0.21</v>
      </c>
      <c r="BZ80" s="2">
        <v>-0.19</v>
      </c>
      <c r="CA80" s="2">
        <v>-0.19</v>
      </c>
      <c r="CB80" s="2">
        <v>-7.0000000000000007E-2</v>
      </c>
      <c r="CC80" s="2">
        <v>-0.24</v>
      </c>
      <c r="CD80" s="2">
        <v>-0.08</v>
      </c>
      <c r="CE80" s="2">
        <v>-0.2</v>
      </c>
      <c r="CF80" s="2">
        <v>-0.11</v>
      </c>
      <c r="CG80" s="2">
        <v>-0.17</v>
      </c>
      <c r="CH80" s="2">
        <v>-0.08</v>
      </c>
      <c r="CI80" s="2">
        <v>-0.15</v>
      </c>
      <c r="CJ80" s="2">
        <v>-0.03</v>
      </c>
      <c r="CK80" s="2">
        <v>-0.12</v>
      </c>
      <c r="CL80" s="2">
        <v>-0.01</v>
      </c>
    </row>
    <row r="81" spans="2:90" x14ac:dyDescent="0.3">
      <c r="B81" s="1" t="s">
        <v>68</v>
      </c>
      <c r="C81" s="2">
        <v>609.4</v>
      </c>
      <c r="D81" s="2">
        <v>71.510000000000005</v>
      </c>
      <c r="E81" s="2">
        <v>540.79</v>
      </c>
      <c r="F81" s="2">
        <v>37</v>
      </c>
      <c r="G81" s="2">
        <v>107.82</v>
      </c>
      <c r="H81" s="2">
        <v>186.85</v>
      </c>
      <c r="I81" s="2">
        <v>600.21</v>
      </c>
      <c r="J81" s="2">
        <v>442.25</v>
      </c>
      <c r="K81" s="2">
        <v>728.92</v>
      </c>
      <c r="L81" s="2">
        <v>420.13</v>
      </c>
      <c r="M81" s="2">
        <v>1243.8</v>
      </c>
      <c r="N81" s="2">
        <v>687.09</v>
      </c>
      <c r="O81" s="2">
        <v>1111.07</v>
      </c>
      <c r="P81" s="2">
        <v>578.34</v>
      </c>
      <c r="Q81" s="2">
        <v>1417.31</v>
      </c>
      <c r="R81" s="2">
        <v>621.88</v>
      </c>
      <c r="S81" s="2">
        <v>522.83000000000004</v>
      </c>
      <c r="T81" s="2">
        <v>479.16</v>
      </c>
      <c r="U81" s="2">
        <v>501.66</v>
      </c>
      <c r="V81" s="2">
        <v>412.82</v>
      </c>
      <c r="X81" s="1" t="s">
        <v>68</v>
      </c>
      <c r="Y81" s="2">
        <v>1.33</v>
      </c>
      <c r="Z81" s="2">
        <v>1.3</v>
      </c>
      <c r="AA81" s="2">
        <v>1.32</v>
      </c>
      <c r="AB81" s="2">
        <v>1.3</v>
      </c>
      <c r="AC81" s="2">
        <v>0.52</v>
      </c>
      <c r="AD81" s="2">
        <v>0.51</v>
      </c>
      <c r="AE81" s="2">
        <v>1.47</v>
      </c>
      <c r="AF81" s="2">
        <v>1.37</v>
      </c>
      <c r="AG81" s="2">
        <v>1.9</v>
      </c>
      <c r="AH81" s="2">
        <v>1.71</v>
      </c>
      <c r="AI81" s="2">
        <v>3.46</v>
      </c>
      <c r="AJ81" s="2">
        <v>3.09</v>
      </c>
      <c r="AK81" s="2">
        <v>2.7</v>
      </c>
      <c r="AL81" s="2">
        <v>2.4900000000000002</v>
      </c>
      <c r="AM81" s="2">
        <v>3.49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68</v>
      </c>
      <c r="AV81" s="2">
        <v>3.04</v>
      </c>
      <c r="AW81" s="2">
        <v>1.42</v>
      </c>
      <c r="AX81" s="2">
        <v>3.09</v>
      </c>
      <c r="AY81" s="2">
        <v>1.42</v>
      </c>
      <c r="AZ81" s="2">
        <v>0.87</v>
      </c>
      <c r="BA81" s="2">
        <v>0.78</v>
      </c>
      <c r="BB81" s="2">
        <v>2.42</v>
      </c>
      <c r="BC81" s="2">
        <v>1.74</v>
      </c>
      <c r="BD81" s="2">
        <v>3.11</v>
      </c>
      <c r="BE81" s="2">
        <v>1.97</v>
      </c>
      <c r="BF81" s="2">
        <v>5.68</v>
      </c>
      <c r="BG81" s="2">
        <v>3.56</v>
      </c>
      <c r="BH81" s="2">
        <v>4.49</v>
      </c>
      <c r="BI81" s="2">
        <v>2.89</v>
      </c>
      <c r="BJ81" s="2">
        <v>5.8</v>
      </c>
      <c r="BK81" s="2">
        <v>3.7</v>
      </c>
      <c r="BL81" s="2">
        <v>3.51</v>
      </c>
      <c r="BM81" s="2">
        <v>3.13</v>
      </c>
      <c r="BN81" s="2">
        <v>4.1100000000000003</v>
      </c>
      <c r="BO81" s="2">
        <v>3.99</v>
      </c>
      <c r="BR81" s="1" t="s">
        <v>68</v>
      </c>
      <c r="BS81" s="2">
        <v>-0.56000000000000005</v>
      </c>
      <c r="BT81" s="2">
        <v>-0.09</v>
      </c>
      <c r="BU81" s="2">
        <v>-0.56999999999999995</v>
      </c>
      <c r="BV81" s="2">
        <v>-0.08</v>
      </c>
      <c r="BW81" s="2">
        <v>-0.4</v>
      </c>
      <c r="BX81" s="2">
        <v>-0.34</v>
      </c>
      <c r="BY81" s="2">
        <v>-0.39</v>
      </c>
      <c r="BZ81" s="2">
        <v>-0.21</v>
      </c>
      <c r="CA81" s="2">
        <v>-0.39</v>
      </c>
      <c r="CB81" s="2">
        <v>-0.13</v>
      </c>
      <c r="CC81" s="2">
        <v>-0.39</v>
      </c>
      <c r="CD81" s="2">
        <v>-0.13</v>
      </c>
      <c r="CE81" s="2">
        <v>-0.4</v>
      </c>
      <c r="CF81" s="2">
        <v>-0.14000000000000001</v>
      </c>
      <c r="CG81" s="2">
        <v>-0.4</v>
      </c>
      <c r="CH81" s="2">
        <v>-0.12</v>
      </c>
      <c r="CI81" s="2">
        <v>-0.17</v>
      </c>
      <c r="CJ81" s="2">
        <v>-7.0000000000000007E-2</v>
      </c>
      <c r="CK81" s="2">
        <v>-0.06</v>
      </c>
      <c r="CL81" s="2">
        <v>-0.03</v>
      </c>
    </row>
    <row r="82" spans="2:90" x14ac:dyDescent="0.3">
      <c r="B82" s="1" t="s">
        <v>69</v>
      </c>
      <c r="C82" s="2">
        <v>136.38999999999999</v>
      </c>
      <c r="D82" s="2">
        <v>25.63</v>
      </c>
      <c r="E82" s="2">
        <v>119.34</v>
      </c>
      <c r="F82" s="2">
        <v>14.08</v>
      </c>
      <c r="G82" s="2">
        <v>31.29</v>
      </c>
      <c r="H82" s="2">
        <v>46.54</v>
      </c>
      <c r="I82" s="2">
        <v>272.83999999999997</v>
      </c>
      <c r="J82" s="2">
        <v>112.4</v>
      </c>
      <c r="K82" s="2">
        <v>272.55</v>
      </c>
      <c r="L82" s="2">
        <v>102.9</v>
      </c>
      <c r="M82" s="2">
        <v>450.23</v>
      </c>
      <c r="N82" s="2">
        <v>147.29</v>
      </c>
      <c r="O82" s="2">
        <v>394.09</v>
      </c>
      <c r="P82" s="2">
        <v>125.74</v>
      </c>
      <c r="Q82" s="2">
        <v>430.05</v>
      </c>
      <c r="R82" s="2">
        <v>183.14</v>
      </c>
      <c r="S82" s="2">
        <v>171.83</v>
      </c>
      <c r="T82" s="2">
        <v>106.86</v>
      </c>
      <c r="U82" s="2">
        <v>159.87</v>
      </c>
      <c r="V82" s="2">
        <v>137.91999999999999</v>
      </c>
      <c r="X82" s="1" t="s">
        <v>69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0.51</v>
      </c>
      <c r="AE82" s="2">
        <v>1.37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69</v>
      </c>
      <c r="AV82" s="2">
        <v>2.64</v>
      </c>
      <c r="AW82" s="2">
        <v>1.45</v>
      </c>
      <c r="AX82" s="2">
        <v>2.58</v>
      </c>
      <c r="AY82" s="2">
        <v>1.43</v>
      </c>
      <c r="AZ82" s="2">
        <v>0.8</v>
      </c>
      <c r="BA82" s="2">
        <v>0.82</v>
      </c>
      <c r="BB82" s="2">
        <v>2.81</v>
      </c>
      <c r="BC82" s="2">
        <v>1.87</v>
      </c>
      <c r="BD82" s="2">
        <v>2.73</v>
      </c>
      <c r="BE82" s="2">
        <v>2.08</v>
      </c>
      <c r="BF82" s="2">
        <v>4.92</v>
      </c>
      <c r="BG82" s="2">
        <v>3.64</v>
      </c>
      <c r="BH82" s="2">
        <v>3.96</v>
      </c>
      <c r="BI82" s="2">
        <v>2.95</v>
      </c>
      <c r="BJ82" s="2">
        <v>4.67</v>
      </c>
      <c r="BK82" s="2">
        <v>3.7</v>
      </c>
      <c r="BL82" s="2">
        <v>3.31</v>
      </c>
      <c r="BM82" s="2">
        <v>3.18</v>
      </c>
      <c r="BN82" s="2">
        <v>4.18</v>
      </c>
      <c r="BO82" s="2">
        <v>4.09</v>
      </c>
      <c r="BR82" s="1" t="s">
        <v>69</v>
      </c>
      <c r="BS82" s="2">
        <v>-0.51</v>
      </c>
      <c r="BT82" s="2">
        <v>-0.11</v>
      </c>
      <c r="BU82" s="2">
        <v>-0.49</v>
      </c>
      <c r="BV82" s="2">
        <v>-0.09</v>
      </c>
      <c r="BW82" s="2">
        <v>-0.37</v>
      </c>
      <c r="BX82" s="2">
        <v>-0.38</v>
      </c>
      <c r="BY82" s="2">
        <v>-0.51</v>
      </c>
      <c r="BZ82" s="2">
        <v>-0.27</v>
      </c>
      <c r="CA82" s="2">
        <v>-0.37</v>
      </c>
      <c r="CB82" s="2">
        <v>-0.17</v>
      </c>
      <c r="CC82" s="2">
        <v>-0.37</v>
      </c>
      <c r="CD82" s="2">
        <v>-0.15</v>
      </c>
      <c r="CE82" s="2">
        <v>-0.37</v>
      </c>
      <c r="CF82" s="2">
        <v>-0.16</v>
      </c>
      <c r="CG82" s="2">
        <v>-0.3</v>
      </c>
      <c r="CH82" s="2">
        <v>-0.12</v>
      </c>
      <c r="CI82" s="2">
        <v>-0.12</v>
      </c>
      <c r="CJ82" s="2">
        <v>-0.08</v>
      </c>
      <c r="CK82" s="2">
        <v>-0.08</v>
      </c>
      <c r="CL82" s="2">
        <v>-0.06</v>
      </c>
    </row>
    <row r="83" spans="2:90" x14ac:dyDescent="0.3">
      <c r="B83" s="1" t="s">
        <v>70</v>
      </c>
      <c r="C83" s="2">
        <v>297.89999999999998</v>
      </c>
      <c r="D83" s="2">
        <v>344.19</v>
      </c>
      <c r="E83" s="2">
        <v>361.95</v>
      </c>
      <c r="F83" s="2">
        <v>122.67</v>
      </c>
      <c r="G83" s="2">
        <v>105.08</v>
      </c>
      <c r="H83" s="2">
        <v>153.69</v>
      </c>
      <c r="I83" s="2">
        <v>344.1</v>
      </c>
      <c r="J83" s="2">
        <v>602.12</v>
      </c>
      <c r="K83" s="2">
        <v>747.04</v>
      </c>
      <c r="L83" s="2">
        <v>750.59</v>
      </c>
      <c r="M83" s="2">
        <v>986.86</v>
      </c>
      <c r="N83" s="2">
        <v>884.05</v>
      </c>
      <c r="O83" s="2">
        <v>744.11</v>
      </c>
      <c r="P83" s="2">
        <v>704.66</v>
      </c>
      <c r="Q83" s="2">
        <v>787.08</v>
      </c>
      <c r="R83" s="2">
        <v>789.96</v>
      </c>
      <c r="S83" s="2">
        <v>634.88</v>
      </c>
      <c r="T83" s="2">
        <v>480.52</v>
      </c>
      <c r="U83" s="2">
        <v>711.11</v>
      </c>
      <c r="V83" s="2">
        <v>504.24</v>
      </c>
      <c r="X83" s="1" t="s">
        <v>70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70</v>
      </c>
      <c r="AV83" s="2">
        <v>2</v>
      </c>
      <c r="AW83" s="2">
        <v>1.94</v>
      </c>
      <c r="AX83" s="2">
        <v>2.44</v>
      </c>
      <c r="AY83" s="2">
        <v>1.59</v>
      </c>
      <c r="AZ83" s="2">
        <v>0.76</v>
      </c>
      <c r="BA83" s="2">
        <v>0.77</v>
      </c>
      <c r="BB83" s="2">
        <v>1.64</v>
      </c>
      <c r="BC83" s="2">
        <v>2.11</v>
      </c>
      <c r="BD83" s="2">
        <v>2.44</v>
      </c>
      <c r="BE83" s="2">
        <v>2.5099999999999998</v>
      </c>
      <c r="BF83" s="2">
        <v>4.2</v>
      </c>
      <c r="BG83" s="2">
        <v>4.07</v>
      </c>
      <c r="BH83" s="2">
        <v>3.2</v>
      </c>
      <c r="BI83" s="2">
        <v>3.16</v>
      </c>
      <c r="BJ83" s="2">
        <v>3.83</v>
      </c>
      <c r="BK83" s="2">
        <v>3.87</v>
      </c>
      <c r="BL83" s="2">
        <v>3.28</v>
      </c>
      <c r="BM83" s="2">
        <v>3.2</v>
      </c>
      <c r="BN83" s="2">
        <v>4.29</v>
      </c>
      <c r="BO83" s="2">
        <v>4.07</v>
      </c>
      <c r="BR83" s="1" t="s">
        <v>70</v>
      </c>
      <c r="BS83" s="2">
        <v>-0.35</v>
      </c>
      <c r="BT83" s="2">
        <v>-0.33</v>
      </c>
      <c r="BU83" s="2">
        <v>-0.47</v>
      </c>
      <c r="BV83" s="2">
        <v>-0.18</v>
      </c>
      <c r="BW83" s="2">
        <v>-0.34</v>
      </c>
      <c r="BX83" s="2">
        <v>-0.35</v>
      </c>
      <c r="BY83" s="2">
        <v>-0.16</v>
      </c>
      <c r="BZ83" s="2">
        <v>-0.35</v>
      </c>
      <c r="CA83" s="2">
        <v>-0.3</v>
      </c>
      <c r="CB83" s="2">
        <v>-0.31</v>
      </c>
      <c r="CC83" s="2">
        <v>-0.26</v>
      </c>
      <c r="CD83" s="2">
        <v>-0.24</v>
      </c>
      <c r="CE83" s="2">
        <v>-0.22</v>
      </c>
      <c r="CF83" s="2">
        <v>-0.21</v>
      </c>
      <c r="CG83" s="2">
        <v>-0.15</v>
      </c>
      <c r="CH83" s="2">
        <v>-0.16</v>
      </c>
      <c r="CI83" s="2">
        <v>-0.11</v>
      </c>
      <c r="CJ83" s="2">
        <v>-0.09</v>
      </c>
      <c r="CK83" s="2">
        <v>-0.1</v>
      </c>
      <c r="CL83" s="2">
        <v>-0.05</v>
      </c>
    </row>
    <row r="84" spans="2:90" x14ac:dyDescent="0.3">
      <c r="B84" s="1" t="s">
        <v>71</v>
      </c>
      <c r="C84" s="2">
        <v>69.98</v>
      </c>
      <c r="D84" s="2">
        <v>26.86</v>
      </c>
      <c r="E84" s="2">
        <v>82.51</v>
      </c>
      <c r="F84" s="2">
        <v>29.75</v>
      </c>
      <c r="G84" s="2">
        <v>19.25</v>
      </c>
      <c r="H84" s="2">
        <v>14.72</v>
      </c>
      <c r="I84" s="2">
        <v>37.479999999999997</v>
      </c>
      <c r="J84" s="2">
        <v>47.48</v>
      </c>
      <c r="K84" s="2">
        <v>40.79</v>
      </c>
      <c r="L84" s="2">
        <v>107.63</v>
      </c>
      <c r="M84" s="2">
        <v>101.9</v>
      </c>
      <c r="N84" s="2">
        <v>171.82</v>
      </c>
      <c r="O84" s="2">
        <v>90.96</v>
      </c>
      <c r="P84" s="2">
        <v>110.14</v>
      </c>
      <c r="Q84" s="2">
        <v>113.96</v>
      </c>
      <c r="R84" s="2">
        <v>184.52</v>
      </c>
      <c r="S84" s="2">
        <v>106.01</v>
      </c>
      <c r="T84" s="2">
        <v>75.77</v>
      </c>
      <c r="U84" s="2">
        <v>96.33</v>
      </c>
      <c r="V84" s="2">
        <v>63.35</v>
      </c>
      <c r="X84" s="1" t="s">
        <v>71</v>
      </c>
      <c r="Y84" s="2">
        <v>1.31</v>
      </c>
      <c r="Z84" s="2">
        <v>1.31</v>
      </c>
      <c r="AA84" s="2">
        <v>1.3</v>
      </c>
      <c r="AB84" s="2">
        <v>1.3</v>
      </c>
      <c r="AC84" s="2">
        <v>0.5</v>
      </c>
      <c r="AD84" s="2">
        <v>0.5</v>
      </c>
      <c r="AE84" s="2">
        <v>1.37</v>
      </c>
      <c r="AF84" s="2">
        <v>1.37</v>
      </c>
      <c r="AG84" s="2">
        <v>1.71</v>
      </c>
      <c r="AH84" s="2">
        <v>1.72</v>
      </c>
      <c r="AI84" s="2">
        <v>3.09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2.91</v>
      </c>
      <c r="AP84" s="2">
        <v>2.92</v>
      </c>
      <c r="AQ84" s="2">
        <v>3.86</v>
      </c>
      <c r="AR84" s="2">
        <v>3.86</v>
      </c>
      <c r="AU84" s="1" t="s">
        <v>71</v>
      </c>
      <c r="AV84" s="2">
        <v>2.0499999999999998</v>
      </c>
      <c r="AW84" s="2">
        <v>2.06</v>
      </c>
      <c r="AX84" s="2">
        <v>2.56</v>
      </c>
      <c r="AY84" s="2">
        <v>2.5499999999999998</v>
      </c>
      <c r="AZ84" s="2">
        <v>0.77</v>
      </c>
      <c r="BA84" s="2">
        <v>0.78</v>
      </c>
      <c r="BB84" s="2">
        <v>1.69</v>
      </c>
      <c r="BC84" s="2">
        <v>2.12</v>
      </c>
      <c r="BD84" s="2">
        <v>1.98</v>
      </c>
      <c r="BE84" s="2">
        <v>3.22</v>
      </c>
      <c r="BF84" s="2">
        <v>3.82</v>
      </c>
      <c r="BG84" s="2">
        <v>5.79</v>
      </c>
      <c r="BH84" s="2">
        <v>3.05</v>
      </c>
      <c r="BI84" s="2">
        <v>4.1100000000000003</v>
      </c>
      <c r="BJ84" s="2">
        <v>3.97</v>
      </c>
      <c r="BK84" s="2">
        <v>5.36</v>
      </c>
      <c r="BL84" s="2">
        <v>3.42</v>
      </c>
      <c r="BM84" s="2">
        <v>4.03</v>
      </c>
      <c r="BN84" s="2">
        <v>4.2699999999999996</v>
      </c>
      <c r="BO84" s="2">
        <v>4.13</v>
      </c>
      <c r="BR84" s="1" t="s">
        <v>71</v>
      </c>
      <c r="BS84" s="2">
        <v>-0.36</v>
      </c>
      <c r="BT84" s="2">
        <v>-0.36</v>
      </c>
      <c r="BU84" s="2">
        <v>-0.49</v>
      </c>
      <c r="BV84" s="2">
        <v>-0.49</v>
      </c>
      <c r="BW84" s="2">
        <v>-0.35</v>
      </c>
      <c r="BX84" s="2">
        <v>-0.35</v>
      </c>
      <c r="BY84" s="2">
        <v>-0.19</v>
      </c>
      <c r="BZ84" s="2">
        <v>-0.35</v>
      </c>
      <c r="CA84" s="2">
        <v>-0.13</v>
      </c>
      <c r="CB84" s="2">
        <v>-0.47</v>
      </c>
      <c r="CC84" s="2">
        <v>-0.19</v>
      </c>
      <c r="CD84" s="2">
        <v>-0.47</v>
      </c>
      <c r="CE84" s="2">
        <v>-0.19</v>
      </c>
      <c r="CF84" s="2">
        <v>-0.4</v>
      </c>
      <c r="CG84" s="2">
        <v>-0.18</v>
      </c>
      <c r="CH84" s="2">
        <v>-0.39</v>
      </c>
      <c r="CI84" s="2">
        <v>-0.15</v>
      </c>
      <c r="CJ84" s="2">
        <v>-0.28000000000000003</v>
      </c>
      <c r="CK84" s="2">
        <v>-0.1</v>
      </c>
      <c r="CL84" s="2">
        <v>-7.0000000000000007E-2</v>
      </c>
    </row>
    <row r="85" spans="2:90" x14ac:dyDescent="0.3">
      <c r="B85" s="1" t="s">
        <v>72</v>
      </c>
      <c r="C85" s="2">
        <v>268.85000000000002</v>
      </c>
      <c r="D85" s="2">
        <v>277.06</v>
      </c>
      <c r="E85" s="2">
        <v>153.01</v>
      </c>
      <c r="F85" s="2">
        <v>228.99</v>
      </c>
      <c r="G85" s="2">
        <v>48.05</v>
      </c>
      <c r="H85" s="2">
        <v>116.16</v>
      </c>
      <c r="I85" s="2">
        <v>182.23</v>
      </c>
      <c r="J85" s="2">
        <v>194.06</v>
      </c>
      <c r="K85" s="2">
        <v>185.15</v>
      </c>
      <c r="L85" s="2">
        <v>286.39</v>
      </c>
      <c r="M85" s="2">
        <v>301.7</v>
      </c>
      <c r="N85" s="2">
        <v>494.79</v>
      </c>
      <c r="O85" s="2">
        <v>237.81</v>
      </c>
      <c r="P85" s="2">
        <v>395.96</v>
      </c>
      <c r="Q85" s="2">
        <v>413.16</v>
      </c>
      <c r="R85" s="2">
        <v>549.84</v>
      </c>
      <c r="S85" s="2">
        <v>291.05</v>
      </c>
      <c r="T85" s="2">
        <v>215.51</v>
      </c>
      <c r="U85" s="2">
        <v>286.83999999999997</v>
      </c>
      <c r="V85" s="2">
        <v>212.78</v>
      </c>
      <c r="X85" s="1" t="s">
        <v>72</v>
      </c>
      <c r="Y85" s="2">
        <v>1.33</v>
      </c>
      <c r="Z85" s="2">
        <v>1.34</v>
      </c>
      <c r="AA85" s="2">
        <v>1.3</v>
      </c>
      <c r="AB85" s="2">
        <v>1.34</v>
      </c>
      <c r="AC85" s="2">
        <v>0.5</v>
      </c>
      <c r="AD85" s="2">
        <v>0.51</v>
      </c>
      <c r="AE85" s="2">
        <v>1.38</v>
      </c>
      <c r="AF85" s="2">
        <v>1.42</v>
      </c>
      <c r="AG85" s="2">
        <v>1.72</v>
      </c>
      <c r="AH85" s="2">
        <v>1.96</v>
      </c>
      <c r="AI85" s="2">
        <v>3.09</v>
      </c>
      <c r="AJ85" s="2">
        <v>3.52</v>
      </c>
      <c r="AK85" s="2">
        <v>2.4900000000000002</v>
      </c>
      <c r="AL85" s="2">
        <v>2.66</v>
      </c>
      <c r="AM85" s="2">
        <v>3.27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72</v>
      </c>
      <c r="AV85" s="2">
        <v>2.91</v>
      </c>
      <c r="AW85" s="2">
        <v>2.94</v>
      </c>
      <c r="AX85" s="2">
        <v>2.37</v>
      </c>
      <c r="AY85" s="2">
        <v>2.87</v>
      </c>
      <c r="AZ85" s="2">
        <v>0.73</v>
      </c>
      <c r="BA85" s="2">
        <v>1.1000000000000001</v>
      </c>
      <c r="BB85" s="2">
        <v>1.89</v>
      </c>
      <c r="BC85" s="2">
        <v>2.33</v>
      </c>
      <c r="BD85" s="2">
        <v>2.0499999999999998</v>
      </c>
      <c r="BE85" s="2">
        <v>3.09</v>
      </c>
      <c r="BF85" s="2">
        <v>3.81</v>
      </c>
      <c r="BG85" s="2">
        <v>5.56</v>
      </c>
      <c r="BH85" s="2">
        <v>3.08</v>
      </c>
      <c r="BI85" s="2">
        <v>4.1100000000000003</v>
      </c>
      <c r="BJ85" s="2">
        <v>4.1900000000000004</v>
      </c>
      <c r="BK85" s="2">
        <v>5.37</v>
      </c>
      <c r="BL85" s="2">
        <v>3.4</v>
      </c>
      <c r="BM85" s="2">
        <v>3.45</v>
      </c>
      <c r="BN85" s="2">
        <v>4.34</v>
      </c>
      <c r="BO85" s="2">
        <v>4.3</v>
      </c>
      <c r="BR85" s="1" t="s">
        <v>72</v>
      </c>
      <c r="BS85" s="2">
        <v>-0.54</v>
      </c>
      <c r="BT85" s="2">
        <v>-0.55000000000000004</v>
      </c>
      <c r="BU85" s="2">
        <v>-0.45</v>
      </c>
      <c r="BV85" s="2">
        <v>-0.53</v>
      </c>
      <c r="BW85" s="2">
        <v>-0.31</v>
      </c>
      <c r="BX85" s="2">
        <v>-0.54</v>
      </c>
      <c r="BY85" s="2">
        <v>-0.27</v>
      </c>
      <c r="BZ85" s="2">
        <v>-0.39</v>
      </c>
      <c r="CA85" s="2">
        <v>-0.16</v>
      </c>
      <c r="CB85" s="2">
        <v>-0.37</v>
      </c>
      <c r="CC85" s="2">
        <v>-0.19</v>
      </c>
      <c r="CD85" s="2">
        <v>-0.37</v>
      </c>
      <c r="CE85" s="2">
        <v>-0.19</v>
      </c>
      <c r="CF85" s="2">
        <v>-0.35</v>
      </c>
      <c r="CG85" s="2">
        <v>-0.22</v>
      </c>
      <c r="CH85" s="2">
        <v>-0.39</v>
      </c>
      <c r="CI85" s="2">
        <v>-0.14000000000000001</v>
      </c>
      <c r="CJ85" s="2">
        <v>-0.15</v>
      </c>
      <c r="CK85" s="2">
        <v>-0.11</v>
      </c>
      <c r="CL85" s="2">
        <v>-0.1</v>
      </c>
    </row>
    <row r="86" spans="2:90" x14ac:dyDescent="0.3">
      <c r="B86" s="1" t="s">
        <v>73</v>
      </c>
      <c r="C86" s="2">
        <v>12.82</v>
      </c>
      <c r="D86" s="2">
        <v>31.03</v>
      </c>
      <c r="E86" s="2">
        <v>3.5</v>
      </c>
      <c r="F86" s="2">
        <v>4.96</v>
      </c>
      <c r="G86" s="2">
        <v>0.85</v>
      </c>
      <c r="H86" s="2">
        <v>2.14</v>
      </c>
      <c r="I86" s="2">
        <v>11.67</v>
      </c>
      <c r="J86" s="2">
        <v>28.4</v>
      </c>
      <c r="K86" s="2">
        <v>24.06</v>
      </c>
      <c r="L86" s="2">
        <v>57.93</v>
      </c>
      <c r="M86" s="2">
        <v>73.48</v>
      </c>
      <c r="N86" s="2">
        <v>71.010000000000005</v>
      </c>
      <c r="O86" s="2">
        <v>66.989999999999995</v>
      </c>
      <c r="P86" s="2">
        <v>36.299999999999997</v>
      </c>
      <c r="Q86" s="2">
        <v>44.18</v>
      </c>
      <c r="R86" s="2">
        <v>19.64</v>
      </c>
      <c r="S86" s="2">
        <v>18.05</v>
      </c>
      <c r="T86" s="2">
        <v>14.53</v>
      </c>
      <c r="U86" s="2">
        <v>40.1</v>
      </c>
      <c r="V86" s="2">
        <v>38.840000000000003</v>
      </c>
      <c r="X86" s="1" t="s">
        <v>73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73</v>
      </c>
      <c r="AV86" s="2">
        <v>1.48</v>
      </c>
      <c r="AW86" s="2">
        <v>1.63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1.91</v>
      </c>
      <c r="BD86" s="2">
        <v>1.81</v>
      </c>
      <c r="BE86" s="2">
        <v>2.27</v>
      </c>
      <c r="BF86" s="2">
        <v>3.62</v>
      </c>
      <c r="BG86" s="2">
        <v>4.09</v>
      </c>
      <c r="BH86" s="2">
        <v>3.05</v>
      </c>
      <c r="BI86" s="2">
        <v>3.13</v>
      </c>
      <c r="BJ86" s="2">
        <v>3.76</v>
      </c>
      <c r="BK86" s="2">
        <v>3.66</v>
      </c>
      <c r="BL86" s="2">
        <v>3.24</v>
      </c>
      <c r="BM86" s="2">
        <v>3.08</v>
      </c>
      <c r="BN86" s="2">
        <v>4.12</v>
      </c>
      <c r="BO86" s="2">
        <v>3.98</v>
      </c>
      <c r="BR86" s="1" t="s">
        <v>73</v>
      </c>
      <c r="BS86" s="2">
        <v>-0.12</v>
      </c>
      <c r="BT86" s="2">
        <v>-0.2</v>
      </c>
      <c r="BU86" s="2">
        <v>-0.08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-0.06</v>
      </c>
      <c r="CB86" s="2">
        <v>-0.24</v>
      </c>
      <c r="CC86" s="2">
        <v>-0.15</v>
      </c>
      <c r="CD86" s="2">
        <v>-0.25</v>
      </c>
      <c r="CE86" s="2">
        <v>-0.19</v>
      </c>
      <c r="CF86" s="2">
        <v>-0.21</v>
      </c>
      <c r="CG86" s="2">
        <v>-0.13</v>
      </c>
      <c r="CH86" s="2">
        <v>-0.11</v>
      </c>
      <c r="CI86" s="2">
        <v>-0.1</v>
      </c>
      <c r="CJ86" s="2">
        <v>-0.06</v>
      </c>
      <c r="CK86" s="2">
        <v>-0.06</v>
      </c>
      <c r="CL86" s="2">
        <v>-0.03</v>
      </c>
    </row>
    <row r="87" spans="2:90" x14ac:dyDescent="0.3">
      <c r="W87" s="5">
        <f>SUM(C79:V86)/$W$45</f>
        <v>2.0558590319357434E-2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63</v>
      </c>
      <c r="D90" s="1" t="s">
        <v>64</v>
      </c>
      <c r="E90" s="1" t="s">
        <v>63</v>
      </c>
      <c r="F90" s="1" t="s">
        <v>64</v>
      </c>
      <c r="G90" s="1" t="s">
        <v>63</v>
      </c>
      <c r="H90" s="1" t="s">
        <v>64</v>
      </c>
      <c r="I90" s="1" t="s">
        <v>63</v>
      </c>
      <c r="J90" s="1" t="s">
        <v>64</v>
      </c>
      <c r="K90" s="1" t="s">
        <v>63</v>
      </c>
      <c r="L90" s="1" t="s">
        <v>64</v>
      </c>
      <c r="M90" s="1" t="s">
        <v>63</v>
      </c>
      <c r="N90" s="1" t="s">
        <v>64</v>
      </c>
      <c r="O90" s="1" t="s">
        <v>63</v>
      </c>
      <c r="P90" s="1" t="s">
        <v>64</v>
      </c>
      <c r="Q90" s="1" t="s">
        <v>63</v>
      </c>
      <c r="R90" s="1" t="s">
        <v>64</v>
      </c>
      <c r="S90" s="1" t="s">
        <v>63</v>
      </c>
      <c r="T90" s="1" t="s">
        <v>64</v>
      </c>
      <c r="U90" s="1" t="s">
        <v>63</v>
      </c>
      <c r="V90" s="1" t="s">
        <v>64</v>
      </c>
      <c r="X90" s="1" t="s">
        <v>6</v>
      </c>
      <c r="Y90" s="3" t="s">
        <v>63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64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63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64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63</v>
      </c>
      <c r="BT90" s="1" t="s">
        <v>64</v>
      </c>
      <c r="BU90" s="1" t="s">
        <v>63</v>
      </c>
      <c r="BV90" s="1" t="s">
        <v>64</v>
      </c>
      <c r="BW90" s="1" t="s">
        <v>63</v>
      </c>
      <c r="BX90" s="1" t="s">
        <v>64</v>
      </c>
      <c r="BY90" s="1" t="s">
        <v>63</v>
      </c>
      <c r="BZ90" s="1" t="s">
        <v>64</v>
      </c>
      <c r="CA90" s="1" t="s">
        <v>63</v>
      </c>
      <c r="CB90" s="1" t="s">
        <v>64</v>
      </c>
      <c r="CC90" s="1" t="s">
        <v>63</v>
      </c>
      <c r="CD90" s="1" t="s">
        <v>64</v>
      </c>
      <c r="CE90" s="1" t="s">
        <v>63</v>
      </c>
      <c r="CF90" s="1" t="s">
        <v>64</v>
      </c>
      <c r="CG90" s="1" t="s">
        <v>63</v>
      </c>
      <c r="CH90" s="1" t="s">
        <v>64</v>
      </c>
      <c r="CI90" s="1" t="s">
        <v>63</v>
      </c>
      <c r="CJ90" s="1" t="s">
        <v>64</v>
      </c>
      <c r="CK90" s="1" t="s">
        <v>63</v>
      </c>
      <c r="CL90" s="1" t="s">
        <v>64</v>
      </c>
    </row>
    <row r="91" spans="2:90" x14ac:dyDescent="0.3">
      <c r="B91" s="1" t="s">
        <v>65</v>
      </c>
      <c r="C91" s="1" t="s">
        <v>53</v>
      </c>
      <c r="D91" s="1" t="s">
        <v>53</v>
      </c>
      <c r="E91" s="1" t="s">
        <v>54</v>
      </c>
      <c r="F91" s="1" t="s">
        <v>54</v>
      </c>
      <c r="G91" s="1" t="s">
        <v>55</v>
      </c>
      <c r="H91" s="1" t="s">
        <v>55</v>
      </c>
      <c r="I91" s="1" t="s">
        <v>56</v>
      </c>
      <c r="J91" s="1" t="s">
        <v>56</v>
      </c>
      <c r="K91" s="1" t="s">
        <v>57</v>
      </c>
      <c r="L91" s="1" t="s">
        <v>57</v>
      </c>
      <c r="M91" s="1" t="s">
        <v>58</v>
      </c>
      <c r="N91" s="1" t="s">
        <v>58</v>
      </c>
      <c r="O91" s="1" t="s">
        <v>59</v>
      </c>
      <c r="P91" s="1" t="s">
        <v>59</v>
      </c>
      <c r="Q91" s="1" t="s">
        <v>60</v>
      </c>
      <c r="R91" s="1" t="s">
        <v>60</v>
      </c>
      <c r="S91" s="1" t="s">
        <v>61</v>
      </c>
      <c r="T91" s="1" t="s">
        <v>61</v>
      </c>
      <c r="U91" s="1" t="s">
        <v>62</v>
      </c>
      <c r="V91" s="1" t="s">
        <v>62</v>
      </c>
      <c r="X91" s="1" t="s">
        <v>65</v>
      </c>
      <c r="Y91" s="1" t="s">
        <v>53</v>
      </c>
      <c r="Z91" s="1" t="s">
        <v>62</v>
      </c>
      <c r="AA91" s="1" t="s">
        <v>54</v>
      </c>
      <c r="AB91" s="1" t="s">
        <v>55</v>
      </c>
      <c r="AC91" s="1" t="s">
        <v>56</v>
      </c>
      <c r="AD91" s="1" t="s">
        <v>57</v>
      </c>
      <c r="AE91" s="1" t="s">
        <v>58</v>
      </c>
      <c r="AF91" s="1" t="s">
        <v>59</v>
      </c>
      <c r="AG91" s="1" t="s">
        <v>60</v>
      </c>
      <c r="AH91" s="1" t="s">
        <v>61</v>
      </c>
      <c r="AI91" s="1" t="s">
        <v>53</v>
      </c>
      <c r="AJ91" s="1" t="s">
        <v>62</v>
      </c>
      <c r="AK91" s="1" t="s">
        <v>54</v>
      </c>
      <c r="AL91" s="1" t="s">
        <v>55</v>
      </c>
      <c r="AM91" s="1" t="s">
        <v>56</v>
      </c>
      <c r="AN91" s="1" t="s">
        <v>57</v>
      </c>
      <c r="AO91" s="1" t="s">
        <v>58</v>
      </c>
      <c r="AP91" s="1" t="s">
        <v>59</v>
      </c>
      <c r="AQ91" s="1" t="s">
        <v>60</v>
      </c>
      <c r="AR91" s="1" t="s">
        <v>61</v>
      </c>
      <c r="AU91" s="1" t="s">
        <v>65</v>
      </c>
      <c r="AV91" s="1" t="s">
        <v>53</v>
      </c>
      <c r="AW91" s="1" t="s">
        <v>62</v>
      </c>
      <c r="AX91" s="1" t="s">
        <v>54</v>
      </c>
      <c r="AY91" s="1" t="s">
        <v>55</v>
      </c>
      <c r="AZ91" s="1" t="s">
        <v>56</v>
      </c>
      <c r="BA91" s="1" t="s">
        <v>57</v>
      </c>
      <c r="BB91" s="1" t="s">
        <v>58</v>
      </c>
      <c r="BC91" s="1" t="s">
        <v>59</v>
      </c>
      <c r="BD91" s="1" t="s">
        <v>60</v>
      </c>
      <c r="BE91" s="1" t="s">
        <v>61</v>
      </c>
      <c r="BF91" s="1" t="s">
        <v>53</v>
      </c>
      <c r="BG91" s="1" t="s">
        <v>62</v>
      </c>
      <c r="BH91" s="1" t="s">
        <v>54</v>
      </c>
      <c r="BI91" s="1" t="s">
        <v>55</v>
      </c>
      <c r="BJ91" s="1" t="s">
        <v>56</v>
      </c>
      <c r="BK91" s="1" t="s">
        <v>57</v>
      </c>
      <c r="BL91" s="1" t="s">
        <v>58</v>
      </c>
      <c r="BM91" s="1" t="s">
        <v>59</v>
      </c>
      <c r="BN91" s="1" t="s">
        <v>60</v>
      </c>
      <c r="BO91" s="1" t="s">
        <v>61</v>
      </c>
      <c r="BR91" s="1" t="s">
        <v>65</v>
      </c>
      <c r="BS91" s="1" t="s">
        <v>53</v>
      </c>
      <c r="BT91" s="1" t="s">
        <v>53</v>
      </c>
      <c r="BU91" s="1" t="s">
        <v>54</v>
      </c>
      <c r="BV91" s="1" t="s">
        <v>54</v>
      </c>
      <c r="BW91" s="1" t="s">
        <v>55</v>
      </c>
      <c r="BX91" s="1" t="s">
        <v>55</v>
      </c>
      <c r="BY91" s="1" t="s">
        <v>56</v>
      </c>
      <c r="BZ91" s="1" t="s">
        <v>56</v>
      </c>
      <c r="CA91" s="1" t="s">
        <v>57</v>
      </c>
      <c r="CB91" s="1" t="s">
        <v>57</v>
      </c>
      <c r="CC91" s="1" t="s">
        <v>58</v>
      </c>
      <c r="CD91" s="1" t="s">
        <v>58</v>
      </c>
      <c r="CE91" s="1" t="s">
        <v>59</v>
      </c>
      <c r="CF91" s="1" t="s">
        <v>59</v>
      </c>
      <c r="CG91" s="1" t="s">
        <v>60</v>
      </c>
      <c r="CH91" s="1" t="s">
        <v>60</v>
      </c>
      <c r="CI91" s="1" t="s">
        <v>61</v>
      </c>
      <c r="CJ91" s="1" t="s">
        <v>61</v>
      </c>
      <c r="CK91" s="1" t="s">
        <v>62</v>
      </c>
      <c r="CL91" s="1" t="s">
        <v>62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66</v>
      </c>
      <c r="C93" s="2">
        <v>606.66999999999996</v>
      </c>
      <c r="D93" s="2">
        <v>563.41</v>
      </c>
      <c r="E93" s="2">
        <v>39.020000000000003</v>
      </c>
      <c r="F93" s="2">
        <v>39.840000000000003</v>
      </c>
      <c r="G93" s="2">
        <v>23.06</v>
      </c>
      <c r="H93" s="2">
        <v>51.41</v>
      </c>
      <c r="I93" s="2">
        <v>430.19</v>
      </c>
      <c r="J93" s="2">
        <v>283.76</v>
      </c>
      <c r="K93" s="2">
        <v>736.49</v>
      </c>
      <c r="L93" s="2">
        <v>287.04000000000002</v>
      </c>
      <c r="M93" s="2">
        <v>1379.5</v>
      </c>
      <c r="N93" s="2">
        <v>340.74</v>
      </c>
      <c r="O93" s="2">
        <v>896.85</v>
      </c>
      <c r="P93" s="2">
        <v>158.61000000000001</v>
      </c>
      <c r="Q93" s="2">
        <v>1056.51</v>
      </c>
      <c r="R93" s="2">
        <v>396.1</v>
      </c>
      <c r="S93" s="2">
        <v>77.91</v>
      </c>
      <c r="T93" s="2">
        <v>81.67</v>
      </c>
      <c r="U93" s="2">
        <v>295.3</v>
      </c>
      <c r="V93" s="2">
        <v>126.16</v>
      </c>
      <c r="X93" s="1" t="s">
        <v>66</v>
      </c>
      <c r="Y93" s="2">
        <v>3295.04</v>
      </c>
      <c r="Z93" s="2">
        <v>1298.3</v>
      </c>
      <c r="AA93" s="2">
        <v>889.71</v>
      </c>
      <c r="AB93" s="2">
        <v>252.41</v>
      </c>
      <c r="AC93" s="2">
        <v>2782.61</v>
      </c>
      <c r="AD93" s="2">
        <v>5241.3900000000003</v>
      </c>
      <c r="AE93" s="2">
        <v>9793.35</v>
      </c>
      <c r="AF93" s="2">
        <v>7564.05</v>
      </c>
      <c r="AG93" s="2">
        <v>6899.54</v>
      </c>
      <c r="AH93" s="2">
        <v>363.92</v>
      </c>
      <c r="AI93" s="2">
        <v>3151.04</v>
      </c>
      <c r="AJ93" s="2">
        <v>292.5</v>
      </c>
      <c r="AK93" s="2">
        <v>802.45</v>
      </c>
      <c r="AL93" s="2">
        <v>454.06</v>
      </c>
      <c r="AM93" s="2">
        <v>1468.82</v>
      </c>
      <c r="AN93" s="2">
        <v>1590.88</v>
      </c>
      <c r="AO93" s="2">
        <v>2231.9899999999998</v>
      </c>
      <c r="AP93" s="2">
        <v>627.30999999999995</v>
      </c>
      <c r="AQ93" s="2">
        <v>2005.07</v>
      </c>
      <c r="AR93" s="2">
        <v>224.96</v>
      </c>
      <c r="AU93" s="1" t="s">
        <v>66</v>
      </c>
      <c r="AV93" s="2">
        <v>12403.37</v>
      </c>
      <c r="AW93" s="2">
        <v>42704.05</v>
      </c>
      <c r="AX93" s="2">
        <v>13595.67</v>
      </c>
      <c r="AY93" s="2">
        <v>3875.84</v>
      </c>
      <c r="AZ93" s="2">
        <v>15664.91</v>
      </c>
      <c r="BA93" s="2">
        <v>19720.61</v>
      </c>
      <c r="BB93" s="2">
        <v>36415.89</v>
      </c>
      <c r="BC93" s="2">
        <v>28092.9</v>
      </c>
      <c r="BD93" s="2">
        <v>38363.019999999997</v>
      </c>
      <c r="BE93" s="2">
        <v>35076.660000000003</v>
      </c>
      <c r="BF93" s="2">
        <v>12097.83</v>
      </c>
      <c r="BG93" s="2">
        <v>28192.95</v>
      </c>
      <c r="BH93" s="2">
        <v>12333.4</v>
      </c>
      <c r="BI93" s="2">
        <v>5071.04</v>
      </c>
      <c r="BJ93" s="2">
        <v>15203.5</v>
      </c>
      <c r="BK93" s="2">
        <v>18991.919999999998</v>
      </c>
      <c r="BL93" s="2">
        <v>34653.25</v>
      </c>
      <c r="BM93" s="2">
        <v>27528.79</v>
      </c>
      <c r="BN93" s="2">
        <v>37676.81</v>
      </c>
      <c r="BO93" s="2">
        <v>21682.94</v>
      </c>
      <c r="BR93" s="1" t="s">
        <v>66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67</v>
      </c>
      <c r="C94" s="2">
        <v>216.27</v>
      </c>
      <c r="D94" s="2">
        <v>127.66</v>
      </c>
      <c r="E94" s="2">
        <v>95.88</v>
      </c>
      <c r="F94" s="2">
        <v>70.94</v>
      </c>
      <c r="G94" s="2">
        <v>45.04</v>
      </c>
      <c r="H94" s="2">
        <v>43.87</v>
      </c>
      <c r="I94" s="2">
        <v>199.86</v>
      </c>
      <c r="J94" s="2">
        <v>286.08999999999997</v>
      </c>
      <c r="K94" s="2">
        <v>277.51</v>
      </c>
      <c r="L94" s="2">
        <v>239.47</v>
      </c>
      <c r="M94" s="2">
        <v>612.47</v>
      </c>
      <c r="N94" s="2">
        <v>485.29</v>
      </c>
      <c r="O94" s="2">
        <v>492.42</v>
      </c>
      <c r="P94" s="2">
        <v>431.85</v>
      </c>
      <c r="Q94" s="2">
        <v>632.79999999999995</v>
      </c>
      <c r="R94" s="2">
        <v>478.4</v>
      </c>
      <c r="S94" s="2">
        <v>521.05999999999995</v>
      </c>
      <c r="T94" s="2">
        <v>372.5</v>
      </c>
      <c r="U94" s="2">
        <v>821.95</v>
      </c>
      <c r="V94" s="2">
        <v>406.76</v>
      </c>
      <c r="X94" s="1" t="s">
        <v>67</v>
      </c>
      <c r="Y94" s="2">
        <v>953.32</v>
      </c>
      <c r="Z94" s="2">
        <v>3147.18</v>
      </c>
      <c r="AA94" s="2">
        <v>1051.99</v>
      </c>
      <c r="AB94" s="2">
        <v>266.89999999999998</v>
      </c>
      <c r="AC94" s="2">
        <v>1388.72</v>
      </c>
      <c r="AD94" s="2">
        <v>1612.12</v>
      </c>
      <c r="AE94" s="2">
        <v>3230.1</v>
      </c>
      <c r="AF94" s="2">
        <v>1887.32</v>
      </c>
      <c r="AG94" s="2">
        <v>2381.59</v>
      </c>
      <c r="AH94" s="2">
        <v>2119.37</v>
      </c>
      <c r="AI94" s="2">
        <v>583.48</v>
      </c>
      <c r="AJ94" s="2">
        <v>1807.34</v>
      </c>
      <c r="AK94" s="2">
        <v>637.41999999999996</v>
      </c>
      <c r="AL94" s="2">
        <v>296.31</v>
      </c>
      <c r="AM94" s="2">
        <v>877.6</v>
      </c>
      <c r="AN94" s="2">
        <v>1008.39</v>
      </c>
      <c r="AO94" s="2">
        <v>1836.43</v>
      </c>
      <c r="AP94" s="2">
        <v>1635.84</v>
      </c>
      <c r="AQ94" s="2">
        <v>2149.84</v>
      </c>
      <c r="AR94" s="2">
        <v>1530.72</v>
      </c>
      <c r="AU94" s="1" t="s">
        <v>67</v>
      </c>
      <c r="AV94" s="2">
        <v>7519.43</v>
      </c>
      <c r="AW94" s="2">
        <v>25059.72</v>
      </c>
      <c r="AX94" s="2">
        <v>7757.2</v>
      </c>
      <c r="AY94" s="2">
        <v>1723.4</v>
      </c>
      <c r="AZ94" s="2">
        <v>10285.040000000001</v>
      </c>
      <c r="BA94" s="2">
        <v>12799.28</v>
      </c>
      <c r="BB94" s="2">
        <v>22078.26</v>
      </c>
      <c r="BC94" s="2">
        <v>14288.59</v>
      </c>
      <c r="BD94" s="2">
        <v>17992.490000000002</v>
      </c>
      <c r="BE94" s="2">
        <v>15847.59</v>
      </c>
      <c r="BF94" s="2">
        <v>4296.59</v>
      </c>
      <c r="BG94" s="2">
        <v>14146.06</v>
      </c>
      <c r="BH94" s="2">
        <v>4674.6400000000003</v>
      </c>
      <c r="BI94" s="2">
        <v>2171.94</v>
      </c>
      <c r="BJ94" s="2">
        <v>5771.04</v>
      </c>
      <c r="BK94" s="2">
        <v>7192.21</v>
      </c>
      <c r="BL94" s="2">
        <v>13084.13</v>
      </c>
      <c r="BM94" s="2">
        <v>11866.85</v>
      </c>
      <c r="BN94" s="2">
        <v>16252.8</v>
      </c>
      <c r="BO94" s="2">
        <v>10573.96</v>
      </c>
      <c r="BR94" s="1" t="s">
        <v>67</v>
      </c>
      <c r="BS94" s="2">
        <v>2.0699999999999998</v>
      </c>
      <c r="BT94" s="2">
        <v>1.0900000000000001</v>
      </c>
      <c r="BU94" s="2">
        <v>1.69</v>
      </c>
      <c r="BV94" s="2">
        <v>1.03</v>
      </c>
      <c r="BW94" s="2">
        <v>0.55000000000000004</v>
      </c>
      <c r="BX94" s="2">
        <v>0.51</v>
      </c>
      <c r="BY94" s="2">
        <v>2.48</v>
      </c>
      <c r="BZ94" s="2">
        <v>2.4700000000000002</v>
      </c>
      <c r="CA94" s="2">
        <v>3.37</v>
      </c>
      <c r="CB94" s="2">
        <v>2.39</v>
      </c>
      <c r="CC94" s="2">
        <v>6.48</v>
      </c>
      <c r="CD94" s="2">
        <v>4.43</v>
      </c>
      <c r="CE94" s="2">
        <v>5.22</v>
      </c>
      <c r="CF94" s="2">
        <v>4.05</v>
      </c>
      <c r="CG94" s="2">
        <v>6.41</v>
      </c>
      <c r="CH94" s="2">
        <v>4.78</v>
      </c>
      <c r="CI94" s="2">
        <v>5.36</v>
      </c>
      <c r="CJ94" s="2">
        <v>3.23</v>
      </c>
      <c r="CK94" s="2">
        <v>6.18</v>
      </c>
      <c r="CL94" s="2">
        <v>3.48</v>
      </c>
    </row>
    <row r="95" spans="2:90" x14ac:dyDescent="0.3">
      <c r="B95" s="1" t="s">
        <v>68</v>
      </c>
      <c r="C95" s="2">
        <v>5691.3</v>
      </c>
      <c r="D95" s="2">
        <v>474.14</v>
      </c>
      <c r="E95" s="2">
        <v>2659.96</v>
      </c>
      <c r="F95" s="2">
        <v>182.83</v>
      </c>
      <c r="G95" s="2">
        <v>1440.64</v>
      </c>
      <c r="H95" s="2">
        <v>897.25</v>
      </c>
      <c r="I95" s="2">
        <v>3580.64</v>
      </c>
      <c r="J95" s="2">
        <v>1966.73</v>
      </c>
      <c r="K95" s="2">
        <v>4937.45</v>
      </c>
      <c r="L95" s="2">
        <v>2133.1799999999998</v>
      </c>
      <c r="M95" s="2">
        <v>9219.9500000000007</v>
      </c>
      <c r="N95" s="2">
        <v>4069.88</v>
      </c>
      <c r="O95" s="2">
        <v>8447.09</v>
      </c>
      <c r="P95" s="2">
        <v>3573.63</v>
      </c>
      <c r="Q95" s="2">
        <v>10838.52</v>
      </c>
      <c r="R95" s="2">
        <v>3847.85</v>
      </c>
      <c r="S95" s="2">
        <v>4125.75</v>
      </c>
      <c r="T95" s="2">
        <v>3033.8</v>
      </c>
      <c r="U95" s="2">
        <v>3504.25</v>
      </c>
      <c r="V95" s="2">
        <v>3041.62</v>
      </c>
      <c r="X95" s="1" t="s">
        <v>68</v>
      </c>
      <c r="Y95" s="2">
        <v>5803.93</v>
      </c>
      <c r="Z95" s="2">
        <v>6479.27</v>
      </c>
      <c r="AA95" s="2">
        <v>5955.44</v>
      </c>
      <c r="AB95" s="2">
        <v>2355.7800000000002</v>
      </c>
      <c r="AC95" s="2">
        <v>8414.2199999999993</v>
      </c>
      <c r="AD95" s="2">
        <v>10957.93</v>
      </c>
      <c r="AE95" s="2">
        <v>20231.490000000002</v>
      </c>
      <c r="AF95" s="2">
        <v>14832.75</v>
      </c>
      <c r="AG95" s="2">
        <v>18828.71</v>
      </c>
      <c r="AH95" s="2">
        <v>8255.5400000000009</v>
      </c>
      <c r="AI95" s="2">
        <v>1422.84</v>
      </c>
      <c r="AJ95" s="2">
        <v>5760.67</v>
      </c>
      <c r="AK95" s="2">
        <v>1425.32</v>
      </c>
      <c r="AL95" s="2">
        <v>2060.15</v>
      </c>
      <c r="AM95" s="2">
        <v>3742.86</v>
      </c>
      <c r="AN95" s="2">
        <v>3830.18</v>
      </c>
      <c r="AO95" s="2">
        <v>6824.08</v>
      </c>
      <c r="AP95" s="2">
        <v>5759.88</v>
      </c>
      <c r="AQ95" s="2">
        <v>7129.2</v>
      </c>
      <c r="AR95" s="2">
        <v>4675.6099999999997</v>
      </c>
      <c r="AU95" s="1" t="s">
        <v>68</v>
      </c>
      <c r="AV95" s="2">
        <v>21283.47</v>
      </c>
      <c r="AW95" s="2">
        <v>43583.48</v>
      </c>
      <c r="AX95" s="2">
        <v>23924.36</v>
      </c>
      <c r="AY95" s="2">
        <v>5367.23</v>
      </c>
      <c r="AZ95" s="2">
        <v>25521.67</v>
      </c>
      <c r="BA95" s="2">
        <v>32424.47</v>
      </c>
      <c r="BB95" s="2">
        <v>59123.76</v>
      </c>
      <c r="BC95" s="2">
        <v>41156.18</v>
      </c>
      <c r="BD95" s="2">
        <v>51191.47</v>
      </c>
      <c r="BE95" s="2">
        <v>42416.63</v>
      </c>
      <c r="BF95" s="2">
        <v>10477.23</v>
      </c>
      <c r="BG95" s="2">
        <v>37840.370000000003</v>
      </c>
      <c r="BH95" s="2">
        <v>10452.129999999999</v>
      </c>
      <c r="BI95" s="2">
        <v>6610.21</v>
      </c>
      <c r="BJ95" s="2">
        <v>18405.919999999998</v>
      </c>
      <c r="BK95" s="2">
        <v>21779.69</v>
      </c>
      <c r="BL95" s="2">
        <v>38547.57</v>
      </c>
      <c r="BM95" s="2">
        <v>31672.49</v>
      </c>
      <c r="BN95" s="2">
        <v>42417.85</v>
      </c>
      <c r="BO95" s="2">
        <v>30916.23</v>
      </c>
      <c r="BR95" s="1" t="s">
        <v>68</v>
      </c>
      <c r="BS95" s="2">
        <v>4.68</v>
      </c>
      <c r="BT95" s="2">
        <v>1.38</v>
      </c>
      <c r="BU95" s="2">
        <v>5.27</v>
      </c>
      <c r="BV95" s="2">
        <v>1.1599999999999999</v>
      </c>
      <c r="BW95" s="2">
        <v>0.9</v>
      </c>
      <c r="BX95" s="2">
        <v>0.9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5.75</v>
      </c>
      <c r="CK95" s="2">
        <v>7.44</v>
      </c>
      <c r="CL95" s="2">
        <v>6.43</v>
      </c>
    </row>
    <row r="96" spans="2:90" x14ac:dyDescent="0.3">
      <c r="B96" s="1" t="s">
        <v>69</v>
      </c>
      <c r="C96" s="2">
        <v>1324.09</v>
      </c>
      <c r="D96" s="2">
        <v>240.69</v>
      </c>
      <c r="E96" s="2">
        <v>593.03</v>
      </c>
      <c r="F96" s="2">
        <v>83.44</v>
      </c>
      <c r="G96" s="2">
        <v>375.06</v>
      </c>
      <c r="H96" s="2">
        <v>384.33</v>
      </c>
      <c r="I96" s="2">
        <v>1205.73</v>
      </c>
      <c r="J96" s="2">
        <v>691.93</v>
      </c>
      <c r="K96" s="2">
        <v>1345.03</v>
      </c>
      <c r="L96" s="2">
        <v>645.37</v>
      </c>
      <c r="M96" s="2">
        <v>2437.56</v>
      </c>
      <c r="N96" s="2">
        <v>1157.17</v>
      </c>
      <c r="O96" s="2">
        <v>2110.56</v>
      </c>
      <c r="P96" s="2">
        <v>980.65</v>
      </c>
      <c r="Q96" s="2">
        <v>2035.34</v>
      </c>
      <c r="R96" s="2">
        <v>1034.22</v>
      </c>
      <c r="S96" s="2">
        <v>836.71</v>
      </c>
      <c r="T96" s="2">
        <v>921.34</v>
      </c>
      <c r="U96" s="2">
        <v>1075.27</v>
      </c>
      <c r="V96" s="2">
        <v>1002.81</v>
      </c>
      <c r="X96" s="1" t="s">
        <v>69</v>
      </c>
      <c r="Y96" s="2">
        <v>1021.1</v>
      </c>
      <c r="Z96" s="2">
        <v>2130.9699999999998</v>
      </c>
      <c r="AA96" s="2">
        <v>1164.27</v>
      </c>
      <c r="AB96" s="2">
        <v>537.64</v>
      </c>
      <c r="AC96" s="2">
        <v>1224.51</v>
      </c>
      <c r="AD96" s="2">
        <v>2300.12</v>
      </c>
      <c r="AE96" s="2">
        <v>4120.97</v>
      </c>
      <c r="AF96" s="2">
        <v>3234.99</v>
      </c>
      <c r="AG96" s="2">
        <v>3215.62</v>
      </c>
      <c r="AH96" s="2">
        <v>1763.37</v>
      </c>
      <c r="AI96" s="2">
        <v>578.01</v>
      </c>
      <c r="AJ96" s="2">
        <v>2036.37</v>
      </c>
      <c r="AK96" s="2">
        <v>559.82000000000005</v>
      </c>
      <c r="AL96" s="2">
        <v>669.99</v>
      </c>
      <c r="AM96" s="2">
        <v>1083.51</v>
      </c>
      <c r="AN96" s="2">
        <v>1095.8800000000001</v>
      </c>
      <c r="AO96" s="2">
        <v>1897.09</v>
      </c>
      <c r="AP96" s="2">
        <v>1569.7</v>
      </c>
      <c r="AQ96" s="2">
        <v>1941.61</v>
      </c>
      <c r="AR96" s="2">
        <v>1626.18</v>
      </c>
      <c r="AU96" s="1" t="s">
        <v>69</v>
      </c>
      <c r="AV96" s="2">
        <v>6246.93</v>
      </c>
      <c r="AW96" s="2">
        <v>13984.88</v>
      </c>
      <c r="AX96" s="2">
        <v>7272.36</v>
      </c>
      <c r="AY96" s="2">
        <v>1759.79</v>
      </c>
      <c r="AZ96" s="2">
        <v>8281.42</v>
      </c>
      <c r="BA96" s="2">
        <v>9434.42</v>
      </c>
      <c r="BB96" s="2">
        <v>16937.13</v>
      </c>
      <c r="BC96" s="2">
        <v>13173.28</v>
      </c>
      <c r="BD96" s="2">
        <v>16342.6</v>
      </c>
      <c r="BE96" s="2">
        <v>12069.53</v>
      </c>
      <c r="BF96" s="2">
        <v>3398.3</v>
      </c>
      <c r="BG96" s="2">
        <v>13075.97</v>
      </c>
      <c r="BH96" s="2">
        <v>4098.99</v>
      </c>
      <c r="BI96" s="2">
        <v>2398.67</v>
      </c>
      <c r="BJ96" s="2">
        <v>6481.9</v>
      </c>
      <c r="BK96" s="2">
        <v>7577.96</v>
      </c>
      <c r="BL96" s="2">
        <v>12875.45</v>
      </c>
      <c r="BM96" s="2">
        <v>10591.16</v>
      </c>
      <c r="BN96" s="2">
        <v>13136.03</v>
      </c>
      <c r="BO96" s="2">
        <v>10453.68</v>
      </c>
      <c r="BR96" s="1" t="s">
        <v>69</v>
      </c>
      <c r="BS96" s="2">
        <v>4.68</v>
      </c>
      <c r="BT96" s="2">
        <v>1.22</v>
      </c>
      <c r="BU96" s="2">
        <v>4.68</v>
      </c>
      <c r="BV96" s="2">
        <v>0.99</v>
      </c>
      <c r="BW96" s="2">
        <v>0.9</v>
      </c>
      <c r="BX96" s="2">
        <v>0.9</v>
      </c>
      <c r="BY96" s="2">
        <v>5.76</v>
      </c>
      <c r="BZ96" s="2">
        <v>2.88</v>
      </c>
      <c r="CA96" s="2">
        <v>3.6</v>
      </c>
      <c r="CB96" s="2">
        <v>3.28</v>
      </c>
      <c r="CC96" s="2">
        <v>6.48</v>
      </c>
      <c r="CD96" s="2">
        <v>5.5</v>
      </c>
      <c r="CE96" s="2">
        <v>5.22</v>
      </c>
      <c r="CF96" s="2">
        <v>4.4800000000000004</v>
      </c>
      <c r="CG96" s="2">
        <v>6.84</v>
      </c>
      <c r="CH96" s="2">
        <v>5.28</v>
      </c>
      <c r="CI96" s="2">
        <v>4.72</v>
      </c>
      <c r="CJ96" s="2">
        <v>4.05</v>
      </c>
      <c r="CK96" s="2">
        <v>5.29</v>
      </c>
      <c r="CL96" s="2">
        <v>4.79</v>
      </c>
    </row>
    <row r="97" spans="2:90" x14ac:dyDescent="0.3">
      <c r="B97" s="1" t="s">
        <v>70</v>
      </c>
      <c r="C97" s="2">
        <v>3589.57</v>
      </c>
      <c r="D97" s="2">
        <v>3678.69</v>
      </c>
      <c r="E97" s="2">
        <v>2033.8</v>
      </c>
      <c r="F97" s="2">
        <v>879.85</v>
      </c>
      <c r="G97" s="2">
        <v>1172.28</v>
      </c>
      <c r="H97" s="2">
        <v>1121.06</v>
      </c>
      <c r="I97" s="2">
        <v>1568.85</v>
      </c>
      <c r="J97" s="2">
        <v>3827.6</v>
      </c>
      <c r="K97" s="2">
        <v>4049.25</v>
      </c>
      <c r="L97" s="2">
        <v>4544.12</v>
      </c>
      <c r="M97" s="2">
        <v>6429.09</v>
      </c>
      <c r="N97" s="2">
        <v>5877.85</v>
      </c>
      <c r="O97" s="2">
        <v>4448.38</v>
      </c>
      <c r="P97" s="2">
        <v>4237.72</v>
      </c>
      <c r="Q97" s="2">
        <v>4651.76</v>
      </c>
      <c r="R97" s="2">
        <v>4637.51</v>
      </c>
      <c r="S97" s="2">
        <v>3771.08</v>
      </c>
      <c r="T97" s="2">
        <v>3293.41</v>
      </c>
      <c r="U97" s="2">
        <v>5333.75</v>
      </c>
      <c r="V97" s="2">
        <v>4090.1</v>
      </c>
      <c r="X97" s="1" t="s">
        <v>70</v>
      </c>
      <c r="Y97" s="2">
        <v>5707.48</v>
      </c>
      <c r="Z97" s="2">
        <v>11969.65</v>
      </c>
      <c r="AA97" s="2">
        <v>4867.46</v>
      </c>
      <c r="AB97" s="2">
        <v>2224.7800000000002</v>
      </c>
      <c r="AC97" s="2">
        <v>5120.18</v>
      </c>
      <c r="AD97" s="2">
        <v>9078.77</v>
      </c>
      <c r="AE97" s="2">
        <v>14317.69</v>
      </c>
      <c r="AF97" s="2">
        <v>9411.9</v>
      </c>
      <c r="AG97" s="2">
        <v>10753.68</v>
      </c>
      <c r="AH97" s="2">
        <v>8968.01</v>
      </c>
      <c r="AI97" s="2">
        <v>6153.92</v>
      </c>
      <c r="AJ97" s="2">
        <v>12300.08</v>
      </c>
      <c r="AK97" s="2">
        <v>5252.54</v>
      </c>
      <c r="AL97" s="2">
        <v>2480.36</v>
      </c>
      <c r="AM97" s="2">
        <v>7794.42</v>
      </c>
      <c r="AN97" s="2">
        <v>9750.3700000000008</v>
      </c>
      <c r="AO97" s="2">
        <v>13590.1</v>
      </c>
      <c r="AP97" s="2">
        <v>9783.36</v>
      </c>
      <c r="AQ97" s="2">
        <v>11032.8</v>
      </c>
      <c r="AR97" s="2">
        <v>9384.85</v>
      </c>
      <c r="AU97" s="1" t="s">
        <v>70</v>
      </c>
      <c r="AV97" s="2">
        <v>20410.39</v>
      </c>
      <c r="AW97" s="2">
        <v>81846.350000000006</v>
      </c>
      <c r="AX97" s="2">
        <v>34888.050000000003</v>
      </c>
      <c r="AY97" s="2">
        <v>7771.29</v>
      </c>
      <c r="AZ97" s="2">
        <v>37285.42</v>
      </c>
      <c r="BA97" s="2">
        <v>47722.23</v>
      </c>
      <c r="BB97" s="2">
        <v>83857.91</v>
      </c>
      <c r="BC97" s="2">
        <v>63711.6</v>
      </c>
      <c r="BD97" s="2">
        <v>75601.320000000007</v>
      </c>
      <c r="BE97" s="2">
        <v>60949.59</v>
      </c>
      <c r="BF97" s="2">
        <v>27244.38</v>
      </c>
      <c r="BG97" s="2">
        <v>96127.42</v>
      </c>
      <c r="BH97" s="2">
        <v>38394.31</v>
      </c>
      <c r="BI97" s="2">
        <v>8987.6299999999992</v>
      </c>
      <c r="BJ97" s="2">
        <v>33092.78</v>
      </c>
      <c r="BK97" s="2">
        <v>47506.63</v>
      </c>
      <c r="BL97" s="2">
        <v>88558.1</v>
      </c>
      <c r="BM97" s="2">
        <v>70553.89</v>
      </c>
      <c r="BN97" s="2">
        <v>78246.3</v>
      </c>
      <c r="BO97" s="2">
        <v>66368.850000000006</v>
      </c>
      <c r="BR97" s="1" t="s">
        <v>70</v>
      </c>
      <c r="BS97" s="2">
        <v>2.34</v>
      </c>
      <c r="BT97" s="2">
        <v>2.34</v>
      </c>
      <c r="BU97" s="2">
        <v>4.68</v>
      </c>
      <c r="BV97" s="2">
        <v>1.89</v>
      </c>
      <c r="BW97" s="2">
        <v>0.9</v>
      </c>
      <c r="BX97" s="2">
        <v>0.9</v>
      </c>
      <c r="BY97" s="2">
        <v>2.25</v>
      </c>
      <c r="BZ97" s="2">
        <v>2.88</v>
      </c>
      <c r="CA97" s="2">
        <v>3.6</v>
      </c>
      <c r="CB97" s="2">
        <v>3.6</v>
      </c>
      <c r="CC97" s="2">
        <v>6.48</v>
      </c>
      <c r="CD97" s="2">
        <v>6.48</v>
      </c>
      <c r="CE97" s="2">
        <v>5.22</v>
      </c>
      <c r="CF97" s="2">
        <v>5.22</v>
      </c>
      <c r="CG97" s="2">
        <v>5.82</v>
      </c>
      <c r="CH97" s="2">
        <v>5.99</v>
      </c>
      <c r="CI97" s="2">
        <v>4.5999999999999996</v>
      </c>
      <c r="CJ97" s="2">
        <v>4.2699999999999996</v>
      </c>
      <c r="CK97" s="2">
        <v>5.83</v>
      </c>
      <c r="CL97" s="2">
        <v>4.83</v>
      </c>
    </row>
    <row r="98" spans="2:90" x14ac:dyDescent="0.3">
      <c r="B98" s="1" t="s">
        <v>71</v>
      </c>
      <c r="C98" s="2">
        <v>763.81</v>
      </c>
      <c r="D98" s="2">
        <v>695.48</v>
      </c>
      <c r="E98" s="2">
        <v>400.9</v>
      </c>
      <c r="F98" s="2">
        <v>258.36</v>
      </c>
      <c r="G98" s="2">
        <v>220.25</v>
      </c>
      <c r="H98" s="2">
        <v>202.16</v>
      </c>
      <c r="I98" s="2">
        <v>224.69</v>
      </c>
      <c r="J98" s="2">
        <v>579.23</v>
      </c>
      <c r="K98" s="2">
        <v>275.98</v>
      </c>
      <c r="L98" s="2">
        <v>873.9</v>
      </c>
      <c r="M98" s="2">
        <v>669.89</v>
      </c>
      <c r="N98" s="2">
        <v>1346.89</v>
      </c>
      <c r="O98" s="2">
        <v>536.39</v>
      </c>
      <c r="P98" s="2">
        <v>828.99</v>
      </c>
      <c r="Q98" s="2">
        <v>708.1</v>
      </c>
      <c r="R98" s="2">
        <v>1214.0899999999999</v>
      </c>
      <c r="S98" s="2">
        <v>634.38</v>
      </c>
      <c r="T98" s="2">
        <v>774.91</v>
      </c>
      <c r="U98" s="2">
        <v>767.01</v>
      </c>
      <c r="V98" s="2">
        <v>427.61</v>
      </c>
      <c r="X98" s="1" t="s">
        <v>71</v>
      </c>
      <c r="Y98" s="2">
        <v>1564.51</v>
      </c>
      <c r="Z98" s="2">
        <v>2742.21</v>
      </c>
      <c r="AA98" s="2">
        <v>1373.71</v>
      </c>
      <c r="AB98" s="2">
        <v>540.73</v>
      </c>
      <c r="AC98" s="2">
        <v>1163.57</v>
      </c>
      <c r="AD98" s="2">
        <v>1363.13</v>
      </c>
      <c r="AE98" s="2">
        <v>2571.86</v>
      </c>
      <c r="AF98" s="2">
        <v>2060.67</v>
      </c>
      <c r="AG98" s="2">
        <v>2645.99</v>
      </c>
      <c r="AH98" s="2">
        <v>2209.6999999999998</v>
      </c>
      <c r="AI98" s="2">
        <v>1644.27</v>
      </c>
      <c r="AJ98" s="2">
        <v>2731.32</v>
      </c>
      <c r="AK98" s="2">
        <v>1408.95</v>
      </c>
      <c r="AL98" s="2">
        <v>626.72</v>
      </c>
      <c r="AM98" s="2">
        <v>1637.61</v>
      </c>
      <c r="AN98" s="2">
        <v>1757.24</v>
      </c>
      <c r="AO98" s="2">
        <v>3295.56</v>
      </c>
      <c r="AP98" s="2">
        <v>2601.1</v>
      </c>
      <c r="AQ98" s="2">
        <v>3266.22</v>
      </c>
      <c r="AR98" s="2">
        <v>3542.41</v>
      </c>
      <c r="AU98" s="1" t="s">
        <v>71</v>
      </c>
      <c r="AV98" s="2">
        <v>4965.84</v>
      </c>
      <c r="AW98" s="2">
        <v>17399.54</v>
      </c>
      <c r="AX98" s="2">
        <v>8503.86</v>
      </c>
      <c r="AY98" s="2">
        <v>1628.13</v>
      </c>
      <c r="AZ98" s="2">
        <v>7126.51</v>
      </c>
      <c r="BA98" s="2">
        <v>8962.8700000000008</v>
      </c>
      <c r="BB98" s="2">
        <v>16987.66</v>
      </c>
      <c r="BC98" s="2">
        <v>13584.19</v>
      </c>
      <c r="BD98" s="2">
        <v>17456.12</v>
      </c>
      <c r="BE98" s="2">
        <v>14464.21</v>
      </c>
      <c r="BF98" s="2">
        <v>5317.48</v>
      </c>
      <c r="BG98" s="2">
        <v>17979.93</v>
      </c>
      <c r="BH98" s="2">
        <v>8830.39</v>
      </c>
      <c r="BI98" s="2">
        <v>1984.67</v>
      </c>
      <c r="BJ98" s="2">
        <v>5269.41</v>
      </c>
      <c r="BK98" s="2">
        <v>11685.11</v>
      </c>
      <c r="BL98" s="2">
        <v>22342.65</v>
      </c>
      <c r="BM98" s="2">
        <v>17421.95</v>
      </c>
      <c r="BN98" s="2">
        <v>21938.66</v>
      </c>
      <c r="BO98" s="2">
        <v>18794.93</v>
      </c>
      <c r="BR98" s="1" t="s">
        <v>71</v>
      </c>
      <c r="BS98" s="2">
        <v>2.34</v>
      </c>
      <c r="BT98" s="2">
        <v>2.34</v>
      </c>
      <c r="BU98" s="2">
        <v>4.68</v>
      </c>
      <c r="BV98" s="2">
        <v>4.66</v>
      </c>
      <c r="BW98" s="2">
        <v>0.9</v>
      </c>
      <c r="BX98" s="2">
        <v>0.9</v>
      </c>
      <c r="BY98" s="2">
        <v>2.35</v>
      </c>
      <c r="BZ98" s="2">
        <v>2.88</v>
      </c>
      <c r="CA98" s="2">
        <v>2.87</v>
      </c>
      <c r="CB98" s="2">
        <v>6.62</v>
      </c>
      <c r="CC98" s="2">
        <v>6.12</v>
      </c>
      <c r="CD98" s="2">
        <v>11.86</v>
      </c>
      <c r="CE98" s="2">
        <v>4.84</v>
      </c>
      <c r="CF98" s="2">
        <v>8</v>
      </c>
      <c r="CG98" s="2">
        <v>6.24</v>
      </c>
      <c r="CH98" s="2">
        <v>10.43</v>
      </c>
      <c r="CI98" s="2">
        <v>5.13</v>
      </c>
      <c r="CJ98" s="2">
        <v>6.12</v>
      </c>
      <c r="CK98" s="2">
        <v>5.72</v>
      </c>
      <c r="CL98" s="2">
        <v>5.12</v>
      </c>
    </row>
    <row r="99" spans="2:90" x14ac:dyDescent="0.3">
      <c r="B99" s="1" t="s">
        <v>72</v>
      </c>
      <c r="C99" s="2">
        <v>4755.07</v>
      </c>
      <c r="D99" s="2">
        <v>5271.81</v>
      </c>
      <c r="E99" s="2">
        <v>1412.75</v>
      </c>
      <c r="F99" s="2">
        <v>1988.72</v>
      </c>
      <c r="G99" s="2">
        <v>707.15</v>
      </c>
      <c r="H99" s="2">
        <v>1640.75</v>
      </c>
      <c r="I99" s="2">
        <v>1750.17</v>
      </c>
      <c r="J99" s="2">
        <v>3286.19</v>
      </c>
      <c r="K99" s="2">
        <v>1685.4</v>
      </c>
      <c r="L99" s="2">
        <v>4448.8100000000004</v>
      </c>
      <c r="M99" s="2">
        <v>3472.89</v>
      </c>
      <c r="N99" s="2">
        <v>7549.53</v>
      </c>
      <c r="O99" s="2">
        <v>2927.25</v>
      </c>
      <c r="P99" s="2">
        <v>5499.15</v>
      </c>
      <c r="Q99" s="2">
        <v>4749.59</v>
      </c>
      <c r="R99" s="2">
        <v>5782.2</v>
      </c>
      <c r="S99" s="2">
        <v>3409.26</v>
      </c>
      <c r="T99" s="2">
        <v>3125.57</v>
      </c>
      <c r="U99" s="2">
        <v>3985.82</v>
      </c>
      <c r="V99" s="2">
        <v>3415.58</v>
      </c>
      <c r="X99" s="1" t="s">
        <v>72</v>
      </c>
      <c r="Y99" s="2">
        <v>6074.41</v>
      </c>
      <c r="Z99" s="2">
        <v>9596.0300000000007</v>
      </c>
      <c r="AA99" s="2">
        <v>4736.58</v>
      </c>
      <c r="AB99" s="2">
        <v>1966.99</v>
      </c>
      <c r="AC99" s="2">
        <v>6025.3</v>
      </c>
      <c r="AD99" s="2">
        <v>5691.47</v>
      </c>
      <c r="AE99" s="2">
        <v>11220.74</v>
      </c>
      <c r="AF99" s="2">
        <v>9115.82</v>
      </c>
      <c r="AG99" s="2">
        <v>13055.69</v>
      </c>
      <c r="AH99" s="2">
        <v>8472.1200000000008</v>
      </c>
      <c r="AI99" s="2">
        <v>6264.93</v>
      </c>
      <c r="AJ99" s="2">
        <v>9386.1299999999992</v>
      </c>
      <c r="AK99" s="2">
        <v>6921.8</v>
      </c>
      <c r="AL99" s="2">
        <v>2380.56</v>
      </c>
      <c r="AM99" s="2">
        <v>8124.1</v>
      </c>
      <c r="AN99" s="2">
        <v>12649.55</v>
      </c>
      <c r="AO99" s="2">
        <v>22984.47</v>
      </c>
      <c r="AP99" s="2">
        <v>16623.12</v>
      </c>
      <c r="AQ99" s="2">
        <v>9669.4599999999991</v>
      </c>
      <c r="AR99" s="2">
        <v>9284.0300000000007</v>
      </c>
      <c r="AU99" s="1" t="s">
        <v>72</v>
      </c>
      <c r="AV99" s="2">
        <v>20349.330000000002</v>
      </c>
      <c r="AW99" s="2">
        <v>54972.25</v>
      </c>
      <c r="AX99" s="2">
        <v>24394.65</v>
      </c>
      <c r="AY99" s="2">
        <v>5205.6899999999996</v>
      </c>
      <c r="AZ99" s="2">
        <v>23253.35</v>
      </c>
      <c r="BA99" s="2">
        <v>28016.01</v>
      </c>
      <c r="BB99" s="2">
        <v>51734.58</v>
      </c>
      <c r="BC99" s="2">
        <v>41700.720000000001</v>
      </c>
      <c r="BD99" s="2">
        <v>55123.82</v>
      </c>
      <c r="BE99" s="2">
        <v>43646.54</v>
      </c>
      <c r="BF99" s="2">
        <v>21162.99</v>
      </c>
      <c r="BG99" s="2">
        <v>55707.3</v>
      </c>
      <c r="BH99" s="2">
        <v>27244.63</v>
      </c>
      <c r="BI99" s="2">
        <v>7834.87</v>
      </c>
      <c r="BJ99" s="2">
        <v>18018.509999999998</v>
      </c>
      <c r="BK99" s="2">
        <v>35094.14</v>
      </c>
      <c r="BL99" s="2">
        <v>64255.25</v>
      </c>
      <c r="BM99" s="2">
        <v>50085.87</v>
      </c>
      <c r="BN99" s="2">
        <v>64689.5</v>
      </c>
      <c r="BO99" s="2">
        <v>46665.71</v>
      </c>
      <c r="BR99" s="1" t="s">
        <v>72</v>
      </c>
      <c r="BS99" s="2">
        <v>4.68</v>
      </c>
      <c r="BT99" s="2">
        <v>4.68</v>
      </c>
      <c r="BU99" s="2">
        <v>4.68</v>
      </c>
      <c r="BV99" s="2">
        <v>4.8600000000000003</v>
      </c>
      <c r="BW99" s="2">
        <v>0.9</v>
      </c>
      <c r="BX99" s="2">
        <v>1.8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13.59</v>
      </c>
      <c r="CI99" s="2">
        <v>6.12</v>
      </c>
      <c r="CJ99" s="2">
        <v>6.12</v>
      </c>
      <c r="CK99" s="2">
        <v>8.1</v>
      </c>
      <c r="CL99" s="2">
        <v>8.1</v>
      </c>
    </row>
    <row r="100" spans="2:90" x14ac:dyDescent="0.3">
      <c r="B100" s="1" t="s">
        <v>73</v>
      </c>
      <c r="C100" s="2">
        <v>602.1</v>
      </c>
      <c r="D100" s="2">
        <v>847.42</v>
      </c>
      <c r="E100" s="2">
        <v>106.43</v>
      </c>
      <c r="F100" s="2">
        <v>120.51</v>
      </c>
      <c r="G100" s="2">
        <v>108.85</v>
      </c>
      <c r="H100" s="2">
        <v>87.51</v>
      </c>
      <c r="I100" s="2">
        <v>229.03</v>
      </c>
      <c r="J100" s="2">
        <v>1170.26</v>
      </c>
      <c r="K100" s="2">
        <v>828.55</v>
      </c>
      <c r="L100" s="2">
        <v>1363.49</v>
      </c>
      <c r="M100" s="2">
        <v>2234.4299999999998</v>
      </c>
      <c r="N100" s="2">
        <v>2566.23</v>
      </c>
      <c r="O100" s="2">
        <v>2039.99</v>
      </c>
      <c r="P100" s="2">
        <v>1892.81</v>
      </c>
      <c r="Q100" s="2">
        <v>2335.94</v>
      </c>
      <c r="R100" s="2">
        <v>2052.5100000000002</v>
      </c>
      <c r="S100" s="2">
        <v>1892.78</v>
      </c>
      <c r="T100" s="2">
        <v>1483.51</v>
      </c>
      <c r="U100" s="2">
        <v>2204.6</v>
      </c>
      <c r="V100" s="2">
        <v>1966.07</v>
      </c>
      <c r="X100" s="1" t="s">
        <v>73</v>
      </c>
      <c r="Y100" s="2">
        <v>2194.83</v>
      </c>
      <c r="Z100" s="2">
        <v>6319.77</v>
      </c>
      <c r="AA100" s="2">
        <v>1942.98</v>
      </c>
      <c r="AB100" s="2">
        <v>181.29</v>
      </c>
      <c r="AC100" s="2">
        <v>1681.73</v>
      </c>
      <c r="AD100" s="2">
        <v>2959.12</v>
      </c>
      <c r="AE100" s="2">
        <v>5389.79</v>
      </c>
      <c r="AF100" s="2">
        <v>4274</v>
      </c>
      <c r="AG100" s="2">
        <v>5535.41</v>
      </c>
      <c r="AH100" s="2">
        <v>4695.28</v>
      </c>
      <c r="AI100" s="2">
        <v>2616.21</v>
      </c>
      <c r="AJ100" s="2">
        <v>6212.79</v>
      </c>
      <c r="AK100" s="2">
        <v>2061.0300000000002</v>
      </c>
      <c r="AL100" s="2">
        <v>810.89</v>
      </c>
      <c r="AM100" s="2">
        <v>3537.33</v>
      </c>
      <c r="AN100" s="2">
        <v>4163.63</v>
      </c>
      <c r="AO100" s="2">
        <v>7670.99</v>
      </c>
      <c r="AP100" s="2">
        <v>5201.6499999999996</v>
      </c>
      <c r="AQ100" s="2">
        <v>5884.18</v>
      </c>
      <c r="AR100" s="2">
        <v>4783.93</v>
      </c>
      <c r="AU100" s="1" t="s">
        <v>73</v>
      </c>
      <c r="AV100" s="2">
        <v>10938.03</v>
      </c>
      <c r="AW100" s="2">
        <v>27199.38</v>
      </c>
      <c r="AX100" s="2">
        <v>11869.26</v>
      </c>
      <c r="AY100" s="2">
        <v>3171.66</v>
      </c>
      <c r="AZ100" s="2">
        <v>10243.39</v>
      </c>
      <c r="BA100" s="2">
        <v>13678.88</v>
      </c>
      <c r="BB100" s="2">
        <v>24216.25</v>
      </c>
      <c r="BC100" s="2">
        <v>19199.47</v>
      </c>
      <c r="BD100" s="2">
        <v>24063.55</v>
      </c>
      <c r="BE100" s="2">
        <v>19757.18</v>
      </c>
      <c r="BF100" s="2">
        <v>14528.19</v>
      </c>
      <c r="BG100" s="2">
        <v>28279.71</v>
      </c>
      <c r="BH100" s="2">
        <v>12593.61</v>
      </c>
      <c r="BI100" s="2">
        <v>4947.76</v>
      </c>
      <c r="BJ100" s="2">
        <v>15053.9</v>
      </c>
      <c r="BK100" s="2">
        <v>19644.38</v>
      </c>
      <c r="BL100" s="2">
        <v>36567.65</v>
      </c>
      <c r="BM100" s="2">
        <v>27720.02</v>
      </c>
      <c r="BN100" s="2">
        <v>27166.7</v>
      </c>
      <c r="BO100" s="2">
        <v>20546.75</v>
      </c>
      <c r="BR100" s="1" t="s">
        <v>73</v>
      </c>
      <c r="BS100" s="2">
        <v>1.37</v>
      </c>
      <c r="BT100" s="2">
        <v>2.0299999999999998</v>
      </c>
      <c r="BU100" s="2">
        <v>0.73</v>
      </c>
      <c r="BV100" s="2">
        <v>0.77</v>
      </c>
      <c r="BW100" s="2">
        <v>0.46</v>
      </c>
      <c r="BX100" s="2">
        <v>0.33</v>
      </c>
      <c r="BY100" s="2">
        <v>0.81</v>
      </c>
      <c r="BZ100" s="2">
        <v>2.88</v>
      </c>
      <c r="CA100" s="2">
        <v>2.0299999999999998</v>
      </c>
      <c r="CB100" s="2">
        <v>3.6</v>
      </c>
      <c r="CC100" s="2">
        <v>5.2</v>
      </c>
      <c r="CD100" s="2">
        <v>6.48</v>
      </c>
      <c r="CE100" s="2">
        <v>4.6900000000000004</v>
      </c>
      <c r="CF100" s="2">
        <v>5.09</v>
      </c>
      <c r="CG100" s="2">
        <v>5.24</v>
      </c>
      <c r="CH100" s="2">
        <v>4.8899999999999997</v>
      </c>
      <c r="CI100" s="2">
        <v>4.17</v>
      </c>
      <c r="CJ100" s="2">
        <v>3.42</v>
      </c>
      <c r="CK100" s="2">
        <v>4.72</v>
      </c>
      <c r="CL100" s="2">
        <v>3.86</v>
      </c>
    </row>
    <row r="101" spans="2:90" x14ac:dyDescent="0.3">
      <c r="W101" s="5">
        <f>SUM(C93:V100)/$W$45</f>
        <v>0.17350383409834544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63</v>
      </c>
      <c r="D104" s="1" t="s">
        <v>64</v>
      </c>
      <c r="E104" s="1" t="s">
        <v>63</v>
      </c>
      <c r="F104" s="1" t="s">
        <v>64</v>
      </c>
      <c r="G104" s="1" t="s">
        <v>63</v>
      </c>
      <c r="H104" s="1" t="s">
        <v>64</v>
      </c>
      <c r="I104" s="1" t="s">
        <v>63</v>
      </c>
      <c r="J104" s="1" t="s">
        <v>64</v>
      </c>
      <c r="K104" s="1" t="s">
        <v>63</v>
      </c>
      <c r="L104" s="1" t="s">
        <v>64</v>
      </c>
      <c r="M104" s="1" t="s">
        <v>63</v>
      </c>
      <c r="N104" s="1" t="s">
        <v>64</v>
      </c>
      <c r="O104" s="1" t="s">
        <v>63</v>
      </c>
      <c r="P104" s="1" t="s">
        <v>64</v>
      </c>
      <c r="Q104" s="1" t="s">
        <v>63</v>
      </c>
      <c r="R104" s="1" t="s">
        <v>64</v>
      </c>
      <c r="S104" s="1" t="s">
        <v>63</v>
      </c>
      <c r="T104" s="1" t="s">
        <v>64</v>
      </c>
      <c r="U104" s="1" t="s">
        <v>63</v>
      </c>
      <c r="V104" s="1" t="s">
        <v>64</v>
      </c>
      <c r="X104" s="1" t="s">
        <v>6</v>
      </c>
      <c r="Y104" s="1" t="s">
        <v>63</v>
      </c>
      <c r="Z104" s="1" t="s">
        <v>64</v>
      </c>
      <c r="AA104" s="1" t="s">
        <v>63</v>
      </c>
      <c r="AB104" s="1" t="s">
        <v>64</v>
      </c>
      <c r="AC104" s="1" t="s">
        <v>63</v>
      </c>
      <c r="AD104" s="1" t="s">
        <v>64</v>
      </c>
      <c r="AE104" s="1" t="s">
        <v>63</v>
      </c>
      <c r="AF104" s="1" t="s">
        <v>64</v>
      </c>
      <c r="AG104" s="1" t="s">
        <v>63</v>
      </c>
      <c r="AH104" s="1" t="s">
        <v>64</v>
      </c>
      <c r="AI104" s="1" t="s">
        <v>63</v>
      </c>
      <c r="AJ104" s="1" t="s">
        <v>64</v>
      </c>
      <c r="AK104" s="1" t="s">
        <v>63</v>
      </c>
      <c r="AL104" s="1" t="s">
        <v>64</v>
      </c>
      <c r="AM104" s="1" t="s">
        <v>63</v>
      </c>
      <c r="AN104" s="1" t="s">
        <v>64</v>
      </c>
      <c r="AO104" s="1" t="s">
        <v>63</v>
      </c>
      <c r="AP104" s="1" t="s">
        <v>64</v>
      </c>
      <c r="AQ104" s="1" t="s">
        <v>63</v>
      </c>
      <c r="AR104" s="1" t="s">
        <v>64</v>
      </c>
      <c r="AU104" s="1" t="s">
        <v>6</v>
      </c>
      <c r="AV104" s="1" t="s">
        <v>63</v>
      </c>
      <c r="AW104" s="1" t="s">
        <v>64</v>
      </c>
      <c r="AX104" s="1" t="s">
        <v>63</v>
      </c>
      <c r="AY104" s="1" t="s">
        <v>64</v>
      </c>
      <c r="AZ104" s="1" t="s">
        <v>63</v>
      </c>
      <c r="BA104" s="1" t="s">
        <v>64</v>
      </c>
      <c r="BB104" s="1" t="s">
        <v>63</v>
      </c>
      <c r="BC104" s="1" t="s">
        <v>64</v>
      </c>
      <c r="BD104" s="1" t="s">
        <v>63</v>
      </c>
      <c r="BE104" s="1" t="s">
        <v>64</v>
      </c>
      <c r="BF104" s="1" t="s">
        <v>63</v>
      </c>
      <c r="BG104" s="1" t="s">
        <v>64</v>
      </c>
      <c r="BH104" s="1" t="s">
        <v>63</v>
      </c>
      <c r="BI104" s="1" t="s">
        <v>64</v>
      </c>
      <c r="BJ104" s="1" t="s">
        <v>63</v>
      </c>
      <c r="BK104" s="1" t="s">
        <v>64</v>
      </c>
      <c r="BL104" s="1" t="s">
        <v>63</v>
      </c>
      <c r="BM104" s="1" t="s">
        <v>64</v>
      </c>
      <c r="BN104" s="1" t="s">
        <v>63</v>
      </c>
      <c r="BO104" s="1" t="s">
        <v>64</v>
      </c>
      <c r="BR104" s="1" t="s">
        <v>6</v>
      </c>
      <c r="BS104" s="1" t="s">
        <v>63</v>
      </c>
      <c r="BT104" s="1" t="s">
        <v>64</v>
      </c>
      <c r="BU104" s="1" t="s">
        <v>63</v>
      </c>
      <c r="BV104" s="1" t="s">
        <v>64</v>
      </c>
      <c r="BW104" s="1" t="s">
        <v>63</v>
      </c>
      <c r="BX104" s="1" t="s">
        <v>64</v>
      </c>
      <c r="BY104" s="1" t="s">
        <v>63</v>
      </c>
      <c r="BZ104" s="1" t="s">
        <v>64</v>
      </c>
      <c r="CA104" s="1" t="s">
        <v>63</v>
      </c>
      <c r="CB104" s="1" t="s">
        <v>64</v>
      </c>
      <c r="CC104" s="1" t="s">
        <v>63</v>
      </c>
      <c r="CD104" s="1" t="s">
        <v>64</v>
      </c>
      <c r="CE104" s="1" t="s">
        <v>63</v>
      </c>
      <c r="CF104" s="1" t="s">
        <v>64</v>
      </c>
      <c r="CG104" s="1" t="s">
        <v>63</v>
      </c>
      <c r="CH104" s="1" t="s">
        <v>64</v>
      </c>
      <c r="CI104" s="1" t="s">
        <v>63</v>
      </c>
      <c r="CJ104" s="1" t="s">
        <v>64</v>
      </c>
      <c r="CK104" s="1" t="s">
        <v>63</v>
      </c>
      <c r="CL104" s="1" t="s">
        <v>64</v>
      </c>
    </row>
    <row r="105" spans="2:90" x14ac:dyDescent="0.3">
      <c r="B105" s="1" t="s">
        <v>65</v>
      </c>
      <c r="C105" s="1" t="s">
        <v>53</v>
      </c>
      <c r="D105" s="1" t="s">
        <v>53</v>
      </c>
      <c r="E105" s="1" t="s">
        <v>54</v>
      </c>
      <c r="F105" s="1" t="s">
        <v>54</v>
      </c>
      <c r="G105" s="1" t="s">
        <v>55</v>
      </c>
      <c r="H105" s="1" t="s">
        <v>55</v>
      </c>
      <c r="I105" s="1" t="s">
        <v>56</v>
      </c>
      <c r="J105" s="1" t="s">
        <v>56</v>
      </c>
      <c r="K105" s="1" t="s">
        <v>57</v>
      </c>
      <c r="L105" s="1" t="s">
        <v>57</v>
      </c>
      <c r="M105" s="1" t="s">
        <v>58</v>
      </c>
      <c r="N105" s="1" t="s">
        <v>58</v>
      </c>
      <c r="O105" s="1" t="s">
        <v>59</v>
      </c>
      <c r="P105" s="1" t="s">
        <v>59</v>
      </c>
      <c r="Q105" s="1" t="s">
        <v>60</v>
      </c>
      <c r="R105" s="1" t="s">
        <v>60</v>
      </c>
      <c r="S105" s="1" t="s">
        <v>61</v>
      </c>
      <c r="T105" s="1" t="s">
        <v>61</v>
      </c>
      <c r="U105" s="1" t="s">
        <v>62</v>
      </c>
      <c r="V105" s="1" t="s">
        <v>62</v>
      </c>
      <c r="X105" s="1" t="s">
        <v>65</v>
      </c>
      <c r="Y105" s="1" t="s">
        <v>53</v>
      </c>
      <c r="Z105" s="1" t="s">
        <v>53</v>
      </c>
      <c r="AA105" s="1" t="s">
        <v>54</v>
      </c>
      <c r="AB105" s="1" t="s">
        <v>54</v>
      </c>
      <c r="AC105" s="1" t="s">
        <v>55</v>
      </c>
      <c r="AD105" s="1" t="s">
        <v>55</v>
      </c>
      <c r="AE105" s="1" t="s">
        <v>56</v>
      </c>
      <c r="AF105" s="1" t="s">
        <v>56</v>
      </c>
      <c r="AG105" s="1" t="s">
        <v>57</v>
      </c>
      <c r="AH105" s="1" t="s">
        <v>57</v>
      </c>
      <c r="AI105" s="1" t="s">
        <v>58</v>
      </c>
      <c r="AJ105" s="1" t="s">
        <v>58</v>
      </c>
      <c r="AK105" s="1" t="s">
        <v>59</v>
      </c>
      <c r="AL105" s="1" t="s">
        <v>59</v>
      </c>
      <c r="AM105" s="1" t="s">
        <v>60</v>
      </c>
      <c r="AN105" s="1" t="s">
        <v>60</v>
      </c>
      <c r="AO105" s="1" t="s">
        <v>61</v>
      </c>
      <c r="AP105" s="1" t="s">
        <v>61</v>
      </c>
      <c r="AQ105" s="1" t="s">
        <v>62</v>
      </c>
      <c r="AR105" s="1" t="s">
        <v>62</v>
      </c>
      <c r="AU105" s="1" t="s">
        <v>65</v>
      </c>
      <c r="AV105" s="1" t="s">
        <v>53</v>
      </c>
      <c r="AW105" s="1" t="s">
        <v>53</v>
      </c>
      <c r="AX105" s="1" t="s">
        <v>54</v>
      </c>
      <c r="AY105" s="1" t="s">
        <v>54</v>
      </c>
      <c r="AZ105" s="1" t="s">
        <v>55</v>
      </c>
      <c r="BA105" s="1" t="s">
        <v>55</v>
      </c>
      <c r="BB105" s="1" t="s">
        <v>56</v>
      </c>
      <c r="BC105" s="1" t="s">
        <v>56</v>
      </c>
      <c r="BD105" s="1" t="s">
        <v>57</v>
      </c>
      <c r="BE105" s="1" t="s">
        <v>57</v>
      </c>
      <c r="BF105" s="1" t="s">
        <v>58</v>
      </c>
      <c r="BG105" s="1" t="s">
        <v>58</v>
      </c>
      <c r="BH105" s="1" t="s">
        <v>59</v>
      </c>
      <c r="BI105" s="1" t="s">
        <v>59</v>
      </c>
      <c r="BJ105" s="1" t="s">
        <v>60</v>
      </c>
      <c r="BK105" s="1" t="s">
        <v>60</v>
      </c>
      <c r="BL105" s="1" t="s">
        <v>61</v>
      </c>
      <c r="BM105" s="1" t="s">
        <v>61</v>
      </c>
      <c r="BN105" s="1" t="s">
        <v>62</v>
      </c>
      <c r="BO105" s="1" t="s">
        <v>62</v>
      </c>
      <c r="BR105" s="1" t="s">
        <v>65</v>
      </c>
      <c r="BS105" s="1" t="s">
        <v>53</v>
      </c>
      <c r="BT105" s="1" t="s">
        <v>53</v>
      </c>
      <c r="BU105" s="1" t="s">
        <v>54</v>
      </c>
      <c r="BV105" s="1" t="s">
        <v>54</v>
      </c>
      <c r="BW105" s="1" t="s">
        <v>55</v>
      </c>
      <c r="BX105" s="1" t="s">
        <v>55</v>
      </c>
      <c r="BY105" s="1" t="s">
        <v>56</v>
      </c>
      <c r="BZ105" s="1" t="s">
        <v>56</v>
      </c>
      <c r="CA105" s="1" t="s">
        <v>57</v>
      </c>
      <c r="CB105" s="1" t="s">
        <v>57</v>
      </c>
      <c r="CC105" s="1" t="s">
        <v>58</v>
      </c>
      <c r="CD105" s="1" t="s">
        <v>58</v>
      </c>
      <c r="CE105" s="1" t="s">
        <v>59</v>
      </c>
      <c r="CF105" s="1" t="s">
        <v>59</v>
      </c>
      <c r="CG105" s="1" t="s">
        <v>60</v>
      </c>
      <c r="CH105" s="1" t="s">
        <v>60</v>
      </c>
      <c r="CI105" s="1" t="s">
        <v>61</v>
      </c>
      <c r="CJ105" s="1" t="s">
        <v>61</v>
      </c>
      <c r="CK105" s="1" t="s">
        <v>62</v>
      </c>
      <c r="CL105" s="1" t="s">
        <v>62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66</v>
      </c>
      <c r="C107" s="2">
        <v>1.4736442956601739E-2</v>
      </c>
      <c r="D107" s="2">
        <v>2.0883529303414909E-2</v>
      </c>
      <c r="E107" s="2">
        <v>2.7348786712366761E-3</v>
      </c>
      <c r="F107" s="2">
        <v>4.3963727145717698E-3</v>
      </c>
      <c r="G107" s="2">
        <v>3.9163581699320398E-3</v>
      </c>
      <c r="H107" s="2">
        <v>5.6762860540071642E-3</v>
      </c>
      <c r="I107" s="2">
        <v>1.7694462733005411E-2</v>
      </c>
      <c r="J107" s="2">
        <v>9.0709853067100759E-3</v>
      </c>
      <c r="K107" s="2">
        <v>2.2461342899780769E-2</v>
      </c>
      <c r="L107" s="2">
        <v>7.3401483630240556E-3</v>
      </c>
      <c r="M107" s="2">
        <v>2.241248663543512E-2</v>
      </c>
      <c r="N107" s="2">
        <v>5.59813571792397E-3</v>
      </c>
      <c r="O107" s="2">
        <v>2.148543364036443E-2</v>
      </c>
      <c r="P107" s="2">
        <v>2.7997692915107441E-3</v>
      </c>
      <c r="Q107" s="2">
        <v>1.8166474062163811E-2</v>
      </c>
      <c r="R107" s="2">
        <v>7.0082551079481336E-3</v>
      </c>
      <c r="S107" s="2">
        <v>1.9587689736750178E-3</v>
      </c>
      <c r="T107" s="2">
        <v>1.8920784914183671E-3</v>
      </c>
      <c r="U107" s="2">
        <v>6.5981573498917184E-3</v>
      </c>
      <c r="V107" s="2">
        <v>2.7160213938656631E-3</v>
      </c>
      <c r="X107" s="1" t="s">
        <v>66</v>
      </c>
      <c r="Y107" s="2">
        <v>2534.64</v>
      </c>
      <c r="Z107" s="2">
        <v>2423.88</v>
      </c>
      <c r="AA107" s="2">
        <v>684.39</v>
      </c>
      <c r="AB107" s="2">
        <v>617.27</v>
      </c>
      <c r="AC107" s="2">
        <v>504.81</v>
      </c>
      <c r="AD107" s="2">
        <v>908.13</v>
      </c>
      <c r="AE107" s="2">
        <v>1739.13</v>
      </c>
      <c r="AF107" s="2">
        <v>918.01</v>
      </c>
      <c r="AG107" s="2">
        <v>2620.69</v>
      </c>
      <c r="AH107" s="2">
        <v>795.44</v>
      </c>
      <c r="AI107" s="2">
        <v>2720.37</v>
      </c>
      <c r="AJ107" s="2">
        <v>620</v>
      </c>
      <c r="AK107" s="2">
        <v>2608.29</v>
      </c>
      <c r="AL107" s="2">
        <v>216.31</v>
      </c>
      <c r="AM107" s="2">
        <v>1815.67</v>
      </c>
      <c r="AN107" s="2">
        <v>527.65</v>
      </c>
      <c r="AO107" s="2">
        <v>107.04</v>
      </c>
      <c r="AP107" s="2">
        <v>66.17</v>
      </c>
      <c r="AQ107" s="2">
        <v>288.51</v>
      </c>
      <c r="AR107" s="2">
        <v>65</v>
      </c>
      <c r="AU107" s="1" t="s">
        <v>66</v>
      </c>
      <c r="AV107" s="2">
        <v>9541.06</v>
      </c>
      <c r="AW107" s="2">
        <v>9306.02</v>
      </c>
      <c r="AX107" s="2">
        <v>10458.209999999999</v>
      </c>
      <c r="AY107" s="2">
        <v>9487.23</v>
      </c>
      <c r="AZ107" s="2">
        <v>7751.69</v>
      </c>
      <c r="BA107" s="2">
        <v>10142.07</v>
      </c>
      <c r="BB107" s="2">
        <v>9790.57</v>
      </c>
      <c r="BC107" s="2">
        <v>9502.19</v>
      </c>
      <c r="BD107" s="2">
        <v>9860.31</v>
      </c>
      <c r="BE107" s="2">
        <v>9495.9599999999991</v>
      </c>
      <c r="BF107" s="2">
        <v>10115.530000000001</v>
      </c>
      <c r="BG107" s="2">
        <v>9625.9</v>
      </c>
      <c r="BH107" s="2">
        <v>9687.2099999999991</v>
      </c>
      <c r="BI107" s="2">
        <v>9492.69</v>
      </c>
      <c r="BJ107" s="2">
        <v>10095.530000000001</v>
      </c>
      <c r="BK107" s="2">
        <v>9914.9500000000007</v>
      </c>
      <c r="BL107" s="2">
        <v>10316.66</v>
      </c>
      <c r="BM107" s="2">
        <v>6377.33</v>
      </c>
      <c r="BN107" s="2">
        <v>9489.7900000000009</v>
      </c>
      <c r="BO107" s="2">
        <v>6265.1</v>
      </c>
      <c r="BR107" s="1" t="s">
        <v>66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67</v>
      </c>
      <c r="C108" s="2">
        <v>2.1777375568871282E-2</v>
      </c>
      <c r="D108" s="2">
        <v>1.171691988418134E-2</v>
      </c>
      <c r="E108" s="2">
        <v>1.8523148887797401E-2</v>
      </c>
      <c r="F108" s="2">
        <v>1.304356061307926E-2</v>
      </c>
      <c r="G108" s="2">
        <v>1.8434192945680369E-2</v>
      </c>
      <c r="H108" s="2">
        <v>1.483776164160242E-2</v>
      </c>
      <c r="I108" s="2">
        <v>4.4011381276377097E-2</v>
      </c>
      <c r="J108" s="2">
        <v>2.8923577109972291E-2</v>
      </c>
      <c r="K108" s="2">
        <v>3.9663934784827853E-2</v>
      </c>
      <c r="L108" s="2">
        <v>1.9702961013299769E-2</v>
      </c>
      <c r="M108" s="2">
        <v>4.6050571084640217E-2</v>
      </c>
      <c r="N108" s="2">
        <v>2.2267852149343341E-2</v>
      </c>
      <c r="O108" s="2">
        <v>3.7304577735798837E-2</v>
      </c>
      <c r="P108" s="2">
        <v>2.918201038150325E-2</v>
      </c>
      <c r="Q108" s="2">
        <v>3.7161763271508289E-2</v>
      </c>
      <c r="R108" s="2">
        <v>3.01572787685929E-2</v>
      </c>
      <c r="S108" s="2">
        <v>5.2232805603188222E-2</v>
      </c>
      <c r="T108" s="2">
        <v>2.9551435591110412E-2</v>
      </c>
      <c r="U108" s="2">
        <v>6.4941193461243649E-2</v>
      </c>
      <c r="V108" s="2">
        <v>2.8786371348502659E-2</v>
      </c>
      <c r="X108" s="1" t="s">
        <v>67</v>
      </c>
      <c r="Y108" s="2">
        <v>733.32</v>
      </c>
      <c r="Z108" s="2">
        <v>448.83</v>
      </c>
      <c r="AA108" s="2">
        <v>809.22</v>
      </c>
      <c r="AB108" s="2">
        <v>490.32</v>
      </c>
      <c r="AC108" s="2">
        <v>533.79</v>
      </c>
      <c r="AD108" s="2">
        <v>592.61</v>
      </c>
      <c r="AE108" s="2">
        <v>867.95</v>
      </c>
      <c r="AF108" s="2">
        <v>548.5</v>
      </c>
      <c r="AG108" s="2">
        <v>806.06</v>
      </c>
      <c r="AH108" s="2">
        <v>504.19</v>
      </c>
      <c r="AI108" s="2">
        <v>897.25</v>
      </c>
      <c r="AJ108" s="2">
        <v>510.12</v>
      </c>
      <c r="AK108" s="2">
        <v>650.79999999999995</v>
      </c>
      <c r="AL108" s="2">
        <v>564.08000000000004</v>
      </c>
      <c r="AM108" s="2">
        <v>626.73</v>
      </c>
      <c r="AN108" s="2">
        <v>565.75</v>
      </c>
      <c r="AO108" s="2">
        <v>623.34</v>
      </c>
      <c r="AP108" s="2">
        <v>450.21</v>
      </c>
      <c r="AQ108" s="2">
        <v>699.37</v>
      </c>
      <c r="AR108" s="2">
        <v>401.63</v>
      </c>
      <c r="AU108" s="1" t="s">
        <v>67</v>
      </c>
      <c r="AV108" s="2">
        <v>5784.18</v>
      </c>
      <c r="AW108" s="2">
        <v>3305.07</v>
      </c>
      <c r="AX108" s="2">
        <v>5967.08</v>
      </c>
      <c r="AY108" s="2">
        <v>3595.88</v>
      </c>
      <c r="AZ108" s="2">
        <v>3446.81</v>
      </c>
      <c r="BA108" s="2">
        <v>4343.8900000000003</v>
      </c>
      <c r="BB108" s="2">
        <v>6428.15</v>
      </c>
      <c r="BC108" s="2">
        <v>3606.9</v>
      </c>
      <c r="BD108" s="2">
        <v>6399.64</v>
      </c>
      <c r="BE108" s="2">
        <v>3596.11</v>
      </c>
      <c r="BF108" s="2">
        <v>6132.85</v>
      </c>
      <c r="BG108" s="2">
        <v>3634.48</v>
      </c>
      <c r="BH108" s="2">
        <v>4927.1000000000004</v>
      </c>
      <c r="BI108" s="2">
        <v>4092.02</v>
      </c>
      <c r="BJ108" s="2">
        <v>4734.87</v>
      </c>
      <c r="BK108" s="2">
        <v>4277.05</v>
      </c>
      <c r="BL108" s="2">
        <v>4661.0600000000004</v>
      </c>
      <c r="BM108" s="2">
        <v>3109.99</v>
      </c>
      <c r="BN108" s="2">
        <v>5568.83</v>
      </c>
      <c r="BO108" s="2">
        <v>3143.57</v>
      </c>
      <c r="BR108" s="1" t="s">
        <v>67</v>
      </c>
      <c r="BS108" s="2">
        <v>6.21</v>
      </c>
      <c r="BT108" s="2">
        <v>3.28</v>
      </c>
      <c r="BU108" s="2">
        <v>5.0599999999999996</v>
      </c>
      <c r="BV108" s="2">
        <v>3.09</v>
      </c>
      <c r="BW108" s="2">
        <v>1.66</v>
      </c>
      <c r="BX108" s="2">
        <v>1.53</v>
      </c>
      <c r="BY108" s="2">
        <v>7.45</v>
      </c>
      <c r="BZ108" s="2">
        <v>7.4</v>
      </c>
      <c r="CA108" s="2">
        <v>10.119999999999999</v>
      </c>
      <c r="CB108" s="2">
        <v>7.17</v>
      </c>
      <c r="CC108" s="2">
        <v>19.440000000000001</v>
      </c>
      <c r="CD108" s="2">
        <v>13.29</v>
      </c>
      <c r="CE108" s="2">
        <v>15.66</v>
      </c>
      <c r="CF108" s="2">
        <v>12.15</v>
      </c>
      <c r="CG108" s="2">
        <v>19.23</v>
      </c>
      <c r="CH108" s="2">
        <v>14.34</v>
      </c>
      <c r="CI108" s="2">
        <v>16.09</v>
      </c>
      <c r="CJ108" s="2">
        <v>9.69</v>
      </c>
      <c r="CK108" s="2">
        <v>18.54</v>
      </c>
      <c r="CL108" s="2">
        <v>10.44</v>
      </c>
    </row>
    <row r="109" spans="2:90" x14ac:dyDescent="0.3">
      <c r="B109" s="1" t="s">
        <v>68</v>
      </c>
      <c r="C109" s="2">
        <v>0.33389048624069501</v>
      </c>
      <c r="D109" s="2">
        <v>3.7746700918181969E-2</v>
      </c>
      <c r="E109" s="2">
        <v>0.34985731093624811</v>
      </c>
      <c r="F109" s="2">
        <v>3.3449408772898537E-2</v>
      </c>
      <c r="G109" s="2">
        <v>0.3167967144973402</v>
      </c>
      <c r="H109" s="2">
        <v>0.20391555678529499</v>
      </c>
      <c r="I109" s="2">
        <v>0.36375973603819861</v>
      </c>
      <c r="J109" s="2">
        <v>0.1547793562552674</v>
      </c>
      <c r="K109" s="2">
        <v>0.34211995488992269</v>
      </c>
      <c r="L109" s="2">
        <v>0.12535079546090691</v>
      </c>
      <c r="M109" s="2">
        <v>0.34093563335254379</v>
      </c>
      <c r="N109" s="2">
        <v>0.1359297804993265</v>
      </c>
      <c r="O109" s="2">
        <v>0.35022112889428259</v>
      </c>
      <c r="P109" s="2">
        <v>0.1553679257816358</v>
      </c>
      <c r="Q109" s="2">
        <v>0.36991712643866809</v>
      </c>
      <c r="R109" s="2">
        <v>0.16468739319930659</v>
      </c>
      <c r="S109" s="2">
        <v>0.26765745073989389</v>
      </c>
      <c r="T109" s="2">
        <v>0.18603283458110201</v>
      </c>
      <c r="U109" s="2">
        <v>0.18860533192469611</v>
      </c>
      <c r="V109" s="2">
        <v>0.18340420469216009</v>
      </c>
      <c r="X109" s="1" t="s">
        <v>68</v>
      </c>
      <c r="Y109" s="2">
        <v>4464.5600000000004</v>
      </c>
      <c r="Z109" s="2">
        <v>1094.49</v>
      </c>
      <c r="AA109" s="2">
        <v>4581.1099999999997</v>
      </c>
      <c r="AB109" s="2">
        <v>1096.4000000000001</v>
      </c>
      <c r="AC109" s="2">
        <v>4711.5600000000004</v>
      </c>
      <c r="AD109" s="2">
        <v>4120.29</v>
      </c>
      <c r="AE109" s="2">
        <v>5258.89</v>
      </c>
      <c r="AF109" s="2">
        <v>2339.29</v>
      </c>
      <c r="AG109" s="2">
        <v>5478.97</v>
      </c>
      <c r="AH109" s="2">
        <v>1915.09</v>
      </c>
      <c r="AI109" s="2">
        <v>5619.86</v>
      </c>
      <c r="AJ109" s="2">
        <v>1895.58</v>
      </c>
      <c r="AK109" s="2">
        <v>5114.74</v>
      </c>
      <c r="AL109" s="2">
        <v>1986.17</v>
      </c>
      <c r="AM109" s="2">
        <v>4954.92</v>
      </c>
      <c r="AN109" s="2">
        <v>1876.1</v>
      </c>
      <c r="AO109" s="2">
        <v>2428.1</v>
      </c>
      <c r="AP109" s="2">
        <v>1375.18</v>
      </c>
      <c r="AQ109" s="2">
        <v>1439.84</v>
      </c>
      <c r="AR109" s="2">
        <v>1280.1500000000001</v>
      </c>
      <c r="AU109" s="1" t="s">
        <v>68</v>
      </c>
      <c r="AV109" s="2">
        <v>16371.9</v>
      </c>
      <c r="AW109" s="2">
        <v>8059.41</v>
      </c>
      <c r="AX109" s="2">
        <v>18403.36</v>
      </c>
      <c r="AY109" s="2">
        <v>8040.1</v>
      </c>
      <c r="AZ109" s="2">
        <v>10734.47</v>
      </c>
      <c r="BA109" s="2">
        <v>13220.43</v>
      </c>
      <c r="BB109" s="2">
        <v>15951.05</v>
      </c>
      <c r="BC109" s="2">
        <v>11503.7</v>
      </c>
      <c r="BD109" s="2">
        <v>16212.23</v>
      </c>
      <c r="BE109" s="2">
        <v>10889.84</v>
      </c>
      <c r="BF109" s="2">
        <v>16423.27</v>
      </c>
      <c r="BG109" s="2">
        <v>10707.66</v>
      </c>
      <c r="BH109" s="2">
        <v>14191.79</v>
      </c>
      <c r="BI109" s="2">
        <v>10921.55</v>
      </c>
      <c r="BJ109" s="2">
        <v>13471.44</v>
      </c>
      <c r="BK109" s="2">
        <v>11162.59</v>
      </c>
      <c r="BL109" s="2">
        <v>12475.48</v>
      </c>
      <c r="BM109" s="2">
        <v>9093.01</v>
      </c>
      <c r="BN109" s="2">
        <v>9685.2199999999993</v>
      </c>
      <c r="BO109" s="2">
        <v>8408.9699999999993</v>
      </c>
      <c r="BR109" s="1" t="s">
        <v>68</v>
      </c>
      <c r="BS109" s="2">
        <v>14.04</v>
      </c>
      <c r="BT109" s="2">
        <v>4.13</v>
      </c>
      <c r="BU109" s="2">
        <v>15.81</v>
      </c>
      <c r="BV109" s="2">
        <v>3.49</v>
      </c>
      <c r="BW109" s="2">
        <v>2.7</v>
      </c>
      <c r="BX109" s="2">
        <v>2.7</v>
      </c>
      <c r="BY109" s="2">
        <v>8.64</v>
      </c>
      <c r="BZ109" s="2">
        <v>8.64</v>
      </c>
      <c r="CA109" s="2">
        <v>10.8</v>
      </c>
      <c r="CB109" s="2">
        <v>10.8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20.52</v>
      </c>
      <c r="CH109" s="2">
        <v>20.52</v>
      </c>
      <c r="CI109" s="2">
        <v>18.36</v>
      </c>
      <c r="CJ109" s="2">
        <v>17.25</v>
      </c>
      <c r="CK109" s="2">
        <v>22.33</v>
      </c>
      <c r="CL109" s="2">
        <v>19.29</v>
      </c>
    </row>
    <row r="110" spans="2:90" x14ac:dyDescent="0.3">
      <c r="B110" s="1" t="s">
        <v>69</v>
      </c>
      <c r="C110" s="2">
        <v>6.3358598487603432E-2</v>
      </c>
      <c r="D110" s="2">
        <v>1.4603861970337971E-2</v>
      </c>
      <c r="E110" s="2">
        <v>6.2311378717859321E-2</v>
      </c>
      <c r="F110" s="2">
        <v>1.1720984125376289E-2</v>
      </c>
      <c r="G110" s="2">
        <v>7.4513278210165124E-2</v>
      </c>
      <c r="H110" s="2">
        <v>6.6637377264943204E-2</v>
      </c>
      <c r="I110" s="2">
        <v>0.11255663973552819</v>
      </c>
      <c r="J110" s="2">
        <v>4.5094337557483627E-2</v>
      </c>
      <c r="K110" s="2">
        <v>7.7078198902386277E-2</v>
      </c>
      <c r="L110" s="2">
        <v>3.30563981394758E-2</v>
      </c>
      <c r="M110" s="2">
        <v>7.5344707632308799E-2</v>
      </c>
      <c r="N110" s="2">
        <v>3.2821976750199759E-2</v>
      </c>
      <c r="O110" s="2">
        <v>8.0433546163581476E-2</v>
      </c>
      <c r="P110" s="2">
        <v>3.6972446319605883E-2</v>
      </c>
      <c r="Q110" s="2">
        <v>6.6531015639466354E-2</v>
      </c>
      <c r="R110" s="2">
        <v>3.7154374641584109E-2</v>
      </c>
      <c r="S110" s="2">
        <v>4.757534890921216E-2</v>
      </c>
      <c r="T110" s="2">
        <v>4.6313295858357258E-2</v>
      </c>
      <c r="U110" s="2">
        <v>4.7634181773525998E-2</v>
      </c>
      <c r="V110" s="2">
        <v>5.0947594524525602E-2</v>
      </c>
      <c r="X110" s="1" t="s">
        <v>69</v>
      </c>
      <c r="Y110" s="2">
        <v>785.47</v>
      </c>
      <c r="Z110" s="2">
        <v>444.62</v>
      </c>
      <c r="AA110" s="2">
        <v>895.59</v>
      </c>
      <c r="AB110" s="2">
        <v>430.63</v>
      </c>
      <c r="AC110" s="2">
        <v>1075.27</v>
      </c>
      <c r="AD110" s="2">
        <v>1339.98</v>
      </c>
      <c r="AE110" s="2">
        <v>765.32</v>
      </c>
      <c r="AF110" s="2">
        <v>677.19</v>
      </c>
      <c r="AG110" s="2">
        <v>1150.06</v>
      </c>
      <c r="AH110" s="2">
        <v>547.94000000000005</v>
      </c>
      <c r="AI110" s="2">
        <v>1144.71</v>
      </c>
      <c r="AJ110" s="2">
        <v>526.97</v>
      </c>
      <c r="AK110" s="2">
        <v>1115.51</v>
      </c>
      <c r="AL110" s="2">
        <v>541.28</v>
      </c>
      <c r="AM110" s="2">
        <v>846.21</v>
      </c>
      <c r="AN110" s="2">
        <v>510.95</v>
      </c>
      <c r="AO110" s="2">
        <v>518.64</v>
      </c>
      <c r="AP110" s="2">
        <v>478.29</v>
      </c>
      <c r="AQ110" s="2">
        <v>473.55</v>
      </c>
      <c r="AR110" s="2">
        <v>452.53</v>
      </c>
      <c r="AU110" s="1" t="s">
        <v>69</v>
      </c>
      <c r="AV110" s="2">
        <v>4805.33</v>
      </c>
      <c r="AW110" s="2">
        <v>2614.08</v>
      </c>
      <c r="AX110" s="2">
        <v>5594.12</v>
      </c>
      <c r="AY110" s="2">
        <v>3153.07</v>
      </c>
      <c r="AZ110" s="2">
        <v>3519.59</v>
      </c>
      <c r="BA110" s="2">
        <v>4797.34</v>
      </c>
      <c r="BB110" s="2">
        <v>5175.8900000000003</v>
      </c>
      <c r="BC110" s="2">
        <v>4051.19</v>
      </c>
      <c r="BD110" s="2">
        <v>4717.21</v>
      </c>
      <c r="BE110" s="2">
        <v>3788.98</v>
      </c>
      <c r="BF110" s="2">
        <v>4704.76</v>
      </c>
      <c r="BG110" s="2">
        <v>3576.51</v>
      </c>
      <c r="BH110" s="2">
        <v>4542.51</v>
      </c>
      <c r="BI110" s="2">
        <v>3652.12</v>
      </c>
      <c r="BJ110" s="2">
        <v>4300.6899999999996</v>
      </c>
      <c r="BK110" s="2">
        <v>3456.85</v>
      </c>
      <c r="BL110" s="2">
        <v>3549.86</v>
      </c>
      <c r="BM110" s="2">
        <v>3074.61</v>
      </c>
      <c r="BN110" s="2">
        <v>3107.75</v>
      </c>
      <c r="BO110" s="2">
        <v>2905.77</v>
      </c>
      <c r="BR110" s="1" t="s">
        <v>69</v>
      </c>
      <c r="BS110" s="2">
        <v>14.04</v>
      </c>
      <c r="BT110" s="2">
        <v>3.66</v>
      </c>
      <c r="BU110" s="2">
        <v>14.04</v>
      </c>
      <c r="BV110" s="2">
        <v>2.96</v>
      </c>
      <c r="BW110" s="2">
        <v>2.7</v>
      </c>
      <c r="BX110" s="2">
        <v>2.7</v>
      </c>
      <c r="BY110" s="2">
        <v>17.28</v>
      </c>
      <c r="BZ110" s="2">
        <v>8.64</v>
      </c>
      <c r="CA110" s="2">
        <v>10.8</v>
      </c>
      <c r="CB110" s="2">
        <v>9.84</v>
      </c>
      <c r="CC110" s="2">
        <v>19.440000000000001</v>
      </c>
      <c r="CD110" s="2">
        <v>16.510000000000002</v>
      </c>
      <c r="CE110" s="2">
        <v>15.66</v>
      </c>
      <c r="CF110" s="2">
        <v>13.45</v>
      </c>
      <c r="CG110" s="2">
        <v>20.52</v>
      </c>
      <c r="CH110" s="2">
        <v>15.84</v>
      </c>
      <c r="CI110" s="2">
        <v>14.16</v>
      </c>
      <c r="CJ110" s="2">
        <v>12.14</v>
      </c>
      <c r="CK110" s="2">
        <v>15.86</v>
      </c>
      <c r="CL110" s="2">
        <v>14.38</v>
      </c>
    </row>
    <row r="111" spans="2:90" x14ac:dyDescent="0.3">
      <c r="B111" s="1" t="s">
        <v>70</v>
      </c>
      <c r="C111" s="2">
        <v>0.1717164325130808</v>
      </c>
      <c r="D111" s="2">
        <v>0.27084788546368171</v>
      </c>
      <c r="E111" s="2">
        <v>0.25417741907703778</v>
      </c>
      <c r="F111" s="2">
        <v>0.19171779709486109</v>
      </c>
      <c r="G111" s="2">
        <v>0.28325372608673588</v>
      </c>
      <c r="H111" s="2">
        <v>0.23000157041047539</v>
      </c>
      <c r="I111" s="2">
        <v>0.17282319649277761</v>
      </c>
      <c r="J111" s="2">
        <v>0.30308656996686562</v>
      </c>
      <c r="K111" s="2">
        <v>0.28384215847831268</v>
      </c>
      <c r="L111" s="2">
        <v>0.28888357537201148</v>
      </c>
      <c r="M111" s="2">
        <v>0.24195712980773831</v>
      </c>
      <c r="N111" s="2">
        <v>0.23575373880042269</v>
      </c>
      <c r="O111" s="2">
        <v>0.2124101499720914</v>
      </c>
      <c r="P111" s="2">
        <v>0.23198115470337469</v>
      </c>
      <c r="Q111" s="2">
        <v>0.17463148888763719</v>
      </c>
      <c r="R111" s="2">
        <v>0.21267167758908731</v>
      </c>
      <c r="S111" s="2">
        <v>0.22722166650789111</v>
      </c>
      <c r="T111" s="2">
        <v>0.23779928366442571</v>
      </c>
      <c r="U111" s="2">
        <v>0.27102992334441239</v>
      </c>
      <c r="V111" s="2">
        <v>0.27025353981051631</v>
      </c>
      <c r="X111" s="1" t="s">
        <v>70</v>
      </c>
      <c r="Y111" s="2">
        <v>4390.37</v>
      </c>
      <c r="Z111" s="2">
        <v>4733.79</v>
      </c>
      <c r="AA111" s="2">
        <v>3744.2</v>
      </c>
      <c r="AB111" s="2">
        <v>4040.41</v>
      </c>
      <c r="AC111" s="2">
        <v>4449.5600000000004</v>
      </c>
      <c r="AD111" s="2">
        <v>4960.72</v>
      </c>
      <c r="AE111" s="2">
        <v>3200.11</v>
      </c>
      <c r="AF111" s="2">
        <v>4871.51</v>
      </c>
      <c r="AG111" s="2">
        <v>4539.38</v>
      </c>
      <c r="AH111" s="2">
        <v>4875.1899999999996</v>
      </c>
      <c r="AI111" s="2">
        <v>3977.14</v>
      </c>
      <c r="AJ111" s="2">
        <v>3775.03</v>
      </c>
      <c r="AK111" s="2">
        <v>3245.48</v>
      </c>
      <c r="AL111" s="2">
        <v>3373.57</v>
      </c>
      <c r="AM111" s="2">
        <v>2829.92</v>
      </c>
      <c r="AN111" s="2">
        <v>2903.37</v>
      </c>
      <c r="AO111" s="2">
        <v>2637.65</v>
      </c>
      <c r="AP111" s="2">
        <v>2760.25</v>
      </c>
      <c r="AQ111" s="2">
        <v>2659.92</v>
      </c>
      <c r="AR111" s="2">
        <v>2733.35</v>
      </c>
      <c r="AU111" s="1" t="s">
        <v>70</v>
      </c>
      <c r="AV111" s="2">
        <v>15700.3</v>
      </c>
      <c r="AW111" s="2">
        <v>20957.21</v>
      </c>
      <c r="AX111" s="2">
        <v>26836.959999999999</v>
      </c>
      <c r="AY111" s="2">
        <v>29534.09</v>
      </c>
      <c r="AZ111" s="2">
        <v>15542.59</v>
      </c>
      <c r="BA111" s="2">
        <v>17975.27</v>
      </c>
      <c r="BB111" s="2">
        <v>23303.39</v>
      </c>
      <c r="BC111" s="2">
        <v>20682.990000000002</v>
      </c>
      <c r="BD111" s="2">
        <v>23861.119999999999</v>
      </c>
      <c r="BE111" s="2">
        <v>23753.31</v>
      </c>
      <c r="BF111" s="2">
        <v>23293.86</v>
      </c>
      <c r="BG111" s="2">
        <v>24599.47</v>
      </c>
      <c r="BH111" s="2">
        <v>21969.52</v>
      </c>
      <c r="BI111" s="2">
        <v>24328.93</v>
      </c>
      <c r="BJ111" s="2">
        <v>19895.080000000002</v>
      </c>
      <c r="BK111" s="2">
        <v>20591.13</v>
      </c>
      <c r="BL111" s="2">
        <v>17926.349999999999</v>
      </c>
      <c r="BM111" s="2">
        <v>19520.25</v>
      </c>
      <c r="BN111" s="2">
        <v>18188.080000000002</v>
      </c>
      <c r="BO111" s="2">
        <v>21361.65</v>
      </c>
      <c r="BR111" s="1" t="s">
        <v>70</v>
      </c>
      <c r="BS111" s="2">
        <v>7.02</v>
      </c>
      <c r="BT111" s="2">
        <v>7.02</v>
      </c>
      <c r="BU111" s="2">
        <v>14.04</v>
      </c>
      <c r="BV111" s="2">
        <v>5.67</v>
      </c>
      <c r="BW111" s="2">
        <v>2.7</v>
      </c>
      <c r="BX111" s="2">
        <v>2.7</v>
      </c>
      <c r="BY111" s="2">
        <v>6.75</v>
      </c>
      <c r="BZ111" s="2">
        <v>8.64</v>
      </c>
      <c r="CA111" s="2">
        <v>10.8</v>
      </c>
      <c r="CB111" s="2">
        <v>10.8</v>
      </c>
      <c r="CC111" s="2">
        <v>19.440000000000001</v>
      </c>
      <c r="CD111" s="2">
        <v>19.440000000000001</v>
      </c>
      <c r="CE111" s="2">
        <v>15.66</v>
      </c>
      <c r="CF111" s="2">
        <v>15.66</v>
      </c>
      <c r="CG111" s="2">
        <v>17.45</v>
      </c>
      <c r="CH111" s="2">
        <v>17.97</v>
      </c>
      <c r="CI111" s="2">
        <v>13.81</v>
      </c>
      <c r="CJ111" s="2">
        <v>12.81</v>
      </c>
      <c r="CK111" s="2">
        <v>17.489999999999998</v>
      </c>
      <c r="CL111" s="2">
        <v>14.48</v>
      </c>
    </row>
    <row r="112" spans="2:90" x14ac:dyDescent="0.3">
      <c r="B112" s="1" t="s">
        <v>71</v>
      </c>
      <c r="C112" s="2">
        <v>4.3433608096858589E-2</v>
      </c>
      <c r="D112" s="2">
        <v>6.4870618294006435E-2</v>
      </c>
      <c r="E112" s="2">
        <v>6.7660570483052213E-2</v>
      </c>
      <c r="F112" s="2">
        <v>0.1161903208977379</v>
      </c>
      <c r="G112" s="2">
        <v>6.4163507083071752E-2</v>
      </c>
      <c r="H112" s="2">
        <v>5.2650628538097412E-2</v>
      </c>
      <c r="I112" s="2">
        <v>3.6761357282512633E-2</v>
      </c>
      <c r="J112" s="2">
        <v>5.6672104849728767E-2</v>
      </c>
      <c r="K112" s="2">
        <v>2.984775348898255E-2</v>
      </c>
      <c r="L112" s="2">
        <v>8.4278301615076032E-2</v>
      </c>
      <c r="M112" s="2">
        <v>3.6906751047475088E-2</v>
      </c>
      <c r="N112" s="2">
        <v>9.1726677105793339E-2</v>
      </c>
      <c r="O112" s="2">
        <v>3.8144137368972923E-2</v>
      </c>
      <c r="P112" s="2">
        <v>8.1571510777932857E-2</v>
      </c>
      <c r="Q112" s="2">
        <v>4.0460249445667062E-2</v>
      </c>
      <c r="R112" s="2">
        <v>9.4883482253749749E-2</v>
      </c>
      <c r="S112" s="2">
        <v>5.4988553277126803E-2</v>
      </c>
      <c r="T112" s="2">
        <v>0.1084367291140665</v>
      </c>
      <c r="U112" s="2">
        <v>5.4027321704411102E-2</v>
      </c>
      <c r="V112" s="2">
        <v>5.4115490185254411E-2</v>
      </c>
      <c r="X112" s="1" t="s">
        <v>71</v>
      </c>
      <c r="Y112" s="2">
        <v>1203.47</v>
      </c>
      <c r="Z112" s="2">
        <v>1264.82</v>
      </c>
      <c r="AA112" s="2">
        <v>1056.7</v>
      </c>
      <c r="AB112" s="2">
        <v>1083.81</v>
      </c>
      <c r="AC112" s="2">
        <v>1081.45</v>
      </c>
      <c r="AD112" s="2">
        <v>1253.45</v>
      </c>
      <c r="AE112" s="2">
        <v>727.23</v>
      </c>
      <c r="AF112" s="2">
        <v>1023.51</v>
      </c>
      <c r="AG112" s="2">
        <v>681.56</v>
      </c>
      <c r="AH112" s="2">
        <v>878.62</v>
      </c>
      <c r="AI112" s="2">
        <v>714.4</v>
      </c>
      <c r="AJ112" s="2">
        <v>915.43</v>
      </c>
      <c r="AK112" s="2">
        <v>710.57</v>
      </c>
      <c r="AL112" s="2">
        <v>896.93</v>
      </c>
      <c r="AM112" s="2">
        <v>696.31</v>
      </c>
      <c r="AN112" s="2">
        <v>859.53</v>
      </c>
      <c r="AO112" s="2">
        <v>649.91</v>
      </c>
      <c r="AP112" s="2">
        <v>1041.8900000000001</v>
      </c>
      <c r="AQ112" s="2">
        <v>609.38</v>
      </c>
      <c r="AR112" s="2">
        <v>606.96</v>
      </c>
      <c r="AU112" s="1" t="s">
        <v>71</v>
      </c>
      <c r="AV112" s="2">
        <v>3819.88</v>
      </c>
      <c r="AW112" s="2">
        <v>4090.37</v>
      </c>
      <c r="AX112" s="2">
        <v>6541.43</v>
      </c>
      <c r="AY112" s="2">
        <v>6792.61</v>
      </c>
      <c r="AZ112" s="2">
        <v>3256.26</v>
      </c>
      <c r="BA112" s="2">
        <v>3969.35</v>
      </c>
      <c r="BB112" s="2">
        <v>4454.07</v>
      </c>
      <c r="BC112" s="2">
        <v>3293.38</v>
      </c>
      <c r="BD112" s="2">
        <v>4481.4399999999996</v>
      </c>
      <c r="BE112" s="2">
        <v>5842.56</v>
      </c>
      <c r="BF112" s="2">
        <v>4718.8</v>
      </c>
      <c r="BG112" s="2">
        <v>6206.29</v>
      </c>
      <c r="BH112" s="2">
        <v>4684.2</v>
      </c>
      <c r="BI112" s="2">
        <v>6007.57</v>
      </c>
      <c r="BJ112" s="2">
        <v>4593.72</v>
      </c>
      <c r="BK112" s="2">
        <v>5773.33</v>
      </c>
      <c r="BL112" s="2">
        <v>4254.18</v>
      </c>
      <c r="BM112" s="2">
        <v>5527.92</v>
      </c>
      <c r="BN112" s="2">
        <v>3866.56</v>
      </c>
      <c r="BO112" s="2">
        <v>3995.54</v>
      </c>
      <c r="BR112" s="1" t="s">
        <v>71</v>
      </c>
      <c r="BS112" s="2">
        <v>7.02</v>
      </c>
      <c r="BT112" s="2">
        <v>7.02</v>
      </c>
      <c r="BU112" s="2">
        <v>14.04</v>
      </c>
      <c r="BV112" s="2">
        <v>13.97</v>
      </c>
      <c r="BW112" s="2">
        <v>2.7</v>
      </c>
      <c r="BX112" s="2">
        <v>2.7</v>
      </c>
      <c r="BY112" s="2">
        <v>7.06</v>
      </c>
      <c r="BZ112" s="2">
        <v>8.64</v>
      </c>
      <c r="CA112" s="2">
        <v>8.6199999999999992</v>
      </c>
      <c r="CB112" s="2">
        <v>19.86</v>
      </c>
      <c r="CC112" s="2">
        <v>18.350000000000001</v>
      </c>
      <c r="CD112" s="2">
        <v>35.57</v>
      </c>
      <c r="CE112" s="2">
        <v>14.51</v>
      </c>
      <c r="CF112" s="2">
        <v>24.01</v>
      </c>
      <c r="CG112" s="2">
        <v>18.71</v>
      </c>
      <c r="CH112" s="2">
        <v>31.3</v>
      </c>
      <c r="CI112" s="2">
        <v>15.38</v>
      </c>
      <c r="CJ112" s="2">
        <v>18.36</v>
      </c>
      <c r="CK112" s="2">
        <v>17.16</v>
      </c>
      <c r="CL112" s="2">
        <v>15.36</v>
      </c>
    </row>
    <row r="113" spans="2:90" x14ac:dyDescent="0.3">
      <c r="B113" s="1" t="s">
        <v>72</v>
      </c>
      <c r="C113" s="2">
        <v>0.31658538298876993</v>
      </c>
      <c r="D113" s="2">
        <v>0.49405988933945821</v>
      </c>
      <c r="E113" s="2">
        <v>0.2302123082606426</v>
      </c>
      <c r="F113" s="2">
        <v>0.60119336587069128</v>
      </c>
      <c r="G113" s="2">
        <v>0.2247496127416696</v>
      </c>
      <c r="H113" s="2">
        <v>0.40226513015711579</v>
      </c>
      <c r="I113" s="2">
        <v>0.2328714392372829</v>
      </c>
      <c r="J113" s="2">
        <v>0.28621635752087821</v>
      </c>
      <c r="K113" s="2">
        <v>0.156239457706872</v>
      </c>
      <c r="L113" s="2">
        <v>0.33618632873317478</v>
      </c>
      <c r="M113" s="2">
        <v>0.16783597468707701</v>
      </c>
      <c r="N113" s="2">
        <v>0.35975475044997007</v>
      </c>
      <c r="O113" s="2">
        <v>0.17921993536519501</v>
      </c>
      <c r="P113" s="2">
        <v>0.35456279444000488</v>
      </c>
      <c r="Q113" s="2">
        <v>0.21885795592045371</v>
      </c>
      <c r="R113" s="2">
        <v>0.3689453483708709</v>
      </c>
      <c r="S113" s="2">
        <v>0.2494875768076594</v>
      </c>
      <c r="T113" s="2">
        <v>0.29796826065327858</v>
      </c>
      <c r="U113" s="2">
        <v>0.26140698291858788</v>
      </c>
      <c r="V113" s="2">
        <v>0.30396796735380488</v>
      </c>
      <c r="X113" s="1" t="s">
        <v>72</v>
      </c>
      <c r="Y113" s="2">
        <v>4672.62</v>
      </c>
      <c r="Z113" s="2">
        <v>4819.18</v>
      </c>
      <c r="AA113" s="2">
        <v>3643.52</v>
      </c>
      <c r="AB113" s="2">
        <v>5324.46</v>
      </c>
      <c r="AC113" s="2">
        <v>3933.99</v>
      </c>
      <c r="AD113" s="2">
        <v>4761.1099999999997</v>
      </c>
      <c r="AE113" s="2">
        <v>3765.81</v>
      </c>
      <c r="AF113" s="2">
        <v>5077.5600000000004</v>
      </c>
      <c r="AG113" s="2">
        <v>2845.74</v>
      </c>
      <c r="AH113" s="2">
        <v>6324.78</v>
      </c>
      <c r="AI113" s="2">
        <v>3116.87</v>
      </c>
      <c r="AJ113" s="2">
        <v>6384.57</v>
      </c>
      <c r="AK113" s="2">
        <v>3143.39</v>
      </c>
      <c r="AL113" s="2">
        <v>5732.11</v>
      </c>
      <c r="AM113" s="2">
        <v>3435.71</v>
      </c>
      <c r="AN113" s="2">
        <v>2544.59</v>
      </c>
      <c r="AO113" s="2">
        <v>2491.8000000000002</v>
      </c>
      <c r="AP113" s="2">
        <v>2730.6</v>
      </c>
      <c r="AQ113" s="2">
        <v>2132.4499999999998</v>
      </c>
      <c r="AR113" s="2">
        <v>2085.81</v>
      </c>
      <c r="AU113" s="1" t="s">
        <v>72</v>
      </c>
      <c r="AV113" s="2">
        <v>15653.33</v>
      </c>
      <c r="AW113" s="2">
        <v>16279.22</v>
      </c>
      <c r="AX113" s="2">
        <v>18765.11</v>
      </c>
      <c r="AY113" s="2">
        <v>20957.41</v>
      </c>
      <c r="AZ113" s="2">
        <v>10411.379999999999</v>
      </c>
      <c r="BA113" s="2">
        <v>15669.74</v>
      </c>
      <c r="BB113" s="2">
        <v>14533.35</v>
      </c>
      <c r="BC113" s="2">
        <v>11261.57</v>
      </c>
      <c r="BD113" s="2">
        <v>14008.01</v>
      </c>
      <c r="BE113" s="2">
        <v>17547.07</v>
      </c>
      <c r="BF113" s="2">
        <v>14370.72</v>
      </c>
      <c r="BG113" s="2">
        <v>17848.68</v>
      </c>
      <c r="BH113" s="2">
        <v>14379.56</v>
      </c>
      <c r="BI113" s="2">
        <v>17270.990000000002</v>
      </c>
      <c r="BJ113" s="2">
        <v>14506.27</v>
      </c>
      <c r="BK113" s="2">
        <v>17023.55</v>
      </c>
      <c r="BL113" s="2">
        <v>12837.22</v>
      </c>
      <c r="BM113" s="2">
        <v>13725.21</v>
      </c>
      <c r="BN113" s="2">
        <v>12216.05</v>
      </c>
      <c r="BO113" s="2">
        <v>12379.4</v>
      </c>
      <c r="BR113" s="1" t="s">
        <v>72</v>
      </c>
      <c r="BS113" s="2">
        <v>14.04</v>
      </c>
      <c r="BT113" s="2">
        <v>14.04</v>
      </c>
      <c r="BU113" s="2">
        <v>14.04</v>
      </c>
      <c r="BV113" s="2">
        <v>14.58</v>
      </c>
      <c r="BW113" s="2">
        <v>2.7</v>
      </c>
      <c r="BX113" s="2">
        <v>5.4</v>
      </c>
      <c r="BY113" s="2">
        <v>8.64</v>
      </c>
      <c r="BZ113" s="2">
        <v>8.64</v>
      </c>
      <c r="CA113" s="2">
        <v>10.8</v>
      </c>
      <c r="CB113" s="2">
        <v>10.8</v>
      </c>
      <c r="CC113" s="2">
        <v>19.440000000000001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40.770000000000003</v>
      </c>
      <c r="CI113" s="2">
        <v>18.36</v>
      </c>
      <c r="CJ113" s="2">
        <v>18.36</v>
      </c>
      <c r="CK113" s="2">
        <v>24.3</v>
      </c>
      <c r="CL113" s="2">
        <v>24.3</v>
      </c>
    </row>
    <row r="114" spans="2:90" x14ac:dyDescent="0.3">
      <c r="B114" s="1" t="s">
        <v>73</v>
      </c>
      <c r="C114" s="2">
        <v>3.4501673147519119E-2</v>
      </c>
      <c r="D114" s="2">
        <v>8.5270594826737503E-2</v>
      </c>
      <c r="E114" s="2">
        <v>1.4522984966125819E-2</v>
      </c>
      <c r="F114" s="2">
        <v>2.8288189910783731E-2</v>
      </c>
      <c r="G114" s="2">
        <v>1.417261026540502E-2</v>
      </c>
      <c r="H114" s="2">
        <v>2.401568914846362E-2</v>
      </c>
      <c r="I114" s="2">
        <v>1.9521787204317621E-2</v>
      </c>
      <c r="J114" s="2">
        <v>0.1161567114330939</v>
      </c>
      <c r="K114" s="2">
        <v>4.874719884891527E-2</v>
      </c>
      <c r="L114" s="2">
        <v>0.10520149130303109</v>
      </c>
      <c r="M114" s="2">
        <v>6.85567457527817E-2</v>
      </c>
      <c r="N114" s="2">
        <v>0.1161470885270204</v>
      </c>
      <c r="O114" s="2">
        <v>8.0781090859713411E-2</v>
      </c>
      <c r="P114" s="2">
        <v>0.10756238830443179</v>
      </c>
      <c r="Q114" s="2">
        <v>7.4273926334435414E-2</v>
      </c>
      <c r="R114" s="2">
        <v>8.4492190068860135E-2</v>
      </c>
      <c r="S114" s="2">
        <v>9.8877829181353405E-2</v>
      </c>
      <c r="T114" s="2">
        <v>9.2006082046241111E-2</v>
      </c>
      <c r="U114" s="2">
        <v>0.1057569075232309</v>
      </c>
      <c r="V114" s="2">
        <v>0.10580881069137039</v>
      </c>
      <c r="X114" s="1" t="s">
        <v>73</v>
      </c>
      <c r="Y114" s="2">
        <v>1688.33</v>
      </c>
      <c r="Z114" s="2">
        <v>2012.47</v>
      </c>
      <c r="AA114" s="2">
        <v>1494.6</v>
      </c>
      <c r="AB114" s="2">
        <v>1585.41</v>
      </c>
      <c r="AC114" s="2">
        <v>362.58</v>
      </c>
      <c r="AD114" s="2">
        <v>1621.79</v>
      </c>
      <c r="AE114" s="2">
        <v>1051.08</v>
      </c>
      <c r="AF114" s="2">
        <v>2210.83</v>
      </c>
      <c r="AG114" s="2">
        <v>1479.56</v>
      </c>
      <c r="AH114" s="2">
        <v>2081.8200000000002</v>
      </c>
      <c r="AI114" s="2">
        <v>1497.16</v>
      </c>
      <c r="AJ114" s="2">
        <v>2130.83</v>
      </c>
      <c r="AK114" s="2">
        <v>1473.79</v>
      </c>
      <c r="AL114" s="2">
        <v>1793.67</v>
      </c>
      <c r="AM114" s="2">
        <v>1456.69</v>
      </c>
      <c r="AN114" s="2">
        <v>1548.47</v>
      </c>
      <c r="AO114" s="2">
        <v>1380.97</v>
      </c>
      <c r="AP114" s="2">
        <v>1407.04</v>
      </c>
      <c r="AQ114" s="2">
        <v>1404.39</v>
      </c>
      <c r="AR114" s="2">
        <v>1380.62</v>
      </c>
      <c r="AU114" s="1" t="s">
        <v>73</v>
      </c>
      <c r="AV114" s="2">
        <v>8413.8700000000008</v>
      </c>
      <c r="AW114" s="2">
        <v>11175.53</v>
      </c>
      <c r="AX114" s="2">
        <v>9130.2000000000007</v>
      </c>
      <c r="AY114" s="2">
        <v>9687.39</v>
      </c>
      <c r="AZ114" s="2">
        <v>6343.32</v>
      </c>
      <c r="BA114" s="2">
        <v>9895.51</v>
      </c>
      <c r="BB114" s="2">
        <v>6402.12</v>
      </c>
      <c r="BC114" s="2">
        <v>9408.68</v>
      </c>
      <c r="BD114" s="2">
        <v>6839.44</v>
      </c>
      <c r="BE114" s="2">
        <v>9822.19</v>
      </c>
      <c r="BF114" s="2">
        <v>6726.74</v>
      </c>
      <c r="BG114" s="2">
        <v>10157.68</v>
      </c>
      <c r="BH114" s="2">
        <v>6620.51</v>
      </c>
      <c r="BI114" s="2">
        <v>9558.6299999999992</v>
      </c>
      <c r="BJ114" s="2">
        <v>6332.51</v>
      </c>
      <c r="BK114" s="2">
        <v>7149.13</v>
      </c>
      <c r="BL114" s="2">
        <v>5810.93</v>
      </c>
      <c r="BM114" s="2">
        <v>6043.16</v>
      </c>
      <c r="BN114" s="2">
        <v>6044.31</v>
      </c>
      <c r="BO114" s="2">
        <v>6284.38</v>
      </c>
      <c r="BR114" s="1" t="s">
        <v>73</v>
      </c>
      <c r="BS114" s="2">
        <v>4.12</v>
      </c>
      <c r="BT114" s="2">
        <v>6.09</v>
      </c>
      <c r="BU114" s="2">
        <v>2.1800000000000002</v>
      </c>
      <c r="BV114" s="2">
        <v>2.2999999999999998</v>
      </c>
      <c r="BW114" s="2">
        <v>1.38</v>
      </c>
      <c r="BX114" s="2">
        <v>0.99</v>
      </c>
      <c r="BY114" s="2">
        <v>2.44</v>
      </c>
      <c r="BZ114" s="2">
        <v>8.64</v>
      </c>
      <c r="CA114" s="2">
        <v>6.09</v>
      </c>
      <c r="CB114" s="2">
        <v>10.8</v>
      </c>
      <c r="CC114" s="2">
        <v>15.61</v>
      </c>
      <c r="CD114" s="2">
        <v>19.440000000000001</v>
      </c>
      <c r="CE114" s="2">
        <v>14.07</v>
      </c>
      <c r="CF114" s="2">
        <v>15.26</v>
      </c>
      <c r="CG114" s="2">
        <v>15.71</v>
      </c>
      <c r="CH114" s="2">
        <v>14.67</v>
      </c>
      <c r="CI114" s="2">
        <v>12.51</v>
      </c>
      <c r="CJ114" s="2">
        <v>10.25</v>
      </c>
      <c r="CK114" s="2">
        <v>14.15</v>
      </c>
      <c r="CL114" s="2">
        <v>11.57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63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64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63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64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63</v>
      </c>
      <c r="BT118" s="1" t="s">
        <v>64</v>
      </c>
      <c r="BU118" s="1" t="s">
        <v>63</v>
      </c>
      <c r="BV118" s="1" t="s">
        <v>64</v>
      </c>
      <c r="BW118" s="1" t="s">
        <v>63</v>
      </c>
      <c r="BX118" s="1" t="s">
        <v>64</v>
      </c>
      <c r="BY118" s="1" t="s">
        <v>63</v>
      </c>
      <c r="BZ118" s="1" t="s">
        <v>64</v>
      </c>
      <c r="CA118" s="1" t="s">
        <v>63</v>
      </c>
      <c r="CB118" s="1" t="s">
        <v>64</v>
      </c>
      <c r="CC118" s="1" t="s">
        <v>63</v>
      </c>
      <c r="CD118" s="1" t="s">
        <v>64</v>
      </c>
      <c r="CE118" s="1" t="s">
        <v>63</v>
      </c>
      <c r="CF118" s="1" t="s">
        <v>64</v>
      </c>
      <c r="CG118" s="1" t="s">
        <v>63</v>
      </c>
      <c r="CH118" s="1" t="s">
        <v>64</v>
      </c>
      <c r="CI118" s="1" t="s">
        <v>63</v>
      </c>
      <c r="CJ118" s="1" t="s">
        <v>64</v>
      </c>
      <c r="CK118" s="1" t="s">
        <v>63</v>
      </c>
      <c r="CL118" s="1" t="s">
        <v>64</v>
      </c>
    </row>
    <row r="119" spans="2:90" x14ac:dyDescent="0.3">
      <c r="X119" s="1" t="s">
        <v>65</v>
      </c>
      <c r="Y119" s="1" t="s">
        <v>53</v>
      </c>
      <c r="Z119" s="1" t="s">
        <v>62</v>
      </c>
      <c r="AA119" s="1" t="s">
        <v>54</v>
      </c>
      <c r="AB119" s="1" t="s">
        <v>55</v>
      </c>
      <c r="AC119" s="1" t="s">
        <v>56</v>
      </c>
      <c r="AD119" s="1" t="s">
        <v>57</v>
      </c>
      <c r="AE119" s="1" t="s">
        <v>58</v>
      </c>
      <c r="AF119" s="1" t="s">
        <v>59</v>
      </c>
      <c r="AG119" s="1" t="s">
        <v>60</v>
      </c>
      <c r="AH119" s="1" t="s">
        <v>61</v>
      </c>
      <c r="AI119" s="1" t="s">
        <v>53</v>
      </c>
      <c r="AJ119" s="1" t="s">
        <v>62</v>
      </c>
      <c r="AK119" s="1" t="s">
        <v>54</v>
      </c>
      <c r="AL119" s="1" t="s">
        <v>55</v>
      </c>
      <c r="AM119" s="1" t="s">
        <v>56</v>
      </c>
      <c r="AN119" s="1" t="s">
        <v>57</v>
      </c>
      <c r="AO119" s="1" t="s">
        <v>58</v>
      </c>
      <c r="AP119" s="1" t="s">
        <v>59</v>
      </c>
      <c r="AQ119" s="1" t="s">
        <v>60</v>
      </c>
      <c r="AR119" s="1" t="s">
        <v>61</v>
      </c>
      <c r="AU119" s="1" t="s">
        <v>65</v>
      </c>
      <c r="AV119" s="1" t="s">
        <v>53</v>
      </c>
      <c r="AW119" s="1" t="s">
        <v>62</v>
      </c>
      <c r="AX119" s="1" t="s">
        <v>54</v>
      </c>
      <c r="AY119" s="1" t="s">
        <v>55</v>
      </c>
      <c r="AZ119" s="1" t="s">
        <v>56</v>
      </c>
      <c r="BA119" s="1" t="s">
        <v>57</v>
      </c>
      <c r="BB119" s="1" t="s">
        <v>58</v>
      </c>
      <c r="BC119" s="1" t="s">
        <v>59</v>
      </c>
      <c r="BD119" s="1" t="s">
        <v>60</v>
      </c>
      <c r="BE119" s="1" t="s">
        <v>61</v>
      </c>
      <c r="BF119" s="1" t="s">
        <v>53</v>
      </c>
      <c r="BG119" s="1" t="s">
        <v>62</v>
      </c>
      <c r="BH119" s="1" t="s">
        <v>54</v>
      </c>
      <c r="BI119" s="1" t="s">
        <v>55</v>
      </c>
      <c r="BJ119" s="1" t="s">
        <v>56</v>
      </c>
      <c r="BK119" s="1" t="s">
        <v>57</v>
      </c>
      <c r="BL119" s="1" t="s">
        <v>58</v>
      </c>
      <c r="BM119" s="1" t="s">
        <v>59</v>
      </c>
      <c r="BN119" s="1" t="s">
        <v>60</v>
      </c>
      <c r="BO119" s="1" t="s">
        <v>61</v>
      </c>
      <c r="BR119" s="1" t="s">
        <v>65</v>
      </c>
      <c r="BS119" s="1" t="s">
        <v>53</v>
      </c>
      <c r="BT119" s="1" t="s">
        <v>53</v>
      </c>
      <c r="BU119" s="1" t="s">
        <v>54</v>
      </c>
      <c r="BV119" s="1" t="s">
        <v>54</v>
      </c>
      <c r="BW119" s="1" t="s">
        <v>55</v>
      </c>
      <c r="BX119" s="1" t="s">
        <v>55</v>
      </c>
      <c r="BY119" s="1" t="s">
        <v>56</v>
      </c>
      <c r="BZ119" s="1" t="s">
        <v>56</v>
      </c>
      <c r="CA119" s="1" t="s">
        <v>57</v>
      </c>
      <c r="CB119" s="1" t="s">
        <v>57</v>
      </c>
      <c r="CC119" s="1" t="s">
        <v>58</v>
      </c>
      <c r="CD119" s="1" t="s">
        <v>58</v>
      </c>
      <c r="CE119" s="1" t="s">
        <v>59</v>
      </c>
      <c r="CF119" s="1" t="s">
        <v>59</v>
      </c>
      <c r="CG119" s="1" t="s">
        <v>60</v>
      </c>
      <c r="CH119" s="1" t="s">
        <v>60</v>
      </c>
      <c r="CI119" s="1" t="s">
        <v>61</v>
      </c>
      <c r="CJ119" s="1" t="s">
        <v>61</v>
      </c>
      <c r="CK119" s="1" t="s">
        <v>62</v>
      </c>
      <c r="CL119" s="1" t="s">
        <v>62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66</v>
      </c>
      <c r="Y121" s="2">
        <v>57.22</v>
      </c>
      <c r="Z121" s="2">
        <v>29.13</v>
      </c>
      <c r="AA121" s="2">
        <v>17.16</v>
      </c>
      <c r="AB121" s="2">
        <v>7.02</v>
      </c>
      <c r="AC121" s="2">
        <v>42.33</v>
      </c>
      <c r="AD121" s="2">
        <v>74.81</v>
      </c>
      <c r="AE121" s="2">
        <v>81.599999999999994</v>
      </c>
      <c r="AF121" s="2">
        <v>88.44</v>
      </c>
      <c r="AG121" s="2">
        <v>106.94</v>
      </c>
      <c r="AH121" s="2">
        <v>10.83</v>
      </c>
      <c r="AI121" s="2">
        <v>66.39</v>
      </c>
      <c r="AJ121" s="2">
        <v>12.87</v>
      </c>
      <c r="AK121" s="2">
        <v>17.07</v>
      </c>
      <c r="AL121" s="2">
        <v>12.12</v>
      </c>
      <c r="AM121" s="2">
        <v>43.7</v>
      </c>
      <c r="AN121" s="2">
        <v>29.04</v>
      </c>
      <c r="AO121" s="2">
        <v>23.2</v>
      </c>
      <c r="AP121" s="2">
        <v>14.46</v>
      </c>
      <c r="AQ121" s="2">
        <v>35.93</v>
      </c>
      <c r="AR121" s="2">
        <v>8.7200000000000006</v>
      </c>
      <c r="AU121" s="1" t="s">
        <v>66</v>
      </c>
      <c r="AV121" s="2">
        <v>358.65</v>
      </c>
      <c r="AW121" s="2">
        <v>1382.07</v>
      </c>
      <c r="AX121" s="2">
        <v>262.20999999999998</v>
      </c>
      <c r="AY121" s="2">
        <v>107.78</v>
      </c>
      <c r="AZ121" s="2">
        <v>394.47</v>
      </c>
      <c r="BA121" s="2">
        <v>563.59</v>
      </c>
      <c r="BB121" s="2">
        <v>1007.04</v>
      </c>
      <c r="BC121" s="2">
        <v>946.86</v>
      </c>
      <c r="BD121" s="2">
        <v>949.08</v>
      </c>
      <c r="BE121" s="2">
        <v>1043.51</v>
      </c>
      <c r="BF121" s="2">
        <v>372.23</v>
      </c>
      <c r="BG121" s="2">
        <v>1240.83</v>
      </c>
      <c r="BH121" s="2">
        <v>262.3</v>
      </c>
      <c r="BI121" s="2">
        <v>169.18</v>
      </c>
      <c r="BJ121" s="2">
        <v>590.22</v>
      </c>
      <c r="BK121" s="2">
        <v>557.55999999999995</v>
      </c>
      <c r="BL121" s="2">
        <v>1065.44</v>
      </c>
      <c r="BM121" s="2">
        <v>793.48</v>
      </c>
      <c r="BN121" s="2">
        <v>988.17</v>
      </c>
      <c r="BO121" s="2">
        <v>840.94</v>
      </c>
      <c r="BR121" s="1" t="s">
        <v>66</v>
      </c>
      <c r="BS121" s="2">
        <v>130.87</v>
      </c>
      <c r="BT121" s="2">
        <v>130.87</v>
      </c>
      <c r="BU121" s="2">
        <v>131.53</v>
      </c>
      <c r="BV121" s="2">
        <v>131.69</v>
      </c>
      <c r="BW121" s="2">
        <v>131.66</v>
      </c>
      <c r="BX121" s="2">
        <v>130.86000000000001</v>
      </c>
      <c r="BY121" s="2">
        <v>180.16</v>
      </c>
      <c r="BZ121" s="2">
        <v>180.16</v>
      </c>
      <c r="CA121" s="2">
        <v>19395.38</v>
      </c>
      <c r="CB121" s="2">
        <v>19204.560000000001</v>
      </c>
      <c r="CC121" s="2">
        <v>19414.759999999998</v>
      </c>
      <c r="CD121" s="2">
        <v>19204.41</v>
      </c>
      <c r="CE121" s="2">
        <v>19340.45</v>
      </c>
      <c r="CF121" s="2">
        <v>19204.39</v>
      </c>
      <c r="CG121" s="2">
        <v>19225.099999999999</v>
      </c>
      <c r="CH121" s="2">
        <v>19204.400000000001</v>
      </c>
      <c r="CI121" s="2">
        <v>20148.560000000001</v>
      </c>
      <c r="CJ121" s="2">
        <v>95742.73</v>
      </c>
      <c r="CK121" s="2">
        <v>19204.39</v>
      </c>
      <c r="CL121" s="2">
        <v>70231.73</v>
      </c>
    </row>
    <row r="122" spans="2:90" x14ac:dyDescent="0.3">
      <c r="X122" s="1" t="s">
        <v>67</v>
      </c>
      <c r="Y122" s="2">
        <v>27.37</v>
      </c>
      <c r="Z122" s="2">
        <v>93.37</v>
      </c>
      <c r="AA122" s="2">
        <v>15.14</v>
      </c>
      <c r="AB122" s="2">
        <v>6.69</v>
      </c>
      <c r="AC122" s="2">
        <v>29.11</v>
      </c>
      <c r="AD122" s="2">
        <v>36.880000000000003</v>
      </c>
      <c r="AE122" s="2">
        <v>76.66</v>
      </c>
      <c r="AF122" s="2">
        <v>55.91</v>
      </c>
      <c r="AG122" s="2">
        <v>69.989999999999995</v>
      </c>
      <c r="AH122" s="2">
        <v>53.63</v>
      </c>
      <c r="AI122" s="2">
        <v>22.85</v>
      </c>
      <c r="AJ122" s="2">
        <v>74.39</v>
      </c>
      <c r="AK122" s="2">
        <v>16.77</v>
      </c>
      <c r="AL122" s="2">
        <v>10.93</v>
      </c>
      <c r="AM122" s="2">
        <v>42.58</v>
      </c>
      <c r="AN122" s="2">
        <v>48.84</v>
      </c>
      <c r="AO122" s="2">
        <v>97.6</v>
      </c>
      <c r="AP122" s="2">
        <v>64.05</v>
      </c>
      <c r="AQ122" s="2">
        <v>69.78</v>
      </c>
      <c r="AR122" s="2">
        <v>62.57</v>
      </c>
      <c r="AU122" s="1" t="s">
        <v>67</v>
      </c>
      <c r="AV122" s="2">
        <v>215.08</v>
      </c>
      <c r="AW122" s="2">
        <v>735.08</v>
      </c>
      <c r="AX122" s="2">
        <v>111.22</v>
      </c>
      <c r="AY122" s="2">
        <v>43.21</v>
      </c>
      <c r="AZ122" s="2">
        <v>214.25</v>
      </c>
      <c r="BA122" s="2">
        <v>290.72000000000003</v>
      </c>
      <c r="BB122" s="2">
        <v>518.05999999999995</v>
      </c>
      <c r="BC122" s="2">
        <v>420.27</v>
      </c>
      <c r="BD122" s="2">
        <v>524.33000000000004</v>
      </c>
      <c r="BE122" s="2">
        <v>398.23</v>
      </c>
      <c r="BF122" s="2">
        <v>168.12</v>
      </c>
      <c r="BG122" s="2">
        <v>580.36</v>
      </c>
      <c r="BH122" s="2">
        <v>122.85</v>
      </c>
      <c r="BI122" s="2">
        <v>80.02</v>
      </c>
      <c r="BJ122" s="2">
        <v>279.33999999999997</v>
      </c>
      <c r="BK122" s="2">
        <v>347.56</v>
      </c>
      <c r="BL122" s="2">
        <v>692.6</v>
      </c>
      <c r="BM122" s="2">
        <v>462.59</v>
      </c>
      <c r="BN122" s="2">
        <v>524.54</v>
      </c>
      <c r="BO122" s="2">
        <v>431.11</v>
      </c>
      <c r="BR122" s="1" t="s">
        <v>67</v>
      </c>
      <c r="BS122" s="2">
        <v>393.08</v>
      </c>
      <c r="BT122" s="2">
        <v>492.86</v>
      </c>
      <c r="BU122" s="2">
        <v>428.65</v>
      </c>
      <c r="BV122" s="2">
        <v>480.42</v>
      </c>
      <c r="BW122" s="2">
        <v>501.47</v>
      </c>
      <c r="BX122" s="2">
        <v>496.72</v>
      </c>
      <c r="BY122" s="2">
        <v>420.52</v>
      </c>
      <c r="BZ122" s="2">
        <v>471.03</v>
      </c>
      <c r="CA122" s="2">
        <v>514.01</v>
      </c>
      <c r="CB122" s="2">
        <v>1075.29</v>
      </c>
      <c r="CC122" s="2">
        <v>394.57</v>
      </c>
      <c r="CD122" s="2">
        <v>997.22</v>
      </c>
      <c r="CE122" s="2">
        <v>514.79999999999995</v>
      </c>
      <c r="CF122" s="2">
        <v>769.28</v>
      </c>
      <c r="CG122" s="2">
        <v>569.91999999999996</v>
      </c>
      <c r="CH122" s="2">
        <v>990.76</v>
      </c>
      <c r="CI122" s="2">
        <v>631.12</v>
      </c>
      <c r="CJ122" s="2">
        <v>2001.13</v>
      </c>
      <c r="CK122" s="2">
        <v>732.29</v>
      </c>
      <c r="CL122" s="2">
        <v>4796.97</v>
      </c>
    </row>
    <row r="123" spans="2:90" x14ac:dyDescent="0.3">
      <c r="X123" s="1" t="s">
        <v>68</v>
      </c>
      <c r="Y123" s="2">
        <v>227.92</v>
      </c>
      <c r="Z123" s="2">
        <v>338.39</v>
      </c>
      <c r="AA123" s="2">
        <v>173.37</v>
      </c>
      <c r="AB123" s="2">
        <v>107.34</v>
      </c>
      <c r="AC123" s="2">
        <v>330.48</v>
      </c>
      <c r="AD123" s="2">
        <v>511.41</v>
      </c>
      <c r="AE123" s="2">
        <v>887.8</v>
      </c>
      <c r="AF123" s="2">
        <v>755.77</v>
      </c>
      <c r="AG123" s="2">
        <v>928.55</v>
      </c>
      <c r="AH123" s="2">
        <v>383.18</v>
      </c>
      <c r="AI123" s="2">
        <v>64.55</v>
      </c>
      <c r="AJ123" s="2">
        <v>320.08999999999997</v>
      </c>
      <c r="AK123" s="2">
        <v>47.92</v>
      </c>
      <c r="AL123" s="2">
        <v>122.46</v>
      </c>
      <c r="AM123" s="2">
        <v>217.94</v>
      </c>
      <c r="AN123" s="2">
        <v>253.24</v>
      </c>
      <c r="AO123" s="2">
        <v>480.19</v>
      </c>
      <c r="AP123" s="2">
        <v>349.61</v>
      </c>
      <c r="AQ123" s="2">
        <v>376.05</v>
      </c>
      <c r="AR123" s="2">
        <v>329.74</v>
      </c>
      <c r="AU123" s="1" t="s">
        <v>68</v>
      </c>
      <c r="AV123" s="2">
        <v>830.43</v>
      </c>
      <c r="AW123" s="2">
        <v>2262.34</v>
      </c>
      <c r="AX123" s="2">
        <v>690.55</v>
      </c>
      <c r="AY123" s="2">
        <v>244.34</v>
      </c>
      <c r="AZ123" s="2">
        <v>997.94</v>
      </c>
      <c r="BA123" s="2">
        <v>1505.79</v>
      </c>
      <c r="BB123" s="2">
        <v>2570.89</v>
      </c>
      <c r="BC123" s="2">
        <v>2084.09</v>
      </c>
      <c r="BD123" s="2">
        <v>2505.3000000000002</v>
      </c>
      <c r="BE123" s="2">
        <v>1956.15</v>
      </c>
      <c r="BF123" s="2">
        <v>474.82</v>
      </c>
      <c r="BG123" s="2">
        <v>2093.0700000000002</v>
      </c>
      <c r="BH123" s="2">
        <v>351.05</v>
      </c>
      <c r="BI123" s="2">
        <v>392.52</v>
      </c>
      <c r="BJ123" s="2">
        <v>1068.56</v>
      </c>
      <c r="BK123" s="2">
        <v>1435.55</v>
      </c>
      <c r="BL123" s="2">
        <v>2697.84</v>
      </c>
      <c r="BM123" s="2">
        <v>1913.58</v>
      </c>
      <c r="BN123" s="2">
        <v>2223.1999999999998</v>
      </c>
      <c r="BO123" s="2">
        <v>2171.25</v>
      </c>
      <c r="BR123" s="1" t="s">
        <v>68</v>
      </c>
      <c r="BS123" s="2">
        <v>164.96</v>
      </c>
      <c r="BT123" s="2">
        <v>667.38</v>
      </c>
      <c r="BU123" s="2">
        <v>178.88</v>
      </c>
      <c r="BV123" s="2">
        <v>581.27</v>
      </c>
      <c r="BW123" s="2">
        <v>154.72</v>
      </c>
      <c r="BX123" s="2">
        <v>203.52</v>
      </c>
      <c r="BY123" s="2">
        <v>181.98</v>
      </c>
      <c r="BZ123" s="2">
        <v>475.61</v>
      </c>
      <c r="CA123" s="2">
        <v>178.48</v>
      </c>
      <c r="CB123" s="2">
        <v>831.44</v>
      </c>
      <c r="CC123" s="2">
        <v>174.75</v>
      </c>
      <c r="CD123" s="2">
        <v>820.87</v>
      </c>
      <c r="CE123" s="2">
        <v>175.49</v>
      </c>
      <c r="CF123" s="2">
        <v>771.22</v>
      </c>
      <c r="CG123" s="2">
        <v>177.44</v>
      </c>
      <c r="CH123" s="2">
        <v>936.27</v>
      </c>
      <c r="CI123" s="2">
        <v>615.97</v>
      </c>
      <c r="CJ123" s="2">
        <v>1617.75</v>
      </c>
      <c r="CK123" s="2">
        <v>1786.11</v>
      </c>
      <c r="CL123" s="2">
        <v>2864.83</v>
      </c>
    </row>
    <row r="124" spans="2:90" x14ac:dyDescent="0.3">
      <c r="X124" s="1" t="s">
        <v>69</v>
      </c>
      <c r="Y124" s="2">
        <v>45.47</v>
      </c>
      <c r="Z124" s="2">
        <v>114.43</v>
      </c>
      <c r="AA124" s="2">
        <v>31.67</v>
      </c>
      <c r="AB124" s="2">
        <v>22.93</v>
      </c>
      <c r="AC124" s="2">
        <v>59.77</v>
      </c>
      <c r="AD124" s="2">
        <v>108.29</v>
      </c>
      <c r="AE124" s="2">
        <v>206.34</v>
      </c>
      <c r="AF124" s="2">
        <v>173.46</v>
      </c>
      <c r="AG124" s="2">
        <v>175.58</v>
      </c>
      <c r="AH124" s="2">
        <v>91.02</v>
      </c>
      <c r="AI124" s="2">
        <v>23.35</v>
      </c>
      <c r="AJ124" s="2">
        <v>99.18</v>
      </c>
      <c r="AK124" s="2">
        <v>20.79</v>
      </c>
      <c r="AL124" s="2">
        <v>26.91</v>
      </c>
      <c r="AM124" s="2">
        <v>46.84</v>
      </c>
      <c r="AN124" s="2">
        <v>62.43</v>
      </c>
      <c r="AO124" s="2">
        <v>116.85</v>
      </c>
      <c r="AP124" s="2">
        <v>79.92</v>
      </c>
      <c r="AQ124" s="2">
        <v>107.31</v>
      </c>
      <c r="AR124" s="2">
        <v>83.03</v>
      </c>
      <c r="AU124" s="1" t="s">
        <v>69</v>
      </c>
      <c r="AV124" s="2">
        <v>276.5</v>
      </c>
      <c r="AW124" s="2">
        <v>747.77</v>
      </c>
      <c r="AX124" s="2">
        <v>196.23</v>
      </c>
      <c r="AY124" s="2">
        <v>75</v>
      </c>
      <c r="AZ124" s="2">
        <v>400.56</v>
      </c>
      <c r="BA124" s="2">
        <v>442.28</v>
      </c>
      <c r="BB124" s="2">
        <v>841.6</v>
      </c>
      <c r="BC124" s="2">
        <v>702.18</v>
      </c>
      <c r="BD124" s="2">
        <v>885.76</v>
      </c>
      <c r="BE124" s="2">
        <v>620.26</v>
      </c>
      <c r="BF124" s="2">
        <v>137.19999999999999</v>
      </c>
      <c r="BG124" s="2">
        <v>634.52</v>
      </c>
      <c r="BH124" s="2">
        <v>152.11000000000001</v>
      </c>
      <c r="BI124" s="2">
        <v>96.24</v>
      </c>
      <c r="BJ124" s="2">
        <v>279.23</v>
      </c>
      <c r="BK124" s="2">
        <v>430.33</v>
      </c>
      <c r="BL124" s="2">
        <v>789.08</v>
      </c>
      <c r="BM124" s="2">
        <v>536.91</v>
      </c>
      <c r="BN124" s="2">
        <v>722.61</v>
      </c>
      <c r="BO124" s="2">
        <v>532.03</v>
      </c>
      <c r="BR124" s="1" t="s">
        <v>69</v>
      </c>
      <c r="BS124" s="2">
        <v>210.2</v>
      </c>
      <c r="BT124" s="2">
        <v>475.97</v>
      </c>
      <c r="BU124" s="2">
        <v>220.33</v>
      </c>
      <c r="BV124" s="2">
        <v>471.29</v>
      </c>
      <c r="BW124" s="2">
        <v>180.23</v>
      </c>
      <c r="BX124" s="2">
        <v>172.01</v>
      </c>
      <c r="BY124" s="2">
        <v>240.19</v>
      </c>
      <c r="BZ124" s="2">
        <v>347.42</v>
      </c>
      <c r="CA124" s="2">
        <v>215.52</v>
      </c>
      <c r="CB124" s="2">
        <v>543.61</v>
      </c>
      <c r="CC124" s="2">
        <v>215.34</v>
      </c>
      <c r="CD124" s="2">
        <v>596.66</v>
      </c>
      <c r="CE124" s="2">
        <v>214.65</v>
      </c>
      <c r="CF124" s="2">
        <v>581.73</v>
      </c>
      <c r="CG124" s="2">
        <v>291.97000000000003</v>
      </c>
      <c r="CH124" s="2">
        <v>709.75</v>
      </c>
      <c r="CI124" s="2">
        <v>721.91</v>
      </c>
      <c r="CJ124" s="2">
        <v>930.67</v>
      </c>
      <c r="CK124" s="2">
        <v>987.02</v>
      </c>
      <c r="CL124" s="2">
        <v>1237.33</v>
      </c>
    </row>
    <row r="125" spans="2:90" x14ac:dyDescent="0.3">
      <c r="X125" s="1" t="s">
        <v>70</v>
      </c>
      <c r="Y125" s="2">
        <v>202.04</v>
      </c>
      <c r="Z125" s="2">
        <v>520.48</v>
      </c>
      <c r="AA125" s="2">
        <v>137.01</v>
      </c>
      <c r="AB125" s="2">
        <v>76.349999999999994</v>
      </c>
      <c r="AC125" s="2">
        <v>218.09</v>
      </c>
      <c r="AD125" s="2">
        <v>410.85</v>
      </c>
      <c r="AE125" s="2">
        <v>645.37</v>
      </c>
      <c r="AF125" s="2">
        <v>431.73</v>
      </c>
      <c r="AG125" s="2">
        <v>490.05</v>
      </c>
      <c r="AH125" s="2">
        <v>436.42</v>
      </c>
      <c r="AI125" s="2">
        <v>204.51</v>
      </c>
      <c r="AJ125" s="2">
        <v>450.27</v>
      </c>
      <c r="AK125" s="2">
        <v>153.56</v>
      </c>
      <c r="AL125" s="2">
        <v>76.28</v>
      </c>
      <c r="AM125" s="2">
        <v>324.94</v>
      </c>
      <c r="AN125" s="2">
        <v>385.08</v>
      </c>
      <c r="AO125" s="2">
        <v>523.63</v>
      </c>
      <c r="AP125" s="2">
        <v>360.37</v>
      </c>
      <c r="AQ125" s="2">
        <v>454.4</v>
      </c>
      <c r="AR125" s="2">
        <v>312.33999999999997</v>
      </c>
      <c r="AU125" s="1" t="s">
        <v>70</v>
      </c>
      <c r="AV125" s="2">
        <v>721.25</v>
      </c>
      <c r="AW125" s="2">
        <v>3538.52</v>
      </c>
      <c r="AX125" s="2">
        <v>974.38</v>
      </c>
      <c r="AY125" s="2">
        <v>266.48</v>
      </c>
      <c r="AZ125" s="2">
        <v>1582.71</v>
      </c>
      <c r="BA125" s="2">
        <v>2150.15</v>
      </c>
      <c r="BB125" s="2">
        <v>3750.23</v>
      </c>
      <c r="BC125" s="2">
        <v>2904.72</v>
      </c>
      <c r="BD125" s="2">
        <v>3423.95</v>
      </c>
      <c r="BE125" s="2">
        <v>2953.38</v>
      </c>
      <c r="BF125" s="2">
        <v>903.09</v>
      </c>
      <c r="BG125" s="2">
        <v>3496.23</v>
      </c>
      <c r="BH125" s="2">
        <v>1117.8399999999999</v>
      </c>
      <c r="BI125" s="2">
        <v>276.14999999999998</v>
      </c>
      <c r="BJ125" s="2">
        <v>1375.06</v>
      </c>
      <c r="BK125" s="2">
        <v>1867.92</v>
      </c>
      <c r="BL125" s="2">
        <v>3382.37</v>
      </c>
      <c r="BM125" s="2">
        <v>2580.23</v>
      </c>
      <c r="BN125" s="2">
        <v>3201.2</v>
      </c>
      <c r="BO125" s="2">
        <v>2198.56</v>
      </c>
      <c r="BR125" s="1" t="s">
        <v>70</v>
      </c>
      <c r="BS125" s="2">
        <v>200.2</v>
      </c>
      <c r="BT125" s="2">
        <v>220.87</v>
      </c>
      <c r="BU125" s="2">
        <v>246.24</v>
      </c>
      <c r="BV125" s="2">
        <v>392.95</v>
      </c>
      <c r="BW125" s="2">
        <v>208.15</v>
      </c>
      <c r="BX125" s="2">
        <v>204.28</v>
      </c>
      <c r="BY125" s="2">
        <v>498.55</v>
      </c>
      <c r="BZ125" s="2">
        <v>235.89</v>
      </c>
      <c r="CA125" s="2">
        <v>299.01</v>
      </c>
      <c r="CB125" s="2">
        <v>273.82</v>
      </c>
      <c r="CC125" s="2">
        <v>350.34</v>
      </c>
      <c r="CD125" s="2">
        <v>396.79</v>
      </c>
      <c r="CE125" s="2">
        <v>440.6</v>
      </c>
      <c r="CF125" s="2">
        <v>461.7</v>
      </c>
      <c r="CG125" s="2">
        <v>609.87</v>
      </c>
      <c r="CH125" s="2">
        <v>585.78</v>
      </c>
      <c r="CI125" s="2">
        <v>746.63</v>
      </c>
      <c r="CJ125" s="2">
        <v>896.71</v>
      </c>
      <c r="CK125" s="2">
        <v>807.68</v>
      </c>
      <c r="CL125" s="2">
        <v>1356.46</v>
      </c>
    </row>
    <row r="126" spans="2:90" x14ac:dyDescent="0.3">
      <c r="X126" s="1" t="s">
        <v>71</v>
      </c>
      <c r="Y126" s="2">
        <v>38.5</v>
      </c>
      <c r="Z126" s="2">
        <v>91.97</v>
      </c>
      <c r="AA126" s="2">
        <v>24.76</v>
      </c>
      <c r="AB126" s="2">
        <v>14.27</v>
      </c>
      <c r="AC126" s="2">
        <v>36.24</v>
      </c>
      <c r="AD126" s="2">
        <v>41.74</v>
      </c>
      <c r="AE126" s="2">
        <v>88.79</v>
      </c>
      <c r="AF126" s="2">
        <v>65.98</v>
      </c>
      <c r="AG126" s="2">
        <v>87.59</v>
      </c>
      <c r="AH126" s="2">
        <v>79.75</v>
      </c>
      <c r="AI126" s="2">
        <v>36.86</v>
      </c>
      <c r="AJ126" s="2">
        <v>74.2</v>
      </c>
      <c r="AK126" s="2">
        <v>28.66</v>
      </c>
      <c r="AL126" s="2">
        <v>11.69</v>
      </c>
      <c r="AM126" s="2">
        <v>38.03</v>
      </c>
      <c r="AN126" s="2">
        <v>47.57</v>
      </c>
      <c r="AO126" s="2">
        <v>88.55</v>
      </c>
      <c r="AP126" s="2">
        <v>59.85</v>
      </c>
      <c r="AQ126" s="2">
        <v>93.82</v>
      </c>
      <c r="AR126" s="2">
        <v>74.91</v>
      </c>
      <c r="AU126" s="1" t="s">
        <v>71</v>
      </c>
      <c r="AV126" s="2">
        <v>121.91</v>
      </c>
      <c r="AW126" s="2">
        <v>579.91999999999996</v>
      </c>
      <c r="AX126" s="2">
        <v>151.59</v>
      </c>
      <c r="AY126" s="2">
        <v>42.93</v>
      </c>
      <c r="AZ126" s="2">
        <v>221.2</v>
      </c>
      <c r="BA126" s="2">
        <v>273.45999999999998</v>
      </c>
      <c r="BB126" s="2">
        <v>581.53</v>
      </c>
      <c r="BC126" s="2">
        <v>432.04</v>
      </c>
      <c r="BD126" s="2">
        <v>573.05999999999995</v>
      </c>
      <c r="BE126" s="2">
        <v>518.79999999999995</v>
      </c>
      <c r="BF126" s="2">
        <v>118.91</v>
      </c>
      <c r="BG126" s="2">
        <v>485.6</v>
      </c>
      <c r="BH126" s="2">
        <v>177.4</v>
      </c>
      <c r="BI126" s="2">
        <v>36.99</v>
      </c>
      <c r="BJ126" s="2">
        <v>122.03</v>
      </c>
      <c r="BK126" s="2">
        <v>312.52999999999997</v>
      </c>
      <c r="BL126" s="2">
        <v>586.24</v>
      </c>
      <c r="BM126" s="2">
        <v>394.7</v>
      </c>
      <c r="BN126" s="2">
        <v>618.34</v>
      </c>
      <c r="BO126" s="2">
        <v>393.66</v>
      </c>
      <c r="BR126" s="1" t="s">
        <v>71</v>
      </c>
      <c r="BS126" s="2">
        <v>187.79</v>
      </c>
      <c r="BT126" s="2">
        <v>187.78</v>
      </c>
      <c r="BU126" s="2">
        <v>223.85</v>
      </c>
      <c r="BV126" s="2">
        <v>224.66</v>
      </c>
      <c r="BW126" s="2">
        <v>202.13</v>
      </c>
      <c r="BX126" s="2">
        <v>196.79</v>
      </c>
      <c r="BY126" s="2">
        <v>449.72</v>
      </c>
      <c r="BZ126" s="2">
        <v>230.46</v>
      </c>
      <c r="CA126" s="2">
        <v>654.76</v>
      </c>
      <c r="CB126" s="2">
        <v>263.57</v>
      </c>
      <c r="CC126" s="2">
        <v>498.49</v>
      </c>
      <c r="CD126" s="2">
        <v>262.97000000000003</v>
      </c>
      <c r="CE126" s="2">
        <v>512.84</v>
      </c>
      <c r="CF126" s="2">
        <v>295.27</v>
      </c>
      <c r="CG126" s="2">
        <v>528.29999999999995</v>
      </c>
      <c r="CH126" s="2">
        <v>297.87</v>
      </c>
      <c r="CI126" s="2">
        <v>610.66999999999996</v>
      </c>
      <c r="CJ126" s="2">
        <v>329.42</v>
      </c>
      <c r="CK126" s="2">
        <v>823.06</v>
      </c>
      <c r="CL126" s="2">
        <v>1107.95</v>
      </c>
    </row>
    <row r="127" spans="2:90" x14ac:dyDescent="0.3">
      <c r="X127" s="1" t="s">
        <v>72</v>
      </c>
      <c r="Y127" s="2">
        <v>113.66</v>
      </c>
      <c r="Z127" s="2">
        <v>220.11</v>
      </c>
      <c r="AA127" s="2">
        <v>70.680000000000007</v>
      </c>
      <c r="AB127" s="2">
        <v>41.19</v>
      </c>
      <c r="AC127" s="2">
        <v>136.46</v>
      </c>
      <c r="AD127" s="2">
        <v>137.32</v>
      </c>
      <c r="AE127" s="2">
        <v>271.56</v>
      </c>
      <c r="AF127" s="2">
        <v>197.95</v>
      </c>
      <c r="AG127" s="2">
        <v>297.47000000000003</v>
      </c>
      <c r="AH127" s="2">
        <v>215.33</v>
      </c>
      <c r="AI127" s="2">
        <v>134.81</v>
      </c>
      <c r="AJ127" s="2">
        <v>206.82</v>
      </c>
      <c r="AK127" s="2">
        <v>98.88</v>
      </c>
      <c r="AL127" s="2">
        <v>39.950000000000003</v>
      </c>
      <c r="AM127" s="2">
        <v>182.52</v>
      </c>
      <c r="AN127" s="2">
        <v>278.04000000000002</v>
      </c>
      <c r="AO127" s="2">
        <v>471.42</v>
      </c>
      <c r="AP127" s="2">
        <v>301.29000000000002</v>
      </c>
      <c r="AQ127" s="2">
        <v>223.88</v>
      </c>
      <c r="AR127" s="2">
        <v>169.99</v>
      </c>
      <c r="AU127" s="1" t="s">
        <v>72</v>
      </c>
      <c r="AV127" s="2">
        <v>378.25</v>
      </c>
      <c r="AW127" s="2">
        <v>1248.99</v>
      </c>
      <c r="AX127" s="2">
        <v>360.65</v>
      </c>
      <c r="AY127" s="2">
        <v>108.91</v>
      </c>
      <c r="AZ127" s="2">
        <v>524.41999999999996</v>
      </c>
      <c r="BA127" s="2">
        <v>672.83</v>
      </c>
      <c r="BB127" s="2">
        <v>1241.4100000000001</v>
      </c>
      <c r="BC127" s="2">
        <v>899.25</v>
      </c>
      <c r="BD127" s="2">
        <v>1244.5</v>
      </c>
      <c r="BE127" s="2">
        <v>1101.19</v>
      </c>
      <c r="BF127" s="2">
        <v>452.27</v>
      </c>
      <c r="BG127" s="2">
        <v>1215.74</v>
      </c>
      <c r="BH127" s="2">
        <v>385.22</v>
      </c>
      <c r="BI127" s="2">
        <v>131.12</v>
      </c>
      <c r="BJ127" s="2">
        <v>403.49</v>
      </c>
      <c r="BK127" s="2">
        <v>766.81</v>
      </c>
      <c r="BL127" s="2">
        <v>1303.7</v>
      </c>
      <c r="BM127" s="2">
        <v>900.18</v>
      </c>
      <c r="BN127" s="2">
        <v>1462.75</v>
      </c>
      <c r="BO127" s="2">
        <v>847.68</v>
      </c>
      <c r="BR127" s="1" t="s">
        <v>72</v>
      </c>
      <c r="BS127" s="2">
        <v>177.96</v>
      </c>
      <c r="BT127" s="2">
        <v>175.15</v>
      </c>
      <c r="BU127" s="2">
        <v>262.51</v>
      </c>
      <c r="BV127" s="2">
        <v>190.31</v>
      </c>
      <c r="BW127" s="2">
        <v>241.16</v>
      </c>
      <c r="BX127" s="2">
        <v>183.07</v>
      </c>
      <c r="BY127" s="2">
        <v>337.7</v>
      </c>
      <c r="BZ127" s="2">
        <v>190.34</v>
      </c>
      <c r="CA127" s="2">
        <v>637.49</v>
      </c>
      <c r="CB127" s="2">
        <v>191.11</v>
      </c>
      <c r="CC127" s="2">
        <v>539.52</v>
      </c>
      <c r="CD127" s="2">
        <v>191.3</v>
      </c>
      <c r="CE127" s="2">
        <v>534.41</v>
      </c>
      <c r="CF127" s="2">
        <v>215.31</v>
      </c>
      <c r="CG127" s="2">
        <v>444.26</v>
      </c>
      <c r="CH127" s="2">
        <v>385.92</v>
      </c>
      <c r="CI127" s="2">
        <v>754.07</v>
      </c>
      <c r="CJ127" s="2">
        <v>690.16</v>
      </c>
      <c r="CK127" s="2">
        <v>1009.95</v>
      </c>
      <c r="CL127" s="2">
        <v>1094.73</v>
      </c>
    </row>
    <row r="128" spans="2:90" x14ac:dyDescent="0.3">
      <c r="X128" s="1" t="s">
        <v>73</v>
      </c>
      <c r="Y128" s="2">
        <v>41.1</v>
      </c>
      <c r="Z128" s="2">
        <v>104.56</v>
      </c>
      <c r="AA128" s="2">
        <v>15.43</v>
      </c>
      <c r="AB128" s="2">
        <v>2.9</v>
      </c>
      <c r="AC128" s="2">
        <v>24.72</v>
      </c>
      <c r="AD128" s="2">
        <v>51.27</v>
      </c>
      <c r="AE128" s="2">
        <v>67.989999999999995</v>
      </c>
      <c r="AF128" s="2">
        <v>59.21</v>
      </c>
      <c r="AG128" s="2">
        <v>63.67</v>
      </c>
      <c r="AH128" s="2">
        <v>82</v>
      </c>
      <c r="AI128" s="2">
        <v>28.74</v>
      </c>
      <c r="AJ128" s="2">
        <v>78.680000000000007</v>
      </c>
      <c r="AK128" s="2">
        <v>18.23</v>
      </c>
      <c r="AL128" s="2">
        <v>7.48</v>
      </c>
      <c r="AM128" s="2">
        <v>33.56</v>
      </c>
      <c r="AN128" s="2">
        <v>29.77</v>
      </c>
      <c r="AO128" s="2">
        <v>61.3</v>
      </c>
      <c r="AP128" s="2">
        <v>58.36</v>
      </c>
      <c r="AQ128" s="2">
        <v>70.8</v>
      </c>
      <c r="AR128" s="2">
        <v>56.91</v>
      </c>
      <c r="AU128" s="1" t="s">
        <v>73</v>
      </c>
      <c r="AV128" s="2">
        <v>204.6</v>
      </c>
      <c r="AW128" s="2">
        <v>448.94</v>
      </c>
      <c r="AX128" s="2">
        <v>94.16</v>
      </c>
      <c r="AY128" s="2">
        <v>46.3</v>
      </c>
      <c r="AZ128" s="2">
        <v>150.47999999999999</v>
      </c>
      <c r="BA128" s="2">
        <v>236.73</v>
      </c>
      <c r="BB128" s="2">
        <v>304.61</v>
      </c>
      <c r="BC128" s="2">
        <v>265.3</v>
      </c>
      <c r="BD128" s="2">
        <v>276.05</v>
      </c>
      <c r="BE128" s="2">
        <v>344.36</v>
      </c>
      <c r="BF128" s="2">
        <v>159.24</v>
      </c>
      <c r="BG128" s="2">
        <v>357.37</v>
      </c>
      <c r="BH128" s="2">
        <v>111.25</v>
      </c>
      <c r="BI128" s="2">
        <v>45.62</v>
      </c>
      <c r="BJ128" s="2">
        <v>142.46</v>
      </c>
      <c r="BK128" s="2">
        <v>140</v>
      </c>
      <c r="BL128" s="2">
        <v>290.51</v>
      </c>
      <c r="BM128" s="2">
        <v>309.64999999999998</v>
      </c>
      <c r="BN128" s="2">
        <v>325.92</v>
      </c>
      <c r="BO128" s="2">
        <v>243.99</v>
      </c>
      <c r="BR128" s="1" t="s">
        <v>73</v>
      </c>
      <c r="BS128" s="2">
        <v>451.91</v>
      </c>
      <c r="BT128" s="2">
        <v>370.76</v>
      </c>
      <c r="BU128" s="2">
        <v>362.25</v>
      </c>
      <c r="BV128" s="2">
        <v>378.85</v>
      </c>
      <c r="BW128" s="2">
        <v>603.41999999999996</v>
      </c>
      <c r="BX128" s="2">
        <v>416.26</v>
      </c>
      <c r="BY128" s="2">
        <v>457.57</v>
      </c>
      <c r="BZ128" s="2">
        <v>320.79000000000002</v>
      </c>
      <c r="CA128" s="2">
        <v>1212.2</v>
      </c>
      <c r="CB128" s="2">
        <v>390.93</v>
      </c>
      <c r="CC128" s="2">
        <v>585.74</v>
      </c>
      <c r="CD128" s="2">
        <v>388.21</v>
      </c>
      <c r="CE128" s="2">
        <v>495.15</v>
      </c>
      <c r="CF128" s="2">
        <v>470.73</v>
      </c>
      <c r="CG128" s="2">
        <v>624.91</v>
      </c>
      <c r="CH128" s="2">
        <v>724.56</v>
      </c>
      <c r="CI128" s="2">
        <v>766.62</v>
      </c>
      <c r="CJ128" s="2">
        <v>1207.0899999999999</v>
      </c>
      <c r="CK128" s="2">
        <v>1075.28</v>
      </c>
      <c r="CL128" s="2">
        <v>1892.15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63</v>
      </c>
      <c r="Z132" s="1" t="s">
        <v>64</v>
      </c>
      <c r="AA132" s="1" t="s">
        <v>63</v>
      </c>
      <c r="AB132" s="1" t="s">
        <v>64</v>
      </c>
      <c r="AC132" s="1" t="s">
        <v>63</v>
      </c>
      <c r="AD132" s="1" t="s">
        <v>64</v>
      </c>
      <c r="AE132" s="1" t="s">
        <v>63</v>
      </c>
      <c r="AF132" s="1" t="s">
        <v>64</v>
      </c>
      <c r="AG132" s="1" t="s">
        <v>63</v>
      </c>
      <c r="AH132" s="1" t="s">
        <v>64</v>
      </c>
      <c r="AI132" s="1" t="s">
        <v>63</v>
      </c>
      <c r="AJ132" s="1" t="s">
        <v>64</v>
      </c>
      <c r="AK132" s="1" t="s">
        <v>63</v>
      </c>
      <c r="AL132" s="1" t="s">
        <v>64</v>
      </c>
      <c r="AM132" s="1" t="s">
        <v>63</v>
      </c>
      <c r="AN132" s="1" t="s">
        <v>64</v>
      </c>
      <c r="AO132" s="1" t="s">
        <v>63</v>
      </c>
      <c r="AP132" s="1" t="s">
        <v>64</v>
      </c>
      <c r="AQ132" s="1" t="s">
        <v>63</v>
      </c>
      <c r="AR132" s="1" t="s">
        <v>64</v>
      </c>
      <c r="AU132" s="1" t="s">
        <v>6</v>
      </c>
      <c r="AV132" s="1" t="s">
        <v>63</v>
      </c>
      <c r="AW132" s="1" t="s">
        <v>64</v>
      </c>
      <c r="AX132" s="1" t="s">
        <v>63</v>
      </c>
      <c r="AY132" s="1" t="s">
        <v>64</v>
      </c>
      <c r="AZ132" s="1" t="s">
        <v>63</v>
      </c>
      <c r="BA132" s="1" t="s">
        <v>64</v>
      </c>
      <c r="BB132" s="1" t="s">
        <v>63</v>
      </c>
      <c r="BC132" s="1" t="s">
        <v>64</v>
      </c>
      <c r="BD132" s="1" t="s">
        <v>63</v>
      </c>
      <c r="BE132" s="1" t="s">
        <v>64</v>
      </c>
      <c r="BF132" s="1" t="s">
        <v>63</v>
      </c>
      <c r="BG132" s="1" t="s">
        <v>64</v>
      </c>
      <c r="BH132" s="1" t="s">
        <v>63</v>
      </c>
      <c r="BI132" s="1" t="s">
        <v>64</v>
      </c>
      <c r="BJ132" s="1" t="s">
        <v>63</v>
      </c>
      <c r="BK132" s="1" t="s">
        <v>64</v>
      </c>
      <c r="BL132" s="1" t="s">
        <v>63</v>
      </c>
      <c r="BM132" s="1" t="s">
        <v>64</v>
      </c>
      <c r="BN132" s="1" t="s">
        <v>63</v>
      </c>
      <c r="BO132" s="1" t="s">
        <v>64</v>
      </c>
    </row>
    <row r="133" spans="24:67" x14ac:dyDescent="0.3">
      <c r="X133" s="1" t="s">
        <v>65</v>
      </c>
      <c r="Y133" s="1" t="s">
        <v>53</v>
      </c>
      <c r="Z133" s="1" t="s">
        <v>53</v>
      </c>
      <c r="AA133" s="1" t="s">
        <v>54</v>
      </c>
      <c r="AB133" s="1" t="s">
        <v>54</v>
      </c>
      <c r="AC133" s="1" t="s">
        <v>55</v>
      </c>
      <c r="AD133" s="1" t="s">
        <v>55</v>
      </c>
      <c r="AE133" s="1" t="s">
        <v>56</v>
      </c>
      <c r="AF133" s="1" t="s">
        <v>56</v>
      </c>
      <c r="AG133" s="1" t="s">
        <v>57</v>
      </c>
      <c r="AH133" s="1" t="s">
        <v>57</v>
      </c>
      <c r="AI133" s="1" t="s">
        <v>58</v>
      </c>
      <c r="AJ133" s="1" t="s">
        <v>58</v>
      </c>
      <c r="AK133" s="1" t="s">
        <v>59</v>
      </c>
      <c r="AL133" s="1" t="s">
        <v>59</v>
      </c>
      <c r="AM133" s="1" t="s">
        <v>60</v>
      </c>
      <c r="AN133" s="1" t="s">
        <v>60</v>
      </c>
      <c r="AO133" s="1" t="s">
        <v>61</v>
      </c>
      <c r="AP133" s="1" t="s">
        <v>61</v>
      </c>
      <c r="AQ133" s="1" t="s">
        <v>62</v>
      </c>
      <c r="AR133" s="1" t="s">
        <v>62</v>
      </c>
      <c r="AU133" s="1" t="s">
        <v>65</v>
      </c>
      <c r="AV133" s="1" t="s">
        <v>53</v>
      </c>
      <c r="AW133" s="1" t="s">
        <v>53</v>
      </c>
      <c r="AX133" s="1" t="s">
        <v>54</v>
      </c>
      <c r="AY133" s="1" t="s">
        <v>54</v>
      </c>
      <c r="AZ133" s="1" t="s">
        <v>55</v>
      </c>
      <c r="BA133" s="1" t="s">
        <v>55</v>
      </c>
      <c r="BB133" s="1" t="s">
        <v>56</v>
      </c>
      <c r="BC133" s="1" t="s">
        <v>56</v>
      </c>
      <c r="BD133" s="1" t="s">
        <v>57</v>
      </c>
      <c r="BE133" s="1" t="s">
        <v>57</v>
      </c>
      <c r="BF133" s="1" t="s">
        <v>58</v>
      </c>
      <c r="BG133" s="1" t="s">
        <v>58</v>
      </c>
      <c r="BH133" s="1" t="s">
        <v>59</v>
      </c>
      <c r="BI133" s="1" t="s">
        <v>59</v>
      </c>
      <c r="BJ133" s="1" t="s">
        <v>60</v>
      </c>
      <c r="BK133" s="1" t="s">
        <v>60</v>
      </c>
      <c r="BL133" s="1" t="s">
        <v>61</v>
      </c>
      <c r="BM133" s="1" t="s">
        <v>61</v>
      </c>
      <c r="BN133" s="1" t="s">
        <v>62</v>
      </c>
      <c r="BO133" s="1" t="s">
        <v>62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66</v>
      </c>
      <c r="Y135" s="2">
        <v>44.02</v>
      </c>
      <c r="Z135" s="2">
        <v>51.07</v>
      </c>
      <c r="AA135" s="2">
        <v>13.2</v>
      </c>
      <c r="AB135" s="2">
        <v>13.13</v>
      </c>
      <c r="AC135" s="2">
        <v>14.04</v>
      </c>
      <c r="AD135" s="2">
        <v>24.24</v>
      </c>
      <c r="AE135" s="2">
        <v>26.46</v>
      </c>
      <c r="AF135" s="2">
        <v>27.31</v>
      </c>
      <c r="AG135" s="2">
        <v>37.409999999999997</v>
      </c>
      <c r="AH135" s="2">
        <v>14.52</v>
      </c>
      <c r="AI135" s="2">
        <v>22.67</v>
      </c>
      <c r="AJ135" s="2">
        <v>6.44</v>
      </c>
      <c r="AK135" s="2">
        <v>30.5</v>
      </c>
      <c r="AL135" s="2">
        <v>4.99</v>
      </c>
      <c r="AM135" s="2">
        <v>28.14</v>
      </c>
      <c r="AN135" s="2">
        <v>9.4600000000000009</v>
      </c>
      <c r="AO135" s="2">
        <v>3.18</v>
      </c>
      <c r="AP135" s="2">
        <v>2.57</v>
      </c>
      <c r="AQ135" s="2">
        <v>6.47</v>
      </c>
      <c r="AR135" s="2">
        <v>2.86</v>
      </c>
      <c r="AU135" s="1" t="s">
        <v>66</v>
      </c>
      <c r="AV135" s="2">
        <v>275.88</v>
      </c>
      <c r="AW135" s="2">
        <v>286.33</v>
      </c>
      <c r="AX135" s="2">
        <v>201.7</v>
      </c>
      <c r="AY135" s="2">
        <v>201.77</v>
      </c>
      <c r="AZ135" s="2">
        <v>215.56</v>
      </c>
      <c r="BA135" s="2">
        <v>338.36</v>
      </c>
      <c r="BB135" s="2">
        <v>246.54</v>
      </c>
      <c r="BC135" s="2">
        <v>368.89</v>
      </c>
      <c r="BD135" s="2">
        <v>281.79000000000002</v>
      </c>
      <c r="BE135" s="2">
        <v>278.77999999999997</v>
      </c>
      <c r="BF135" s="2">
        <v>279.73</v>
      </c>
      <c r="BG135" s="2">
        <v>295.95999999999998</v>
      </c>
      <c r="BH135" s="2">
        <v>326.5</v>
      </c>
      <c r="BI135" s="2">
        <v>273.61</v>
      </c>
      <c r="BJ135" s="2">
        <v>249.76</v>
      </c>
      <c r="BK135" s="2">
        <v>260.04000000000002</v>
      </c>
      <c r="BL135" s="2">
        <v>306.92</v>
      </c>
      <c r="BM135" s="2">
        <v>247.33</v>
      </c>
      <c r="BN135" s="2">
        <v>307.13</v>
      </c>
      <c r="BO135" s="2">
        <v>275.74</v>
      </c>
    </row>
    <row r="136" spans="24:67" x14ac:dyDescent="0.3">
      <c r="X136" s="1" t="s">
        <v>67</v>
      </c>
      <c r="Y136" s="2">
        <v>21.05</v>
      </c>
      <c r="Z136" s="2">
        <v>17.579999999999998</v>
      </c>
      <c r="AA136" s="2">
        <v>11.65</v>
      </c>
      <c r="AB136" s="2">
        <v>12.9</v>
      </c>
      <c r="AC136" s="2">
        <v>13.39</v>
      </c>
      <c r="AD136" s="2">
        <v>21.85</v>
      </c>
      <c r="AE136" s="2">
        <v>18.190000000000001</v>
      </c>
      <c r="AF136" s="2">
        <v>26.61</v>
      </c>
      <c r="AG136" s="2">
        <v>18.440000000000001</v>
      </c>
      <c r="AH136" s="2">
        <v>24.42</v>
      </c>
      <c r="AI136" s="2">
        <v>21.29</v>
      </c>
      <c r="AJ136" s="2">
        <v>27.11</v>
      </c>
      <c r="AK136" s="2">
        <v>19.28</v>
      </c>
      <c r="AL136" s="2">
        <v>22.09</v>
      </c>
      <c r="AM136" s="2">
        <v>18.420000000000002</v>
      </c>
      <c r="AN136" s="2">
        <v>18.36</v>
      </c>
      <c r="AO136" s="2">
        <v>15.77</v>
      </c>
      <c r="AP136" s="2">
        <v>18.399999999999999</v>
      </c>
      <c r="AQ136" s="2">
        <v>20.75</v>
      </c>
      <c r="AR136" s="2">
        <v>16.53</v>
      </c>
      <c r="AU136" s="1" t="s">
        <v>67</v>
      </c>
      <c r="AV136" s="2">
        <v>165.45</v>
      </c>
      <c r="AW136" s="2">
        <v>129.32</v>
      </c>
      <c r="AX136" s="2">
        <v>85.55</v>
      </c>
      <c r="AY136" s="2">
        <v>94.5</v>
      </c>
      <c r="AZ136" s="2">
        <v>86.41</v>
      </c>
      <c r="BA136" s="2">
        <v>160.05000000000001</v>
      </c>
      <c r="BB136" s="2">
        <v>133.91</v>
      </c>
      <c r="BC136" s="2">
        <v>174.59</v>
      </c>
      <c r="BD136" s="2">
        <v>145.36000000000001</v>
      </c>
      <c r="BE136" s="2">
        <v>173.78</v>
      </c>
      <c r="BF136" s="2">
        <v>143.91</v>
      </c>
      <c r="BG136" s="2">
        <v>192.39</v>
      </c>
      <c r="BH136" s="2">
        <v>144.91999999999999</v>
      </c>
      <c r="BI136" s="2">
        <v>159.51</v>
      </c>
      <c r="BJ136" s="2">
        <v>137.97999999999999</v>
      </c>
      <c r="BK136" s="2">
        <v>138.04</v>
      </c>
      <c r="BL136" s="2">
        <v>117.13</v>
      </c>
      <c r="BM136" s="2">
        <v>126.8</v>
      </c>
      <c r="BN136" s="2">
        <v>163.35</v>
      </c>
      <c r="BO136" s="2">
        <v>128.97</v>
      </c>
    </row>
    <row r="137" spans="24:67" x14ac:dyDescent="0.3">
      <c r="X137" s="1" t="s">
        <v>68</v>
      </c>
      <c r="Y137" s="2">
        <v>175.32</v>
      </c>
      <c r="Z137" s="2">
        <v>49.65</v>
      </c>
      <c r="AA137" s="2">
        <v>133.36000000000001</v>
      </c>
      <c r="AB137" s="2">
        <v>36.86</v>
      </c>
      <c r="AC137" s="2">
        <v>214.68</v>
      </c>
      <c r="AD137" s="2">
        <v>244.92</v>
      </c>
      <c r="AE137" s="2">
        <v>206.55</v>
      </c>
      <c r="AF137" s="2">
        <v>136.21</v>
      </c>
      <c r="AG137" s="2">
        <v>255.7</v>
      </c>
      <c r="AH137" s="2">
        <v>126.62</v>
      </c>
      <c r="AI137" s="2">
        <v>246.61</v>
      </c>
      <c r="AJ137" s="2">
        <v>133.38999999999999</v>
      </c>
      <c r="AK137" s="2">
        <v>260.61</v>
      </c>
      <c r="AL137" s="2">
        <v>120.56</v>
      </c>
      <c r="AM137" s="2">
        <v>244.36</v>
      </c>
      <c r="AN137" s="2">
        <v>98.96</v>
      </c>
      <c r="AO137" s="2">
        <v>112.7</v>
      </c>
      <c r="AP137" s="2">
        <v>96.98</v>
      </c>
      <c r="AQ137" s="2">
        <v>75.2</v>
      </c>
      <c r="AR137" s="2">
        <v>71.13</v>
      </c>
      <c r="AU137" s="1" t="s">
        <v>68</v>
      </c>
      <c r="AV137" s="2">
        <v>638.79</v>
      </c>
      <c r="AW137" s="2">
        <v>365.25</v>
      </c>
      <c r="AX137" s="2">
        <v>531.19000000000005</v>
      </c>
      <c r="AY137" s="2">
        <v>270.04000000000002</v>
      </c>
      <c r="AZ137" s="2">
        <v>488.67</v>
      </c>
      <c r="BA137" s="2">
        <v>785.04</v>
      </c>
      <c r="BB137" s="2">
        <v>623.71</v>
      </c>
      <c r="BC137" s="2">
        <v>667.85</v>
      </c>
      <c r="BD137" s="2">
        <v>752.9</v>
      </c>
      <c r="BE137" s="2">
        <v>717.78</v>
      </c>
      <c r="BF137" s="2">
        <v>714.13</v>
      </c>
      <c r="BG137" s="2">
        <v>749.4</v>
      </c>
      <c r="BH137" s="2">
        <v>718.65</v>
      </c>
      <c r="BI137" s="2">
        <v>659.86</v>
      </c>
      <c r="BJ137" s="2">
        <v>659.29</v>
      </c>
      <c r="BK137" s="2">
        <v>585.04999999999995</v>
      </c>
      <c r="BL137" s="2">
        <v>575.34</v>
      </c>
      <c r="BM137" s="2">
        <v>638.6</v>
      </c>
      <c r="BN137" s="2">
        <v>502.74</v>
      </c>
      <c r="BO137" s="2">
        <v>465.13</v>
      </c>
    </row>
    <row r="138" spans="24:67" x14ac:dyDescent="0.3">
      <c r="X138" s="1" t="s">
        <v>69</v>
      </c>
      <c r="Y138" s="2">
        <v>34.979999999999997</v>
      </c>
      <c r="Z138" s="2">
        <v>17.96</v>
      </c>
      <c r="AA138" s="2">
        <v>24.36</v>
      </c>
      <c r="AB138" s="2">
        <v>16</v>
      </c>
      <c r="AC138" s="2">
        <v>45.87</v>
      </c>
      <c r="AD138" s="2">
        <v>53.83</v>
      </c>
      <c r="AE138" s="2">
        <v>37.36</v>
      </c>
      <c r="AF138" s="2">
        <v>29.27</v>
      </c>
      <c r="AG138" s="2">
        <v>54.15</v>
      </c>
      <c r="AH138" s="2">
        <v>31.22</v>
      </c>
      <c r="AI138" s="2">
        <v>57.32</v>
      </c>
      <c r="AJ138" s="2">
        <v>32.46</v>
      </c>
      <c r="AK138" s="2">
        <v>59.81</v>
      </c>
      <c r="AL138" s="2">
        <v>27.56</v>
      </c>
      <c r="AM138" s="2">
        <v>46.21</v>
      </c>
      <c r="AN138" s="2">
        <v>28.24</v>
      </c>
      <c r="AO138" s="2">
        <v>26.77</v>
      </c>
      <c r="AP138" s="2">
        <v>24.42</v>
      </c>
      <c r="AQ138" s="2">
        <v>25.43</v>
      </c>
      <c r="AR138" s="2">
        <v>22.04</v>
      </c>
      <c r="AU138" s="1" t="s">
        <v>69</v>
      </c>
      <c r="AV138" s="2">
        <v>212.69</v>
      </c>
      <c r="AW138" s="2">
        <v>105.54</v>
      </c>
      <c r="AX138" s="2">
        <v>150.94999999999999</v>
      </c>
      <c r="AY138" s="2">
        <v>117</v>
      </c>
      <c r="AZ138" s="2">
        <v>150</v>
      </c>
      <c r="BA138" s="2">
        <v>192.48</v>
      </c>
      <c r="BB138" s="2">
        <v>250.35</v>
      </c>
      <c r="BC138" s="2">
        <v>174.52</v>
      </c>
      <c r="BD138" s="2">
        <v>221.14</v>
      </c>
      <c r="BE138" s="2">
        <v>215.16</v>
      </c>
      <c r="BF138" s="2">
        <v>233.78</v>
      </c>
      <c r="BG138" s="2">
        <v>219.19</v>
      </c>
      <c r="BH138" s="2">
        <v>242.13</v>
      </c>
      <c r="BI138" s="2">
        <v>185.14</v>
      </c>
      <c r="BJ138" s="2">
        <v>233.09</v>
      </c>
      <c r="BK138" s="2">
        <v>190.16</v>
      </c>
      <c r="BL138" s="2">
        <v>182.43</v>
      </c>
      <c r="BM138" s="2">
        <v>156.47999999999999</v>
      </c>
      <c r="BN138" s="2">
        <v>166.17</v>
      </c>
      <c r="BO138" s="2">
        <v>141</v>
      </c>
    </row>
    <row r="139" spans="24:67" x14ac:dyDescent="0.3">
      <c r="X139" s="1" t="s">
        <v>70</v>
      </c>
      <c r="Y139" s="2">
        <v>155.41999999999999</v>
      </c>
      <c r="Z139" s="2">
        <v>157.31</v>
      </c>
      <c r="AA139" s="2">
        <v>105.39</v>
      </c>
      <c r="AB139" s="2">
        <v>118.12</v>
      </c>
      <c r="AC139" s="2">
        <v>152.69</v>
      </c>
      <c r="AD139" s="2">
        <v>152.56</v>
      </c>
      <c r="AE139" s="2">
        <v>136.30000000000001</v>
      </c>
      <c r="AF139" s="2">
        <v>203.09</v>
      </c>
      <c r="AG139" s="2">
        <v>205.43</v>
      </c>
      <c r="AH139" s="2">
        <v>192.54</v>
      </c>
      <c r="AI139" s="2">
        <v>179.27</v>
      </c>
      <c r="AJ139" s="2">
        <v>145.44999999999999</v>
      </c>
      <c r="AK139" s="2">
        <v>148.87</v>
      </c>
      <c r="AL139" s="2">
        <v>124.26</v>
      </c>
      <c r="AM139" s="2">
        <v>128.96</v>
      </c>
      <c r="AN139" s="2">
        <v>119.58</v>
      </c>
      <c r="AO139" s="2">
        <v>128.36000000000001</v>
      </c>
      <c r="AP139" s="2">
        <v>91.87</v>
      </c>
      <c r="AQ139" s="2">
        <v>115.66</v>
      </c>
      <c r="AR139" s="2">
        <v>100.06</v>
      </c>
      <c r="AU139" s="1" t="s">
        <v>70</v>
      </c>
      <c r="AV139" s="2">
        <v>554.80999999999995</v>
      </c>
      <c r="AW139" s="2">
        <v>694.69</v>
      </c>
      <c r="AX139" s="2">
        <v>749.52</v>
      </c>
      <c r="AY139" s="2">
        <v>859.88</v>
      </c>
      <c r="AZ139" s="2">
        <v>532.96</v>
      </c>
      <c r="BA139" s="2">
        <v>552.29999999999995</v>
      </c>
      <c r="BB139" s="2">
        <v>989.2</v>
      </c>
      <c r="BC139" s="2">
        <v>859.41</v>
      </c>
      <c r="BD139" s="2">
        <v>1075.07</v>
      </c>
      <c r="BE139" s="2">
        <v>933.96</v>
      </c>
      <c r="BF139" s="2">
        <v>1041.73</v>
      </c>
      <c r="BG139" s="2">
        <v>939.55</v>
      </c>
      <c r="BH139" s="2">
        <v>1001.63</v>
      </c>
      <c r="BI139" s="2">
        <v>889.74</v>
      </c>
      <c r="BJ139" s="2">
        <v>901.04</v>
      </c>
      <c r="BK139" s="2">
        <v>842.42</v>
      </c>
      <c r="BL139" s="2">
        <v>868.64</v>
      </c>
      <c r="BM139" s="2">
        <v>646.63</v>
      </c>
      <c r="BN139" s="2">
        <v>786.34</v>
      </c>
      <c r="BO139" s="2">
        <v>776.94</v>
      </c>
    </row>
    <row r="140" spans="24:67" x14ac:dyDescent="0.3">
      <c r="X140" s="1" t="s">
        <v>71</v>
      </c>
      <c r="Y140" s="2">
        <v>29.61</v>
      </c>
      <c r="Z140" s="2">
        <v>28.36</v>
      </c>
      <c r="AA140" s="2">
        <v>19.04</v>
      </c>
      <c r="AB140" s="2">
        <v>22.04</v>
      </c>
      <c r="AC140" s="2">
        <v>28.54</v>
      </c>
      <c r="AD140" s="2">
        <v>23.38</v>
      </c>
      <c r="AE140" s="2">
        <v>22.65</v>
      </c>
      <c r="AF140" s="2">
        <v>23.77</v>
      </c>
      <c r="AG140" s="2">
        <v>20.87</v>
      </c>
      <c r="AH140" s="2">
        <v>23.79</v>
      </c>
      <c r="AI140" s="2">
        <v>24.66</v>
      </c>
      <c r="AJ140" s="2">
        <v>24.6</v>
      </c>
      <c r="AK140" s="2">
        <v>22.75</v>
      </c>
      <c r="AL140" s="2">
        <v>20.64</v>
      </c>
      <c r="AM140" s="2">
        <v>23.05</v>
      </c>
      <c r="AN140" s="2">
        <v>24.69</v>
      </c>
      <c r="AO140" s="2">
        <v>23.45</v>
      </c>
      <c r="AP140" s="2">
        <v>22.03</v>
      </c>
      <c r="AQ140" s="2">
        <v>20.440000000000001</v>
      </c>
      <c r="AR140" s="2">
        <v>16.489999999999998</v>
      </c>
      <c r="AU140" s="1" t="s">
        <v>71</v>
      </c>
      <c r="AV140" s="2">
        <v>93.78</v>
      </c>
      <c r="AW140" s="2">
        <v>91.47</v>
      </c>
      <c r="AX140" s="2">
        <v>116.61</v>
      </c>
      <c r="AY140" s="2">
        <v>136.46</v>
      </c>
      <c r="AZ140" s="2">
        <v>85.87</v>
      </c>
      <c r="BA140" s="2">
        <v>73.97</v>
      </c>
      <c r="BB140" s="2">
        <v>138.25</v>
      </c>
      <c r="BC140" s="2">
        <v>76.27</v>
      </c>
      <c r="BD140" s="2">
        <v>136.72999999999999</v>
      </c>
      <c r="BE140" s="2">
        <v>156.26</v>
      </c>
      <c r="BF140" s="2">
        <v>161.54</v>
      </c>
      <c r="BG140" s="2">
        <v>162.85</v>
      </c>
      <c r="BH140" s="2">
        <v>148.97999999999999</v>
      </c>
      <c r="BI140" s="2">
        <v>136.1</v>
      </c>
      <c r="BJ140" s="2">
        <v>150.80000000000001</v>
      </c>
      <c r="BK140" s="2">
        <v>162.72</v>
      </c>
      <c r="BL140" s="2">
        <v>152.59</v>
      </c>
      <c r="BM140" s="2">
        <v>115.78</v>
      </c>
      <c r="BN140" s="2">
        <v>128.87</v>
      </c>
      <c r="BO140" s="2">
        <v>107.91</v>
      </c>
    </row>
    <row r="141" spans="24:67" x14ac:dyDescent="0.3">
      <c r="X141" s="1" t="s">
        <v>72</v>
      </c>
      <c r="Y141" s="2">
        <v>87.43</v>
      </c>
      <c r="Z141" s="2">
        <v>103.7</v>
      </c>
      <c r="AA141" s="2">
        <v>54.37</v>
      </c>
      <c r="AB141" s="2">
        <v>76.06</v>
      </c>
      <c r="AC141" s="2">
        <v>82.38</v>
      </c>
      <c r="AD141" s="2">
        <v>79.91</v>
      </c>
      <c r="AE141" s="2">
        <v>85.29</v>
      </c>
      <c r="AF141" s="2">
        <v>114.07</v>
      </c>
      <c r="AG141" s="2">
        <v>68.66</v>
      </c>
      <c r="AH141" s="2">
        <v>139.02000000000001</v>
      </c>
      <c r="AI141" s="2">
        <v>75.430000000000007</v>
      </c>
      <c r="AJ141" s="2">
        <v>130.94999999999999</v>
      </c>
      <c r="AK141" s="2">
        <v>68.260000000000005</v>
      </c>
      <c r="AL141" s="2">
        <v>103.89</v>
      </c>
      <c r="AM141" s="2">
        <v>78.28</v>
      </c>
      <c r="AN141" s="2">
        <v>58.92</v>
      </c>
      <c r="AO141" s="2">
        <v>63.33</v>
      </c>
      <c r="AP141" s="2">
        <v>50</v>
      </c>
      <c r="AQ141" s="2">
        <v>48.91</v>
      </c>
      <c r="AR141" s="2">
        <v>45.96</v>
      </c>
      <c r="AU141" s="1" t="s">
        <v>72</v>
      </c>
      <c r="AV141" s="2">
        <v>290.95999999999998</v>
      </c>
      <c r="AW141" s="2">
        <v>347.9</v>
      </c>
      <c r="AX141" s="2">
        <v>277.42</v>
      </c>
      <c r="AY141" s="2">
        <v>296.32</v>
      </c>
      <c r="AZ141" s="2">
        <v>217.82</v>
      </c>
      <c r="BA141" s="2">
        <v>262.25</v>
      </c>
      <c r="BB141" s="2">
        <v>327.76</v>
      </c>
      <c r="BC141" s="2">
        <v>252.18</v>
      </c>
      <c r="BD141" s="2">
        <v>336.42</v>
      </c>
      <c r="BE141" s="2">
        <v>383.4</v>
      </c>
      <c r="BF141" s="2">
        <v>344.83</v>
      </c>
      <c r="BG141" s="2">
        <v>362.14</v>
      </c>
      <c r="BH141" s="2">
        <v>310.08</v>
      </c>
      <c r="BI141" s="2">
        <v>310.41000000000003</v>
      </c>
      <c r="BJ141" s="2">
        <v>327.5</v>
      </c>
      <c r="BK141" s="2">
        <v>384.93</v>
      </c>
      <c r="BL141" s="2">
        <v>323.88</v>
      </c>
      <c r="BM141" s="2">
        <v>249.32</v>
      </c>
      <c r="BN141" s="2">
        <v>277.55</v>
      </c>
      <c r="BO141" s="2">
        <v>270.16000000000003</v>
      </c>
    </row>
    <row r="142" spans="24:67" x14ac:dyDescent="0.3">
      <c r="X142" s="1" t="s">
        <v>73</v>
      </c>
      <c r="Y142" s="2">
        <v>31.61</v>
      </c>
      <c r="Z142" s="2">
        <v>22.1</v>
      </c>
      <c r="AA142" s="2">
        <v>11.87</v>
      </c>
      <c r="AB142" s="2">
        <v>14.02</v>
      </c>
      <c r="AC142" s="2">
        <v>5.79</v>
      </c>
      <c r="AD142" s="2">
        <v>14.96</v>
      </c>
      <c r="AE142" s="2">
        <v>15.45</v>
      </c>
      <c r="AF142" s="2">
        <v>20.98</v>
      </c>
      <c r="AG142" s="2">
        <v>25.64</v>
      </c>
      <c r="AH142" s="2">
        <v>14.88</v>
      </c>
      <c r="AI142" s="2">
        <v>18.89</v>
      </c>
      <c r="AJ142" s="2">
        <v>17.03</v>
      </c>
      <c r="AK142" s="2">
        <v>20.420000000000002</v>
      </c>
      <c r="AL142" s="2">
        <v>20.12</v>
      </c>
      <c r="AM142" s="2">
        <v>16.760000000000002</v>
      </c>
      <c r="AN142" s="2">
        <v>18.63</v>
      </c>
      <c r="AO142" s="2">
        <v>24.12</v>
      </c>
      <c r="AP142" s="2">
        <v>16.739999999999998</v>
      </c>
      <c r="AQ142" s="2">
        <v>23.23</v>
      </c>
      <c r="AR142" s="2">
        <v>17.48</v>
      </c>
      <c r="AU142" s="1" t="s">
        <v>73</v>
      </c>
      <c r="AV142" s="2">
        <v>157.38999999999999</v>
      </c>
      <c r="AW142" s="2">
        <v>122.5</v>
      </c>
      <c r="AX142" s="2">
        <v>72.430000000000007</v>
      </c>
      <c r="AY142" s="2">
        <v>85.58</v>
      </c>
      <c r="AZ142" s="2">
        <v>92.61</v>
      </c>
      <c r="BA142" s="2">
        <v>91.24</v>
      </c>
      <c r="BB142" s="2">
        <v>94.05</v>
      </c>
      <c r="BC142" s="2">
        <v>89.04</v>
      </c>
      <c r="BD142" s="2">
        <v>118.36</v>
      </c>
      <c r="BE142" s="2">
        <v>70</v>
      </c>
      <c r="BF142" s="2">
        <v>84.61</v>
      </c>
      <c r="BG142" s="2">
        <v>80.7</v>
      </c>
      <c r="BH142" s="2">
        <v>91.48</v>
      </c>
      <c r="BI142" s="2">
        <v>106.78</v>
      </c>
      <c r="BJ142" s="2">
        <v>72.64</v>
      </c>
      <c r="BK142" s="2">
        <v>85.77</v>
      </c>
      <c r="BL142" s="2">
        <v>101.28</v>
      </c>
      <c r="BM142" s="2">
        <v>71.760000000000005</v>
      </c>
      <c r="BN142" s="2">
        <v>99.77</v>
      </c>
      <c r="BO142" s="2">
        <v>79.42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63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64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63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64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65</v>
      </c>
      <c r="Y147" s="1" t="s">
        <v>53</v>
      </c>
      <c r="Z147" s="1" t="s">
        <v>62</v>
      </c>
      <c r="AA147" s="1" t="s">
        <v>54</v>
      </c>
      <c r="AB147" s="1" t="s">
        <v>55</v>
      </c>
      <c r="AC147" s="1" t="s">
        <v>56</v>
      </c>
      <c r="AD147" s="1" t="s">
        <v>57</v>
      </c>
      <c r="AE147" s="1" t="s">
        <v>58</v>
      </c>
      <c r="AF147" s="1" t="s">
        <v>59</v>
      </c>
      <c r="AG147" s="1" t="s">
        <v>60</v>
      </c>
      <c r="AH147" s="1" t="s">
        <v>61</v>
      </c>
      <c r="AI147" s="1" t="s">
        <v>53</v>
      </c>
      <c r="AJ147" s="1" t="s">
        <v>62</v>
      </c>
      <c r="AK147" s="1" t="s">
        <v>54</v>
      </c>
      <c r="AL147" s="1" t="s">
        <v>55</v>
      </c>
      <c r="AM147" s="1" t="s">
        <v>56</v>
      </c>
      <c r="AN147" s="1" t="s">
        <v>57</v>
      </c>
      <c r="AO147" s="1" t="s">
        <v>58</v>
      </c>
      <c r="AP147" s="1" t="s">
        <v>59</v>
      </c>
      <c r="AQ147" s="1" t="s">
        <v>60</v>
      </c>
      <c r="AR147" s="1" t="s">
        <v>61</v>
      </c>
      <c r="AU147" s="1" t="s">
        <v>65</v>
      </c>
      <c r="AV147" s="1" t="s">
        <v>53</v>
      </c>
      <c r="AW147" s="1" t="s">
        <v>62</v>
      </c>
      <c r="AX147" s="1" t="s">
        <v>54</v>
      </c>
      <c r="AY147" s="1" t="s">
        <v>55</v>
      </c>
      <c r="AZ147" s="1" t="s">
        <v>56</v>
      </c>
      <c r="BA147" s="1" t="s">
        <v>57</v>
      </c>
      <c r="BB147" s="1" t="s">
        <v>58</v>
      </c>
      <c r="BC147" s="1" t="s">
        <v>59</v>
      </c>
      <c r="BD147" s="1" t="s">
        <v>60</v>
      </c>
      <c r="BE147" s="1" t="s">
        <v>61</v>
      </c>
      <c r="BF147" s="1" t="s">
        <v>53</v>
      </c>
      <c r="BG147" s="1" t="s">
        <v>62</v>
      </c>
      <c r="BH147" s="1" t="s">
        <v>54</v>
      </c>
      <c r="BI147" s="1" t="s">
        <v>55</v>
      </c>
      <c r="BJ147" s="1" t="s">
        <v>56</v>
      </c>
      <c r="BK147" s="1" t="s">
        <v>57</v>
      </c>
      <c r="BL147" s="1" t="s">
        <v>58</v>
      </c>
      <c r="BM147" s="1" t="s">
        <v>59</v>
      </c>
      <c r="BN147" s="1" t="s">
        <v>60</v>
      </c>
      <c r="BO147" s="1" t="s">
        <v>61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66</v>
      </c>
      <c r="Y149" s="2">
        <v>14.82</v>
      </c>
      <c r="Z149" s="2">
        <v>2.33</v>
      </c>
      <c r="AA149" s="2">
        <v>4.97</v>
      </c>
      <c r="AB149" s="2">
        <v>1.63</v>
      </c>
      <c r="AC149" s="2">
        <v>24.67</v>
      </c>
      <c r="AD149" s="2">
        <v>31.06</v>
      </c>
      <c r="AE149" s="2">
        <v>16.43</v>
      </c>
      <c r="AF149" s="2">
        <v>19.93</v>
      </c>
      <c r="AG149" s="2">
        <v>19.920000000000002</v>
      </c>
      <c r="AH149" s="2">
        <v>1.2</v>
      </c>
      <c r="AI149" s="2">
        <v>26.62</v>
      </c>
      <c r="AJ149" s="2">
        <v>1.62</v>
      </c>
      <c r="AK149" s="2">
        <v>4.95</v>
      </c>
      <c r="AL149" s="2">
        <v>3.85</v>
      </c>
      <c r="AM149" s="2">
        <v>2.09</v>
      </c>
      <c r="AN149" s="2">
        <v>17.77</v>
      </c>
      <c r="AO149" s="2">
        <v>12.54</v>
      </c>
      <c r="AP149" s="2">
        <v>4.8600000000000003</v>
      </c>
      <c r="AQ149" s="2">
        <v>6.74</v>
      </c>
      <c r="AR149" s="2">
        <v>2.1</v>
      </c>
      <c r="AU149" s="1" t="s">
        <v>66</v>
      </c>
      <c r="AV149" s="2">
        <v>97.11</v>
      </c>
      <c r="AW149" s="2">
        <v>114.22</v>
      </c>
      <c r="AX149" s="2">
        <v>76.02</v>
      </c>
      <c r="AY149" s="2">
        <v>24.97</v>
      </c>
      <c r="AZ149" s="2">
        <v>243.01</v>
      </c>
      <c r="BA149" s="2">
        <v>244.74</v>
      </c>
      <c r="BB149" s="2">
        <v>263.29000000000002</v>
      </c>
      <c r="BC149" s="2">
        <v>231.79</v>
      </c>
      <c r="BD149" s="2">
        <v>176.92</v>
      </c>
      <c r="BE149" s="2">
        <v>115.42</v>
      </c>
      <c r="BF149" s="2">
        <v>153.56</v>
      </c>
      <c r="BG149" s="2">
        <v>155.88</v>
      </c>
      <c r="BH149" s="2">
        <v>76.040000000000006</v>
      </c>
      <c r="BI149" s="2">
        <v>53.55</v>
      </c>
      <c r="BJ149" s="2">
        <v>124.47</v>
      </c>
      <c r="BK149" s="2">
        <v>344.83</v>
      </c>
      <c r="BL149" s="2">
        <v>390.66</v>
      </c>
      <c r="BM149" s="2">
        <v>273.25</v>
      </c>
      <c r="BN149" s="2">
        <v>190.1</v>
      </c>
      <c r="BO149" s="2">
        <v>202.58</v>
      </c>
    </row>
    <row r="150" spans="24:67" x14ac:dyDescent="0.3">
      <c r="X150" s="1" t="s">
        <v>67</v>
      </c>
      <c r="Y150" s="2">
        <v>14.33</v>
      </c>
      <c r="Z150" s="2">
        <v>29.03</v>
      </c>
      <c r="AA150" s="2">
        <v>10.16</v>
      </c>
      <c r="AB150" s="2">
        <v>2.62</v>
      </c>
      <c r="AC150" s="2">
        <v>13.95</v>
      </c>
      <c r="AD150" s="2">
        <v>15.81</v>
      </c>
      <c r="AE150" s="2">
        <v>25.77</v>
      </c>
      <c r="AF150" s="2">
        <v>19.48</v>
      </c>
      <c r="AG150" s="2">
        <v>26.68</v>
      </c>
      <c r="AH150" s="2">
        <v>19.38</v>
      </c>
      <c r="AI150" s="2">
        <v>10.17</v>
      </c>
      <c r="AJ150" s="2">
        <v>31.19</v>
      </c>
      <c r="AK150" s="2">
        <v>7.59</v>
      </c>
      <c r="AL150" s="2">
        <v>5.31</v>
      </c>
      <c r="AM150" s="2">
        <v>19.96</v>
      </c>
      <c r="AN150" s="2">
        <v>22.16</v>
      </c>
      <c r="AO150" s="2">
        <v>30.16</v>
      </c>
      <c r="AP150" s="2">
        <v>23.25</v>
      </c>
      <c r="AQ150" s="2">
        <v>24.95</v>
      </c>
      <c r="AR150" s="2">
        <v>25.99</v>
      </c>
      <c r="AU150" s="1" t="s">
        <v>67</v>
      </c>
      <c r="AV150" s="2">
        <v>112.55</v>
      </c>
      <c r="AW150" s="2">
        <v>228.37</v>
      </c>
      <c r="AX150" s="2">
        <v>74.599999999999994</v>
      </c>
      <c r="AY150" s="2">
        <v>16.93</v>
      </c>
      <c r="AZ150" s="2">
        <v>102.69</v>
      </c>
      <c r="BA150" s="2">
        <v>124.59</v>
      </c>
      <c r="BB150" s="2">
        <v>174.03</v>
      </c>
      <c r="BC150" s="2">
        <v>146.4</v>
      </c>
      <c r="BD150" s="2">
        <v>199.8</v>
      </c>
      <c r="BE150" s="2">
        <v>143.82</v>
      </c>
      <c r="BF150" s="2">
        <v>74.849999999999994</v>
      </c>
      <c r="BG150" s="2">
        <v>243.31</v>
      </c>
      <c r="BH150" s="2">
        <v>55.59</v>
      </c>
      <c r="BI150" s="2">
        <v>38.89</v>
      </c>
      <c r="BJ150" s="2">
        <v>130.91999999999999</v>
      </c>
      <c r="BK150" s="2">
        <v>157.63999999999999</v>
      </c>
      <c r="BL150" s="2">
        <v>213.92</v>
      </c>
      <c r="BM150" s="2">
        <v>167.86</v>
      </c>
      <c r="BN150" s="2">
        <v>187.47</v>
      </c>
      <c r="BO150" s="2">
        <v>179.03</v>
      </c>
    </row>
    <row r="151" spans="24:67" x14ac:dyDescent="0.3">
      <c r="X151" s="1" t="s">
        <v>68</v>
      </c>
      <c r="Y151" s="2">
        <v>56.43</v>
      </c>
      <c r="Z151" s="2">
        <v>101.09</v>
      </c>
      <c r="AA151" s="2">
        <v>44.46</v>
      </c>
      <c r="AB151" s="2">
        <v>19.97</v>
      </c>
      <c r="AC151" s="2">
        <v>111.15</v>
      </c>
      <c r="AD151" s="2">
        <v>134.97999999999999</v>
      </c>
      <c r="AE151" s="2">
        <v>230.33</v>
      </c>
      <c r="AF151" s="2">
        <v>205.75</v>
      </c>
      <c r="AG151" s="2">
        <v>262.45999999999998</v>
      </c>
      <c r="AH151" s="2">
        <v>96.82</v>
      </c>
      <c r="AI151" s="2">
        <v>22.5</v>
      </c>
      <c r="AJ151" s="2">
        <v>96.31</v>
      </c>
      <c r="AK151" s="2">
        <v>13.77</v>
      </c>
      <c r="AL151" s="2">
        <v>34.6</v>
      </c>
      <c r="AM151" s="2">
        <v>81.900000000000006</v>
      </c>
      <c r="AN151" s="2">
        <v>77.8</v>
      </c>
      <c r="AO151" s="2">
        <v>127.24</v>
      </c>
      <c r="AP151" s="2">
        <v>107.1</v>
      </c>
      <c r="AQ151" s="2">
        <v>115.16</v>
      </c>
      <c r="AR151" s="2">
        <v>94.45</v>
      </c>
      <c r="AU151" s="1" t="s">
        <v>68</v>
      </c>
      <c r="AV151" s="2">
        <v>205.46</v>
      </c>
      <c r="AW151" s="2">
        <v>675.33</v>
      </c>
      <c r="AX151" s="2">
        <v>177</v>
      </c>
      <c r="AY151" s="2">
        <v>45.45</v>
      </c>
      <c r="AZ151" s="2">
        <v>335.5</v>
      </c>
      <c r="BA151" s="2">
        <v>397.22</v>
      </c>
      <c r="BB151" s="2">
        <v>666.32</v>
      </c>
      <c r="BC151" s="2">
        <v>566.91999999999996</v>
      </c>
      <c r="BD151" s="2">
        <v>707.48</v>
      </c>
      <c r="BE151" s="2">
        <v>493.89</v>
      </c>
      <c r="BF151" s="2">
        <v>165.48</v>
      </c>
      <c r="BG151" s="2">
        <v>629.4</v>
      </c>
      <c r="BH151" s="2">
        <v>100.89</v>
      </c>
      <c r="BI151" s="2">
        <v>110.89</v>
      </c>
      <c r="BJ151" s="2">
        <v>401.38</v>
      </c>
      <c r="BK151" s="2">
        <v>440.81</v>
      </c>
      <c r="BL151" s="2">
        <v>714.1</v>
      </c>
      <c r="BM151" s="2">
        <v>585.79</v>
      </c>
      <c r="BN151" s="2">
        <v>680.29</v>
      </c>
      <c r="BO151" s="2">
        <v>621.42999999999995</v>
      </c>
    </row>
    <row r="152" spans="24:67" x14ac:dyDescent="0.3">
      <c r="X152" s="1" t="s">
        <v>69</v>
      </c>
      <c r="Y152" s="2">
        <v>12.63</v>
      </c>
      <c r="Z152" s="2">
        <v>45.35</v>
      </c>
      <c r="AA152" s="2">
        <v>11.05</v>
      </c>
      <c r="AB152" s="2">
        <v>5.79</v>
      </c>
      <c r="AC152" s="2">
        <v>25.26</v>
      </c>
      <c r="AD152" s="2">
        <v>50.47</v>
      </c>
      <c r="AE152" s="2">
        <v>83.38</v>
      </c>
      <c r="AF152" s="2">
        <v>72.98</v>
      </c>
      <c r="AG152" s="2">
        <v>79.64</v>
      </c>
      <c r="AH152" s="2">
        <v>41.26</v>
      </c>
      <c r="AI152" s="2">
        <v>9.1199999999999992</v>
      </c>
      <c r="AJ152" s="2">
        <v>43.15</v>
      </c>
      <c r="AK152" s="2">
        <v>6.19</v>
      </c>
      <c r="AL152" s="2">
        <v>8.6199999999999992</v>
      </c>
      <c r="AM152" s="2">
        <v>20.81</v>
      </c>
      <c r="AN152" s="2">
        <v>20.92</v>
      </c>
      <c r="AO152" s="2">
        <v>32.11</v>
      </c>
      <c r="AP152" s="2">
        <v>27.1</v>
      </c>
      <c r="AQ152" s="2">
        <v>43.95</v>
      </c>
      <c r="AR152" s="2">
        <v>29.94</v>
      </c>
      <c r="AU152" s="1" t="s">
        <v>69</v>
      </c>
      <c r="AV152" s="2">
        <v>76.739999999999995</v>
      </c>
      <c r="AW152" s="2">
        <v>296.2</v>
      </c>
      <c r="AX152" s="2">
        <v>68.44</v>
      </c>
      <c r="AY152" s="2">
        <v>18.95</v>
      </c>
      <c r="AZ152" s="2">
        <v>169.16</v>
      </c>
      <c r="BA152" s="2">
        <v>206.06</v>
      </c>
      <c r="BB152" s="2">
        <v>339.8</v>
      </c>
      <c r="BC152" s="2">
        <v>295.24</v>
      </c>
      <c r="BD152" s="2">
        <v>401.44</v>
      </c>
      <c r="BE152" s="2">
        <v>281.06</v>
      </c>
      <c r="BF152" s="2">
        <v>53.54</v>
      </c>
      <c r="BG152" s="2">
        <v>275.98</v>
      </c>
      <c r="BH152" s="2">
        <v>45.29</v>
      </c>
      <c r="BI152" s="2">
        <v>30.81</v>
      </c>
      <c r="BJ152" s="2">
        <v>124.05</v>
      </c>
      <c r="BK152" s="2">
        <v>144.13</v>
      </c>
      <c r="BL152" s="2">
        <v>216.69</v>
      </c>
      <c r="BM152" s="2">
        <v>181.99</v>
      </c>
      <c r="BN152" s="2">
        <v>295.77</v>
      </c>
      <c r="BO152" s="2">
        <v>191.74</v>
      </c>
    </row>
    <row r="153" spans="24:67" x14ac:dyDescent="0.3">
      <c r="X153" s="1" t="s">
        <v>70</v>
      </c>
      <c r="Y153" s="2">
        <v>55.17</v>
      </c>
      <c r="Z153" s="2">
        <v>183.01</v>
      </c>
      <c r="AA153" s="2">
        <v>33.51</v>
      </c>
      <c r="AB153" s="2">
        <v>19.46</v>
      </c>
      <c r="AC153" s="2">
        <v>81.599999999999994</v>
      </c>
      <c r="AD153" s="2">
        <v>138.34</v>
      </c>
      <c r="AE153" s="2">
        <v>182.75</v>
      </c>
      <c r="AF153" s="2">
        <v>137.80000000000001</v>
      </c>
      <c r="AG153" s="2">
        <v>171.37</v>
      </c>
      <c r="AH153" s="2">
        <v>156.34</v>
      </c>
      <c r="AI153" s="2">
        <v>63.74</v>
      </c>
      <c r="AJ153" s="2">
        <v>156.66999999999999</v>
      </c>
      <c r="AK153" s="2">
        <v>28.11</v>
      </c>
      <c r="AL153" s="2">
        <v>28.46</v>
      </c>
      <c r="AM153" s="2">
        <v>111.5</v>
      </c>
      <c r="AN153" s="2">
        <v>139</v>
      </c>
      <c r="AO153" s="2">
        <v>163.71</v>
      </c>
      <c r="AP153" s="2">
        <v>130.49</v>
      </c>
      <c r="AQ153" s="2">
        <v>167.06</v>
      </c>
      <c r="AR153" s="2">
        <v>127.55</v>
      </c>
      <c r="AU153" s="1" t="s">
        <v>70</v>
      </c>
      <c r="AV153" s="2">
        <v>196.9</v>
      </c>
      <c r="AW153" s="2">
        <v>1243.49</v>
      </c>
      <c r="AX153" s="2">
        <v>238.22</v>
      </c>
      <c r="AY153" s="2">
        <v>67.91</v>
      </c>
      <c r="AZ153" s="2">
        <v>592</v>
      </c>
      <c r="BA153" s="2">
        <v>723.66</v>
      </c>
      <c r="BB153" s="2">
        <v>1061.05</v>
      </c>
      <c r="BC153" s="2">
        <v>926.5</v>
      </c>
      <c r="BD153" s="2">
        <v>1196.6300000000001</v>
      </c>
      <c r="BE153" s="2">
        <v>1057.46</v>
      </c>
      <c r="BF153" s="2">
        <v>281.41000000000003</v>
      </c>
      <c r="BG153" s="2">
        <v>1215.83</v>
      </c>
      <c r="BH153" s="2">
        <v>204.59</v>
      </c>
      <c r="BI153" s="2">
        <v>103.04</v>
      </c>
      <c r="BJ153" s="2">
        <v>471.7</v>
      </c>
      <c r="BK153" s="2">
        <v>674</v>
      </c>
      <c r="BL153" s="2">
        <v>1056.69</v>
      </c>
      <c r="BM153" s="2">
        <v>933.81</v>
      </c>
      <c r="BN153" s="2">
        <v>1176.24</v>
      </c>
      <c r="BO153" s="2">
        <v>897.55</v>
      </c>
    </row>
    <row r="154" spans="24:67" x14ac:dyDescent="0.3">
      <c r="X154" s="1" t="s">
        <v>71</v>
      </c>
      <c r="Y154" s="2">
        <v>12.96</v>
      </c>
      <c r="Z154" s="2">
        <v>25.27</v>
      </c>
      <c r="AA154" s="2">
        <v>7.64</v>
      </c>
      <c r="AB154" s="2">
        <v>3.57</v>
      </c>
      <c r="AC154" s="2">
        <v>8.49</v>
      </c>
      <c r="AD154" s="2">
        <v>9.4600000000000009</v>
      </c>
      <c r="AE154" s="2">
        <v>19.989999999999998</v>
      </c>
      <c r="AF154" s="2">
        <v>18.18</v>
      </c>
      <c r="AG154" s="2">
        <v>23.14</v>
      </c>
      <c r="AH154" s="2">
        <v>23.44</v>
      </c>
      <c r="AI154" s="2">
        <v>4.97</v>
      </c>
      <c r="AJ154" s="2">
        <v>18.559999999999999</v>
      </c>
      <c r="AK154" s="2">
        <v>2.77</v>
      </c>
      <c r="AL154" s="2">
        <v>2.73</v>
      </c>
      <c r="AM154" s="2">
        <v>8.7899999999999991</v>
      </c>
      <c r="AN154" s="2">
        <v>10.84</v>
      </c>
      <c r="AO154" s="2">
        <v>17.39</v>
      </c>
      <c r="AP154" s="2">
        <v>13.3</v>
      </c>
      <c r="AQ154" s="2">
        <v>22.4</v>
      </c>
      <c r="AR154" s="2">
        <v>14.03</v>
      </c>
      <c r="AU154" s="1" t="s">
        <v>71</v>
      </c>
      <c r="AV154" s="2">
        <v>41.03</v>
      </c>
      <c r="AW154" s="2">
        <v>159.24</v>
      </c>
      <c r="AX154" s="2">
        <v>46.76</v>
      </c>
      <c r="AY154" s="2">
        <v>10.72</v>
      </c>
      <c r="AZ154" s="2">
        <v>51.83</v>
      </c>
      <c r="BA154" s="2">
        <v>61.94</v>
      </c>
      <c r="BB154" s="2">
        <v>130.85</v>
      </c>
      <c r="BC154" s="2">
        <v>119.01</v>
      </c>
      <c r="BD154" s="2">
        <v>151.33000000000001</v>
      </c>
      <c r="BE154" s="2">
        <v>152.38999999999999</v>
      </c>
      <c r="BF154" s="2">
        <v>16.04</v>
      </c>
      <c r="BG154" s="2">
        <v>121.39</v>
      </c>
      <c r="BH154" s="2">
        <v>17.13</v>
      </c>
      <c r="BI154" s="2">
        <v>8.6199999999999992</v>
      </c>
      <c r="BJ154" s="2">
        <v>28.22</v>
      </c>
      <c r="BK154" s="2">
        <v>71.13</v>
      </c>
      <c r="BL154" s="2">
        <v>114.94</v>
      </c>
      <c r="BM154" s="2">
        <v>87.65</v>
      </c>
      <c r="BN154" s="2">
        <v>147.47</v>
      </c>
      <c r="BO154" s="2">
        <v>73.7</v>
      </c>
    </row>
    <row r="155" spans="24:67" x14ac:dyDescent="0.3">
      <c r="X155" s="1" t="s">
        <v>72</v>
      </c>
      <c r="Y155" s="2">
        <v>24.89</v>
      </c>
      <c r="Z155" s="2">
        <v>53.12</v>
      </c>
      <c r="AA155" s="2">
        <v>14.17</v>
      </c>
      <c r="AB155" s="2">
        <v>8.9</v>
      </c>
      <c r="AC155" s="2">
        <v>33.75</v>
      </c>
      <c r="AD155" s="2">
        <v>34.29</v>
      </c>
      <c r="AE155" s="2">
        <v>55.87</v>
      </c>
      <c r="AF155" s="2">
        <v>44.04</v>
      </c>
      <c r="AG155" s="2">
        <v>76.510000000000005</v>
      </c>
      <c r="AH155" s="2">
        <v>53.9</v>
      </c>
      <c r="AI155" s="2">
        <v>25.65</v>
      </c>
      <c r="AJ155" s="2">
        <v>39.4</v>
      </c>
      <c r="AK155" s="2">
        <v>20.420000000000002</v>
      </c>
      <c r="AL155" s="2">
        <v>10.76</v>
      </c>
      <c r="AM155" s="2">
        <v>35.94</v>
      </c>
      <c r="AN155" s="2">
        <v>53.04</v>
      </c>
      <c r="AO155" s="2">
        <v>91.63</v>
      </c>
      <c r="AP155" s="2">
        <v>73.33</v>
      </c>
      <c r="AQ155" s="2">
        <v>51.25</v>
      </c>
      <c r="AR155" s="2">
        <v>39.909999999999997</v>
      </c>
      <c r="AU155" s="1" t="s">
        <v>72</v>
      </c>
      <c r="AV155" s="2">
        <v>82.82</v>
      </c>
      <c r="AW155" s="2">
        <v>301.26</v>
      </c>
      <c r="AX155" s="2">
        <v>72.27</v>
      </c>
      <c r="AY155" s="2">
        <v>23.53</v>
      </c>
      <c r="AZ155" s="2">
        <v>129.65</v>
      </c>
      <c r="BA155" s="2">
        <v>167.95</v>
      </c>
      <c r="BB155" s="2">
        <v>255.27</v>
      </c>
      <c r="BC155" s="2">
        <v>199.98</v>
      </c>
      <c r="BD155" s="2">
        <v>319.93</v>
      </c>
      <c r="BE155" s="2">
        <v>275.5</v>
      </c>
      <c r="BF155" s="2">
        <v>86.03</v>
      </c>
      <c r="BG155" s="2">
        <v>231.5</v>
      </c>
      <c r="BH155" s="2">
        <v>79.52</v>
      </c>
      <c r="BI155" s="2">
        <v>35.29</v>
      </c>
      <c r="BJ155" s="2">
        <v>79.430000000000007</v>
      </c>
      <c r="BK155" s="2">
        <v>146.22</v>
      </c>
      <c r="BL155" s="2">
        <v>253.25</v>
      </c>
      <c r="BM155" s="2">
        <v>218.99</v>
      </c>
      <c r="BN155" s="2">
        <v>334.43</v>
      </c>
      <c r="BO155" s="2">
        <v>198.94</v>
      </c>
    </row>
    <row r="156" spans="24:67" x14ac:dyDescent="0.3">
      <c r="X156" s="1" t="s">
        <v>73</v>
      </c>
      <c r="Y156" s="2">
        <v>4.04</v>
      </c>
      <c r="Z156" s="2">
        <v>12.75</v>
      </c>
      <c r="AA156" s="2">
        <v>2.09</v>
      </c>
      <c r="AB156" s="2">
        <v>0.31</v>
      </c>
      <c r="AC156" s="2">
        <v>7.65</v>
      </c>
      <c r="AD156" s="2">
        <v>7.9</v>
      </c>
      <c r="AE156" s="2">
        <v>16.95</v>
      </c>
      <c r="AF156" s="2">
        <v>13.81</v>
      </c>
      <c r="AG156" s="2">
        <v>10.68</v>
      </c>
      <c r="AH156" s="2">
        <v>4.9000000000000004</v>
      </c>
      <c r="AI156" s="2">
        <v>6.62</v>
      </c>
      <c r="AJ156" s="2">
        <v>15.1</v>
      </c>
      <c r="AK156" s="2">
        <v>2.8</v>
      </c>
      <c r="AL156" s="2">
        <v>1.08</v>
      </c>
      <c r="AM156" s="2">
        <v>5.26</v>
      </c>
      <c r="AN156" s="2">
        <v>10.73</v>
      </c>
      <c r="AO156" s="2">
        <v>13.15</v>
      </c>
      <c r="AP156" s="2">
        <v>6.9</v>
      </c>
      <c r="AQ156" s="2">
        <v>5.09</v>
      </c>
      <c r="AR156" s="2">
        <v>4.82</v>
      </c>
      <c r="AU156" s="1" t="s">
        <v>73</v>
      </c>
      <c r="AV156" s="2">
        <v>20.14</v>
      </c>
      <c r="AW156" s="2">
        <v>54.75</v>
      </c>
      <c r="AX156" s="2">
        <v>12.73</v>
      </c>
      <c r="AY156" s="2">
        <v>5.39</v>
      </c>
      <c r="AZ156" s="2">
        <v>46.59</v>
      </c>
      <c r="BA156" s="2">
        <v>36.5</v>
      </c>
      <c r="BB156" s="2">
        <v>75.930000000000007</v>
      </c>
      <c r="BC156" s="2">
        <v>61.88</v>
      </c>
      <c r="BD156" s="2">
        <v>46.32</v>
      </c>
      <c r="BE156" s="2">
        <v>20.6</v>
      </c>
      <c r="BF156" s="2">
        <v>36.67</v>
      </c>
      <c r="BG156" s="2">
        <v>68.599999999999994</v>
      </c>
      <c r="BH156" s="2">
        <v>17.09</v>
      </c>
      <c r="BI156" s="2">
        <v>6.57</v>
      </c>
      <c r="BJ156" s="2">
        <v>22.33</v>
      </c>
      <c r="BK156" s="2">
        <v>50.45</v>
      </c>
      <c r="BL156" s="2">
        <v>62.31</v>
      </c>
      <c r="BM156" s="2">
        <v>36.6</v>
      </c>
      <c r="BN156" s="2">
        <v>23.41</v>
      </c>
      <c r="BO156" s="2">
        <v>20.68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63</v>
      </c>
      <c r="Z160" s="1" t="s">
        <v>64</v>
      </c>
      <c r="AA160" s="1" t="s">
        <v>63</v>
      </c>
      <c r="AB160" s="1" t="s">
        <v>64</v>
      </c>
      <c r="AC160" s="1" t="s">
        <v>63</v>
      </c>
      <c r="AD160" s="1" t="s">
        <v>64</v>
      </c>
      <c r="AE160" s="1" t="s">
        <v>63</v>
      </c>
      <c r="AF160" s="1" t="s">
        <v>64</v>
      </c>
      <c r="AG160" s="1" t="s">
        <v>63</v>
      </c>
      <c r="AH160" s="1" t="s">
        <v>64</v>
      </c>
      <c r="AI160" s="1" t="s">
        <v>63</v>
      </c>
      <c r="AJ160" s="1" t="s">
        <v>64</v>
      </c>
      <c r="AK160" s="1" t="s">
        <v>63</v>
      </c>
      <c r="AL160" s="1" t="s">
        <v>64</v>
      </c>
      <c r="AM160" s="1" t="s">
        <v>63</v>
      </c>
      <c r="AN160" s="1" t="s">
        <v>64</v>
      </c>
      <c r="AO160" s="1" t="s">
        <v>63</v>
      </c>
      <c r="AP160" s="1" t="s">
        <v>64</v>
      </c>
      <c r="AQ160" s="1" t="s">
        <v>63</v>
      </c>
      <c r="AR160" s="1" t="s">
        <v>64</v>
      </c>
      <c r="AU160" s="1" t="s">
        <v>6</v>
      </c>
      <c r="AV160" s="1" t="s">
        <v>63</v>
      </c>
      <c r="AW160" s="1" t="s">
        <v>64</v>
      </c>
      <c r="AX160" s="1" t="s">
        <v>63</v>
      </c>
      <c r="AY160" s="1" t="s">
        <v>64</v>
      </c>
      <c r="AZ160" s="1" t="s">
        <v>63</v>
      </c>
      <c r="BA160" s="1" t="s">
        <v>64</v>
      </c>
      <c r="BB160" s="1" t="s">
        <v>63</v>
      </c>
      <c r="BC160" s="1" t="s">
        <v>64</v>
      </c>
      <c r="BD160" s="1" t="s">
        <v>63</v>
      </c>
      <c r="BE160" s="1" t="s">
        <v>64</v>
      </c>
      <c r="BF160" s="1" t="s">
        <v>63</v>
      </c>
      <c r="BG160" s="1" t="s">
        <v>64</v>
      </c>
      <c r="BH160" s="1" t="s">
        <v>63</v>
      </c>
      <c r="BI160" s="1" t="s">
        <v>64</v>
      </c>
      <c r="BJ160" s="1" t="s">
        <v>63</v>
      </c>
      <c r="BK160" s="1" t="s">
        <v>64</v>
      </c>
      <c r="BL160" s="1" t="s">
        <v>63</v>
      </c>
      <c r="BM160" s="1" t="s">
        <v>64</v>
      </c>
      <c r="BN160" s="1" t="s">
        <v>63</v>
      </c>
      <c r="BO160" s="1" t="s">
        <v>64</v>
      </c>
    </row>
    <row r="161" spans="24:67" x14ac:dyDescent="0.3">
      <c r="X161" s="1" t="s">
        <v>65</v>
      </c>
      <c r="Y161" s="1" t="s">
        <v>53</v>
      </c>
      <c r="Z161" s="1" t="s">
        <v>53</v>
      </c>
      <c r="AA161" s="1" t="s">
        <v>54</v>
      </c>
      <c r="AB161" s="1" t="s">
        <v>54</v>
      </c>
      <c r="AC161" s="1" t="s">
        <v>55</v>
      </c>
      <c r="AD161" s="1" t="s">
        <v>55</v>
      </c>
      <c r="AE161" s="1" t="s">
        <v>56</v>
      </c>
      <c r="AF161" s="1" t="s">
        <v>56</v>
      </c>
      <c r="AG161" s="1" t="s">
        <v>57</v>
      </c>
      <c r="AH161" s="1" t="s">
        <v>57</v>
      </c>
      <c r="AI161" s="1" t="s">
        <v>58</v>
      </c>
      <c r="AJ161" s="1" t="s">
        <v>58</v>
      </c>
      <c r="AK161" s="1" t="s">
        <v>59</v>
      </c>
      <c r="AL161" s="1" t="s">
        <v>59</v>
      </c>
      <c r="AM161" s="1" t="s">
        <v>60</v>
      </c>
      <c r="AN161" s="1" t="s">
        <v>60</v>
      </c>
      <c r="AO161" s="1" t="s">
        <v>61</v>
      </c>
      <c r="AP161" s="1" t="s">
        <v>61</v>
      </c>
      <c r="AQ161" s="1" t="s">
        <v>62</v>
      </c>
      <c r="AR161" s="1" t="s">
        <v>62</v>
      </c>
      <c r="AU161" s="1" t="s">
        <v>65</v>
      </c>
      <c r="AV161" s="1" t="s">
        <v>53</v>
      </c>
      <c r="AW161" s="1" t="s">
        <v>53</v>
      </c>
      <c r="AX161" s="1" t="s">
        <v>54</v>
      </c>
      <c r="AY161" s="1" t="s">
        <v>54</v>
      </c>
      <c r="AZ161" s="1" t="s">
        <v>55</v>
      </c>
      <c r="BA161" s="1" t="s">
        <v>55</v>
      </c>
      <c r="BB161" s="1" t="s">
        <v>56</v>
      </c>
      <c r="BC161" s="1" t="s">
        <v>56</v>
      </c>
      <c r="BD161" s="1" t="s">
        <v>57</v>
      </c>
      <c r="BE161" s="1" t="s">
        <v>57</v>
      </c>
      <c r="BF161" s="1" t="s">
        <v>58</v>
      </c>
      <c r="BG161" s="1" t="s">
        <v>58</v>
      </c>
      <c r="BH161" s="1" t="s">
        <v>59</v>
      </c>
      <c r="BI161" s="1" t="s">
        <v>59</v>
      </c>
      <c r="BJ161" s="1" t="s">
        <v>60</v>
      </c>
      <c r="BK161" s="1" t="s">
        <v>60</v>
      </c>
      <c r="BL161" s="1" t="s">
        <v>61</v>
      </c>
      <c r="BM161" s="1" t="s">
        <v>61</v>
      </c>
      <c r="BN161" s="1" t="s">
        <v>62</v>
      </c>
      <c r="BO161" s="1" t="s">
        <v>62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66</v>
      </c>
      <c r="Y163" s="2">
        <v>11.4</v>
      </c>
      <c r="Z163" s="2">
        <v>20.48</v>
      </c>
      <c r="AA163" s="2">
        <v>3.83</v>
      </c>
      <c r="AB163" s="2">
        <v>3.81</v>
      </c>
      <c r="AC163" s="2">
        <v>3.25</v>
      </c>
      <c r="AD163" s="2">
        <v>7.71</v>
      </c>
      <c r="AE163" s="2">
        <v>15.42</v>
      </c>
      <c r="AF163" s="2">
        <v>1.3</v>
      </c>
      <c r="AG163" s="2">
        <v>15.53</v>
      </c>
      <c r="AH163" s="2">
        <v>8.8800000000000008</v>
      </c>
      <c r="AI163" s="2">
        <v>4.5599999999999996</v>
      </c>
      <c r="AJ163" s="2">
        <v>3.48</v>
      </c>
      <c r="AK163" s="2">
        <v>6.87</v>
      </c>
      <c r="AL163" s="2">
        <v>1.67</v>
      </c>
      <c r="AM163" s="2">
        <v>5.24</v>
      </c>
      <c r="AN163" s="2">
        <v>1.77</v>
      </c>
      <c r="AO163" s="2">
        <v>0.35</v>
      </c>
      <c r="AP163" s="2">
        <v>0.62</v>
      </c>
      <c r="AQ163" s="2">
        <v>0.52</v>
      </c>
      <c r="AR163" s="2">
        <v>0.36</v>
      </c>
      <c r="AU163" s="1" t="s">
        <v>66</v>
      </c>
      <c r="AV163" s="2">
        <v>74.7</v>
      </c>
      <c r="AW163" s="2">
        <v>118.12</v>
      </c>
      <c r="AX163" s="2">
        <v>58.47</v>
      </c>
      <c r="AY163" s="2">
        <v>58.49</v>
      </c>
      <c r="AZ163" s="2">
        <v>49.95</v>
      </c>
      <c r="BA163" s="2">
        <v>107.09</v>
      </c>
      <c r="BB163" s="2">
        <v>151.88</v>
      </c>
      <c r="BC163" s="2">
        <v>77.8</v>
      </c>
      <c r="BD163" s="2">
        <v>122.37</v>
      </c>
      <c r="BE163" s="2">
        <v>172.42</v>
      </c>
      <c r="BF163" s="2">
        <v>73.14</v>
      </c>
      <c r="BG163" s="2">
        <v>108.52</v>
      </c>
      <c r="BH163" s="2">
        <v>79.930000000000007</v>
      </c>
      <c r="BI163" s="2">
        <v>94.23</v>
      </c>
      <c r="BJ163" s="2">
        <v>46.56</v>
      </c>
      <c r="BK163" s="2">
        <v>50.03</v>
      </c>
      <c r="BL163" s="2">
        <v>33.950000000000003</v>
      </c>
      <c r="BM163" s="2">
        <v>59.58</v>
      </c>
      <c r="BN163" s="2">
        <v>25.38</v>
      </c>
      <c r="BO163" s="2">
        <v>34.64</v>
      </c>
    </row>
    <row r="164" spans="24:67" x14ac:dyDescent="0.3">
      <c r="X164" s="1" t="s">
        <v>67</v>
      </c>
      <c r="Y164" s="2">
        <v>11.02</v>
      </c>
      <c r="Z164" s="2">
        <v>7.83</v>
      </c>
      <c r="AA164" s="2">
        <v>7.81</v>
      </c>
      <c r="AB164" s="2">
        <v>5.84</v>
      </c>
      <c r="AC164" s="2">
        <v>5.25</v>
      </c>
      <c r="AD164" s="2">
        <v>10.62</v>
      </c>
      <c r="AE164" s="2">
        <v>8.7200000000000006</v>
      </c>
      <c r="AF164" s="2">
        <v>12.48</v>
      </c>
      <c r="AG164" s="2">
        <v>7.91</v>
      </c>
      <c r="AH164" s="2">
        <v>11.08</v>
      </c>
      <c r="AI164" s="2">
        <v>7.16</v>
      </c>
      <c r="AJ164" s="2">
        <v>8.3800000000000008</v>
      </c>
      <c r="AK164" s="2">
        <v>6.72</v>
      </c>
      <c r="AL164" s="2">
        <v>8.02</v>
      </c>
      <c r="AM164" s="2">
        <v>7.02</v>
      </c>
      <c r="AN164" s="2">
        <v>6.57</v>
      </c>
      <c r="AO164" s="2">
        <v>5.7</v>
      </c>
      <c r="AP164" s="2">
        <v>7.64</v>
      </c>
      <c r="AQ164" s="2">
        <v>6.45</v>
      </c>
      <c r="AR164" s="2">
        <v>6.93</v>
      </c>
      <c r="AU164" s="1" t="s">
        <v>67</v>
      </c>
      <c r="AV164" s="2">
        <v>86.58</v>
      </c>
      <c r="AW164" s="2">
        <v>57.57</v>
      </c>
      <c r="AX164" s="2">
        <v>57.39</v>
      </c>
      <c r="AY164" s="2">
        <v>42.76</v>
      </c>
      <c r="AZ164" s="2">
        <v>33.85</v>
      </c>
      <c r="BA164" s="2">
        <v>77.78</v>
      </c>
      <c r="BB164" s="2">
        <v>64.180000000000007</v>
      </c>
      <c r="BC164" s="2">
        <v>81.819999999999993</v>
      </c>
      <c r="BD164" s="2">
        <v>62.29</v>
      </c>
      <c r="BE164" s="2">
        <v>78.819999999999993</v>
      </c>
      <c r="BF164" s="2">
        <v>48.34</v>
      </c>
      <c r="BG164" s="2">
        <v>59.42</v>
      </c>
      <c r="BH164" s="2">
        <v>50.48</v>
      </c>
      <c r="BI164" s="2">
        <v>57.88</v>
      </c>
      <c r="BJ164" s="2">
        <v>52.58</v>
      </c>
      <c r="BK164" s="2">
        <v>49.33</v>
      </c>
      <c r="BL164" s="2">
        <v>42.3</v>
      </c>
      <c r="BM164" s="2">
        <v>52.66</v>
      </c>
      <c r="BN164" s="2">
        <v>50.75</v>
      </c>
      <c r="BO164" s="2">
        <v>54.07</v>
      </c>
    </row>
    <row r="165" spans="24:67" x14ac:dyDescent="0.3">
      <c r="X165" s="1" t="s">
        <v>68</v>
      </c>
      <c r="Y165" s="2">
        <v>43.4</v>
      </c>
      <c r="Z165" s="2">
        <v>17.309999999999999</v>
      </c>
      <c r="AA165" s="2">
        <v>34.200000000000003</v>
      </c>
      <c r="AB165" s="2">
        <v>10.59</v>
      </c>
      <c r="AC165" s="2">
        <v>39.94</v>
      </c>
      <c r="AD165" s="2">
        <v>69.2</v>
      </c>
      <c r="AE165" s="2">
        <v>69.47</v>
      </c>
      <c r="AF165" s="2">
        <v>51.19</v>
      </c>
      <c r="AG165" s="2">
        <v>67.489999999999995</v>
      </c>
      <c r="AH165" s="2">
        <v>38.9</v>
      </c>
      <c r="AI165" s="2">
        <v>63.98</v>
      </c>
      <c r="AJ165" s="2">
        <v>35.340000000000003</v>
      </c>
      <c r="AK165" s="2">
        <v>70.95</v>
      </c>
      <c r="AL165" s="2">
        <v>36.93</v>
      </c>
      <c r="AM165" s="2">
        <v>69.069999999999993</v>
      </c>
      <c r="AN165" s="2">
        <v>30.31</v>
      </c>
      <c r="AO165" s="2">
        <v>28.48</v>
      </c>
      <c r="AP165" s="2">
        <v>27.78</v>
      </c>
      <c r="AQ165" s="2">
        <v>22.46</v>
      </c>
      <c r="AR165" s="2">
        <v>21.4</v>
      </c>
      <c r="AU165" s="1" t="s">
        <v>68</v>
      </c>
      <c r="AV165" s="2">
        <v>158.05000000000001</v>
      </c>
      <c r="AW165" s="2">
        <v>127.29</v>
      </c>
      <c r="AX165" s="2">
        <v>136.15</v>
      </c>
      <c r="AY165" s="2">
        <v>77.61</v>
      </c>
      <c r="AZ165" s="2">
        <v>90.89</v>
      </c>
      <c r="BA165" s="2">
        <v>221.78</v>
      </c>
      <c r="BB165" s="2">
        <v>209.69</v>
      </c>
      <c r="BC165" s="2">
        <v>250.86</v>
      </c>
      <c r="BD165" s="2">
        <v>198.61</v>
      </c>
      <c r="BE165" s="2">
        <v>220.4</v>
      </c>
      <c r="BF165" s="2">
        <v>185.09</v>
      </c>
      <c r="BG165" s="2">
        <v>198.36</v>
      </c>
      <c r="BH165" s="2">
        <v>195.49</v>
      </c>
      <c r="BI165" s="2">
        <v>202</v>
      </c>
      <c r="BJ165" s="2">
        <v>186.18</v>
      </c>
      <c r="BK165" s="2">
        <v>179.02</v>
      </c>
      <c r="BL165" s="2">
        <v>145.26</v>
      </c>
      <c r="BM165" s="2">
        <v>182.77</v>
      </c>
      <c r="BN165" s="2">
        <v>150.07</v>
      </c>
      <c r="BO165" s="2">
        <v>139.87</v>
      </c>
    </row>
    <row r="166" spans="24:67" x14ac:dyDescent="0.3">
      <c r="X166" s="1" t="s">
        <v>69</v>
      </c>
      <c r="Y166" s="2">
        <v>9.7100000000000009</v>
      </c>
      <c r="Z166" s="2">
        <v>7.01</v>
      </c>
      <c r="AA166" s="2">
        <v>8.5</v>
      </c>
      <c r="AB166" s="2">
        <v>4.76</v>
      </c>
      <c r="AC166" s="2">
        <v>11.59</v>
      </c>
      <c r="AD166" s="2">
        <v>17.239999999999998</v>
      </c>
      <c r="AE166" s="2">
        <v>15.79</v>
      </c>
      <c r="AF166" s="2">
        <v>13.01</v>
      </c>
      <c r="AG166" s="2">
        <v>25.24</v>
      </c>
      <c r="AH166" s="2">
        <v>10.46</v>
      </c>
      <c r="AI166" s="2">
        <v>23.16</v>
      </c>
      <c r="AJ166" s="2">
        <v>8.92</v>
      </c>
      <c r="AK166" s="2">
        <v>25.17</v>
      </c>
      <c r="AL166" s="2">
        <v>9.35</v>
      </c>
      <c r="AM166" s="2">
        <v>20.96</v>
      </c>
      <c r="AN166" s="2">
        <v>11.57</v>
      </c>
      <c r="AO166" s="2">
        <v>12.14</v>
      </c>
      <c r="AP166" s="2">
        <v>8.8000000000000007</v>
      </c>
      <c r="AQ166" s="2">
        <v>10.08</v>
      </c>
      <c r="AR166" s="2">
        <v>9.59</v>
      </c>
      <c r="AU166" s="1" t="s">
        <v>69</v>
      </c>
      <c r="AV166" s="2">
        <v>59.03</v>
      </c>
      <c r="AW166" s="2">
        <v>41.19</v>
      </c>
      <c r="AX166" s="2">
        <v>52.65</v>
      </c>
      <c r="AY166" s="2">
        <v>34.840000000000003</v>
      </c>
      <c r="AZ166" s="2">
        <v>37.9</v>
      </c>
      <c r="BA166" s="2">
        <v>61.63</v>
      </c>
      <c r="BB166" s="2">
        <v>105.72</v>
      </c>
      <c r="BC166" s="2">
        <v>77.53</v>
      </c>
      <c r="BD166" s="2">
        <v>103.03</v>
      </c>
      <c r="BE166" s="2">
        <v>72.069999999999993</v>
      </c>
      <c r="BF166" s="2">
        <v>94.39</v>
      </c>
      <c r="BG166" s="2">
        <v>60.19</v>
      </c>
      <c r="BH166" s="2">
        <v>101.81</v>
      </c>
      <c r="BI166" s="2">
        <v>62.75</v>
      </c>
      <c r="BJ166" s="2">
        <v>105.64</v>
      </c>
      <c r="BK166" s="2">
        <v>77.83</v>
      </c>
      <c r="BL166" s="2">
        <v>82.66</v>
      </c>
      <c r="BM166" s="2">
        <v>56.4</v>
      </c>
      <c r="BN166" s="2">
        <v>65.819999999999993</v>
      </c>
      <c r="BO166" s="2">
        <v>61.33</v>
      </c>
    </row>
    <row r="167" spans="24:67" x14ac:dyDescent="0.3">
      <c r="X167" s="1" t="s">
        <v>70</v>
      </c>
      <c r="Y167" s="2">
        <v>42.44</v>
      </c>
      <c r="Z167" s="2">
        <v>49.03</v>
      </c>
      <c r="AA167" s="2">
        <v>25.78</v>
      </c>
      <c r="AB167" s="2">
        <v>21.63</v>
      </c>
      <c r="AC167" s="2">
        <v>38.92</v>
      </c>
      <c r="AD167" s="2">
        <v>56.92</v>
      </c>
      <c r="AE167" s="2">
        <v>51</v>
      </c>
      <c r="AF167" s="2">
        <v>69.69</v>
      </c>
      <c r="AG167" s="2">
        <v>69.17</v>
      </c>
      <c r="AH167" s="2">
        <v>69.5</v>
      </c>
      <c r="AI167" s="2">
        <v>50.76</v>
      </c>
      <c r="AJ167" s="2">
        <v>45.48</v>
      </c>
      <c r="AK167" s="2">
        <v>47.52</v>
      </c>
      <c r="AL167" s="2">
        <v>45</v>
      </c>
      <c r="AM167" s="2">
        <v>45.1</v>
      </c>
      <c r="AN167" s="2">
        <v>43.96</v>
      </c>
      <c r="AO167" s="2">
        <v>45.98</v>
      </c>
      <c r="AP167" s="2">
        <v>37.520000000000003</v>
      </c>
      <c r="AQ167" s="2">
        <v>40.67</v>
      </c>
      <c r="AR167" s="2">
        <v>34.81</v>
      </c>
      <c r="AU167" s="1" t="s">
        <v>70</v>
      </c>
      <c r="AV167" s="2">
        <v>151.46</v>
      </c>
      <c r="AW167" s="2">
        <v>216.47</v>
      </c>
      <c r="AX167" s="2">
        <v>183.24</v>
      </c>
      <c r="AY167" s="2">
        <v>157.37</v>
      </c>
      <c r="AZ167" s="2">
        <v>135.83000000000001</v>
      </c>
      <c r="BA167" s="2">
        <v>206.07</v>
      </c>
      <c r="BB167" s="2">
        <v>370</v>
      </c>
      <c r="BC167" s="2">
        <v>294.81</v>
      </c>
      <c r="BD167" s="2">
        <v>361.83</v>
      </c>
      <c r="BE167" s="2">
        <v>337</v>
      </c>
      <c r="BF167" s="2">
        <v>294.74</v>
      </c>
      <c r="BG167" s="2">
        <v>293.52</v>
      </c>
      <c r="BH167" s="2">
        <v>319.48</v>
      </c>
      <c r="BI167" s="2">
        <v>322</v>
      </c>
      <c r="BJ167" s="2">
        <v>314.89999999999998</v>
      </c>
      <c r="BK167" s="2">
        <v>309.54000000000002</v>
      </c>
      <c r="BL167" s="2">
        <v>311.02</v>
      </c>
      <c r="BM167" s="2">
        <v>263.98</v>
      </c>
      <c r="BN167" s="2">
        <v>276.33</v>
      </c>
      <c r="BO167" s="2">
        <v>270.19</v>
      </c>
    </row>
    <row r="168" spans="24:67" x14ac:dyDescent="0.3">
      <c r="X168" s="1" t="s">
        <v>71</v>
      </c>
      <c r="Y168" s="2">
        <v>9.9700000000000006</v>
      </c>
      <c r="Z168" s="2">
        <v>3.83</v>
      </c>
      <c r="AA168" s="2">
        <v>5.88</v>
      </c>
      <c r="AB168" s="2">
        <v>2.13</v>
      </c>
      <c r="AC168" s="2">
        <v>7.13</v>
      </c>
      <c r="AD168" s="2">
        <v>5.45</v>
      </c>
      <c r="AE168" s="2">
        <v>5.31</v>
      </c>
      <c r="AF168" s="2">
        <v>5.5</v>
      </c>
      <c r="AG168" s="2">
        <v>4.7300000000000004</v>
      </c>
      <c r="AH168" s="2">
        <v>5.42</v>
      </c>
      <c r="AI168" s="2">
        <v>5.55</v>
      </c>
      <c r="AJ168" s="2">
        <v>4.83</v>
      </c>
      <c r="AK168" s="2">
        <v>6.27</v>
      </c>
      <c r="AL168" s="2">
        <v>4.59</v>
      </c>
      <c r="AM168" s="2">
        <v>6.09</v>
      </c>
      <c r="AN168" s="2">
        <v>5.9</v>
      </c>
      <c r="AO168" s="2">
        <v>6.89</v>
      </c>
      <c r="AP168" s="2">
        <v>4.13</v>
      </c>
      <c r="AQ168" s="2">
        <v>5.61</v>
      </c>
      <c r="AR168" s="2">
        <v>4.12</v>
      </c>
      <c r="AU168" s="1" t="s">
        <v>71</v>
      </c>
      <c r="AV168" s="2">
        <v>31.56</v>
      </c>
      <c r="AW168" s="2">
        <v>12.34</v>
      </c>
      <c r="AX168" s="2">
        <v>35.97</v>
      </c>
      <c r="AY168" s="2">
        <v>13.17</v>
      </c>
      <c r="AZ168" s="2">
        <v>21.45</v>
      </c>
      <c r="BA168" s="2">
        <v>17.239999999999998</v>
      </c>
      <c r="BB168" s="2">
        <v>32.39</v>
      </c>
      <c r="BC168" s="2">
        <v>17.63</v>
      </c>
      <c r="BD168" s="2">
        <v>30.97</v>
      </c>
      <c r="BE168" s="2">
        <v>35.57</v>
      </c>
      <c r="BF168" s="2">
        <v>36.35</v>
      </c>
      <c r="BG168" s="2">
        <v>31.93</v>
      </c>
      <c r="BH168" s="2">
        <v>41.04</v>
      </c>
      <c r="BI168" s="2">
        <v>30.22</v>
      </c>
      <c r="BJ168" s="2">
        <v>39.82</v>
      </c>
      <c r="BK168" s="2">
        <v>38.81</v>
      </c>
      <c r="BL168" s="2">
        <v>44.82</v>
      </c>
      <c r="BM168" s="2">
        <v>21.68</v>
      </c>
      <c r="BN168" s="2">
        <v>35.39</v>
      </c>
      <c r="BO168" s="2">
        <v>26.98</v>
      </c>
    </row>
    <row r="169" spans="24:67" x14ac:dyDescent="0.3">
      <c r="X169" s="1" t="s">
        <v>72</v>
      </c>
      <c r="Y169" s="2">
        <v>19.149999999999999</v>
      </c>
      <c r="Z169" s="2">
        <v>19.73</v>
      </c>
      <c r="AA169" s="2">
        <v>10.9</v>
      </c>
      <c r="AB169" s="2">
        <v>15.71</v>
      </c>
      <c r="AC169" s="2">
        <v>17.8</v>
      </c>
      <c r="AD169" s="2">
        <v>21.51</v>
      </c>
      <c r="AE169" s="2">
        <v>21.09</v>
      </c>
      <c r="AF169" s="2">
        <v>22.46</v>
      </c>
      <c r="AG169" s="2">
        <v>17.14</v>
      </c>
      <c r="AH169" s="2">
        <v>26.52</v>
      </c>
      <c r="AI169" s="2">
        <v>15.52</v>
      </c>
      <c r="AJ169" s="2">
        <v>25.45</v>
      </c>
      <c r="AK169" s="2">
        <v>15.19</v>
      </c>
      <c r="AL169" s="2">
        <v>25.28</v>
      </c>
      <c r="AM169" s="2">
        <v>20.13</v>
      </c>
      <c r="AN169" s="2">
        <v>13.49</v>
      </c>
      <c r="AO169" s="2">
        <v>15.85</v>
      </c>
      <c r="AP169" s="2">
        <v>11.74</v>
      </c>
      <c r="AQ169" s="2">
        <v>11.8</v>
      </c>
      <c r="AR169" s="2">
        <v>8.76</v>
      </c>
      <c r="AU169" s="1" t="s">
        <v>72</v>
      </c>
      <c r="AV169" s="2">
        <v>63.71</v>
      </c>
      <c r="AW169" s="2">
        <v>66.180000000000007</v>
      </c>
      <c r="AX169" s="2">
        <v>55.59</v>
      </c>
      <c r="AY169" s="2">
        <v>61.17</v>
      </c>
      <c r="AZ169" s="2">
        <v>47.05</v>
      </c>
      <c r="BA169" s="2">
        <v>70.59</v>
      </c>
      <c r="BB169" s="2">
        <v>81.03</v>
      </c>
      <c r="BC169" s="2">
        <v>49.64</v>
      </c>
      <c r="BD169" s="2">
        <v>83.97</v>
      </c>
      <c r="BE169" s="2">
        <v>73.11</v>
      </c>
      <c r="BF169" s="2">
        <v>70.91</v>
      </c>
      <c r="BG169" s="2">
        <v>70.349999999999994</v>
      </c>
      <c r="BH169" s="2">
        <v>68.959999999999994</v>
      </c>
      <c r="BI169" s="2">
        <v>75.52</v>
      </c>
      <c r="BJ169" s="2">
        <v>84.19</v>
      </c>
      <c r="BK169" s="2">
        <v>88.01</v>
      </c>
      <c r="BL169" s="2">
        <v>81.03</v>
      </c>
      <c r="BM169" s="2">
        <v>58.51</v>
      </c>
      <c r="BN169" s="2">
        <v>66.95</v>
      </c>
      <c r="BO169" s="2">
        <v>51.44</v>
      </c>
    </row>
    <row r="170" spans="24:67" x14ac:dyDescent="0.3">
      <c r="X170" s="1" t="s">
        <v>73</v>
      </c>
      <c r="Y170" s="2">
        <v>3.11</v>
      </c>
      <c r="Z170" s="2">
        <v>5.09</v>
      </c>
      <c r="AA170" s="2">
        <v>1.6</v>
      </c>
      <c r="AB170" s="2">
        <v>2.15</v>
      </c>
      <c r="AC170" s="2">
        <v>0.62</v>
      </c>
      <c r="AD170" s="2">
        <v>2.16</v>
      </c>
      <c r="AE170" s="2">
        <v>4.78</v>
      </c>
      <c r="AF170" s="2">
        <v>3.29</v>
      </c>
      <c r="AG170" s="2">
        <v>3.95</v>
      </c>
      <c r="AH170" s="2">
        <v>5.36</v>
      </c>
      <c r="AI170" s="2">
        <v>4.71</v>
      </c>
      <c r="AJ170" s="2">
        <v>3.65</v>
      </c>
      <c r="AK170" s="2">
        <v>4.76</v>
      </c>
      <c r="AL170" s="2">
        <v>2.38</v>
      </c>
      <c r="AM170" s="2">
        <v>2.81</v>
      </c>
      <c r="AN170" s="2">
        <v>1.34</v>
      </c>
      <c r="AO170" s="2">
        <v>1.44</v>
      </c>
      <c r="AP170" s="2">
        <v>1.42</v>
      </c>
      <c r="AQ170" s="2">
        <v>2.83</v>
      </c>
      <c r="AR170" s="2">
        <v>3.36</v>
      </c>
      <c r="AU170" s="1" t="s">
        <v>73</v>
      </c>
      <c r="AV170" s="2">
        <v>15.49</v>
      </c>
      <c r="AW170" s="2">
        <v>28.21</v>
      </c>
      <c r="AX170" s="2">
        <v>9.8000000000000007</v>
      </c>
      <c r="AY170" s="2">
        <v>13.15</v>
      </c>
      <c r="AZ170" s="2">
        <v>10.78</v>
      </c>
      <c r="BA170" s="2">
        <v>13.14</v>
      </c>
      <c r="BB170" s="2">
        <v>29.12</v>
      </c>
      <c r="BC170" s="2">
        <v>13.95</v>
      </c>
      <c r="BD170" s="2">
        <v>18.25</v>
      </c>
      <c r="BE170" s="2">
        <v>25.23</v>
      </c>
      <c r="BF170" s="2">
        <v>21.09</v>
      </c>
      <c r="BG170" s="2">
        <v>17.309999999999999</v>
      </c>
      <c r="BH170" s="2">
        <v>21.34</v>
      </c>
      <c r="BI170" s="2">
        <v>12.62</v>
      </c>
      <c r="BJ170" s="2">
        <v>12.19</v>
      </c>
      <c r="BK170" s="2">
        <v>6.16</v>
      </c>
      <c r="BL170" s="2">
        <v>6.06</v>
      </c>
      <c r="BM170" s="2">
        <v>6.08</v>
      </c>
      <c r="BN170" s="2">
        <v>12.17</v>
      </c>
      <c r="BO170" s="2">
        <v>15.24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63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64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63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64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65</v>
      </c>
      <c r="Y175" s="1" t="s">
        <v>53</v>
      </c>
      <c r="Z175" s="1" t="s">
        <v>62</v>
      </c>
      <c r="AA175" s="1" t="s">
        <v>54</v>
      </c>
      <c r="AB175" s="1" t="s">
        <v>55</v>
      </c>
      <c r="AC175" s="1" t="s">
        <v>56</v>
      </c>
      <c r="AD175" s="1" t="s">
        <v>57</v>
      </c>
      <c r="AE175" s="1" t="s">
        <v>58</v>
      </c>
      <c r="AF175" s="1" t="s">
        <v>59</v>
      </c>
      <c r="AG175" s="1" t="s">
        <v>60</v>
      </c>
      <c r="AH175" s="1" t="s">
        <v>61</v>
      </c>
      <c r="AI175" s="1" t="s">
        <v>53</v>
      </c>
      <c r="AJ175" s="1" t="s">
        <v>62</v>
      </c>
      <c r="AK175" s="1" t="s">
        <v>54</v>
      </c>
      <c r="AL175" s="1" t="s">
        <v>55</v>
      </c>
      <c r="AM175" s="1" t="s">
        <v>56</v>
      </c>
      <c r="AN175" s="1" t="s">
        <v>57</v>
      </c>
      <c r="AO175" s="1" t="s">
        <v>58</v>
      </c>
      <c r="AP175" s="1" t="s">
        <v>59</v>
      </c>
      <c r="AQ175" s="1" t="s">
        <v>60</v>
      </c>
      <c r="AR175" s="1" t="s">
        <v>61</v>
      </c>
      <c r="AU175" s="1" t="s">
        <v>65</v>
      </c>
      <c r="AV175" s="1" t="s">
        <v>53</v>
      </c>
      <c r="AW175" s="1" t="s">
        <v>62</v>
      </c>
      <c r="AX175" s="1" t="s">
        <v>54</v>
      </c>
      <c r="AY175" s="1" t="s">
        <v>55</v>
      </c>
      <c r="AZ175" s="1" t="s">
        <v>56</v>
      </c>
      <c r="BA175" s="1" t="s">
        <v>57</v>
      </c>
      <c r="BB175" s="1" t="s">
        <v>58</v>
      </c>
      <c r="BC175" s="1" t="s">
        <v>59</v>
      </c>
      <c r="BD175" s="1" t="s">
        <v>60</v>
      </c>
      <c r="BE175" s="1" t="s">
        <v>61</v>
      </c>
      <c r="BF175" s="1" t="s">
        <v>53</v>
      </c>
      <c r="BG175" s="1" t="s">
        <v>62</v>
      </c>
      <c r="BH175" s="1" t="s">
        <v>54</v>
      </c>
      <c r="BI175" s="1" t="s">
        <v>55</v>
      </c>
      <c r="BJ175" s="1" t="s">
        <v>56</v>
      </c>
      <c r="BK175" s="1" t="s">
        <v>57</v>
      </c>
      <c r="BL175" s="1" t="s">
        <v>58</v>
      </c>
      <c r="BM175" s="1" t="s">
        <v>59</v>
      </c>
      <c r="BN175" s="1" t="s">
        <v>60</v>
      </c>
      <c r="BO175" s="1" t="s">
        <v>61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66</v>
      </c>
      <c r="Y177" s="2">
        <v>433.34</v>
      </c>
      <c r="Z177" s="2">
        <v>210.93</v>
      </c>
      <c r="AA177" s="2">
        <v>27.87</v>
      </c>
      <c r="AB177" s="2">
        <v>16.47</v>
      </c>
      <c r="AC177" s="2">
        <v>307.27999999999997</v>
      </c>
      <c r="AD177" s="2">
        <v>526.05999999999995</v>
      </c>
      <c r="AE177" s="2">
        <v>985.36</v>
      </c>
      <c r="AF177" s="2">
        <v>640.61</v>
      </c>
      <c r="AG177" s="2">
        <v>754.65</v>
      </c>
      <c r="AH177" s="2">
        <v>55.65</v>
      </c>
      <c r="AI177" s="2">
        <v>402.43</v>
      </c>
      <c r="AJ177" s="2">
        <v>90.12</v>
      </c>
      <c r="AK177" s="2">
        <v>28.46</v>
      </c>
      <c r="AL177" s="2">
        <v>36.72</v>
      </c>
      <c r="AM177" s="2">
        <v>202.68</v>
      </c>
      <c r="AN177" s="2">
        <v>205.03</v>
      </c>
      <c r="AO177" s="2">
        <v>243.38</v>
      </c>
      <c r="AP177" s="2">
        <v>113.29</v>
      </c>
      <c r="AQ177" s="2">
        <v>282.93</v>
      </c>
      <c r="AR177" s="2">
        <v>58.34</v>
      </c>
      <c r="AU177" s="1" t="s">
        <v>66</v>
      </c>
      <c r="AV177" s="2">
        <v>2353.08</v>
      </c>
      <c r="AW177" s="2">
        <v>8410.6200000000008</v>
      </c>
      <c r="AX177" s="2">
        <v>1251.5899999999999</v>
      </c>
      <c r="AY177" s="2">
        <v>743.73</v>
      </c>
      <c r="AZ177" s="2">
        <v>2565.52</v>
      </c>
      <c r="BA177" s="2">
        <v>3162.94</v>
      </c>
      <c r="BB177" s="2">
        <v>5788.4</v>
      </c>
      <c r="BC177" s="2">
        <v>4712.5</v>
      </c>
      <c r="BD177" s="2">
        <v>6408.73</v>
      </c>
      <c r="BE177" s="2">
        <v>5363.61</v>
      </c>
      <c r="BF177" s="2">
        <v>2406.7399999999998</v>
      </c>
      <c r="BG177" s="2">
        <v>8685.7800000000007</v>
      </c>
      <c r="BH177" s="2">
        <v>1286.49</v>
      </c>
      <c r="BI177" s="2">
        <v>785.43</v>
      </c>
      <c r="BJ177" s="2">
        <v>2712.68</v>
      </c>
      <c r="BK177" s="2">
        <v>3363.57</v>
      </c>
      <c r="BL177" s="2">
        <v>6157.42</v>
      </c>
      <c r="BM177" s="2">
        <v>5341.32</v>
      </c>
      <c r="BN177" s="2">
        <v>6683.61</v>
      </c>
      <c r="BO177" s="2">
        <v>5622.72</v>
      </c>
    </row>
    <row r="178" spans="24:67" x14ac:dyDescent="0.3">
      <c r="X178" s="1" t="s">
        <v>67</v>
      </c>
      <c r="Y178" s="2">
        <v>19.39</v>
      </c>
      <c r="Z178" s="2">
        <v>85.51</v>
      </c>
      <c r="AA178" s="2">
        <v>10.56</v>
      </c>
      <c r="AB178" s="2">
        <v>5.83</v>
      </c>
      <c r="AC178" s="2">
        <v>18.41</v>
      </c>
      <c r="AD178" s="2">
        <v>23.5</v>
      </c>
      <c r="AE178" s="2">
        <v>48.61</v>
      </c>
      <c r="AF178" s="2">
        <v>39.08</v>
      </c>
      <c r="AG178" s="2">
        <v>53.59</v>
      </c>
      <c r="AH178" s="2">
        <v>47.17</v>
      </c>
      <c r="AI178" s="2">
        <v>21.71</v>
      </c>
      <c r="AJ178" s="2">
        <v>75.14</v>
      </c>
      <c r="AK178" s="2">
        <v>12.8</v>
      </c>
      <c r="AL178" s="2">
        <v>6.13</v>
      </c>
      <c r="AM178" s="2">
        <v>26.5</v>
      </c>
      <c r="AN178" s="2">
        <v>28.61</v>
      </c>
      <c r="AO178" s="2">
        <v>56.35</v>
      </c>
      <c r="AP178" s="2">
        <v>44.18</v>
      </c>
      <c r="AQ178" s="2">
        <v>54.33</v>
      </c>
      <c r="AR178" s="2">
        <v>55.99</v>
      </c>
      <c r="AU178" s="1" t="s">
        <v>67</v>
      </c>
      <c r="AV178" s="2">
        <v>393.23</v>
      </c>
      <c r="AW178" s="2">
        <v>1733.84</v>
      </c>
      <c r="AX178" s="2">
        <v>200.56</v>
      </c>
      <c r="AY178" s="2">
        <v>95.82</v>
      </c>
      <c r="AZ178" s="2">
        <v>349.75</v>
      </c>
      <c r="BA178" s="2">
        <v>476.5</v>
      </c>
      <c r="BB178" s="2">
        <v>830.51</v>
      </c>
      <c r="BC178" s="2">
        <v>754.65</v>
      </c>
      <c r="BD178" s="2">
        <v>1031.31</v>
      </c>
      <c r="BE178" s="2">
        <v>898.37</v>
      </c>
      <c r="BF178" s="2">
        <v>408.46</v>
      </c>
      <c r="BG178" s="2">
        <v>1514.71</v>
      </c>
      <c r="BH178" s="2">
        <v>243.17</v>
      </c>
      <c r="BI178" s="2">
        <v>116.37</v>
      </c>
      <c r="BJ178" s="2">
        <v>444.22</v>
      </c>
      <c r="BK178" s="2">
        <v>518.19000000000005</v>
      </c>
      <c r="BL178" s="2">
        <v>1017.89</v>
      </c>
      <c r="BM178" s="2">
        <v>814.51</v>
      </c>
      <c r="BN178" s="2">
        <v>1049.19</v>
      </c>
      <c r="BO178" s="2">
        <v>977.61</v>
      </c>
    </row>
    <row r="179" spans="24:67" x14ac:dyDescent="0.3">
      <c r="X179" s="1" t="s">
        <v>68</v>
      </c>
      <c r="Y179" s="2">
        <v>225.85</v>
      </c>
      <c r="Z179" s="2">
        <v>302.64</v>
      </c>
      <c r="AA179" s="2">
        <v>93.73</v>
      </c>
      <c r="AB179" s="2">
        <v>114.34</v>
      </c>
      <c r="AC179" s="2">
        <v>284.18</v>
      </c>
      <c r="AD179" s="2">
        <v>391.86</v>
      </c>
      <c r="AE179" s="2">
        <v>731.74</v>
      </c>
      <c r="AF179" s="2">
        <v>670.4</v>
      </c>
      <c r="AG179" s="2">
        <v>860.2</v>
      </c>
      <c r="AH179" s="2">
        <v>327.44</v>
      </c>
      <c r="AI179" s="2">
        <v>63.93</v>
      </c>
      <c r="AJ179" s="2">
        <v>304.12</v>
      </c>
      <c r="AK179" s="2">
        <v>29.17</v>
      </c>
      <c r="AL179" s="2">
        <v>71.209999999999994</v>
      </c>
      <c r="AM179" s="2">
        <v>156.09</v>
      </c>
      <c r="AN179" s="2">
        <v>169.3</v>
      </c>
      <c r="AO179" s="2">
        <v>323.01</v>
      </c>
      <c r="AP179" s="2">
        <v>283.62</v>
      </c>
      <c r="AQ179" s="2">
        <v>305.38</v>
      </c>
      <c r="AR179" s="2">
        <v>256.29000000000002</v>
      </c>
      <c r="AU179" s="1" t="s">
        <v>68</v>
      </c>
      <c r="AV179" s="2">
        <v>1910.47</v>
      </c>
      <c r="AW179" s="2">
        <v>5117.3599999999997</v>
      </c>
      <c r="AX179" s="2">
        <v>892.24</v>
      </c>
      <c r="AY179" s="2">
        <v>584.97</v>
      </c>
      <c r="AZ179" s="2">
        <v>1986.06</v>
      </c>
      <c r="BA179" s="2">
        <v>2607.54</v>
      </c>
      <c r="BB179" s="2">
        <v>4784.34</v>
      </c>
      <c r="BC179" s="2">
        <v>4149.68</v>
      </c>
      <c r="BD179" s="2">
        <v>5199.22</v>
      </c>
      <c r="BE179" s="2">
        <v>4061.99</v>
      </c>
      <c r="BF179" s="2">
        <v>1202.79</v>
      </c>
      <c r="BG179" s="2">
        <v>5010.53</v>
      </c>
      <c r="BH179" s="2">
        <v>554.27</v>
      </c>
      <c r="BI179" s="2">
        <v>531.32000000000005</v>
      </c>
      <c r="BJ179" s="2">
        <v>1879.36</v>
      </c>
      <c r="BK179" s="2">
        <v>2364.19</v>
      </c>
      <c r="BL179" s="2">
        <v>4470.57</v>
      </c>
      <c r="BM179" s="2">
        <v>3809.28</v>
      </c>
      <c r="BN179" s="2">
        <v>4482.22</v>
      </c>
      <c r="BO179" s="2">
        <v>4255.5</v>
      </c>
    </row>
    <row r="180" spans="24:67" x14ac:dyDescent="0.3">
      <c r="X180" s="1" t="s">
        <v>69</v>
      </c>
      <c r="Y180" s="2">
        <v>52.54</v>
      </c>
      <c r="Z180" s="2">
        <v>130.72</v>
      </c>
      <c r="AA180" s="2">
        <v>23.53</v>
      </c>
      <c r="AB180" s="2">
        <v>29.77</v>
      </c>
      <c r="AC180" s="2">
        <v>47.85</v>
      </c>
      <c r="AD180" s="2">
        <v>106.75</v>
      </c>
      <c r="AE180" s="2">
        <v>193.46</v>
      </c>
      <c r="AF180" s="2">
        <v>167.5</v>
      </c>
      <c r="AG180" s="2">
        <v>161.53</v>
      </c>
      <c r="AH180" s="2">
        <v>86.11</v>
      </c>
      <c r="AI180" s="2">
        <v>36.69</v>
      </c>
      <c r="AJ180" s="2">
        <v>134.47</v>
      </c>
      <c r="AK180" s="2">
        <v>15.72</v>
      </c>
      <c r="AL180" s="2">
        <v>30.5</v>
      </c>
      <c r="AM180" s="2">
        <v>54.92</v>
      </c>
      <c r="AN180" s="2">
        <v>56.23</v>
      </c>
      <c r="AO180" s="2">
        <v>108.13</v>
      </c>
      <c r="AP180" s="2">
        <v>90.6</v>
      </c>
      <c r="AQ180" s="2">
        <v>106.36</v>
      </c>
      <c r="AR180" s="2">
        <v>110.62</v>
      </c>
      <c r="AU180" s="1" t="s">
        <v>69</v>
      </c>
      <c r="AV180" s="2">
        <v>797.13</v>
      </c>
      <c r="AW180" s="2">
        <v>2153.0300000000002</v>
      </c>
      <c r="AX180" s="2">
        <v>369.98</v>
      </c>
      <c r="AY180" s="2">
        <v>227.17</v>
      </c>
      <c r="AZ180" s="2">
        <v>825.15</v>
      </c>
      <c r="BA180" s="2">
        <v>1026.99</v>
      </c>
      <c r="BB180" s="2">
        <v>1861.1</v>
      </c>
      <c r="BC180" s="2">
        <v>1597.09</v>
      </c>
      <c r="BD180" s="2">
        <v>1979.77</v>
      </c>
      <c r="BE180" s="2">
        <v>1487.07</v>
      </c>
      <c r="BF180" s="2">
        <v>533.23</v>
      </c>
      <c r="BG180" s="2">
        <v>2161.14</v>
      </c>
      <c r="BH180" s="2">
        <v>298.36</v>
      </c>
      <c r="BI180" s="2">
        <v>257.2</v>
      </c>
      <c r="BJ180" s="2">
        <v>826.61</v>
      </c>
      <c r="BK180" s="2">
        <v>983.31</v>
      </c>
      <c r="BL180" s="2">
        <v>1849.92</v>
      </c>
      <c r="BM180" s="2">
        <v>1540.07</v>
      </c>
      <c r="BN180" s="2">
        <v>1813.02</v>
      </c>
      <c r="BO180" s="2">
        <v>1780.46</v>
      </c>
    </row>
    <row r="181" spans="24:67" x14ac:dyDescent="0.3">
      <c r="X181" s="1" t="s">
        <v>70</v>
      </c>
      <c r="Y181" s="2">
        <v>284.89</v>
      </c>
      <c r="Z181" s="2">
        <v>588.28</v>
      </c>
      <c r="AA181" s="2">
        <v>80.709999999999994</v>
      </c>
      <c r="AB181" s="2">
        <v>93.04</v>
      </c>
      <c r="AC181" s="2">
        <v>159.44</v>
      </c>
      <c r="AD181" s="2">
        <v>321.37</v>
      </c>
      <c r="AE181" s="2">
        <v>510.25</v>
      </c>
      <c r="AF181" s="2">
        <v>353.05</v>
      </c>
      <c r="AG181" s="2">
        <v>434.08</v>
      </c>
      <c r="AH181" s="2">
        <v>397.98</v>
      </c>
      <c r="AI181" s="2">
        <v>291.95999999999998</v>
      </c>
      <c r="AJ181" s="2">
        <v>544.61</v>
      </c>
      <c r="AK181" s="2">
        <v>86.42</v>
      </c>
      <c r="AL181" s="2">
        <v>88.97</v>
      </c>
      <c r="AM181" s="2">
        <v>303.77999999999997</v>
      </c>
      <c r="AN181" s="2">
        <v>360.65</v>
      </c>
      <c r="AO181" s="2">
        <v>466.5</v>
      </c>
      <c r="AP181" s="2">
        <v>336.33</v>
      </c>
      <c r="AQ181" s="2">
        <v>420.32</v>
      </c>
      <c r="AR181" s="2">
        <v>374.66</v>
      </c>
      <c r="AU181" s="1" t="s">
        <v>70</v>
      </c>
      <c r="AV181" s="2">
        <v>2372.84</v>
      </c>
      <c r="AW181" s="2">
        <v>10243.219999999999</v>
      </c>
      <c r="AX181" s="2">
        <v>1500.09</v>
      </c>
      <c r="AY181" s="2">
        <v>770.33</v>
      </c>
      <c r="AZ181" s="2">
        <v>3029.36</v>
      </c>
      <c r="BA181" s="2">
        <v>4135.63</v>
      </c>
      <c r="BB181" s="2">
        <v>7413.35</v>
      </c>
      <c r="BC181" s="2">
        <v>6067.55</v>
      </c>
      <c r="BD181" s="2">
        <v>7794.82</v>
      </c>
      <c r="BE181" s="2">
        <v>6883.12</v>
      </c>
      <c r="BF181" s="2">
        <v>3095.19</v>
      </c>
      <c r="BG181" s="2">
        <v>11042.89</v>
      </c>
      <c r="BH181" s="2">
        <v>1641.93</v>
      </c>
      <c r="BI181" s="2">
        <v>767.43</v>
      </c>
      <c r="BJ181" s="2">
        <v>3125.82</v>
      </c>
      <c r="BK181" s="2">
        <v>4256.3500000000004</v>
      </c>
      <c r="BL181" s="2">
        <v>7656.9</v>
      </c>
      <c r="BM181" s="2">
        <v>6211.87</v>
      </c>
      <c r="BN181" s="2">
        <v>7620.48</v>
      </c>
      <c r="BO181" s="2">
        <v>6780.64</v>
      </c>
    </row>
    <row r="182" spans="24:67" x14ac:dyDescent="0.3">
      <c r="X182" s="1" t="s">
        <v>71</v>
      </c>
      <c r="Y182" s="2">
        <v>60.62</v>
      </c>
      <c r="Z182" s="2">
        <v>86.23</v>
      </c>
      <c r="AA182" s="2">
        <v>15.91</v>
      </c>
      <c r="AB182" s="2">
        <v>17.48</v>
      </c>
      <c r="AC182" s="2">
        <v>21.82</v>
      </c>
      <c r="AD182" s="2">
        <v>27.43</v>
      </c>
      <c r="AE182" s="2">
        <v>56.33</v>
      </c>
      <c r="AF182" s="2">
        <v>45.96</v>
      </c>
      <c r="AG182" s="2">
        <v>61.64</v>
      </c>
      <c r="AH182" s="2">
        <v>60.1</v>
      </c>
      <c r="AI182" s="2">
        <v>55.2</v>
      </c>
      <c r="AJ182" s="2">
        <v>53.68</v>
      </c>
      <c r="AK182" s="2">
        <v>10.3</v>
      </c>
      <c r="AL182" s="2">
        <v>16.04</v>
      </c>
      <c r="AM182" s="2">
        <v>45.97</v>
      </c>
      <c r="AN182" s="2">
        <v>37.71</v>
      </c>
      <c r="AO182" s="2">
        <v>58.42</v>
      </c>
      <c r="AP182" s="2">
        <v>42.9</v>
      </c>
      <c r="AQ182" s="2">
        <v>63.17</v>
      </c>
      <c r="AR182" s="2">
        <v>61.5</v>
      </c>
      <c r="AU182" s="1" t="s">
        <v>71</v>
      </c>
      <c r="AV182" s="2">
        <v>525.91</v>
      </c>
      <c r="AW182" s="2">
        <v>1676.97</v>
      </c>
      <c r="AX182" s="2">
        <v>302.24</v>
      </c>
      <c r="AY182" s="2">
        <v>146.46</v>
      </c>
      <c r="AZ182" s="2">
        <v>414.66</v>
      </c>
      <c r="BA182" s="2">
        <v>556.16999999999996</v>
      </c>
      <c r="BB182" s="2">
        <v>1142.1099999999999</v>
      </c>
      <c r="BC182" s="2">
        <v>931.81</v>
      </c>
      <c r="BD182" s="2">
        <v>1249.77</v>
      </c>
      <c r="BE182" s="2">
        <v>1212.1500000000001</v>
      </c>
      <c r="BF182" s="2">
        <v>489.15</v>
      </c>
      <c r="BG182" s="2">
        <v>1088.42</v>
      </c>
      <c r="BH182" s="2">
        <v>195.75</v>
      </c>
      <c r="BI182" s="2">
        <v>142.36000000000001</v>
      </c>
      <c r="BJ182" s="2">
        <v>414.87</v>
      </c>
      <c r="BK182" s="2">
        <v>764.64</v>
      </c>
      <c r="BL182" s="2">
        <v>1184.47</v>
      </c>
      <c r="BM182" s="2">
        <v>869.96</v>
      </c>
      <c r="BN182" s="2">
        <v>1280.96</v>
      </c>
      <c r="BO182" s="2">
        <v>963.71</v>
      </c>
    </row>
    <row r="183" spans="24:67" x14ac:dyDescent="0.3">
      <c r="X183" s="1" t="s">
        <v>72</v>
      </c>
      <c r="Y183" s="2">
        <v>188.69</v>
      </c>
      <c r="Z183" s="2">
        <v>316.33</v>
      </c>
      <c r="AA183" s="2">
        <v>56.06</v>
      </c>
      <c r="AB183" s="2">
        <v>56.12</v>
      </c>
      <c r="AC183" s="2">
        <v>138.9</v>
      </c>
      <c r="AD183" s="2">
        <v>133.76</v>
      </c>
      <c r="AE183" s="2">
        <v>275.63</v>
      </c>
      <c r="AF183" s="2">
        <v>232.32</v>
      </c>
      <c r="AG183" s="2">
        <v>376.95</v>
      </c>
      <c r="AH183" s="2">
        <v>270.58</v>
      </c>
      <c r="AI183" s="2">
        <v>209.2</v>
      </c>
      <c r="AJ183" s="2">
        <v>271.08</v>
      </c>
      <c r="AK183" s="2">
        <v>76</v>
      </c>
      <c r="AL183" s="2">
        <v>65.11</v>
      </c>
      <c r="AM183" s="2">
        <v>260.81</v>
      </c>
      <c r="AN183" s="2">
        <v>353.08</v>
      </c>
      <c r="AO183" s="2">
        <v>599.16999999999996</v>
      </c>
      <c r="AP183" s="2">
        <v>436.44</v>
      </c>
      <c r="AQ183" s="2">
        <v>231</v>
      </c>
      <c r="AR183" s="2">
        <v>248.06</v>
      </c>
      <c r="AU183" s="1" t="s">
        <v>72</v>
      </c>
      <c r="AV183" s="2">
        <v>1736.1</v>
      </c>
      <c r="AW183" s="2">
        <v>5443.28</v>
      </c>
      <c r="AX183" s="2">
        <v>865.62</v>
      </c>
      <c r="AY183" s="2">
        <v>406.19</v>
      </c>
      <c r="AZ183" s="2">
        <v>1542.45</v>
      </c>
      <c r="BA183" s="2">
        <v>1928.79</v>
      </c>
      <c r="BB183" s="2">
        <v>3669.49</v>
      </c>
      <c r="BC183" s="2">
        <v>3069.06</v>
      </c>
      <c r="BD183" s="2">
        <v>4528.26</v>
      </c>
      <c r="BE183" s="2">
        <v>4112.13</v>
      </c>
      <c r="BF183" s="2">
        <v>1943.31</v>
      </c>
      <c r="BG183" s="2">
        <v>4859.67</v>
      </c>
      <c r="BH183" s="2">
        <v>857.45</v>
      </c>
      <c r="BI183" s="2">
        <v>602.88</v>
      </c>
      <c r="BJ183" s="2">
        <v>1544.96</v>
      </c>
      <c r="BK183" s="2">
        <v>2615.69</v>
      </c>
      <c r="BL183" s="2">
        <v>4457.95</v>
      </c>
      <c r="BM183" s="2">
        <v>3546.42</v>
      </c>
      <c r="BN183" s="2">
        <v>4683.82</v>
      </c>
      <c r="BO183" s="2">
        <v>3658.3</v>
      </c>
    </row>
    <row r="184" spans="24:67" x14ac:dyDescent="0.3">
      <c r="X184" s="1" t="s">
        <v>73</v>
      </c>
      <c r="Y184" s="2">
        <v>81.400000000000006</v>
      </c>
      <c r="Z184" s="2">
        <v>300.48</v>
      </c>
      <c r="AA184" s="2">
        <v>27.18</v>
      </c>
      <c r="AB184" s="2">
        <v>16.86</v>
      </c>
      <c r="AC184" s="2">
        <v>64.39</v>
      </c>
      <c r="AD184" s="2">
        <v>116.65</v>
      </c>
      <c r="AE184" s="2">
        <v>220.9</v>
      </c>
      <c r="AF184" s="2">
        <v>180.25</v>
      </c>
      <c r="AG184" s="2">
        <v>242.12</v>
      </c>
      <c r="AH184" s="2">
        <v>220.47</v>
      </c>
      <c r="AI184" s="2">
        <v>77.47</v>
      </c>
      <c r="AJ184" s="2">
        <v>327.66000000000003</v>
      </c>
      <c r="AK184" s="2">
        <v>29.17</v>
      </c>
      <c r="AL184" s="2">
        <v>18.850000000000001</v>
      </c>
      <c r="AM184" s="2">
        <v>92.88</v>
      </c>
      <c r="AN184" s="2">
        <v>108.21</v>
      </c>
      <c r="AO184" s="2">
        <v>203.67</v>
      </c>
      <c r="AP184" s="2">
        <v>154.18</v>
      </c>
      <c r="AQ184" s="2">
        <v>227.82</v>
      </c>
      <c r="AR184" s="2">
        <v>210.97</v>
      </c>
      <c r="AU184" s="1" t="s">
        <v>73</v>
      </c>
      <c r="AV184" s="2">
        <v>1194.68</v>
      </c>
      <c r="AW184" s="2">
        <v>3713.07</v>
      </c>
      <c r="AX184" s="2">
        <v>516.48</v>
      </c>
      <c r="AY184" s="2">
        <v>320.33999999999997</v>
      </c>
      <c r="AZ184" s="2">
        <v>1221.05</v>
      </c>
      <c r="BA184" s="2">
        <v>1567.55</v>
      </c>
      <c r="BB184" s="2">
        <v>2868.98</v>
      </c>
      <c r="BC184" s="2">
        <v>2341.0100000000002</v>
      </c>
      <c r="BD184" s="2">
        <v>3026.26</v>
      </c>
      <c r="BE184" s="2">
        <v>2653.89</v>
      </c>
      <c r="BF184" s="2">
        <v>1290.26</v>
      </c>
      <c r="BG184" s="2">
        <v>4324.4399999999996</v>
      </c>
      <c r="BH184" s="2">
        <v>554.27</v>
      </c>
      <c r="BI184" s="2">
        <v>358.1</v>
      </c>
      <c r="BJ184" s="2">
        <v>1156.78</v>
      </c>
      <c r="BK184" s="2">
        <v>1486.89</v>
      </c>
      <c r="BL184" s="2">
        <v>2827.02</v>
      </c>
      <c r="BM184" s="2">
        <v>2442.77</v>
      </c>
      <c r="BN184" s="2">
        <v>3054.24</v>
      </c>
      <c r="BO184" s="2">
        <v>2601.17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63</v>
      </c>
      <c r="Z188" s="1" t="s">
        <v>64</v>
      </c>
      <c r="AA188" s="1" t="s">
        <v>63</v>
      </c>
      <c r="AB188" s="1" t="s">
        <v>64</v>
      </c>
      <c r="AC188" s="1" t="s">
        <v>63</v>
      </c>
      <c r="AD188" s="1" t="s">
        <v>64</v>
      </c>
      <c r="AE188" s="1" t="s">
        <v>63</v>
      </c>
      <c r="AF188" s="1" t="s">
        <v>64</v>
      </c>
      <c r="AG188" s="1" t="s">
        <v>63</v>
      </c>
      <c r="AH188" s="1" t="s">
        <v>64</v>
      </c>
      <c r="AI188" s="1" t="s">
        <v>63</v>
      </c>
      <c r="AJ188" s="1" t="s">
        <v>64</v>
      </c>
      <c r="AK188" s="1" t="s">
        <v>63</v>
      </c>
      <c r="AL188" s="1" t="s">
        <v>64</v>
      </c>
      <c r="AM188" s="1" t="s">
        <v>63</v>
      </c>
      <c r="AN188" s="1" t="s">
        <v>64</v>
      </c>
      <c r="AO188" s="1" t="s">
        <v>63</v>
      </c>
      <c r="AP188" s="1" t="s">
        <v>64</v>
      </c>
      <c r="AQ188" s="1" t="s">
        <v>63</v>
      </c>
      <c r="AR188" s="1" t="s">
        <v>64</v>
      </c>
      <c r="AU188" s="1" t="s">
        <v>6</v>
      </c>
      <c r="AV188" s="1" t="s">
        <v>63</v>
      </c>
      <c r="AW188" s="1" t="s">
        <v>64</v>
      </c>
      <c r="AX188" s="1" t="s">
        <v>63</v>
      </c>
      <c r="AY188" s="1" t="s">
        <v>64</v>
      </c>
      <c r="AZ188" s="1" t="s">
        <v>63</v>
      </c>
      <c r="BA188" s="1" t="s">
        <v>64</v>
      </c>
      <c r="BB188" s="1" t="s">
        <v>63</v>
      </c>
      <c r="BC188" s="1" t="s">
        <v>64</v>
      </c>
      <c r="BD188" s="1" t="s">
        <v>63</v>
      </c>
      <c r="BE188" s="1" t="s">
        <v>64</v>
      </c>
      <c r="BF188" s="1" t="s">
        <v>63</v>
      </c>
      <c r="BG188" s="1" t="s">
        <v>64</v>
      </c>
      <c r="BH188" s="1" t="s">
        <v>63</v>
      </c>
      <c r="BI188" s="1" t="s">
        <v>64</v>
      </c>
      <c r="BJ188" s="1" t="s">
        <v>63</v>
      </c>
      <c r="BK188" s="1" t="s">
        <v>64</v>
      </c>
      <c r="BL188" s="1" t="s">
        <v>63</v>
      </c>
      <c r="BM188" s="1" t="s">
        <v>64</v>
      </c>
      <c r="BN188" s="1" t="s">
        <v>63</v>
      </c>
      <c r="BO188" s="1" t="s">
        <v>64</v>
      </c>
    </row>
    <row r="189" spans="24:67" x14ac:dyDescent="0.3">
      <c r="X189" s="1" t="s">
        <v>65</v>
      </c>
      <c r="Y189" s="1" t="s">
        <v>53</v>
      </c>
      <c r="Z189" s="1" t="s">
        <v>53</v>
      </c>
      <c r="AA189" s="1" t="s">
        <v>54</v>
      </c>
      <c r="AB189" s="1" t="s">
        <v>54</v>
      </c>
      <c r="AC189" s="1" t="s">
        <v>55</v>
      </c>
      <c r="AD189" s="1" t="s">
        <v>55</v>
      </c>
      <c r="AE189" s="1" t="s">
        <v>56</v>
      </c>
      <c r="AF189" s="1" t="s">
        <v>56</v>
      </c>
      <c r="AG189" s="1" t="s">
        <v>57</v>
      </c>
      <c r="AH189" s="1" t="s">
        <v>57</v>
      </c>
      <c r="AI189" s="1" t="s">
        <v>58</v>
      </c>
      <c r="AJ189" s="1" t="s">
        <v>58</v>
      </c>
      <c r="AK189" s="1" t="s">
        <v>59</v>
      </c>
      <c r="AL189" s="1" t="s">
        <v>59</v>
      </c>
      <c r="AM189" s="1" t="s">
        <v>60</v>
      </c>
      <c r="AN189" s="1" t="s">
        <v>60</v>
      </c>
      <c r="AO189" s="1" t="s">
        <v>61</v>
      </c>
      <c r="AP189" s="1" t="s">
        <v>61</v>
      </c>
      <c r="AQ189" s="1" t="s">
        <v>62</v>
      </c>
      <c r="AR189" s="1" t="s">
        <v>62</v>
      </c>
      <c r="AU189" s="1" t="s">
        <v>65</v>
      </c>
      <c r="AV189" s="1" t="s">
        <v>53</v>
      </c>
      <c r="AW189" s="1" t="s">
        <v>53</v>
      </c>
      <c r="AX189" s="1" t="s">
        <v>54</v>
      </c>
      <c r="AY189" s="1" t="s">
        <v>54</v>
      </c>
      <c r="AZ189" s="1" t="s">
        <v>55</v>
      </c>
      <c r="BA189" s="1" t="s">
        <v>55</v>
      </c>
      <c r="BB189" s="1" t="s">
        <v>56</v>
      </c>
      <c r="BC189" s="1" t="s">
        <v>56</v>
      </c>
      <c r="BD189" s="1" t="s">
        <v>57</v>
      </c>
      <c r="BE189" s="1" t="s">
        <v>57</v>
      </c>
      <c r="BF189" s="1" t="s">
        <v>58</v>
      </c>
      <c r="BG189" s="1" t="s">
        <v>58</v>
      </c>
      <c r="BH189" s="1" t="s">
        <v>59</v>
      </c>
      <c r="BI189" s="1" t="s">
        <v>59</v>
      </c>
      <c r="BJ189" s="1" t="s">
        <v>60</v>
      </c>
      <c r="BK189" s="1" t="s">
        <v>60</v>
      </c>
      <c r="BL189" s="1" t="s">
        <v>61</v>
      </c>
      <c r="BM189" s="1" t="s">
        <v>61</v>
      </c>
      <c r="BN189" s="1" t="s">
        <v>62</v>
      </c>
      <c r="BO189" s="1" t="s">
        <v>62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66</v>
      </c>
      <c r="Y191" s="2">
        <v>333.33</v>
      </c>
      <c r="Z191" s="2">
        <v>309.56</v>
      </c>
      <c r="AA191" s="2">
        <v>21.44</v>
      </c>
      <c r="AB191" s="2">
        <v>21.89</v>
      </c>
      <c r="AC191" s="2">
        <v>32.94</v>
      </c>
      <c r="AD191" s="2">
        <v>73.44</v>
      </c>
      <c r="AE191" s="2">
        <v>192.05</v>
      </c>
      <c r="AF191" s="2">
        <v>126.68</v>
      </c>
      <c r="AG191" s="2">
        <v>263.02999999999997</v>
      </c>
      <c r="AH191" s="2">
        <v>102.51</v>
      </c>
      <c r="AI191" s="2">
        <v>273.70999999999998</v>
      </c>
      <c r="AJ191" s="2">
        <v>67.61</v>
      </c>
      <c r="AK191" s="2">
        <v>220.9</v>
      </c>
      <c r="AL191" s="2">
        <v>39.07</v>
      </c>
      <c r="AM191" s="2">
        <v>198.59</v>
      </c>
      <c r="AN191" s="2">
        <v>74.45</v>
      </c>
      <c r="AO191" s="2">
        <v>16.37</v>
      </c>
      <c r="AP191" s="2">
        <v>17.16</v>
      </c>
      <c r="AQ191" s="2">
        <v>46.87</v>
      </c>
      <c r="AR191" s="2">
        <v>20.03</v>
      </c>
      <c r="AU191" s="1" t="s">
        <v>66</v>
      </c>
      <c r="AV191" s="2">
        <v>1810.07</v>
      </c>
      <c r="AW191" s="2">
        <v>1851.34</v>
      </c>
      <c r="AX191" s="2">
        <v>962.76</v>
      </c>
      <c r="AY191" s="2">
        <v>989.61</v>
      </c>
      <c r="AZ191" s="2">
        <v>1487.46</v>
      </c>
      <c r="BA191" s="2">
        <v>1570.86</v>
      </c>
      <c r="BB191" s="2">
        <v>1603.45</v>
      </c>
      <c r="BC191" s="2">
        <v>1695.42</v>
      </c>
      <c r="BD191" s="2">
        <v>1581.47</v>
      </c>
      <c r="BE191" s="2">
        <v>1681.79</v>
      </c>
      <c r="BF191" s="2">
        <v>1607.89</v>
      </c>
      <c r="BG191" s="2">
        <v>1710.39</v>
      </c>
      <c r="BH191" s="2">
        <v>1625</v>
      </c>
      <c r="BI191" s="2">
        <v>1841.83</v>
      </c>
      <c r="BJ191" s="2">
        <v>1686.51</v>
      </c>
      <c r="BK191" s="2">
        <v>1758.85</v>
      </c>
      <c r="BL191" s="2">
        <v>1577.53</v>
      </c>
      <c r="BM191" s="2">
        <v>1653.74</v>
      </c>
      <c r="BN191" s="2">
        <v>1869.03</v>
      </c>
      <c r="BO191" s="2">
        <v>1930.17</v>
      </c>
    </row>
    <row r="192" spans="24:67" x14ac:dyDescent="0.3">
      <c r="X192" s="1" t="s">
        <v>67</v>
      </c>
      <c r="Y192" s="2">
        <v>14.92</v>
      </c>
      <c r="Z192" s="2">
        <v>16.7</v>
      </c>
      <c r="AA192" s="2">
        <v>8.1199999999999992</v>
      </c>
      <c r="AB192" s="2">
        <v>9.85</v>
      </c>
      <c r="AC192" s="2">
        <v>11.66</v>
      </c>
      <c r="AD192" s="2">
        <v>12.25</v>
      </c>
      <c r="AE192" s="2">
        <v>11.51</v>
      </c>
      <c r="AF192" s="2">
        <v>16.559999999999999</v>
      </c>
      <c r="AG192" s="2">
        <v>11.75</v>
      </c>
      <c r="AH192" s="2">
        <v>14.3</v>
      </c>
      <c r="AI192" s="2">
        <v>13.5</v>
      </c>
      <c r="AJ192" s="2">
        <v>15.65</v>
      </c>
      <c r="AK192" s="2">
        <v>13.48</v>
      </c>
      <c r="AL192" s="2">
        <v>15.23</v>
      </c>
      <c r="AM192" s="2">
        <v>14.1</v>
      </c>
      <c r="AN192" s="2">
        <v>14.3</v>
      </c>
      <c r="AO192" s="2">
        <v>13.87</v>
      </c>
      <c r="AP192" s="2">
        <v>16.47</v>
      </c>
      <c r="AQ192" s="2">
        <v>19</v>
      </c>
      <c r="AR192" s="2">
        <v>16.7</v>
      </c>
      <c r="AU192" s="1" t="s">
        <v>67</v>
      </c>
      <c r="AV192" s="2">
        <v>302.48</v>
      </c>
      <c r="AW192" s="2">
        <v>314.2</v>
      </c>
      <c r="AX192" s="2">
        <v>154.28</v>
      </c>
      <c r="AY192" s="2">
        <v>187.05</v>
      </c>
      <c r="AZ192" s="2">
        <v>191.64</v>
      </c>
      <c r="BA192" s="2">
        <v>232.75</v>
      </c>
      <c r="BB192" s="2">
        <v>218.59</v>
      </c>
      <c r="BC192" s="2">
        <v>277.64</v>
      </c>
      <c r="BD192" s="2">
        <v>238.25</v>
      </c>
      <c r="BE192" s="2">
        <v>259.10000000000002</v>
      </c>
      <c r="BF192" s="2">
        <v>230.7</v>
      </c>
      <c r="BG192" s="2">
        <v>282.75</v>
      </c>
      <c r="BH192" s="2">
        <v>260.22000000000003</v>
      </c>
      <c r="BI192" s="2">
        <v>280.87</v>
      </c>
      <c r="BJ192" s="2">
        <v>271.39999999999998</v>
      </c>
      <c r="BK192" s="2">
        <v>276.10000000000002</v>
      </c>
      <c r="BL192" s="2">
        <v>264.23</v>
      </c>
      <c r="BM192" s="2">
        <v>287.52999999999997</v>
      </c>
      <c r="BN192" s="2">
        <v>385.3</v>
      </c>
      <c r="BO192" s="2">
        <v>336.6</v>
      </c>
    </row>
    <row r="193" spans="24:67" x14ac:dyDescent="0.3">
      <c r="X193" s="1" t="s">
        <v>68</v>
      </c>
      <c r="Y193" s="2">
        <v>173.73</v>
      </c>
      <c r="Z193" s="2">
        <v>49.18</v>
      </c>
      <c r="AA193" s="2">
        <v>72.099999999999994</v>
      </c>
      <c r="AB193" s="2">
        <v>22.44</v>
      </c>
      <c r="AC193" s="2">
        <v>228.67</v>
      </c>
      <c r="AD193" s="2">
        <v>142.41999999999999</v>
      </c>
      <c r="AE193" s="2">
        <v>177.61</v>
      </c>
      <c r="AF193" s="2">
        <v>97.56</v>
      </c>
      <c r="AG193" s="2">
        <v>195.93</v>
      </c>
      <c r="AH193" s="2">
        <v>84.65</v>
      </c>
      <c r="AI193" s="2">
        <v>203.26</v>
      </c>
      <c r="AJ193" s="2">
        <v>89.72</v>
      </c>
      <c r="AK193" s="2">
        <v>231.17</v>
      </c>
      <c r="AL193" s="2">
        <v>97.8</v>
      </c>
      <c r="AM193" s="2">
        <v>226.37</v>
      </c>
      <c r="AN193" s="2">
        <v>80.36</v>
      </c>
      <c r="AO193" s="2">
        <v>96.31</v>
      </c>
      <c r="AP193" s="2">
        <v>75.38</v>
      </c>
      <c r="AQ193" s="2">
        <v>67.25</v>
      </c>
      <c r="AR193" s="2">
        <v>67.58</v>
      </c>
      <c r="AU193" s="1" t="s">
        <v>68</v>
      </c>
      <c r="AV193" s="2">
        <v>1469.59</v>
      </c>
      <c r="AW193" s="2">
        <v>925.22</v>
      </c>
      <c r="AX193" s="2">
        <v>686.34</v>
      </c>
      <c r="AY193" s="2">
        <v>426.36</v>
      </c>
      <c r="AZ193" s="2">
        <v>1169.95</v>
      </c>
      <c r="BA193" s="2">
        <v>1062.6400000000001</v>
      </c>
      <c r="BB193" s="2">
        <v>1241.29</v>
      </c>
      <c r="BC193" s="2">
        <v>1174.5999999999999</v>
      </c>
      <c r="BD193" s="2">
        <v>1303.77</v>
      </c>
      <c r="BE193" s="2">
        <v>1182.0999999999999</v>
      </c>
      <c r="BF193" s="2">
        <v>1328.98</v>
      </c>
      <c r="BG193" s="2">
        <v>1241.82</v>
      </c>
      <c r="BH193" s="2">
        <v>1430.92</v>
      </c>
      <c r="BI193" s="2">
        <v>1313.54</v>
      </c>
      <c r="BJ193" s="2">
        <v>1368.22</v>
      </c>
      <c r="BK193" s="2">
        <v>1179.53</v>
      </c>
      <c r="BL193" s="2">
        <v>1194.7</v>
      </c>
      <c r="BM193" s="2">
        <v>1251.6199999999999</v>
      </c>
      <c r="BN193" s="2">
        <v>1137.19</v>
      </c>
      <c r="BO193" s="2">
        <v>1113.45</v>
      </c>
    </row>
    <row r="194" spans="24:67" x14ac:dyDescent="0.3">
      <c r="X194" s="1" t="s">
        <v>69</v>
      </c>
      <c r="Y194" s="2">
        <v>40.42</v>
      </c>
      <c r="Z194" s="2">
        <v>28.22</v>
      </c>
      <c r="AA194" s="2">
        <v>18.100000000000001</v>
      </c>
      <c r="AB194" s="2">
        <v>12.09</v>
      </c>
      <c r="AC194" s="2">
        <v>59.53</v>
      </c>
      <c r="AD194" s="2">
        <v>61.01</v>
      </c>
      <c r="AE194" s="2">
        <v>29.9</v>
      </c>
      <c r="AF194" s="2">
        <v>34.32</v>
      </c>
      <c r="AG194" s="2">
        <v>53.37</v>
      </c>
      <c r="AH194" s="2">
        <v>28.12</v>
      </c>
      <c r="AI194" s="2">
        <v>53.74</v>
      </c>
      <c r="AJ194" s="2">
        <v>30.04</v>
      </c>
      <c r="AK194" s="2">
        <v>57.76</v>
      </c>
      <c r="AL194" s="2">
        <v>31.24</v>
      </c>
      <c r="AM194" s="2">
        <v>42.51</v>
      </c>
      <c r="AN194" s="2">
        <v>27.99</v>
      </c>
      <c r="AO194" s="2">
        <v>25.33</v>
      </c>
      <c r="AP194" s="2">
        <v>32.54</v>
      </c>
      <c r="AQ194" s="2">
        <v>29.05</v>
      </c>
      <c r="AR194" s="2">
        <v>29.88</v>
      </c>
      <c r="AU194" s="1" t="s">
        <v>69</v>
      </c>
      <c r="AV194" s="2">
        <v>613.17999999999995</v>
      </c>
      <c r="AW194" s="2">
        <v>410.18</v>
      </c>
      <c r="AX194" s="2">
        <v>284.60000000000002</v>
      </c>
      <c r="AY194" s="2">
        <v>229.51</v>
      </c>
      <c r="AZ194" s="2">
        <v>454.35</v>
      </c>
      <c r="BA194" s="2">
        <v>514.4</v>
      </c>
      <c r="BB194" s="2">
        <v>515.72</v>
      </c>
      <c r="BC194" s="2">
        <v>516.63</v>
      </c>
      <c r="BD194" s="2">
        <v>513.5</v>
      </c>
      <c r="BE194" s="2">
        <v>491.65</v>
      </c>
      <c r="BF194" s="2">
        <v>516.97</v>
      </c>
      <c r="BG194" s="2">
        <v>513.87</v>
      </c>
      <c r="BH194" s="2">
        <v>550.72</v>
      </c>
      <c r="BI194" s="2">
        <v>531.05999999999995</v>
      </c>
      <c r="BJ194" s="2">
        <v>520.99</v>
      </c>
      <c r="BK194" s="2">
        <v>477.11</v>
      </c>
      <c r="BL194" s="2">
        <v>437.37</v>
      </c>
      <c r="BM194" s="2">
        <v>523.66</v>
      </c>
      <c r="BN194" s="2">
        <v>478.45</v>
      </c>
      <c r="BO194" s="2">
        <v>480.25</v>
      </c>
    </row>
    <row r="195" spans="24:67" x14ac:dyDescent="0.3">
      <c r="X195" s="1" t="s">
        <v>70</v>
      </c>
      <c r="Y195" s="2">
        <v>219.14</v>
      </c>
      <c r="Z195" s="2">
        <v>224.58</v>
      </c>
      <c r="AA195" s="2">
        <v>62.08</v>
      </c>
      <c r="AB195" s="2">
        <v>66.48</v>
      </c>
      <c r="AC195" s="2">
        <v>186.08</v>
      </c>
      <c r="AD195" s="2">
        <v>177.95</v>
      </c>
      <c r="AE195" s="2">
        <v>99.65</v>
      </c>
      <c r="AF195" s="2">
        <v>189.86</v>
      </c>
      <c r="AG195" s="2">
        <v>160.68</v>
      </c>
      <c r="AH195" s="2">
        <v>180.32</v>
      </c>
      <c r="AI195" s="2">
        <v>141.74</v>
      </c>
      <c r="AJ195" s="2">
        <v>129.58000000000001</v>
      </c>
      <c r="AK195" s="2">
        <v>121.74</v>
      </c>
      <c r="AL195" s="2">
        <v>115.98</v>
      </c>
      <c r="AM195" s="2">
        <v>114.23</v>
      </c>
      <c r="AN195" s="2">
        <v>110.61</v>
      </c>
      <c r="AO195" s="2">
        <v>117.05</v>
      </c>
      <c r="AP195" s="2">
        <v>110.2</v>
      </c>
      <c r="AQ195" s="2">
        <v>130.72999999999999</v>
      </c>
      <c r="AR195" s="2">
        <v>121.03</v>
      </c>
      <c r="AU195" s="1" t="s">
        <v>70</v>
      </c>
      <c r="AV195" s="2">
        <v>1825.26</v>
      </c>
      <c r="AW195" s="2">
        <v>2380.92</v>
      </c>
      <c r="AX195" s="2">
        <v>1153.9100000000001</v>
      </c>
      <c r="AY195" s="2">
        <v>1263.02</v>
      </c>
      <c r="AZ195" s="2">
        <v>1540.65</v>
      </c>
      <c r="BA195" s="2">
        <v>1534.86</v>
      </c>
      <c r="BB195" s="2">
        <v>1893.35</v>
      </c>
      <c r="BC195" s="2">
        <v>1953.64</v>
      </c>
      <c r="BD195" s="2">
        <v>2067.8200000000002</v>
      </c>
      <c r="BE195" s="2">
        <v>2128.1799999999998</v>
      </c>
      <c r="BF195" s="2">
        <v>2059.2600000000002</v>
      </c>
      <c r="BG195" s="2">
        <v>2126.92</v>
      </c>
      <c r="BH195" s="2">
        <v>2092.2600000000002</v>
      </c>
      <c r="BI195" s="2">
        <v>2142.02</v>
      </c>
      <c r="BJ195" s="2">
        <v>2051.27</v>
      </c>
      <c r="BK195" s="2">
        <v>2005.39</v>
      </c>
      <c r="BL195" s="2">
        <v>2024.45</v>
      </c>
      <c r="BM195" s="2">
        <v>1994.3</v>
      </c>
      <c r="BN195" s="2">
        <v>2276.27</v>
      </c>
      <c r="BO195" s="2">
        <v>2453.9699999999998</v>
      </c>
    </row>
    <row r="196" spans="24:67" x14ac:dyDescent="0.3">
      <c r="X196" s="1" t="s">
        <v>71</v>
      </c>
      <c r="Y196" s="2">
        <v>46.63</v>
      </c>
      <c r="Z196" s="2">
        <v>42.46</v>
      </c>
      <c r="AA196" s="2">
        <v>12.24</v>
      </c>
      <c r="AB196" s="2">
        <v>7.93</v>
      </c>
      <c r="AC196" s="2">
        <v>34.96</v>
      </c>
      <c r="AD196" s="2">
        <v>32.090000000000003</v>
      </c>
      <c r="AE196" s="2">
        <v>13.64</v>
      </c>
      <c r="AF196" s="2">
        <v>28.73</v>
      </c>
      <c r="AG196" s="2">
        <v>13.71</v>
      </c>
      <c r="AH196" s="2">
        <v>18.86</v>
      </c>
      <c r="AI196" s="2">
        <v>15.65</v>
      </c>
      <c r="AJ196" s="2">
        <v>16.23</v>
      </c>
      <c r="AK196" s="2">
        <v>15.85</v>
      </c>
      <c r="AL196" s="2">
        <v>14.79</v>
      </c>
      <c r="AM196" s="2">
        <v>16.22</v>
      </c>
      <c r="AN196" s="2">
        <v>16.62</v>
      </c>
      <c r="AO196" s="2">
        <v>17.68</v>
      </c>
      <c r="AP196" s="2">
        <v>18.09</v>
      </c>
      <c r="AQ196" s="2">
        <v>19.16</v>
      </c>
      <c r="AR196" s="2">
        <v>11.93</v>
      </c>
      <c r="AU196" s="1" t="s">
        <v>71</v>
      </c>
      <c r="AV196" s="2">
        <v>404.55</v>
      </c>
      <c r="AW196" s="2">
        <v>376.27</v>
      </c>
      <c r="AX196" s="2">
        <v>232.5</v>
      </c>
      <c r="AY196" s="2">
        <v>150.58000000000001</v>
      </c>
      <c r="AZ196" s="2">
        <v>292.93</v>
      </c>
      <c r="BA196" s="2">
        <v>284.72000000000003</v>
      </c>
      <c r="BB196" s="2">
        <v>259.16000000000003</v>
      </c>
      <c r="BC196" s="2">
        <v>259.3</v>
      </c>
      <c r="BD196" s="2">
        <v>278.08999999999997</v>
      </c>
      <c r="BE196" s="2">
        <v>382.32</v>
      </c>
      <c r="BF196" s="2">
        <v>317.25</v>
      </c>
      <c r="BG196" s="2">
        <v>329.02</v>
      </c>
      <c r="BH196" s="2">
        <v>321.31</v>
      </c>
      <c r="BI196" s="2">
        <v>299.99</v>
      </c>
      <c r="BJ196" s="2">
        <v>328.89</v>
      </c>
      <c r="BK196" s="2">
        <v>337.09</v>
      </c>
      <c r="BL196" s="2">
        <v>356.51</v>
      </c>
      <c r="BM196" s="2">
        <v>283.44</v>
      </c>
      <c r="BN196" s="2">
        <v>372.66</v>
      </c>
      <c r="BO196" s="2">
        <v>241.87</v>
      </c>
    </row>
    <row r="197" spans="24:67" x14ac:dyDescent="0.3">
      <c r="X197" s="1" t="s">
        <v>72</v>
      </c>
      <c r="Y197" s="2">
        <v>145.15</v>
      </c>
      <c r="Z197" s="2">
        <v>160.91999999999999</v>
      </c>
      <c r="AA197" s="2">
        <v>43.12</v>
      </c>
      <c r="AB197" s="2">
        <v>58.46</v>
      </c>
      <c r="AC197" s="2">
        <v>112.25</v>
      </c>
      <c r="AD197" s="2">
        <v>130.22</v>
      </c>
      <c r="AE197" s="2">
        <v>86.81</v>
      </c>
      <c r="AF197" s="2">
        <v>163.01</v>
      </c>
      <c r="AG197" s="2">
        <v>66.88</v>
      </c>
      <c r="AH197" s="2">
        <v>176.54</v>
      </c>
      <c r="AI197" s="2">
        <v>76.56</v>
      </c>
      <c r="AJ197" s="2">
        <v>166.44</v>
      </c>
      <c r="AK197" s="2">
        <v>80.11</v>
      </c>
      <c r="AL197" s="2">
        <v>150.5</v>
      </c>
      <c r="AM197" s="2">
        <v>99.2</v>
      </c>
      <c r="AN197" s="2">
        <v>60.79</v>
      </c>
      <c r="AO197" s="2">
        <v>79.58</v>
      </c>
      <c r="AP197" s="2">
        <v>72.959999999999994</v>
      </c>
      <c r="AQ197" s="2">
        <v>70.3</v>
      </c>
      <c r="AR197" s="2">
        <v>60.24</v>
      </c>
      <c r="AU197" s="1" t="s">
        <v>72</v>
      </c>
      <c r="AV197" s="2">
        <v>1335.46</v>
      </c>
      <c r="AW197" s="2">
        <v>1494.85</v>
      </c>
      <c r="AX197" s="2">
        <v>665.86</v>
      </c>
      <c r="AY197" s="2">
        <v>659.58</v>
      </c>
      <c r="AZ197" s="2">
        <v>812.39</v>
      </c>
      <c r="BA197" s="2">
        <v>1205.76</v>
      </c>
      <c r="BB197" s="2">
        <v>964.03</v>
      </c>
      <c r="BC197" s="2">
        <v>965.6</v>
      </c>
      <c r="BD197" s="2">
        <v>964.4</v>
      </c>
      <c r="BE197" s="2">
        <v>1307.8499999999999</v>
      </c>
      <c r="BF197" s="2">
        <v>1019.3</v>
      </c>
      <c r="BG197" s="2">
        <v>1238.32</v>
      </c>
      <c r="BH197" s="2">
        <v>1058.3</v>
      </c>
      <c r="BI197" s="2">
        <v>1222.9000000000001</v>
      </c>
      <c r="BJ197" s="2">
        <v>1191.6500000000001</v>
      </c>
      <c r="BK197" s="2">
        <v>1232.58</v>
      </c>
      <c r="BL197" s="2">
        <v>1209.45</v>
      </c>
      <c r="BM197" s="2">
        <v>1075.97</v>
      </c>
      <c r="BN197" s="2">
        <v>1209.6199999999999</v>
      </c>
      <c r="BO197" s="2">
        <v>1079.93</v>
      </c>
    </row>
    <row r="198" spans="24:67" x14ac:dyDescent="0.3">
      <c r="X198" s="1" t="s">
        <v>73</v>
      </c>
      <c r="Y198" s="2">
        <v>62.61</v>
      </c>
      <c r="Z198" s="2">
        <v>59.59</v>
      </c>
      <c r="AA198" s="2">
        <v>20.91</v>
      </c>
      <c r="AB198" s="2">
        <v>22.44</v>
      </c>
      <c r="AC198" s="2">
        <v>33.72</v>
      </c>
      <c r="AD198" s="2">
        <v>37.700000000000003</v>
      </c>
      <c r="AE198" s="2">
        <v>40.24</v>
      </c>
      <c r="AF198" s="2">
        <v>58.05</v>
      </c>
      <c r="AG198" s="2">
        <v>58.32</v>
      </c>
      <c r="AH198" s="2">
        <v>54.11</v>
      </c>
      <c r="AI198" s="2">
        <v>61.36</v>
      </c>
      <c r="AJ198" s="2">
        <v>56.58</v>
      </c>
      <c r="AK198" s="2">
        <v>62.16</v>
      </c>
      <c r="AL198" s="2">
        <v>53.16</v>
      </c>
      <c r="AM198" s="2">
        <v>63.72</v>
      </c>
      <c r="AN198" s="2">
        <v>59.95</v>
      </c>
      <c r="AO198" s="2">
        <v>64.84</v>
      </c>
      <c r="AP198" s="2">
        <v>62.05</v>
      </c>
      <c r="AQ198" s="2">
        <v>66.77</v>
      </c>
      <c r="AR198" s="2">
        <v>72.81</v>
      </c>
      <c r="AU198" s="1" t="s">
        <v>73</v>
      </c>
      <c r="AV198" s="2">
        <v>918.99</v>
      </c>
      <c r="AW198" s="2">
        <v>992.51</v>
      </c>
      <c r="AX198" s="2">
        <v>397.29</v>
      </c>
      <c r="AY198" s="2">
        <v>426.36</v>
      </c>
      <c r="AZ198" s="2">
        <v>640.67999999999995</v>
      </c>
      <c r="BA198" s="2">
        <v>716.2</v>
      </c>
      <c r="BB198" s="2">
        <v>763.16</v>
      </c>
      <c r="BC198" s="2">
        <v>722.99</v>
      </c>
      <c r="BD198" s="2">
        <v>783.78</v>
      </c>
      <c r="BE198" s="2">
        <v>743.44</v>
      </c>
      <c r="BF198" s="2">
        <v>796.94</v>
      </c>
      <c r="BG198" s="2">
        <v>785.28</v>
      </c>
      <c r="BH198" s="2">
        <v>807.24</v>
      </c>
      <c r="BI198" s="2">
        <v>842.34</v>
      </c>
      <c r="BJ198" s="2">
        <v>796.38</v>
      </c>
      <c r="BK198" s="2">
        <v>803.75</v>
      </c>
      <c r="BL198" s="2">
        <v>780.56</v>
      </c>
      <c r="BM198" s="2">
        <v>765.05</v>
      </c>
      <c r="BN198" s="2">
        <v>825.13</v>
      </c>
      <c r="BO198" s="2">
        <v>960.99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63</v>
      </c>
      <c r="Z202" s="1" t="s">
        <v>64</v>
      </c>
      <c r="AA202" s="1" t="s">
        <v>63</v>
      </c>
      <c r="AB202" s="1" t="s">
        <v>64</v>
      </c>
      <c r="AC202" s="1" t="s">
        <v>63</v>
      </c>
      <c r="AD202" s="1" t="s">
        <v>64</v>
      </c>
      <c r="AE202" s="1" t="s">
        <v>63</v>
      </c>
      <c r="AF202" s="1" t="s">
        <v>64</v>
      </c>
      <c r="AG202" s="1" t="s">
        <v>63</v>
      </c>
      <c r="AH202" s="1" t="s">
        <v>64</v>
      </c>
      <c r="AI202" s="1" t="s">
        <v>63</v>
      </c>
      <c r="AJ202" s="1" t="s">
        <v>64</v>
      </c>
      <c r="AK202" s="1" t="s">
        <v>63</v>
      </c>
      <c r="AL202" s="1" t="s">
        <v>64</v>
      </c>
      <c r="AM202" s="1" t="s">
        <v>63</v>
      </c>
      <c r="AN202" s="1" t="s">
        <v>64</v>
      </c>
      <c r="AO202" s="1" t="s">
        <v>63</v>
      </c>
      <c r="AP202" s="1" t="s">
        <v>64</v>
      </c>
      <c r="AQ202" s="1" t="s">
        <v>63</v>
      </c>
      <c r="AR202" s="1" t="s">
        <v>64</v>
      </c>
      <c r="AU202" s="1" t="s">
        <v>6</v>
      </c>
      <c r="AV202" s="3" t="s">
        <v>63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64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65</v>
      </c>
      <c r="Y203" s="1" t="s">
        <v>53</v>
      </c>
      <c r="Z203" s="1" t="s">
        <v>53</v>
      </c>
      <c r="AA203" s="1" t="s">
        <v>54</v>
      </c>
      <c r="AB203" s="1" t="s">
        <v>54</v>
      </c>
      <c r="AC203" s="1" t="s">
        <v>55</v>
      </c>
      <c r="AD203" s="1" t="s">
        <v>55</v>
      </c>
      <c r="AE203" s="1" t="s">
        <v>56</v>
      </c>
      <c r="AF203" s="1" t="s">
        <v>56</v>
      </c>
      <c r="AG203" s="1" t="s">
        <v>57</v>
      </c>
      <c r="AH203" s="1" t="s">
        <v>57</v>
      </c>
      <c r="AI203" s="1" t="s">
        <v>58</v>
      </c>
      <c r="AJ203" s="1" t="s">
        <v>58</v>
      </c>
      <c r="AK203" s="1" t="s">
        <v>59</v>
      </c>
      <c r="AL203" s="1" t="s">
        <v>59</v>
      </c>
      <c r="AM203" s="1" t="s">
        <v>60</v>
      </c>
      <c r="AN203" s="1" t="s">
        <v>60</v>
      </c>
      <c r="AO203" s="1" t="s">
        <v>61</v>
      </c>
      <c r="AP203" s="1" t="s">
        <v>61</v>
      </c>
      <c r="AQ203" s="1" t="s">
        <v>62</v>
      </c>
      <c r="AR203" s="1" t="s">
        <v>62</v>
      </c>
      <c r="AU203" s="1" t="s">
        <v>65</v>
      </c>
      <c r="AV203" s="1" t="s">
        <v>53</v>
      </c>
      <c r="AW203" s="1" t="s">
        <v>62</v>
      </c>
      <c r="AX203" s="1" t="s">
        <v>54</v>
      </c>
      <c r="AY203" s="1" t="s">
        <v>55</v>
      </c>
      <c r="AZ203" s="1" t="s">
        <v>56</v>
      </c>
      <c r="BA203" s="1" t="s">
        <v>57</v>
      </c>
      <c r="BB203" s="1" t="s">
        <v>58</v>
      </c>
      <c r="BC203" s="1" t="s">
        <v>59</v>
      </c>
      <c r="BD203" s="1" t="s">
        <v>60</v>
      </c>
      <c r="BE203" s="1" t="s">
        <v>61</v>
      </c>
      <c r="BF203" s="1" t="s">
        <v>53</v>
      </c>
      <c r="BG203" s="1" t="s">
        <v>62</v>
      </c>
      <c r="BH203" s="1" t="s">
        <v>54</v>
      </c>
      <c r="BI203" s="1" t="s">
        <v>55</v>
      </c>
      <c r="BJ203" s="1" t="s">
        <v>56</v>
      </c>
      <c r="BK203" s="1" t="s">
        <v>57</v>
      </c>
      <c r="BL203" s="1" t="s">
        <v>58</v>
      </c>
      <c r="BM203" s="1" t="s">
        <v>59</v>
      </c>
      <c r="BN203" s="1" t="s">
        <v>60</v>
      </c>
      <c r="BO203" s="1" t="s">
        <v>61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66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66</v>
      </c>
      <c r="AV205" s="2">
        <v>336.7</v>
      </c>
      <c r="AW205" s="2">
        <v>1058.4000000000001</v>
      </c>
      <c r="AX205" s="2">
        <v>139.22999999999999</v>
      </c>
      <c r="AY205" s="2">
        <v>114.8</v>
      </c>
      <c r="AZ205" s="2">
        <v>535.36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314.86</v>
      </c>
      <c r="BG205" s="2">
        <v>822.15</v>
      </c>
      <c r="BH205" s="2">
        <v>128.31</v>
      </c>
      <c r="BI205" s="2">
        <v>101.5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67</v>
      </c>
      <c r="Y206" s="2">
        <v>0.22</v>
      </c>
      <c r="Z206" s="2">
        <v>0.17</v>
      </c>
      <c r="AA206" s="2">
        <v>0.2</v>
      </c>
      <c r="AB206" s="2">
        <v>0.18</v>
      </c>
      <c r="AC206" s="2">
        <v>0.16</v>
      </c>
      <c r="AD206" s="2">
        <v>0.17</v>
      </c>
      <c r="AE206" s="2">
        <v>0.2</v>
      </c>
      <c r="AF206" s="2">
        <v>0.17</v>
      </c>
      <c r="AG206" s="2">
        <v>0.17</v>
      </c>
      <c r="AH206" s="2">
        <v>0.08</v>
      </c>
      <c r="AI206" s="2">
        <v>0.21</v>
      </c>
      <c r="AJ206" s="2">
        <v>0.08</v>
      </c>
      <c r="AK206" s="2">
        <v>0.16</v>
      </c>
      <c r="AL206" s="2">
        <v>0.11</v>
      </c>
      <c r="AM206" s="2">
        <v>0.15</v>
      </c>
      <c r="AN206" s="2">
        <v>0.09</v>
      </c>
      <c r="AO206" s="2">
        <v>0.13</v>
      </c>
      <c r="AP206" s="2">
        <v>0.04</v>
      </c>
      <c r="AQ206" s="2">
        <v>0.12</v>
      </c>
      <c r="AR206" s="2">
        <v>0.02</v>
      </c>
      <c r="AU206" s="1" t="s">
        <v>67</v>
      </c>
      <c r="AV206" s="2">
        <v>19.239999999999998</v>
      </c>
      <c r="AW206" s="2">
        <v>72.900000000000006</v>
      </c>
      <c r="AX206" s="2">
        <v>6.63</v>
      </c>
      <c r="AY206" s="2">
        <v>5.7</v>
      </c>
      <c r="AZ206" s="2">
        <v>28.16</v>
      </c>
      <c r="BA206" s="2">
        <v>34.4</v>
      </c>
      <c r="BB206" s="2">
        <v>44.28</v>
      </c>
      <c r="BC206" s="2">
        <v>32.479999999999997</v>
      </c>
      <c r="BD206" s="2">
        <v>42.56</v>
      </c>
      <c r="BE206" s="2">
        <v>58.48</v>
      </c>
      <c r="BF206" s="2">
        <v>22.49</v>
      </c>
      <c r="BG206" s="2">
        <v>33.75</v>
      </c>
      <c r="BH206" s="2">
        <v>6.63</v>
      </c>
      <c r="BI206" s="2">
        <v>6.95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61.18</v>
      </c>
      <c r="BO206" s="2">
        <v>29.24</v>
      </c>
    </row>
    <row r="207" spans="24:67" x14ac:dyDescent="0.3">
      <c r="X207" s="1" t="s">
        <v>68</v>
      </c>
      <c r="Y207" s="2">
        <v>0.38</v>
      </c>
      <c r="Z207" s="2">
        <v>0.13</v>
      </c>
      <c r="AA207" s="2">
        <v>0.38</v>
      </c>
      <c r="AB207" s="2">
        <v>0.15</v>
      </c>
      <c r="AC207" s="2">
        <v>0.34</v>
      </c>
      <c r="AD207" s="2">
        <v>0.3</v>
      </c>
      <c r="AE207" s="2">
        <v>0.33</v>
      </c>
      <c r="AF207" s="2">
        <v>0.15</v>
      </c>
      <c r="AG207" s="2">
        <v>0.32</v>
      </c>
      <c r="AH207" s="2">
        <v>0.09</v>
      </c>
      <c r="AI207" s="2">
        <v>0.33</v>
      </c>
      <c r="AJ207" s="2">
        <v>0.09</v>
      </c>
      <c r="AK207" s="2">
        <v>0.32</v>
      </c>
      <c r="AL207" s="2">
        <v>0.1</v>
      </c>
      <c r="AM207" s="2">
        <v>0.31</v>
      </c>
      <c r="AN207" s="2">
        <v>0.08</v>
      </c>
      <c r="AO207" s="2">
        <v>0.12</v>
      </c>
      <c r="AP207" s="2">
        <v>0.05</v>
      </c>
      <c r="AQ207" s="2">
        <v>0.05</v>
      </c>
      <c r="AR207" s="2">
        <v>0.03</v>
      </c>
      <c r="AU207" s="1" t="s">
        <v>68</v>
      </c>
      <c r="AV207" s="2">
        <v>49.25</v>
      </c>
      <c r="AW207" s="2">
        <v>236.18</v>
      </c>
      <c r="AX207" s="2">
        <v>18.04</v>
      </c>
      <c r="AY207" s="2">
        <v>16.350000000000001</v>
      </c>
      <c r="AZ207" s="2">
        <v>54.27</v>
      </c>
      <c r="BA207" s="2">
        <v>140.4</v>
      </c>
      <c r="BB207" s="2">
        <v>252.82</v>
      </c>
      <c r="BC207" s="2">
        <v>241.51</v>
      </c>
      <c r="BD207" s="2">
        <v>256.05</v>
      </c>
      <c r="BE207" s="2">
        <v>239.15</v>
      </c>
      <c r="BF207" s="2">
        <v>47.97</v>
      </c>
      <c r="BG207" s="2">
        <v>236.03</v>
      </c>
      <c r="BH207" s="2">
        <v>24.96</v>
      </c>
      <c r="BI207" s="2">
        <v>20.8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69</v>
      </c>
      <c r="Y208" s="2">
        <v>0.37</v>
      </c>
      <c r="Z208" s="2">
        <v>0.16</v>
      </c>
      <c r="AA208" s="2">
        <v>0.37</v>
      </c>
      <c r="AB208" s="2">
        <v>0.18</v>
      </c>
      <c r="AC208" s="2">
        <v>0.35</v>
      </c>
      <c r="AD208" s="2">
        <v>0.38</v>
      </c>
      <c r="AE208" s="2">
        <v>0.35</v>
      </c>
      <c r="AF208" s="2">
        <v>0.23</v>
      </c>
      <c r="AG208" s="2">
        <v>0.31</v>
      </c>
      <c r="AH208" s="2">
        <v>0.15</v>
      </c>
      <c r="AI208" s="2">
        <v>0.31</v>
      </c>
      <c r="AJ208" s="2">
        <v>0.14000000000000001</v>
      </c>
      <c r="AK208" s="2">
        <v>0.31</v>
      </c>
      <c r="AL208" s="2">
        <v>0.14000000000000001</v>
      </c>
      <c r="AM208" s="2">
        <v>0.25</v>
      </c>
      <c r="AN208" s="2">
        <v>0.11</v>
      </c>
      <c r="AO208" s="2">
        <v>0.11</v>
      </c>
      <c r="AP208" s="2">
        <v>0.09</v>
      </c>
      <c r="AQ208" s="2">
        <v>0.08</v>
      </c>
      <c r="AR208" s="2">
        <v>0.06</v>
      </c>
      <c r="AU208" s="1" t="s">
        <v>69</v>
      </c>
      <c r="AV208" s="2">
        <v>25.5</v>
      </c>
      <c r="AW208" s="2">
        <v>72.900000000000006</v>
      </c>
      <c r="AX208" s="2">
        <v>5.29</v>
      </c>
      <c r="AY208" s="2">
        <v>11.02</v>
      </c>
      <c r="AZ208" s="2">
        <v>39.61</v>
      </c>
      <c r="BA208" s="2">
        <v>67.64</v>
      </c>
      <c r="BB208" s="2">
        <v>110.96</v>
      </c>
      <c r="BC208" s="2">
        <v>106.12</v>
      </c>
      <c r="BD208" s="2">
        <v>99.18</v>
      </c>
      <c r="BE208" s="2">
        <v>79.56</v>
      </c>
      <c r="BF208" s="2">
        <v>17.68</v>
      </c>
      <c r="BG208" s="2">
        <v>84.17</v>
      </c>
      <c r="BH208" s="2">
        <v>11.57</v>
      </c>
      <c r="BI208" s="2">
        <v>6.82</v>
      </c>
      <c r="BJ208" s="2">
        <v>30.25</v>
      </c>
      <c r="BK208" s="2">
        <v>32.01</v>
      </c>
      <c r="BL208" s="2">
        <v>62.29</v>
      </c>
      <c r="BM208" s="2">
        <v>54.23</v>
      </c>
      <c r="BN208" s="2">
        <v>66.12</v>
      </c>
      <c r="BO208" s="2">
        <v>75.48</v>
      </c>
    </row>
    <row r="209" spans="24:67" x14ac:dyDescent="0.3">
      <c r="X209" s="1" t="s">
        <v>70</v>
      </c>
      <c r="Y209" s="2">
        <v>0.31</v>
      </c>
      <c r="Z209" s="2">
        <v>0.31</v>
      </c>
      <c r="AA209" s="2">
        <v>0.34</v>
      </c>
      <c r="AB209" s="2">
        <v>0.22</v>
      </c>
      <c r="AC209" s="2">
        <v>0.31</v>
      </c>
      <c r="AD209" s="2">
        <v>0.32</v>
      </c>
      <c r="AE209" s="2">
        <v>0.17</v>
      </c>
      <c r="AF209" s="2">
        <v>0.28999999999999998</v>
      </c>
      <c r="AG209" s="2">
        <v>0.24</v>
      </c>
      <c r="AH209" s="2">
        <v>0.26</v>
      </c>
      <c r="AI209" s="2">
        <v>0.22</v>
      </c>
      <c r="AJ209" s="2">
        <v>0.2</v>
      </c>
      <c r="AK209" s="2">
        <v>0.18</v>
      </c>
      <c r="AL209" s="2">
        <v>0.18</v>
      </c>
      <c r="AM209" s="2">
        <v>0.13</v>
      </c>
      <c r="AN209" s="2">
        <v>0.14000000000000001</v>
      </c>
      <c r="AO209" s="2">
        <v>0.11</v>
      </c>
      <c r="AP209" s="2">
        <v>0.09</v>
      </c>
      <c r="AQ209" s="2">
        <v>0.1</v>
      </c>
      <c r="AR209" s="2">
        <v>0.06</v>
      </c>
      <c r="AU209" s="1" t="s">
        <v>70</v>
      </c>
      <c r="AV209" s="2">
        <v>77.040000000000006</v>
      </c>
      <c r="AW209" s="2">
        <v>391.5</v>
      </c>
      <c r="AX209" s="2">
        <v>74.05</v>
      </c>
      <c r="AY209" s="2">
        <v>24.93</v>
      </c>
      <c r="AZ209" s="2">
        <v>100.8</v>
      </c>
      <c r="BA209" s="2">
        <v>185</v>
      </c>
      <c r="BB209" s="2">
        <v>311.39999999999998</v>
      </c>
      <c r="BC209" s="2">
        <v>252.3</v>
      </c>
      <c r="BD209" s="2">
        <v>305.89999999999998</v>
      </c>
      <c r="BE209" s="2">
        <v>292.39999999999998</v>
      </c>
      <c r="BF209" s="2">
        <v>79.95</v>
      </c>
      <c r="BG209" s="2">
        <v>364.5</v>
      </c>
      <c r="BH209" s="2">
        <v>74.75</v>
      </c>
      <c r="BI209" s="2">
        <v>22.41</v>
      </c>
      <c r="BJ209" s="2">
        <v>110.4</v>
      </c>
      <c r="BK209" s="2">
        <v>197</v>
      </c>
      <c r="BL209" s="2">
        <v>333</v>
      </c>
      <c r="BM209" s="2">
        <v>271.14999999999998</v>
      </c>
      <c r="BN209" s="2">
        <v>283.10000000000002</v>
      </c>
      <c r="BO209" s="2">
        <v>272</v>
      </c>
    </row>
    <row r="210" spans="24:67" x14ac:dyDescent="0.3">
      <c r="X210" s="1" t="s">
        <v>71</v>
      </c>
      <c r="Y210" s="2">
        <v>0.34</v>
      </c>
      <c r="Z210" s="2">
        <v>0.35</v>
      </c>
      <c r="AA210" s="2">
        <v>0.37</v>
      </c>
      <c r="AB210" s="2">
        <v>0.37</v>
      </c>
      <c r="AC210" s="2">
        <v>0.32</v>
      </c>
      <c r="AD210" s="2">
        <v>0.34</v>
      </c>
      <c r="AE210" s="2">
        <v>0.18</v>
      </c>
      <c r="AF210" s="2">
        <v>0.28999999999999998</v>
      </c>
      <c r="AG210" s="2">
        <v>0.13</v>
      </c>
      <c r="AH210" s="2">
        <v>0.31</v>
      </c>
      <c r="AI210" s="2">
        <v>0.17</v>
      </c>
      <c r="AJ210" s="2">
        <v>0.32</v>
      </c>
      <c r="AK210" s="2">
        <v>0.16</v>
      </c>
      <c r="AL210" s="2">
        <v>0.28000000000000003</v>
      </c>
      <c r="AM210" s="2">
        <v>0.16</v>
      </c>
      <c r="AN210" s="2">
        <v>0.28000000000000003</v>
      </c>
      <c r="AO210" s="2">
        <v>0.14000000000000001</v>
      </c>
      <c r="AP210" s="2">
        <v>0.23</v>
      </c>
      <c r="AQ210" s="2">
        <v>0.1</v>
      </c>
      <c r="AR210" s="2">
        <v>7.0000000000000007E-2</v>
      </c>
      <c r="AU210" s="1" t="s">
        <v>71</v>
      </c>
      <c r="AV210" s="2">
        <v>15.23</v>
      </c>
      <c r="AW210" s="2">
        <v>67.05</v>
      </c>
      <c r="AX210" s="2">
        <v>6.57</v>
      </c>
      <c r="AY210" s="2">
        <v>4.4000000000000004</v>
      </c>
      <c r="AZ210" s="2">
        <v>16.16</v>
      </c>
      <c r="BA210" s="2">
        <v>24.6</v>
      </c>
      <c r="BB210" s="2">
        <v>44.28</v>
      </c>
      <c r="BC210" s="2">
        <v>32.49</v>
      </c>
      <c r="BD210" s="2">
        <v>66.14</v>
      </c>
      <c r="BE210" s="2">
        <v>62.92</v>
      </c>
      <c r="BF210" s="2">
        <v>8.41</v>
      </c>
      <c r="BG210" s="2">
        <v>50.4</v>
      </c>
      <c r="BH210" s="2">
        <v>2.89</v>
      </c>
      <c r="BI210" s="2">
        <v>3.77</v>
      </c>
      <c r="BJ210" s="2">
        <v>10.37</v>
      </c>
      <c r="BK210" s="2">
        <v>47.46</v>
      </c>
      <c r="BL210" s="2">
        <v>59.93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72</v>
      </c>
      <c r="Y211" s="2">
        <v>0.37</v>
      </c>
      <c r="Z211" s="2">
        <v>0.38</v>
      </c>
      <c r="AA211" s="2">
        <v>0.3</v>
      </c>
      <c r="AB211" s="2">
        <v>0.38</v>
      </c>
      <c r="AC211" s="2">
        <v>0.26</v>
      </c>
      <c r="AD211" s="2">
        <v>0.37</v>
      </c>
      <c r="AE211" s="2">
        <v>0.21</v>
      </c>
      <c r="AF211" s="2">
        <v>0.31</v>
      </c>
      <c r="AG211" s="2">
        <v>0.12</v>
      </c>
      <c r="AH211" s="2">
        <v>0.32</v>
      </c>
      <c r="AI211" s="2">
        <v>0.14000000000000001</v>
      </c>
      <c r="AJ211" s="2">
        <v>0.32</v>
      </c>
      <c r="AK211" s="2">
        <v>0.14000000000000001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72</v>
      </c>
      <c r="AV211" s="2">
        <v>65.61</v>
      </c>
      <c r="AW211" s="2">
        <v>135.78</v>
      </c>
      <c r="AX211" s="2">
        <v>26.98</v>
      </c>
      <c r="AY211" s="2">
        <v>15.4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93.19</v>
      </c>
      <c r="BG211" s="2">
        <v>236.87</v>
      </c>
      <c r="BH211" s="2">
        <v>39.82</v>
      </c>
      <c r="BI211" s="2">
        <v>34.97</v>
      </c>
      <c r="BJ211" s="2">
        <v>115.37</v>
      </c>
      <c r="BK211" s="2">
        <v>192.56</v>
      </c>
      <c r="BL211" s="2">
        <v>318.98</v>
      </c>
      <c r="BM211" s="2">
        <v>260.13</v>
      </c>
      <c r="BN211" s="2">
        <v>242.92</v>
      </c>
      <c r="BO211" s="2">
        <v>238.85</v>
      </c>
    </row>
    <row r="212" spans="24:67" x14ac:dyDescent="0.3">
      <c r="X212" s="1" t="s">
        <v>73</v>
      </c>
      <c r="Y212" s="2">
        <v>0.17</v>
      </c>
      <c r="Z212" s="2">
        <v>0.21</v>
      </c>
      <c r="AA212" s="2">
        <v>0.23</v>
      </c>
      <c r="AB212" s="2">
        <v>0.22</v>
      </c>
      <c r="AC212" s="2">
        <v>0.18</v>
      </c>
      <c r="AD212" s="2">
        <v>0.2</v>
      </c>
      <c r="AE212" s="2">
        <v>0.18</v>
      </c>
      <c r="AF212" s="2">
        <v>0.23</v>
      </c>
      <c r="AG212" s="2">
        <v>0.06</v>
      </c>
      <c r="AH212" s="2">
        <v>0.19</v>
      </c>
      <c r="AI212" s="2">
        <v>0.12</v>
      </c>
      <c r="AJ212" s="2">
        <v>0.19</v>
      </c>
      <c r="AK212" s="2">
        <v>0.15</v>
      </c>
      <c r="AL212" s="2">
        <v>0.16</v>
      </c>
      <c r="AM212" s="2">
        <v>0.12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73</v>
      </c>
      <c r="AV212" s="2">
        <v>139.62</v>
      </c>
      <c r="AW212" s="2">
        <v>336.15</v>
      </c>
      <c r="AX212" s="2">
        <v>44.85</v>
      </c>
      <c r="AY212" s="2">
        <v>43.5</v>
      </c>
      <c r="AZ212" s="2">
        <v>192.96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49.92</v>
      </c>
      <c r="BI212" s="2">
        <v>37.950000000000003</v>
      </c>
      <c r="BJ212" s="2">
        <v>143.18</v>
      </c>
      <c r="BK212" s="2">
        <v>149.37</v>
      </c>
      <c r="BL212" s="2">
        <v>200.89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63</v>
      </c>
      <c r="Z216" s="1" t="s">
        <v>64</v>
      </c>
      <c r="AA216" s="1" t="s">
        <v>63</v>
      </c>
      <c r="AB216" s="1" t="s">
        <v>64</v>
      </c>
      <c r="AC216" s="1" t="s">
        <v>63</v>
      </c>
      <c r="AD216" s="1" t="s">
        <v>64</v>
      </c>
      <c r="AE216" s="1" t="s">
        <v>63</v>
      </c>
      <c r="AF216" s="1" t="s">
        <v>64</v>
      </c>
      <c r="AG216" s="1" t="s">
        <v>63</v>
      </c>
      <c r="AH216" s="1" t="s">
        <v>64</v>
      </c>
      <c r="AI216" s="1" t="s">
        <v>63</v>
      </c>
      <c r="AJ216" s="1" t="s">
        <v>64</v>
      </c>
      <c r="AK216" s="1" t="s">
        <v>63</v>
      </c>
      <c r="AL216" s="1" t="s">
        <v>64</v>
      </c>
      <c r="AM216" s="1" t="s">
        <v>63</v>
      </c>
      <c r="AN216" s="1" t="s">
        <v>64</v>
      </c>
      <c r="AO216" s="1" t="s">
        <v>63</v>
      </c>
      <c r="AP216" s="1" t="s">
        <v>64</v>
      </c>
      <c r="AQ216" s="1" t="s">
        <v>63</v>
      </c>
      <c r="AR216" s="1" t="s">
        <v>64</v>
      </c>
      <c r="AU216" s="1" t="s">
        <v>6</v>
      </c>
      <c r="AV216" s="1" t="s">
        <v>63</v>
      </c>
      <c r="AW216" s="1" t="s">
        <v>64</v>
      </c>
      <c r="AX216" s="1" t="s">
        <v>63</v>
      </c>
      <c r="AY216" s="1" t="s">
        <v>64</v>
      </c>
      <c r="AZ216" s="1" t="s">
        <v>63</v>
      </c>
      <c r="BA216" s="1" t="s">
        <v>64</v>
      </c>
      <c r="BB216" s="1" t="s">
        <v>63</v>
      </c>
      <c r="BC216" s="1" t="s">
        <v>64</v>
      </c>
      <c r="BD216" s="1" t="s">
        <v>63</v>
      </c>
      <c r="BE216" s="1" t="s">
        <v>64</v>
      </c>
      <c r="BF216" s="1" t="s">
        <v>63</v>
      </c>
      <c r="BG216" s="1" t="s">
        <v>64</v>
      </c>
      <c r="BH216" s="1" t="s">
        <v>63</v>
      </c>
      <c r="BI216" s="1" t="s">
        <v>64</v>
      </c>
      <c r="BJ216" s="1" t="s">
        <v>63</v>
      </c>
      <c r="BK216" s="1" t="s">
        <v>64</v>
      </c>
      <c r="BL216" s="1" t="s">
        <v>63</v>
      </c>
      <c r="BM216" s="1" t="s">
        <v>64</v>
      </c>
      <c r="BN216" s="1" t="s">
        <v>63</v>
      </c>
      <c r="BO216" s="1" t="s">
        <v>64</v>
      </c>
    </row>
    <row r="217" spans="24:67" x14ac:dyDescent="0.3">
      <c r="X217" s="1" t="s">
        <v>65</v>
      </c>
      <c r="Y217" s="1" t="s">
        <v>53</v>
      </c>
      <c r="Z217" s="1" t="s">
        <v>53</v>
      </c>
      <c r="AA217" s="1" t="s">
        <v>54</v>
      </c>
      <c r="AB217" s="1" t="s">
        <v>54</v>
      </c>
      <c r="AC217" s="1" t="s">
        <v>55</v>
      </c>
      <c r="AD217" s="1" t="s">
        <v>55</v>
      </c>
      <c r="AE217" s="1" t="s">
        <v>56</v>
      </c>
      <c r="AF217" s="1" t="s">
        <v>56</v>
      </c>
      <c r="AG217" s="1" t="s">
        <v>57</v>
      </c>
      <c r="AH217" s="1" t="s">
        <v>57</v>
      </c>
      <c r="AI217" s="1" t="s">
        <v>58</v>
      </c>
      <c r="AJ217" s="1" t="s">
        <v>58</v>
      </c>
      <c r="AK217" s="1" t="s">
        <v>59</v>
      </c>
      <c r="AL217" s="1" t="s">
        <v>59</v>
      </c>
      <c r="AM217" s="1" t="s">
        <v>60</v>
      </c>
      <c r="AN217" s="1" t="s">
        <v>60</v>
      </c>
      <c r="AO217" s="1" t="s">
        <v>61</v>
      </c>
      <c r="AP217" s="1" t="s">
        <v>61</v>
      </c>
      <c r="AQ217" s="1" t="s">
        <v>62</v>
      </c>
      <c r="AR217" s="1" t="s">
        <v>62</v>
      </c>
      <c r="AU217" s="1" t="s">
        <v>65</v>
      </c>
      <c r="AV217" s="1" t="s">
        <v>53</v>
      </c>
      <c r="AW217" s="1" t="s">
        <v>53</v>
      </c>
      <c r="AX217" s="1" t="s">
        <v>54</v>
      </c>
      <c r="AY217" s="1" t="s">
        <v>54</v>
      </c>
      <c r="AZ217" s="1" t="s">
        <v>55</v>
      </c>
      <c r="BA217" s="1" t="s">
        <v>55</v>
      </c>
      <c r="BB217" s="1" t="s">
        <v>56</v>
      </c>
      <c r="BC217" s="1" t="s">
        <v>56</v>
      </c>
      <c r="BD217" s="1" t="s">
        <v>57</v>
      </c>
      <c r="BE217" s="1" t="s">
        <v>57</v>
      </c>
      <c r="BF217" s="1" t="s">
        <v>58</v>
      </c>
      <c r="BG217" s="1" t="s">
        <v>58</v>
      </c>
      <c r="BH217" s="1" t="s">
        <v>59</v>
      </c>
      <c r="BI217" s="1" t="s">
        <v>59</v>
      </c>
      <c r="BJ217" s="1" t="s">
        <v>60</v>
      </c>
      <c r="BK217" s="1" t="s">
        <v>60</v>
      </c>
      <c r="BL217" s="1" t="s">
        <v>61</v>
      </c>
      <c r="BM217" s="1" t="s">
        <v>61</v>
      </c>
      <c r="BN217" s="1" t="s">
        <v>62</v>
      </c>
      <c r="BO217" s="1" t="s">
        <v>62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66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66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67</v>
      </c>
      <c r="Y220" s="2">
        <v>0.14000000000000001</v>
      </c>
      <c r="Z220" s="2">
        <v>0.01</v>
      </c>
      <c r="AA220" s="2">
        <v>0.08</v>
      </c>
      <c r="AB220" s="2">
        <v>0.01</v>
      </c>
      <c r="AC220" s="2">
        <v>0.01</v>
      </c>
      <c r="AD220" s="2">
        <v>0.01</v>
      </c>
      <c r="AE220" s="2">
        <v>0.17</v>
      </c>
      <c r="AF220" s="2">
        <v>0.15</v>
      </c>
      <c r="AG220" s="2">
        <v>0.28000000000000003</v>
      </c>
      <c r="AH220" s="2">
        <v>0.09</v>
      </c>
      <c r="AI220" s="2">
        <v>0.69</v>
      </c>
      <c r="AJ220" s="2">
        <v>0.19</v>
      </c>
      <c r="AK220" s="2">
        <v>0.43</v>
      </c>
      <c r="AL220" s="2">
        <v>0.22</v>
      </c>
      <c r="AM220" s="2">
        <v>0.47</v>
      </c>
      <c r="AN220" s="2">
        <v>0.2</v>
      </c>
      <c r="AO220" s="2">
        <v>0.36</v>
      </c>
      <c r="AP220" s="2">
        <v>7.0000000000000007E-2</v>
      </c>
      <c r="AQ220" s="2">
        <v>0.35</v>
      </c>
      <c r="AR220" s="2">
        <v>0.03</v>
      </c>
      <c r="AU220" s="1" t="s">
        <v>67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68</v>
      </c>
      <c r="Y221" s="2">
        <v>1.1299999999999999</v>
      </c>
      <c r="Z221" s="2">
        <v>0</v>
      </c>
      <c r="AA221" s="2">
        <v>1.17</v>
      </c>
      <c r="AB221" s="2">
        <v>0</v>
      </c>
      <c r="AC221" s="2">
        <v>0.23</v>
      </c>
      <c r="AD221" s="2">
        <v>0.16</v>
      </c>
      <c r="AE221" s="2">
        <v>0.66</v>
      </c>
      <c r="AF221" s="2">
        <v>0.18</v>
      </c>
      <c r="AG221" s="2">
        <v>0.98</v>
      </c>
      <c r="AH221" s="2">
        <v>0.18</v>
      </c>
      <c r="AI221" s="2">
        <v>1.82</v>
      </c>
      <c r="AJ221" s="2">
        <v>0.33</v>
      </c>
      <c r="AK221" s="2">
        <v>1.4</v>
      </c>
      <c r="AL221" s="2">
        <v>0.28000000000000003</v>
      </c>
      <c r="AM221" s="2">
        <v>1.78</v>
      </c>
      <c r="AN221" s="2">
        <v>0.31</v>
      </c>
      <c r="AO221" s="2">
        <v>0.42</v>
      </c>
      <c r="AP221" s="2">
        <v>0.15</v>
      </c>
      <c r="AQ221" s="2">
        <v>0.18</v>
      </c>
      <c r="AR221" s="2">
        <v>0.09</v>
      </c>
      <c r="AU221" s="1" t="s">
        <v>68</v>
      </c>
      <c r="AV221" s="2">
        <v>37.89</v>
      </c>
      <c r="AW221" s="2">
        <v>36.9</v>
      </c>
      <c r="AX221" s="2">
        <v>13.88</v>
      </c>
      <c r="AY221" s="2">
        <v>19.2</v>
      </c>
      <c r="AZ221" s="2">
        <v>32.71</v>
      </c>
      <c r="BA221" s="2">
        <v>41.6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70.23</v>
      </c>
      <c r="BG221" s="2">
        <v>96.55</v>
      </c>
      <c r="BH221" s="2">
        <v>83.28</v>
      </c>
      <c r="BI221" s="2">
        <v>100.85</v>
      </c>
      <c r="BJ221" s="2">
        <v>67.38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69</v>
      </c>
      <c r="Y222" s="2">
        <v>0.85</v>
      </c>
      <c r="Z222" s="2">
        <v>0.02</v>
      </c>
      <c r="AA222" s="2">
        <v>0.81</v>
      </c>
      <c r="AB222" s="2">
        <v>0.01</v>
      </c>
      <c r="AC222" s="2">
        <v>0.18</v>
      </c>
      <c r="AD222" s="2">
        <v>0.19</v>
      </c>
      <c r="AE222" s="2">
        <v>0.93</v>
      </c>
      <c r="AF222" s="2">
        <v>0.27</v>
      </c>
      <c r="AG222" s="2">
        <v>0.71</v>
      </c>
      <c r="AH222" s="2">
        <v>0.25</v>
      </c>
      <c r="AI222" s="2">
        <v>1.28</v>
      </c>
      <c r="AJ222" s="2">
        <v>0.39</v>
      </c>
      <c r="AK222" s="2">
        <v>1.03</v>
      </c>
      <c r="AL222" s="2">
        <v>0.32</v>
      </c>
      <c r="AM222" s="2">
        <v>0.99</v>
      </c>
      <c r="AN222" s="2">
        <v>0.31</v>
      </c>
      <c r="AO222" s="2">
        <v>0.27</v>
      </c>
      <c r="AP222" s="2">
        <v>0.18</v>
      </c>
      <c r="AQ222" s="2">
        <v>0.23</v>
      </c>
      <c r="AR222" s="2">
        <v>0.16</v>
      </c>
      <c r="AU222" s="1" t="s">
        <v>69</v>
      </c>
      <c r="AV222" s="2">
        <v>19.62</v>
      </c>
      <c r="AW222" s="2">
        <v>13.6</v>
      </c>
      <c r="AX222" s="2">
        <v>4.07</v>
      </c>
      <c r="AY222" s="2">
        <v>8.9</v>
      </c>
      <c r="AZ222" s="2">
        <v>22.04</v>
      </c>
      <c r="BA222" s="2">
        <v>13.65</v>
      </c>
      <c r="BB222" s="2">
        <v>24.76</v>
      </c>
      <c r="BC222" s="2">
        <v>18.91</v>
      </c>
      <c r="BD222" s="2">
        <v>33.82</v>
      </c>
      <c r="BE222" s="2">
        <v>16.010000000000002</v>
      </c>
      <c r="BF222" s="2">
        <v>30.82</v>
      </c>
      <c r="BG222" s="2">
        <v>17.3</v>
      </c>
      <c r="BH222" s="2">
        <v>36.590000000000003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70</v>
      </c>
      <c r="Y223" s="2">
        <v>0.41</v>
      </c>
      <c r="Z223" s="2">
        <v>0.36</v>
      </c>
      <c r="AA223" s="2">
        <v>0.72</v>
      </c>
      <c r="AB223" s="2">
        <v>0.12</v>
      </c>
      <c r="AC223" s="2">
        <v>0.15</v>
      </c>
      <c r="AD223" s="2">
        <v>0.15</v>
      </c>
      <c r="AE223" s="2">
        <v>0.12</v>
      </c>
      <c r="AF223" s="2">
        <v>0.44</v>
      </c>
      <c r="AG223" s="2">
        <v>0.51</v>
      </c>
      <c r="AH223" s="2">
        <v>0.55000000000000004</v>
      </c>
      <c r="AI223" s="2">
        <v>0.78</v>
      </c>
      <c r="AJ223" s="2">
        <v>0.69</v>
      </c>
      <c r="AK223" s="2">
        <v>0.5</v>
      </c>
      <c r="AL223" s="2">
        <v>0.48</v>
      </c>
      <c r="AM223" s="2">
        <v>0.4</v>
      </c>
      <c r="AN223" s="2">
        <v>0.43</v>
      </c>
      <c r="AO223" s="2">
        <v>0.26</v>
      </c>
      <c r="AP223" s="2">
        <v>0.2</v>
      </c>
      <c r="AQ223" s="2">
        <v>0.3</v>
      </c>
      <c r="AR223" s="2">
        <v>0.15</v>
      </c>
      <c r="AU223" s="1" t="s">
        <v>70</v>
      </c>
      <c r="AV223" s="2">
        <v>59.26</v>
      </c>
      <c r="AW223" s="2">
        <v>61.5</v>
      </c>
      <c r="AX223" s="2">
        <v>56.96</v>
      </c>
      <c r="AY223" s="2">
        <v>57.5</v>
      </c>
      <c r="AZ223" s="2">
        <v>49.86</v>
      </c>
      <c r="BA223" s="2">
        <v>44.82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71</v>
      </c>
      <c r="Y224" s="2">
        <v>0.45</v>
      </c>
      <c r="Z224" s="2">
        <v>0.45</v>
      </c>
      <c r="AA224" s="2">
        <v>0.8</v>
      </c>
      <c r="AB224" s="2">
        <v>0.79</v>
      </c>
      <c r="AC224" s="2">
        <v>0.16</v>
      </c>
      <c r="AD224" s="2">
        <v>0.16</v>
      </c>
      <c r="AE224" s="2">
        <v>0.15</v>
      </c>
      <c r="AF224" s="2">
        <v>0.45</v>
      </c>
      <c r="AG224" s="2">
        <v>0.18</v>
      </c>
      <c r="AH224" s="2">
        <v>1.06</v>
      </c>
      <c r="AI224" s="2">
        <v>0.52</v>
      </c>
      <c r="AJ224" s="2">
        <v>1.9</v>
      </c>
      <c r="AK224" s="2">
        <v>0.4</v>
      </c>
      <c r="AL224" s="2">
        <v>1.1399999999999999</v>
      </c>
      <c r="AM224" s="2">
        <v>0.5</v>
      </c>
      <c r="AN224" s="2">
        <v>1.47</v>
      </c>
      <c r="AO224" s="2">
        <v>0.35</v>
      </c>
      <c r="AP224" s="2">
        <v>0.78</v>
      </c>
      <c r="AQ224" s="2">
        <v>0.28999999999999998</v>
      </c>
      <c r="AR224" s="2">
        <v>0.19</v>
      </c>
      <c r="AU224" s="1" t="s">
        <v>71</v>
      </c>
      <c r="AV224" s="2">
        <v>11.72</v>
      </c>
      <c r="AW224" s="2">
        <v>6.47</v>
      </c>
      <c r="AX224" s="2">
        <v>5.0599999999999996</v>
      </c>
      <c r="AY224" s="2">
        <v>2.2200000000000002</v>
      </c>
      <c r="AZ224" s="2">
        <v>8.8000000000000007</v>
      </c>
      <c r="BA224" s="2">
        <v>7.54</v>
      </c>
      <c r="BB224" s="2">
        <v>10.1</v>
      </c>
      <c r="BC224" s="2">
        <v>6.48</v>
      </c>
      <c r="BD224" s="2">
        <v>12.3</v>
      </c>
      <c r="BE224" s="2">
        <v>23.73</v>
      </c>
      <c r="BF224" s="2">
        <v>12.3</v>
      </c>
      <c r="BG224" s="2">
        <v>16.649999999999999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72</v>
      </c>
      <c r="Y225" s="2">
        <v>1.04</v>
      </c>
      <c r="Z225" s="2">
        <v>1.06</v>
      </c>
      <c r="AA225" s="2">
        <v>0.67</v>
      </c>
      <c r="AB225" s="2">
        <v>1.02</v>
      </c>
      <c r="AC225" s="2">
        <v>0.13</v>
      </c>
      <c r="AD225" s="2">
        <v>0.39</v>
      </c>
      <c r="AE225" s="2">
        <v>0.28999999999999998</v>
      </c>
      <c r="AF225" s="2">
        <v>0.6</v>
      </c>
      <c r="AG225" s="2">
        <v>0.24</v>
      </c>
      <c r="AH225" s="2">
        <v>0.96</v>
      </c>
      <c r="AI225" s="2">
        <v>0.51</v>
      </c>
      <c r="AJ225" s="2">
        <v>1.73</v>
      </c>
      <c r="AK225" s="2">
        <v>0.41</v>
      </c>
      <c r="AL225" s="2">
        <v>1.1399999999999999</v>
      </c>
      <c r="AM225" s="2">
        <v>0.65</v>
      </c>
      <c r="AN225" s="2">
        <v>1.48</v>
      </c>
      <c r="AO225" s="2">
        <v>0.34</v>
      </c>
      <c r="AP225" s="2">
        <v>0.37</v>
      </c>
      <c r="AQ225" s="2">
        <v>0.34</v>
      </c>
      <c r="AR225" s="2">
        <v>0.31</v>
      </c>
      <c r="AU225" s="1" t="s">
        <v>72</v>
      </c>
      <c r="AV225" s="2">
        <v>50.47</v>
      </c>
      <c r="AW225" s="2">
        <v>71.69</v>
      </c>
      <c r="AX225" s="2">
        <v>20.76</v>
      </c>
      <c r="AY225" s="2">
        <v>30.63</v>
      </c>
      <c r="AZ225" s="2">
        <v>30.8</v>
      </c>
      <c r="BA225" s="2">
        <v>69.95</v>
      </c>
      <c r="BB225" s="2">
        <v>49.11</v>
      </c>
      <c r="BC225" s="2">
        <v>72.099999999999994</v>
      </c>
      <c r="BD225" s="2">
        <v>56.35</v>
      </c>
      <c r="BE225" s="2">
        <v>96.28</v>
      </c>
      <c r="BF225" s="2">
        <v>59.95</v>
      </c>
      <c r="BG225" s="2">
        <v>88.61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73</v>
      </c>
      <c r="Y226" s="2">
        <v>0.04</v>
      </c>
      <c r="Z226" s="2">
        <v>0.15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0.3</v>
      </c>
      <c r="AG226" s="2">
        <v>7.0000000000000007E-2</v>
      </c>
      <c r="AH226" s="2">
        <v>0.39</v>
      </c>
      <c r="AI226" s="2">
        <v>0.37</v>
      </c>
      <c r="AJ226" s="2">
        <v>0.7</v>
      </c>
      <c r="AK226" s="2">
        <v>0.4</v>
      </c>
      <c r="AL226" s="2">
        <v>0.45</v>
      </c>
      <c r="AM226" s="2">
        <v>0.35</v>
      </c>
      <c r="AN226" s="2">
        <v>0.28000000000000003</v>
      </c>
      <c r="AO226" s="2">
        <v>0.23</v>
      </c>
      <c r="AP226" s="2">
        <v>0.12</v>
      </c>
      <c r="AQ226" s="2">
        <v>0.18</v>
      </c>
      <c r="AR226" s="2">
        <v>0.09</v>
      </c>
      <c r="AU226" s="1" t="s">
        <v>73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89.49</v>
      </c>
      <c r="BD226" s="2">
        <v>140.4</v>
      </c>
      <c r="BE226" s="2">
        <v>74.680000000000007</v>
      </c>
      <c r="BF226" s="2">
        <v>99.9</v>
      </c>
      <c r="BG226" s="2">
        <v>55.8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  <row r="229" spans="24:67" x14ac:dyDescent="0.3">
      <c r="X229" t="s">
        <v>74</v>
      </c>
    </row>
    <row r="230" spans="24:67" x14ac:dyDescent="0.3">
      <c r="X230" s="1" t="s">
        <v>6</v>
      </c>
      <c r="Y230" s="1" t="s">
        <v>63</v>
      </c>
      <c r="Z230" s="1" t="s">
        <v>64</v>
      </c>
      <c r="AA230" s="1" t="s">
        <v>63</v>
      </c>
      <c r="AB230" s="1" t="s">
        <v>64</v>
      </c>
      <c r="AC230" s="1" t="s">
        <v>63</v>
      </c>
      <c r="AD230" s="1" t="s">
        <v>64</v>
      </c>
      <c r="AE230" s="1" t="s">
        <v>63</v>
      </c>
      <c r="AF230" s="1" t="s">
        <v>64</v>
      </c>
      <c r="AG230" s="1" t="s">
        <v>63</v>
      </c>
      <c r="AH230" s="1" t="s">
        <v>64</v>
      </c>
      <c r="AI230" s="1" t="s">
        <v>63</v>
      </c>
      <c r="AJ230" s="1" t="s">
        <v>64</v>
      </c>
      <c r="AK230" s="1" t="s">
        <v>63</v>
      </c>
      <c r="AL230" s="1" t="s">
        <v>64</v>
      </c>
      <c r="AM230" s="1" t="s">
        <v>63</v>
      </c>
      <c r="AN230" s="1" t="s">
        <v>64</v>
      </c>
      <c r="AO230" s="1" t="s">
        <v>63</v>
      </c>
      <c r="AP230" s="1" t="s">
        <v>64</v>
      </c>
      <c r="AQ230" s="1" t="s">
        <v>63</v>
      </c>
      <c r="AR230" s="1" t="s">
        <v>64</v>
      </c>
    </row>
    <row r="231" spans="24:67" x14ac:dyDescent="0.3">
      <c r="X231" s="1" t="s">
        <v>65</v>
      </c>
      <c r="Y231" s="1" t="s">
        <v>53</v>
      </c>
      <c r="Z231" s="1" t="s">
        <v>53</v>
      </c>
      <c r="AA231" s="1" t="s">
        <v>54</v>
      </c>
      <c r="AB231" s="1" t="s">
        <v>54</v>
      </c>
      <c r="AC231" s="1" t="s">
        <v>55</v>
      </c>
      <c r="AD231" s="1" t="s">
        <v>55</v>
      </c>
      <c r="AE231" s="1" t="s">
        <v>56</v>
      </c>
      <c r="AF231" s="1" t="s">
        <v>56</v>
      </c>
      <c r="AG231" s="1" t="s">
        <v>57</v>
      </c>
      <c r="AH231" s="1" t="s">
        <v>57</v>
      </c>
      <c r="AI231" s="1" t="s">
        <v>58</v>
      </c>
      <c r="AJ231" s="1" t="s">
        <v>58</v>
      </c>
      <c r="AK231" s="1" t="s">
        <v>59</v>
      </c>
      <c r="AL231" s="1" t="s">
        <v>59</v>
      </c>
      <c r="AM231" s="1" t="s">
        <v>60</v>
      </c>
      <c r="AN231" s="1" t="s">
        <v>60</v>
      </c>
      <c r="AO231" s="1" t="s">
        <v>61</v>
      </c>
      <c r="AP231" s="1" t="s">
        <v>61</v>
      </c>
      <c r="AQ231" s="1" t="s">
        <v>62</v>
      </c>
      <c r="AR231" s="1" t="s">
        <v>62</v>
      </c>
    </row>
    <row r="232" spans="24:67" x14ac:dyDescent="0.3">
      <c r="X232" s="1" t="s">
        <v>7</v>
      </c>
      <c r="Y232">
        <v>1.3</v>
      </c>
      <c r="Z232">
        <v>1.3</v>
      </c>
      <c r="AA232">
        <v>1.3</v>
      </c>
      <c r="AB232">
        <v>1.3</v>
      </c>
      <c r="AC232">
        <v>0.5</v>
      </c>
      <c r="AD232">
        <v>0.5</v>
      </c>
      <c r="AE232">
        <v>1.6</v>
      </c>
      <c r="AF232">
        <v>1.6</v>
      </c>
      <c r="AG232">
        <v>2</v>
      </c>
      <c r="AH232">
        <v>2</v>
      </c>
      <c r="AI232">
        <v>3.6</v>
      </c>
      <c r="AJ232">
        <v>3.6</v>
      </c>
      <c r="AK232">
        <v>2.9</v>
      </c>
      <c r="AL232">
        <v>2.9</v>
      </c>
      <c r="AM232">
        <v>3.8</v>
      </c>
      <c r="AN232">
        <v>3.8</v>
      </c>
      <c r="AO232">
        <v>3.4</v>
      </c>
      <c r="AP232">
        <v>3.4</v>
      </c>
      <c r="AQ232">
        <v>4.5</v>
      </c>
      <c r="AR232">
        <v>4.5</v>
      </c>
    </row>
    <row r="233" spans="24:67" x14ac:dyDescent="0.3">
      <c r="X233" s="1" t="s">
        <v>66</v>
      </c>
      <c r="Y233" s="6">
        <f>Y191/(AV191+AV219)</f>
        <v>0.16110136438109876</v>
      </c>
      <c r="Z233" s="6">
        <f t="shared" ref="Z233:AR240" si="0">Z191/(AW191+AW219)</f>
        <v>0.14786438281570929</v>
      </c>
      <c r="AA233" s="6">
        <f t="shared" si="0"/>
        <v>2.0040005234329729E-2</v>
      </c>
      <c r="AB233" s="6">
        <f t="shared" si="0"/>
        <v>2.0113754353079546E-2</v>
      </c>
      <c r="AC233" s="6">
        <f t="shared" si="0"/>
        <v>1.918395396782873E-2</v>
      </c>
      <c r="AD233" s="6">
        <f t="shared" si="0"/>
        <v>4.140123797819445E-2</v>
      </c>
      <c r="AE233" s="6">
        <f t="shared" si="0"/>
        <v>9.9094450607569468E-2</v>
      </c>
      <c r="AF233" s="6">
        <f t="shared" si="0"/>
        <v>6.3789075088623914E-2</v>
      </c>
      <c r="AG233" s="6">
        <f t="shared" si="0"/>
        <v>0.13777912805711678</v>
      </c>
      <c r="AH233" s="6">
        <f t="shared" si="0"/>
        <v>5.1681631871095896E-2</v>
      </c>
      <c r="AI233" s="6">
        <f t="shared" si="0"/>
        <v>0.14595609212441807</v>
      </c>
      <c r="AJ233" s="6">
        <f t="shared" si="0"/>
        <v>3.4028053893270384E-2</v>
      </c>
      <c r="AK233" s="6">
        <f t="shared" si="0"/>
        <v>0.11244591499109188</v>
      </c>
      <c r="AL233" s="6">
        <f t="shared" si="0"/>
        <v>1.8893289424690391E-2</v>
      </c>
      <c r="AM233" s="6">
        <f t="shared" si="0"/>
        <v>0.10244466110569458</v>
      </c>
      <c r="AN233" s="6">
        <f t="shared" si="0"/>
        <v>3.7507241996020055E-2</v>
      </c>
      <c r="AO233" s="6">
        <f t="shared" si="0"/>
        <v>9.2192630221386226E-3</v>
      </c>
      <c r="AP233" s="6">
        <f t="shared" si="0"/>
        <v>9.2664593053395552E-3</v>
      </c>
      <c r="AQ233" s="6">
        <f t="shared" si="0"/>
        <v>2.2274181054352422E-2</v>
      </c>
      <c r="AR233" s="6">
        <f t="shared" si="0"/>
        <v>9.4799964029968729E-3</v>
      </c>
    </row>
    <row r="234" spans="24:67" x14ac:dyDescent="0.3">
      <c r="X234" s="1" t="s">
        <v>67</v>
      </c>
      <c r="Y234" s="6">
        <f t="shared" ref="Y234:Y240" si="1">Y192/(AV192+AV220)</f>
        <v>4.7024710035300045E-2</v>
      </c>
      <c r="Z234" s="6">
        <f t="shared" si="0"/>
        <v>5.0377073906485666E-2</v>
      </c>
      <c r="AA234" s="6">
        <f t="shared" si="0"/>
        <v>5.0947421257372318E-2</v>
      </c>
      <c r="AB234" s="6">
        <f t="shared" si="0"/>
        <v>5.1262034868592245E-2</v>
      </c>
      <c r="AC234" s="6">
        <f t="shared" si="0"/>
        <v>5.7427107959022852E-2</v>
      </c>
      <c r="AD234" s="6">
        <f t="shared" si="0"/>
        <v>4.9665517940401374E-2</v>
      </c>
      <c r="AE234" s="6">
        <f t="shared" si="0"/>
        <v>4.8731953088615096E-2</v>
      </c>
      <c r="AF234" s="6">
        <f t="shared" si="0"/>
        <v>5.5618996439846843E-2</v>
      </c>
      <c r="AG234" s="6">
        <f t="shared" si="0"/>
        <v>4.5997259737717754E-2</v>
      </c>
      <c r="AH234" s="6">
        <f t="shared" si="0"/>
        <v>4.9124012366884233E-2</v>
      </c>
      <c r="AI234" s="6">
        <f t="shared" si="0"/>
        <v>5.5555555555555552E-2</v>
      </c>
      <c r="AJ234" s="6">
        <f t="shared" si="0"/>
        <v>5.0704681678276367E-2</v>
      </c>
      <c r="AK234" s="6">
        <f t="shared" si="0"/>
        <v>4.9664726254513299E-2</v>
      </c>
      <c r="AL234" s="6">
        <f t="shared" si="0"/>
        <v>4.9213170905095804E-2</v>
      </c>
      <c r="AM234" s="6">
        <f t="shared" si="0"/>
        <v>4.9893842887473464E-2</v>
      </c>
      <c r="AN234" s="6">
        <f t="shared" si="0"/>
        <v>4.8939082819986303E-2</v>
      </c>
      <c r="AO234" s="6">
        <f t="shared" si="0"/>
        <v>4.9284013786732042E-2</v>
      </c>
      <c r="AP234" s="6">
        <f t="shared" si="0"/>
        <v>5.561746530240097E-2</v>
      </c>
      <c r="AQ234" s="6">
        <f t="shared" si="0"/>
        <v>4.7322540473225407E-2</v>
      </c>
      <c r="AR234" s="6">
        <f t="shared" si="0"/>
        <v>4.8532403371113045E-2</v>
      </c>
    </row>
    <row r="235" spans="24:67" x14ac:dyDescent="0.3">
      <c r="X235" s="1" t="s">
        <v>68</v>
      </c>
      <c r="Y235" s="6">
        <f t="shared" si="1"/>
        <v>0.11524531005386472</v>
      </c>
      <c r="Z235" s="6">
        <f t="shared" si="0"/>
        <v>5.1116284870910071E-2</v>
      </c>
      <c r="AA235" s="6">
        <f t="shared" si="0"/>
        <v>0.10296763874210961</v>
      </c>
      <c r="AB235" s="6">
        <f t="shared" si="0"/>
        <v>5.0363587395636955E-2</v>
      </c>
      <c r="AC235" s="6">
        <f t="shared" si="0"/>
        <v>0.19013686328638182</v>
      </c>
      <c r="AD235" s="6">
        <f t="shared" si="0"/>
        <v>0.12897558501774975</v>
      </c>
      <c r="AE235" s="6">
        <f t="shared" si="0"/>
        <v>0.13927902071031439</v>
      </c>
      <c r="AF235" s="6">
        <f t="shared" si="0"/>
        <v>7.9230113290291157E-2</v>
      </c>
      <c r="AG235" s="6">
        <f t="shared" si="0"/>
        <v>0.14260136684207078</v>
      </c>
      <c r="AH235" s="6">
        <f t="shared" si="0"/>
        <v>6.6405177485781536E-2</v>
      </c>
      <c r="AI235" s="6">
        <f t="shared" si="0"/>
        <v>0.14526768676610372</v>
      </c>
      <c r="AJ235" s="6">
        <f t="shared" si="0"/>
        <v>6.7036768606588609E-2</v>
      </c>
      <c r="AK235" s="6">
        <f t="shared" si="0"/>
        <v>0.15266807555144629</v>
      </c>
      <c r="AL235" s="6">
        <f t="shared" si="0"/>
        <v>6.9146416476360842E-2</v>
      </c>
      <c r="AM235" s="6">
        <f t="shared" si="0"/>
        <v>0.15768319866258013</v>
      </c>
      <c r="AN235" s="6">
        <f t="shared" si="0"/>
        <v>6.4645879589406957E-2</v>
      </c>
      <c r="AO235" s="6">
        <f t="shared" si="0"/>
        <v>7.6131980016442169E-2</v>
      </c>
      <c r="AP235" s="6">
        <f t="shared" si="0"/>
        <v>5.7023980633936003E-2</v>
      </c>
      <c r="AQ235" s="6">
        <f t="shared" si="0"/>
        <v>5.6527805796516707E-2</v>
      </c>
      <c r="AR235" s="6">
        <f t="shared" si="0"/>
        <v>5.7963804786002222E-2</v>
      </c>
    </row>
    <row r="236" spans="24:67" x14ac:dyDescent="0.3">
      <c r="X236" s="1" t="s">
        <v>69</v>
      </c>
      <c r="Y236" s="6">
        <f t="shared" si="1"/>
        <v>6.387484197218711E-2</v>
      </c>
      <c r="Z236" s="6">
        <f t="shared" si="0"/>
        <v>6.6591155788380763E-2</v>
      </c>
      <c r="AA236" s="6">
        <f t="shared" si="0"/>
        <v>6.2701354487823463E-2</v>
      </c>
      <c r="AB236" s="6">
        <f t="shared" si="0"/>
        <v>5.0710960110733609E-2</v>
      </c>
      <c r="AC236" s="6">
        <f t="shared" si="0"/>
        <v>0.12496064149121518</v>
      </c>
      <c r="AD236" s="6">
        <f t="shared" si="0"/>
        <v>0.11553830129722564</v>
      </c>
      <c r="AE236" s="6">
        <f t="shared" si="0"/>
        <v>5.5321195973949078E-2</v>
      </c>
      <c r="AF236" s="6">
        <f t="shared" si="0"/>
        <v>6.4084848937521005E-2</v>
      </c>
      <c r="AG236" s="6">
        <f t="shared" si="0"/>
        <v>9.7511510633632961E-2</v>
      </c>
      <c r="AH236" s="6">
        <f t="shared" si="0"/>
        <v>5.5391403695386685E-2</v>
      </c>
      <c r="AI236" s="6">
        <f t="shared" si="0"/>
        <v>9.8103287756256943E-2</v>
      </c>
      <c r="AJ236" s="6">
        <f t="shared" si="0"/>
        <v>5.6554398780051585E-2</v>
      </c>
      <c r="AK236" s="6">
        <f t="shared" si="0"/>
        <v>9.8346699358090262E-2</v>
      </c>
      <c r="AL236" s="6">
        <f t="shared" si="0"/>
        <v>5.6824796274738062E-2</v>
      </c>
      <c r="AM236" s="6">
        <f t="shared" si="0"/>
        <v>7.7702023433073156E-2</v>
      </c>
      <c r="AN236" s="6">
        <f t="shared" si="0"/>
        <v>5.6601484297587511E-2</v>
      </c>
      <c r="AO236" s="6">
        <f t="shared" si="0"/>
        <v>5.4973197039737826E-2</v>
      </c>
      <c r="AP236" s="6">
        <f t="shared" si="0"/>
        <v>5.9612354816253252E-2</v>
      </c>
      <c r="AQ236" s="6">
        <f t="shared" si="0"/>
        <v>5.8728393813807747E-2</v>
      </c>
      <c r="AR236" s="6">
        <f t="shared" si="0"/>
        <v>5.9884559884559888E-2</v>
      </c>
    </row>
    <row r="237" spans="24:67" x14ac:dyDescent="0.3">
      <c r="X237" s="1" t="s">
        <v>70</v>
      </c>
      <c r="Y237" s="6">
        <f t="shared" si="1"/>
        <v>0.11628425275401694</v>
      </c>
      <c r="Z237" s="6">
        <f t="shared" si="0"/>
        <v>9.1949787505834379E-2</v>
      </c>
      <c r="AA237" s="6">
        <f t="shared" si="0"/>
        <v>5.1268922345090714E-2</v>
      </c>
      <c r="AB237" s="6">
        <f t="shared" si="0"/>
        <v>5.0343803956017327E-2</v>
      </c>
      <c r="AC237" s="6">
        <f t="shared" si="0"/>
        <v>0.11699392018912173</v>
      </c>
      <c r="AD237" s="6">
        <f t="shared" si="0"/>
        <v>0.11264939734629799</v>
      </c>
      <c r="AE237" s="6">
        <f t="shared" si="0"/>
        <v>5.0936693331970255E-2</v>
      </c>
      <c r="AF237" s="6">
        <f t="shared" si="0"/>
        <v>9.3867420796582682E-2</v>
      </c>
      <c r="AG237" s="6">
        <f t="shared" si="0"/>
        <v>7.4377869945193298E-2</v>
      </c>
      <c r="AH237" s="6">
        <f t="shared" si="0"/>
        <v>8.09815510086766E-2</v>
      </c>
      <c r="AI237" s="6">
        <f t="shared" si="0"/>
        <v>6.6055849675639391E-2</v>
      </c>
      <c r="AJ237" s="6">
        <f t="shared" si="0"/>
        <v>5.8384623009615132E-2</v>
      </c>
      <c r="AK237" s="6">
        <f t="shared" si="0"/>
        <v>5.5862999366757517E-2</v>
      </c>
      <c r="AL237" s="6">
        <f t="shared" si="0"/>
        <v>5.1880546807901516E-2</v>
      </c>
      <c r="AM237" s="6">
        <f t="shared" si="0"/>
        <v>5.3584579949994611E-2</v>
      </c>
      <c r="AN237" s="6">
        <f t="shared" si="0"/>
        <v>5.3180697056094302E-2</v>
      </c>
      <c r="AO237" s="6">
        <f t="shared" si="0"/>
        <v>5.5462105238219338E-2</v>
      </c>
      <c r="AP237" s="6">
        <f t="shared" si="0"/>
        <v>5.3126355879091737E-2</v>
      </c>
      <c r="AQ237" s="6">
        <f t="shared" si="0"/>
        <v>5.5317420354001022E-2</v>
      </c>
      <c r="AR237" s="6">
        <f t="shared" si="0"/>
        <v>4.7744154763172744E-2</v>
      </c>
    </row>
    <row r="238" spans="24:67" x14ac:dyDescent="0.3">
      <c r="X238" s="1" t="s">
        <v>71</v>
      </c>
      <c r="Y238" s="6">
        <f t="shared" si="1"/>
        <v>0.11201864174694308</v>
      </c>
      <c r="Z238" s="6">
        <f t="shared" si="0"/>
        <v>0.11093692846318649</v>
      </c>
      <c r="AA238" s="6">
        <f t="shared" si="0"/>
        <v>5.1523825559858565E-2</v>
      </c>
      <c r="AB238" s="6">
        <f t="shared" si="0"/>
        <v>5.1897905759162297E-2</v>
      </c>
      <c r="AC238" s="6">
        <f t="shared" si="0"/>
        <v>0.11586517747655188</v>
      </c>
      <c r="AD238" s="6">
        <f t="shared" si="0"/>
        <v>0.10979949360158762</v>
      </c>
      <c r="AE238" s="6">
        <f t="shared" si="0"/>
        <v>5.0657357201218146E-2</v>
      </c>
      <c r="AF238" s="6">
        <f t="shared" si="0"/>
        <v>0.10809692226653622</v>
      </c>
      <c r="AG238" s="6">
        <f t="shared" si="0"/>
        <v>4.721236957195496E-2</v>
      </c>
      <c r="AH238" s="6">
        <f t="shared" si="0"/>
        <v>4.6447481837212166E-2</v>
      </c>
      <c r="AI238" s="6">
        <f t="shared" si="0"/>
        <v>4.7489000151722048E-2</v>
      </c>
      <c r="AJ238" s="6">
        <f t="shared" si="0"/>
        <v>4.6952295541990922E-2</v>
      </c>
      <c r="AK238" s="6">
        <f t="shared" si="0"/>
        <v>4.7667739316110791E-2</v>
      </c>
      <c r="AL238" s="6">
        <f t="shared" si="0"/>
        <v>4.6775672854928993E-2</v>
      </c>
      <c r="AM238" s="6">
        <f t="shared" si="0"/>
        <v>4.6838001732601789E-2</v>
      </c>
      <c r="AN238" s="6">
        <f t="shared" si="0"/>
        <v>4.7056824938418416E-2</v>
      </c>
      <c r="AO238" s="6">
        <f t="shared" si="0"/>
        <v>4.7145409455747848E-2</v>
      </c>
      <c r="AP238" s="6">
        <f t="shared" si="0"/>
        <v>6.1690083208293549E-2</v>
      </c>
      <c r="AQ238" s="6">
        <f t="shared" si="0"/>
        <v>4.9437506450614101E-2</v>
      </c>
      <c r="AR238" s="6">
        <f t="shared" si="0"/>
        <v>4.7141107203540519E-2</v>
      </c>
    </row>
    <row r="239" spans="24:67" x14ac:dyDescent="0.3">
      <c r="X239" s="1" t="s">
        <v>72</v>
      </c>
      <c r="Y239" s="6">
        <f t="shared" si="1"/>
        <v>0.10473111917629317</v>
      </c>
      <c r="Z239" s="6">
        <f t="shared" si="0"/>
        <v>0.10272319889693209</v>
      </c>
      <c r="AA239" s="6">
        <f t="shared" si="0"/>
        <v>6.2800384492149947E-2</v>
      </c>
      <c r="AB239" s="6">
        <f t="shared" si="0"/>
        <v>8.4698859767317183E-2</v>
      </c>
      <c r="AC239" s="6">
        <f t="shared" si="0"/>
        <v>0.1331253928533308</v>
      </c>
      <c r="AD239" s="6">
        <f t="shared" si="0"/>
        <v>0.10207649073849072</v>
      </c>
      <c r="AE239" s="6">
        <f t="shared" si="0"/>
        <v>8.5684110784294373E-2</v>
      </c>
      <c r="AF239" s="6">
        <f t="shared" si="0"/>
        <v>0.15708779030548325</v>
      </c>
      <c r="AG239" s="6">
        <f t="shared" si="0"/>
        <v>6.5520450649032572E-2</v>
      </c>
      <c r="AH239" s="6">
        <f t="shared" si="0"/>
        <v>0.12572909915748542</v>
      </c>
      <c r="AI239" s="6">
        <f t="shared" si="0"/>
        <v>7.0938151494093118E-2</v>
      </c>
      <c r="AJ239" s="6">
        <f t="shared" si="0"/>
        <v>0.12543238904840498</v>
      </c>
      <c r="AK239" s="6">
        <f t="shared" si="0"/>
        <v>7.1329356246104536E-2</v>
      </c>
      <c r="AL239" s="6">
        <f t="shared" si="0"/>
        <v>0.11465793082431813</v>
      </c>
      <c r="AM239" s="6">
        <f t="shared" si="0"/>
        <v>7.9387309234376618E-2</v>
      </c>
      <c r="AN239" s="6">
        <f t="shared" si="0"/>
        <v>4.6887413132177924E-2</v>
      </c>
      <c r="AO239" s="6">
        <f t="shared" si="0"/>
        <v>6.3359872611464974E-2</v>
      </c>
      <c r="AP239" s="6">
        <f t="shared" si="0"/>
        <v>6.3652701924586899E-2</v>
      </c>
      <c r="AQ239" s="6">
        <f t="shared" si="0"/>
        <v>5.6703151340146314E-2</v>
      </c>
      <c r="AR239" s="6">
        <f t="shared" si="0"/>
        <v>5.3188765374325646E-2</v>
      </c>
    </row>
    <row r="240" spans="24:67" x14ac:dyDescent="0.3">
      <c r="X240" s="1" t="s">
        <v>73</v>
      </c>
      <c r="Y240" s="6">
        <f t="shared" si="1"/>
        <v>6.1000204600590413E-2</v>
      </c>
      <c r="Z240" s="6">
        <f t="shared" si="0"/>
        <v>5.5293167920869253E-2</v>
      </c>
      <c r="AA240" s="6">
        <f t="shared" si="0"/>
        <v>4.8426318349197528E-2</v>
      </c>
      <c r="AB240" s="6">
        <f t="shared" si="0"/>
        <v>4.8282984766331014E-2</v>
      </c>
      <c r="AC240" s="6">
        <f t="shared" si="0"/>
        <v>4.6339050131926122E-2</v>
      </c>
      <c r="AD240" s="6">
        <f t="shared" si="0"/>
        <v>4.7595000631233432E-2</v>
      </c>
      <c r="AE240" s="6">
        <f t="shared" si="0"/>
        <v>4.5532723816420748E-2</v>
      </c>
      <c r="AF240" s="6">
        <f t="shared" si="0"/>
        <v>7.144791256400157E-2</v>
      </c>
      <c r="AG240" s="6">
        <f t="shared" si="0"/>
        <v>6.3104590014932155E-2</v>
      </c>
      <c r="AH240" s="6">
        <f t="shared" si="0"/>
        <v>6.6139441646702185E-2</v>
      </c>
      <c r="AI240" s="6">
        <f t="shared" si="0"/>
        <v>6.8418000981222957E-2</v>
      </c>
      <c r="AJ240" s="6">
        <f t="shared" si="0"/>
        <v>6.7270652018832935E-2</v>
      </c>
      <c r="AK240" s="6">
        <f t="shared" si="0"/>
        <v>6.7081067081067078E-2</v>
      </c>
      <c r="AL240" s="6">
        <f t="shared" si="0"/>
        <v>5.7742440041710114E-2</v>
      </c>
      <c r="AM240" s="6">
        <f t="shared" si="0"/>
        <v>7.1936598252387726E-2</v>
      </c>
      <c r="AN240" s="6">
        <f t="shared" si="0"/>
        <v>6.8856601389766278E-2</v>
      </c>
      <c r="AO240" s="6">
        <f t="shared" si="0"/>
        <v>7.791770813305135E-2</v>
      </c>
      <c r="AP240" s="6">
        <f t="shared" si="0"/>
        <v>7.3004294370257072E-2</v>
      </c>
      <c r="AQ240" s="6">
        <f t="shared" si="0"/>
        <v>7.4202904993165369E-2</v>
      </c>
      <c r="AR240" s="6">
        <f t="shared" si="0"/>
        <v>7.0300958781102457E-2</v>
      </c>
    </row>
    <row r="241" spans="24:45" x14ac:dyDescent="0.3">
      <c r="AS241" s="7">
        <f>AVERAGE(Y233:AR240)</f>
        <v>7.1133818230531415E-2</v>
      </c>
    </row>
    <row r="242" spans="24:45" x14ac:dyDescent="0.3">
      <c r="AS242" s="7"/>
    </row>
    <row r="243" spans="24:45" x14ac:dyDescent="0.3">
      <c r="AS243" s="7"/>
    </row>
    <row r="244" spans="24:45" x14ac:dyDescent="0.3">
      <c r="X244" t="s">
        <v>75</v>
      </c>
      <c r="AS244" s="7"/>
    </row>
    <row r="245" spans="24:45" x14ac:dyDescent="0.3">
      <c r="X245" s="1" t="s">
        <v>6</v>
      </c>
      <c r="Y245" s="1" t="s">
        <v>63</v>
      </c>
      <c r="Z245" s="1" t="s">
        <v>64</v>
      </c>
      <c r="AA245" s="1" t="s">
        <v>63</v>
      </c>
      <c r="AB245" s="1" t="s">
        <v>64</v>
      </c>
      <c r="AC245" s="1" t="s">
        <v>63</v>
      </c>
      <c r="AD245" s="1" t="s">
        <v>64</v>
      </c>
      <c r="AE245" s="1" t="s">
        <v>63</v>
      </c>
      <c r="AF245" s="1" t="s">
        <v>64</v>
      </c>
      <c r="AG245" s="1" t="s">
        <v>63</v>
      </c>
      <c r="AH245" s="1" t="s">
        <v>64</v>
      </c>
      <c r="AI245" s="1" t="s">
        <v>63</v>
      </c>
      <c r="AJ245" s="1" t="s">
        <v>64</v>
      </c>
      <c r="AK245" s="1" t="s">
        <v>63</v>
      </c>
      <c r="AL245" s="1" t="s">
        <v>64</v>
      </c>
      <c r="AM245" s="1" t="s">
        <v>63</v>
      </c>
      <c r="AN245" s="1" t="s">
        <v>64</v>
      </c>
      <c r="AO245" s="1" t="s">
        <v>63</v>
      </c>
      <c r="AP245" s="1" t="s">
        <v>64</v>
      </c>
      <c r="AQ245" s="1" t="s">
        <v>63</v>
      </c>
      <c r="AR245" s="1" t="s">
        <v>64</v>
      </c>
      <c r="AS245" s="7"/>
    </row>
    <row r="246" spans="24:45" x14ac:dyDescent="0.3">
      <c r="X246" s="1" t="s">
        <v>65</v>
      </c>
      <c r="Y246" s="1" t="s">
        <v>53</v>
      </c>
      <c r="Z246" s="1" t="s">
        <v>53</v>
      </c>
      <c r="AA246" s="1" t="s">
        <v>54</v>
      </c>
      <c r="AB246" s="1" t="s">
        <v>54</v>
      </c>
      <c r="AC246" s="1" t="s">
        <v>55</v>
      </c>
      <c r="AD246" s="1" t="s">
        <v>55</v>
      </c>
      <c r="AE246" s="1" t="s">
        <v>56</v>
      </c>
      <c r="AF246" s="1" t="s">
        <v>56</v>
      </c>
      <c r="AG246" s="1" t="s">
        <v>57</v>
      </c>
      <c r="AH246" s="1" t="s">
        <v>57</v>
      </c>
      <c r="AI246" s="1" t="s">
        <v>58</v>
      </c>
      <c r="AJ246" s="1" t="s">
        <v>58</v>
      </c>
      <c r="AK246" s="1" t="s">
        <v>59</v>
      </c>
      <c r="AL246" s="1" t="s">
        <v>59</v>
      </c>
      <c r="AM246" s="1" t="s">
        <v>60</v>
      </c>
      <c r="AN246" s="1" t="s">
        <v>60</v>
      </c>
      <c r="AO246" s="1" t="s">
        <v>61</v>
      </c>
      <c r="AP246" s="1" t="s">
        <v>61</v>
      </c>
      <c r="AQ246" s="1" t="s">
        <v>62</v>
      </c>
      <c r="AR246" s="1" t="s">
        <v>62</v>
      </c>
      <c r="AS246" s="7"/>
    </row>
    <row r="247" spans="24:45" x14ac:dyDescent="0.3">
      <c r="X247" s="1" t="s">
        <v>7</v>
      </c>
      <c r="Y247">
        <v>1.3</v>
      </c>
      <c r="Z247">
        <v>1.3</v>
      </c>
      <c r="AA247">
        <v>1.3</v>
      </c>
      <c r="AB247">
        <v>1.3</v>
      </c>
      <c r="AC247">
        <v>0.5</v>
      </c>
      <c r="AD247">
        <v>0.5</v>
      </c>
      <c r="AE247">
        <v>1.6</v>
      </c>
      <c r="AF247">
        <v>1.6</v>
      </c>
      <c r="AG247">
        <v>2</v>
      </c>
      <c r="AH247">
        <v>2</v>
      </c>
      <c r="AI247">
        <v>3.6</v>
      </c>
      <c r="AJ247">
        <v>3.6</v>
      </c>
      <c r="AK247">
        <v>2.9</v>
      </c>
      <c r="AL247">
        <v>2.9</v>
      </c>
      <c r="AM247">
        <v>3.8</v>
      </c>
      <c r="AN247">
        <v>3.8</v>
      </c>
      <c r="AO247">
        <v>3.4</v>
      </c>
      <c r="AP247">
        <v>3.4</v>
      </c>
      <c r="AQ247">
        <v>4.5</v>
      </c>
      <c r="AR247">
        <v>4.5</v>
      </c>
      <c r="AS247" s="7"/>
    </row>
    <row r="248" spans="24:45" x14ac:dyDescent="0.3">
      <c r="X248" s="1" t="s">
        <v>66</v>
      </c>
      <c r="Y248" s="6">
        <f>(Y163+Y135)/(Y163+Y135+AV135+AV163)</f>
        <v>0.1365024630541872</v>
      </c>
      <c r="Z248" s="6">
        <f t="shared" ref="Z248:AO255" si="2">(Z163+Z135)/(Z163+Z135+AW135+AW163)</f>
        <v>0.15031512605042016</v>
      </c>
      <c r="AA248" s="6">
        <f t="shared" si="2"/>
        <v>6.1435786435786441E-2</v>
      </c>
      <c r="AB248" s="6">
        <f t="shared" si="2"/>
        <v>6.1111111111111116E-2</v>
      </c>
      <c r="AC248" s="6">
        <f t="shared" si="2"/>
        <v>6.113861386138613E-2</v>
      </c>
      <c r="AD248" s="6">
        <f t="shared" si="2"/>
        <v>6.6925010473397578E-2</v>
      </c>
      <c r="AE248" s="6">
        <f t="shared" si="2"/>
        <v>9.5116965705201006E-2</v>
      </c>
      <c r="AF248" s="6">
        <f t="shared" si="2"/>
        <v>6.0193561960866816E-2</v>
      </c>
      <c r="AG248" s="6">
        <f t="shared" si="2"/>
        <v>0.11581710785386129</v>
      </c>
      <c r="AH248" s="6">
        <f t="shared" si="2"/>
        <v>4.9304677623261697E-2</v>
      </c>
      <c r="AI248" s="6">
        <f t="shared" si="2"/>
        <v>7.1639042357274405E-2</v>
      </c>
      <c r="AJ248" s="6">
        <f t="shared" si="2"/>
        <v>2.3938223938223941E-2</v>
      </c>
      <c r="AK248" s="6">
        <f t="shared" si="2"/>
        <v>8.4204596665164486E-2</v>
      </c>
      <c r="AL248" s="6">
        <f t="shared" si="2"/>
        <v>1.7783711615487315E-2</v>
      </c>
      <c r="AM248" s="6">
        <f t="shared" si="2"/>
        <v>0.10124355474673948</v>
      </c>
      <c r="AN248" s="6">
        <f t="shared" si="2"/>
        <v>3.4951758481170242E-2</v>
      </c>
      <c r="AO248" s="6">
        <f>(AO163+AO135)/(AO163+AO135+BL135+BL163)</f>
        <v>1.0249709639953544E-2</v>
      </c>
      <c r="AP248" s="6">
        <f t="shared" ref="AP248:AR255" si="3">(AP163+AP135)/(AP163+AP135+BM135+BM163)</f>
        <v>1.0287004192196065E-2</v>
      </c>
      <c r="AQ248" s="6">
        <f t="shared" si="3"/>
        <v>2.0589101620029457E-2</v>
      </c>
      <c r="AR248" s="6">
        <f t="shared" si="3"/>
        <v>1.0267857142857141E-2</v>
      </c>
      <c r="AS248" s="7"/>
    </row>
    <row r="249" spans="24:45" x14ac:dyDescent="0.3">
      <c r="X249" s="1" t="s">
        <v>67</v>
      </c>
      <c r="Y249" s="6">
        <f t="shared" ref="Y249:Y255" si="4">(Y164+Y136)/(Y164+Y136+AV136+AV164)</f>
        <v>0.11288278775079198</v>
      </c>
      <c r="Z249" s="6">
        <f t="shared" si="2"/>
        <v>0.11968911917098445</v>
      </c>
      <c r="AA249" s="6">
        <f t="shared" si="2"/>
        <v>0.11982758620689657</v>
      </c>
      <c r="AB249" s="6">
        <f t="shared" si="2"/>
        <v>0.12012820512820514</v>
      </c>
      <c r="AC249" s="6">
        <f t="shared" si="2"/>
        <v>0.13419726421886249</v>
      </c>
      <c r="AD249" s="6">
        <f t="shared" si="2"/>
        <v>0.120125786163522</v>
      </c>
      <c r="AE249" s="6">
        <f t="shared" si="2"/>
        <v>0.11960000000000001</v>
      </c>
      <c r="AF249" s="6">
        <f t="shared" si="2"/>
        <v>0.13228426395939089</v>
      </c>
      <c r="AG249" s="6">
        <f t="shared" si="2"/>
        <v>0.11260683760683761</v>
      </c>
      <c r="AH249" s="6">
        <f t="shared" si="2"/>
        <v>0.12322110378340853</v>
      </c>
      <c r="AI249" s="6">
        <f t="shared" si="2"/>
        <v>0.12890801993656548</v>
      </c>
      <c r="AJ249" s="6">
        <f t="shared" si="2"/>
        <v>0.12352941176470589</v>
      </c>
      <c r="AK249" s="6">
        <f t="shared" si="2"/>
        <v>0.11743450767841013</v>
      </c>
      <c r="AL249" s="6">
        <f t="shared" si="2"/>
        <v>0.12165656565656566</v>
      </c>
      <c r="AM249" s="6">
        <f t="shared" si="2"/>
        <v>0.11777777777777779</v>
      </c>
      <c r="AN249" s="6">
        <f t="shared" si="2"/>
        <v>0.11742816768723503</v>
      </c>
      <c r="AO249" s="6">
        <f t="shared" si="2"/>
        <v>0.11868435599778884</v>
      </c>
      <c r="AP249" s="6">
        <f t="shared" si="3"/>
        <v>0.12671532846715328</v>
      </c>
      <c r="AQ249" s="6">
        <f t="shared" si="3"/>
        <v>0.112722751761293</v>
      </c>
      <c r="AR249" s="6">
        <f t="shared" si="3"/>
        <v>0.11360774818401938</v>
      </c>
      <c r="AS249" s="7"/>
    </row>
    <row r="250" spans="24:45" x14ac:dyDescent="0.3">
      <c r="X250" s="1" t="s">
        <v>68</v>
      </c>
      <c r="Y250" s="6">
        <f t="shared" si="4"/>
        <v>0.21536886053015086</v>
      </c>
      <c r="Z250" s="6">
        <f t="shared" si="2"/>
        <v>0.11967828418230562</v>
      </c>
      <c r="AA250" s="6">
        <f t="shared" si="2"/>
        <v>0.20069469397532638</v>
      </c>
      <c r="AB250" s="6">
        <f t="shared" si="2"/>
        <v>0.12009617818273854</v>
      </c>
      <c r="AC250" s="6">
        <f t="shared" si="2"/>
        <v>0.30523388237550653</v>
      </c>
      <c r="AD250" s="6">
        <f t="shared" si="2"/>
        <v>0.23780035429315491</v>
      </c>
      <c r="AE250" s="6">
        <f t="shared" si="2"/>
        <v>0.24879666852950186</v>
      </c>
      <c r="AF250" s="6">
        <f t="shared" si="2"/>
        <v>0.16942257099203514</v>
      </c>
      <c r="AG250" s="6">
        <f t="shared" si="2"/>
        <v>0.25354200988467879</v>
      </c>
      <c r="AH250" s="6">
        <f t="shared" si="2"/>
        <v>0.14996828848418955</v>
      </c>
      <c r="AI250" s="6">
        <f t="shared" si="2"/>
        <v>0.25672626280159699</v>
      </c>
      <c r="AJ250" s="6">
        <f t="shared" si="2"/>
        <v>0.15112540192926044</v>
      </c>
      <c r="AK250" s="6">
        <f t="shared" si="2"/>
        <v>0.26616360279361001</v>
      </c>
      <c r="AL250" s="6">
        <f t="shared" si="2"/>
        <v>0.15450041693235886</v>
      </c>
      <c r="AM250" s="6">
        <f t="shared" si="2"/>
        <v>0.27045474156527738</v>
      </c>
      <c r="AN250" s="6">
        <f t="shared" si="2"/>
        <v>0.14470414399892537</v>
      </c>
      <c r="AO250" s="6">
        <f t="shared" si="2"/>
        <v>0.16382371370883522</v>
      </c>
      <c r="AP250" s="6">
        <f t="shared" si="3"/>
        <v>0.13186348599029732</v>
      </c>
      <c r="AQ250" s="6">
        <f t="shared" si="3"/>
        <v>0.13013178408197529</v>
      </c>
      <c r="AR250" s="6">
        <f t="shared" si="3"/>
        <v>0.1326537926684157</v>
      </c>
      <c r="AS250" s="7"/>
    </row>
    <row r="251" spans="24:45" x14ac:dyDescent="0.3">
      <c r="X251" s="1" t="s">
        <v>69</v>
      </c>
      <c r="Y251" s="6">
        <f t="shared" si="4"/>
        <v>0.14124079517082266</v>
      </c>
      <c r="Z251" s="6">
        <f t="shared" si="2"/>
        <v>0.1454280722189866</v>
      </c>
      <c r="AA251" s="6">
        <f t="shared" si="2"/>
        <v>0.13896642138205192</v>
      </c>
      <c r="AB251" s="6">
        <f t="shared" si="2"/>
        <v>0.12027809965237543</v>
      </c>
      <c r="AC251" s="6">
        <f t="shared" si="2"/>
        <v>0.2341865014672318</v>
      </c>
      <c r="AD251" s="6">
        <f t="shared" si="2"/>
        <v>0.21855587674518728</v>
      </c>
      <c r="AE251" s="6">
        <f t="shared" si="2"/>
        <v>0.12988123747617417</v>
      </c>
      <c r="AF251" s="6">
        <f t="shared" si="2"/>
        <v>0.14364828593755308</v>
      </c>
      <c r="AG251" s="6">
        <f t="shared" si="2"/>
        <v>0.19672415502031917</v>
      </c>
      <c r="AH251" s="6">
        <f t="shared" si="2"/>
        <v>0.12672159557325713</v>
      </c>
      <c r="AI251" s="6">
        <f t="shared" si="2"/>
        <v>0.19694114768138996</v>
      </c>
      <c r="AJ251" s="6">
        <f t="shared" si="2"/>
        <v>0.12900611048759197</v>
      </c>
      <c r="AK251" s="6">
        <f t="shared" si="2"/>
        <v>0.19812552457334701</v>
      </c>
      <c r="AL251" s="6">
        <f t="shared" si="2"/>
        <v>0.12959971910112361</v>
      </c>
      <c r="AM251" s="6">
        <f t="shared" si="2"/>
        <v>0.16548410938654842</v>
      </c>
      <c r="AN251" s="6">
        <f t="shared" si="2"/>
        <v>0.12933723196881092</v>
      </c>
      <c r="AO251" s="6">
        <f t="shared" si="2"/>
        <v>0.12799342105263156</v>
      </c>
      <c r="AP251" s="6">
        <f t="shared" si="3"/>
        <v>0.13498577813896789</v>
      </c>
      <c r="AQ251" s="6">
        <f t="shared" si="3"/>
        <v>0.13274766355140186</v>
      </c>
      <c r="AR251" s="6">
        <f t="shared" si="3"/>
        <v>0.13519405026500259</v>
      </c>
      <c r="AS251" s="7"/>
    </row>
    <row r="252" spans="24:45" x14ac:dyDescent="0.3">
      <c r="X252" s="1" t="s">
        <v>70</v>
      </c>
      <c r="Y252" s="6">
        <f t="shared" si="4"/>
        <v>0.21884021103159942</v>
      </c>
      <c r="Z252" s="6">
        <f t="shared" si="2"/>
        <v>0.18464429530201343</v>
      </c>
      <c r="AA252" s="6">
        <f t="shared" si="2"/>
        <v>0.12328818625285499</v>
      </c>
      <c r="AB252" s="6">
        <f t="shared" si="2"/>
        <v>0.12078651685393259</v>
      </c>
      <c r="AC252" s="6">
        <f t="shared" si="2"/>
        <v>0.22269874476987447</v>
      </c>
      <c r="AD252" s="6">
        <f t="shared" si="2"/>
        <v>0.21643849770109008</v>
      </c>
      <c r="AE252" s="6">
        <f t="shared" si="2"/>
        <v>0.12111218881344973</v>
      </c>
      <c r="AF252" s="6">
        <f t="shared" si="2"/>
        <v>0.19115627189908899</v>
      </c>
      <c r="AG252" s="6">
        <f t="shared" si="2"/>
        <v>0.16044405492258254</v>
      </c>
      <c r="AH252" s="6">
        <f t="shared" si="2"/>
        <v>0.17093281148075667</v>
      </c>
      <c r="AI252" s="6">
        <f t="shared" si="2"/>
        <v>0.14684328120012768</v>
      </c>
      <c r="AJ252" s="6">
        <f t="shared" si="2"/>
        <v>0.13408005617977525</v>
      </c>
      <c r="AK252" s="6">
        <f t="shared" si="2"/>
        <v>0.12941680395387151</v>
      </c>
      <c r="AL252" s="6">
        <f t="shared" si="2"/>
        <v>0.12256335988414192</v>
      </c>
      <c r="AM252" s="6">
        <f t="shared" si="2"/>
        <v>0.12522302158273382</v>
      </c>
      <c r="AN252" s="6">
        <f t="shared" si="2"/>
        <v>0.12431774990497908</v>
      </c>
      <c r="AO252" s="6">
        <f t="shared" si="2"/>
        <v>0.12875923190546529</v>
      </c>
      <c r="AP252" s="6">
        <f t="shared" si="3"/>
        <v>0.12441346153846156</v>
      </c>
      <c r="AQ252" s="6">
        <f t="shared" si="3"/>
        <v>0.12824446267432321</v>
      </c>
      <c r="AR252" s="6">
        <f t="shared" si="3"/>
        <v>0.11410321489001693</v>
      </c>
      <c r="AS252" s="7"/>
    </row>
    <row r="253" spans="24:45" x14ac:dyDescent="0.3">
      <c r="X253" s="1" t="s">
        <v>71</v>
      </c>
      <c r="Y253" s="6">
        <f t="shared" si="4"/>
        <v>0.23999514916323061</v>
      </c>
      <c r="Z253" s="6">
        <f t="shared" si="2"/>
        <v>0.23669117647058821</v>
      </c>
      <c r="AA253" s="6">
        <f t="shared" si="2"/>
        <v>0.1403943661971831</v>
      </c>
      <c r="AB253" s="6">
        <f t="shared" si="2"/>
        <v>0.13906789413118528</v>
      </c>
      <c r="AC253" s="6">
        <f t="shared" si="2"/>
        <v>0.2494580040562277</v>
      </c>
      <c r="AD253" s="6">
        <f t="shared" si="2"/>
        <v>0.24016994335221592</v>
      </c>
      <c r="AE253" s="6">
        <f t="shared" si="2"/>
        <v>0.14078549848942595</v>
      </c>
      <c r="AF253" s="6">
        <f t="shared" si="2"/>
        <v>0.2376390354794187</v>
      </c>
      <c r="AG253" s="6">
        <f t="shared" si="2"/>
        <v>0.132436627004656</v>
      </c>
      <c r="AH253" s="6">
        <f t="shared" si="2"/>
        <v>0.1321480275063337</v>
      </c>
      <c r="AI253" s="6">
        <f t="shared" si="2"/>
        <v>0.13244191144234985</v>
      </c>
      <c r="AJ253" s="6">
        <f t="shared" si="2"/>
        <v>0.1312608715043932</v>
      </c>
      <c r="AK253" s="6">
        <f t="shared" si="2"/>
        <v>0.13248721694667642</v>
      </c>
      <c r="AL253" s="6">
        <f t="shared" si="2"/>
        <v>0.13171495693030541</v>
      </c>
      <c r="AM253" s="6">
        <f t="shared" si="2"/>
        <v>0.13259919912631962</v>
      </c>
      <c r="AN253" s="6">
        <f t="shared" si="2"/>
        <v>0.13178528347406515</v>
      </c>
      <c r="AO253" s="6">
        <f t="shared" si="2"/>
        <v>0.13321624588364434</v>
      </c>
      <c r="AP253" s="6">
        <f t="shared" si="3"/>
        <v>0.15988265493215989</v>
      </c>
      <c r="AQ253" s="6">
        <f t="shared" si="3"/>
        <v>0.13688192948347433</v>
      </c>
      <c r="AR253" s="6">
        <f t="shared" si="3"/>
        <v>0.13254019292604505</v>
      </c>
      <c r="AS253" s="7"/>
    </row>
    <row r="254" spans="24:45" x14ac:dyDescent="0.3">
      <c r="X254" s="1" t="s">
        <v>72</v>
      </c>
      <c r="Y254" s="6">
        <f t="shared" si="4"/>
        <v>0.23106775067750682</v>
      </c>
      <c r="Z254" s="6">
        <f t="shared" si="2"/>
        <v>0.22963293706163607</v>
      </c>
      <c r="AA254" s="6">
        <f t="shared" si="2"/>
        <v>0.16387968263533192</v>
      </c>
      <c r="AB254" s="6">
        <f t="shared" si="2"/>
        <v>0.20426924275475225</v>
      </c>
      <c r="AC254" s="6">
        <f t="shared" si="2"/>
        <v>0.27442816052595531</v>
      </c>
      <c r="AD254" s="6">
        <f t="shared" si="2"/>
        <v>0.23354672316123981</v>
      </c>
      <c r="AE254" s="6">
        <f t="shared" si="2"/>
        <v>0.20649494341673627</v>
      </c>
      <c r="AF254" s="6">
        <f t="shared" si="2"/>
        <v>0.31146344245465951</v>
      </c>
      <c r="AG254" s="6">
        <f t="shared" si="2"/>
        <v>0.16950157055651038</v>
      </c>
      <c r="AH254" s="6">
        <f t="shared" si="2"/>
        <v>0.26612008680974197</v>
      </c>
      <c r="AI254" s="6">
        <f t="shared" si="2"/>
        <v>0.17949831257771026</v>
      </c>
      <c r="AJ254" s="6">
        <f t="shared" si="2"/>
        <v>0.26558440455772719</v>
      </c>
      <c r="AK254" s="6">
        <f t="shared" si="2"/>
        <v>0.18043633375856777</v>
      </c>
      <c r="AL254" s="6">
        <f t="shared" si="2"/>
        <v>0.25076684139002137</v>
      </c>
      <c r="AM254" s="6">
        <f t="shared" si="2"/>
        <v>0.19292295628308176</v>
      </c>
      <c r="AN254" s="6">
        <f t="shared" si="2"/>
        <v>0.13277711561382596</v>
      </c>
      <c r="AO254" s="6">
        <f t="shared" si="2"/>
        <v>0.16356462641244393</v>
      </c>
      <c r="AP254" s="6">
        <f t="shared" si="3"/>
        <v>0.1670590145304002</v>
      </c>
      <c r="AQ254" s="6">
        <f t="shared" si="3"/>
        <v>0.14982354828360603</v>
      </c>
      <c r="AR254" s="6">
        <f t="shared" si="3"/>
        <v>0.14540816326530612</v>
      </c>
      <c r="AS254" s="7"/>
    </row>
    <row r="255" spans="24:45" x14ac:dyDescent="0.3">
      <c r="X255" s="1" t="s">
        <v>73</v>
      </c>
      <c r="Y255" s="6">
        <f t="shared" si="4"/>
        <v>0.16724470134874758</v>
      </c>
      <c r="Z255" s="6">
        <f t="shared" si="2"/>
        <v>0.15283867341202922</v>
      </c>
      <c r="AA255" s="6">
        <f t="shared" si="2"/>
        <v>0.14075235109717868</v>
      </c>
      <c r="AB255" s="6">
        <f t="shared" si="2"/>
        <v>0.14073107049608352</v>
      </c>
      <c r="AC255" s="6">
        <f t="shared" si="2"/>
        <v>5.8378870673952643E-2</v>
      </c>
      <c r="AD255" s="6">
        <f t="shared" si="2"/>
        <v>0.14090534979423869</v>
      </c>
      <c r="AE255" s="6">
        <f t="shared" si="2"/>
        <v>0.14107391910739192</v>
      </c>
      <c r="AF255" s="6">
        <f t="shared" si="2"/>
        <v>0.1907119283356907</v>
      </c>
      <c r="AG255" s="6">
        <f t="shared" si="2"/>
        <v>0.17803850782190134</v>
      </c>
      <c r="AH255" s="6">
        <f t="shared" si="2"/>
        <v>0.17528362345197887</v>
      </c>
      <c r="AI255" s="6">
        <f t="shared" si="2"/>
        <v>0.18252126836813612</v>
      </c>
      <c r="AJ255" s="6">
        <f t="shared" si="2"/>
        <v>0.17423540315106581</v>
      </c>
      <c r="AK255" s="6">
        <f t="shared" si="2"/>
        <v>0.18246376811594203</v>
      </c>
      <c r="AL255" s="6">
        <f t="shared" si="2"/>
        <v>0.15856236786469344</v>
      </c>
      <c r="AM255" s="6">
        <f t="shared" si="2"/>
        <v>0.18745210727969347</v>
      </c>
      <c r="AN255" s="6">
        <f t="shared" si="2"/>
        <v>0.17846291331546024</v>
      </c>
      <c r="AO255" s="6">
        <f t="shared" si="2"/>
        <v>0.19232505643340858</v>
      </c>
      <c r="AP255" s="6">
        <f t="shared" si="3"/>
        <v>0.18916666666666662</v>
      </c>
      <c r="AQ255" s="6">
        <f t="shared" si="3"/>
        <v>0.18884057971014495</v>
      </c>
      <c r="AR255" s="6">
        <f t="shared" si="3"/>
        <v>0.18043290043290044</v>
      </c>
      <c r="AS255" s="7"/>
    </row>
    <row r="256" spans="24:45" x14ac:dyDescent="0.3">
      <c r="AS256" s="7">
        <f>AVERAGE(Y248:AR255)</f>
        <v>0.15140254999390632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2026-01-23T13:46:57Z</dcterms:created>
  <dcterms:modified xsi:type="dcterms:W3CDTF">2026-01-26T12:05:24Z</dcterms:modified>
</cp:coreProperties>
</file>