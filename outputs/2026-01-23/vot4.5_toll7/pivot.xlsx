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23\vot4.5_toll7\"/>
    </mc:Choice>
  </mc:AlternateContent>
  <xr:revisionPtr revIDLastSave="0" documentId="13_ncr:1_{AE4A6716-F09B-4DED-9BA2-B2D6E026E3E3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55" i="2" l="1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AR254" i="2"/>
  <c r="AQ254" i="2"/>
  <c r="AP254" i="2"/>
  <c r="AO254" i="2"/>
  <c r="AN254" i="2"/>
  <c r="AM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AR253" i="2"/>
  <c r="AQ253" i="2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AR252" i="2"/>
  <c r="AQ252" i="2"/>
  <c r="AP252" i="2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S256" i="2" s="1"/>
  <c r="AA248" i="2"/>
  <c r="Z248" i="2"/>
  <c r="Y248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AS241" i="2" s="1"/>
  <c r="W101" i="2"/>
  <c r="W87" i="2"/>
  <c r="W45" i="2"/>
  <c r="W73" i="2" s="1"/>
  <c r="BP227" i="2"/>
  <c r="BP115" i="2"/>
  <c r="BP143" i="2"/>
  <c r="BP171" i="2"/>
  <c r="BP199" i="2"/>
  <c r="AS199" i="2"/>
  <c r="AS171" i="2"/>
  <c r="AS115" i="2"/>
  <c r="AS143" i="2"/>
  <c r="W59" i="2" l="1"/>
</calcChain>
</file>

<file path=xl/sharedStrings.xml><?xml version="1.0" encoding="utf-8"?>
<sst xmlns="http://schemas.openxmlformats.org/spreadsheetml/2006/main" count="3096" uniqueCount="76">
  <si>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</si>
  <si>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</si>
  <si>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</si>
  <si>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</si>
  <si>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</si>
  <si>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</si>
  <si>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</si>
  <si>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</si>
  <si>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</si>
  <si>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</si>
  <si>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</si>
  <si>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</si>
  <si>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</si>
  <si>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</si>
  <si>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</si>
  <si>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</si>
  <si>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</si>
  <si>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</si>
  <si>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</si>
  <si>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</si>
  <si>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</si>
  <si>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</si>
  <si>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</si>
  <si>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</si>
  <si>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</si>
  <si>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</si>
  <si>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</si>
  <si>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</si>
  <si>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</si>
  <si>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</si>
  <si>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</si>
  <si>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</si>
  <si>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</si>
  <si>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</si>
  <si>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</si>
  <si>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</si>
  <si>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</si>
  <si>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</si>
  <si>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</si>
  <si>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</si>
  <si>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</si>
  <si>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</si>
  <si>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</si>
  <si>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</si>
  <si>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</si>
  <si>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</si>
  <si>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</si>
  <si>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</si>
  <si>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</si>
  <si>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</si>
  <si>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</si>
  <si>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</si>
  <si>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</si>
  <si>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</si>
  <si>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</si>
  <si>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</si>
  <si>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</si>
  <si>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</si>
  <si>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</si>
  <si>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</si>
  <si>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</si>
  <si>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</si>
  <si>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</si>
  <si>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</si>
  <si>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</si>
  <si>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</si>
  <si>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</si>
  <si>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</si>
  <si>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</si>
  <si>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</si>
  <si>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</si>
  <si>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</si>
  <si>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</si>
  <si>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</si>
  <si>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 Heavies</t>
  </si>
  <si>
    <t>Capture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</si>
</sst>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164" fontId="0" fillId="0" borderId="0" xfId="1" applyNumberFormat="1" applyFont="1"/>
    <xf numFmtId="9" fontId="0" fillId="0" borderId="0" xfId="1" applyFont="1"/>
    <xf numFmtId="0" fontId="1" fillId="0" borderId="1" xfId="0" applyFont="1" applyBorder="1" applyAlignment="1">
      <alignment horizontal="center" vertical="top"/>
    </xf>
    <xf numFmtId="9" fontId="0" fillId="0" borderId="2" xfId="1" applyFont="1" applyBorder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56"/>
  <sheetViews>
    <sheetView tabSelected="1" topLeftCell="A24" zoomScale="78" workbookViewId="0">
      <selection activeCell="AS260" sqref="AS258:AS260"/>
    </sheetView>
  </sheetViews>
  <sheetFormatPr defaultRowHeight="14.4" x14ac:dyDescent="0.3"/>
  <cols>
    <col min="25" max="25" width="13.109375" bestFit="1" customWidth="1"/>
  </cols>
  <sheetData>
    <row r="1" spans="2:90" x14ac:dyDescent="0.3">
      <c r="B1" t="s">
        <v>0</v>
      </c>
    </row>
    <row r="2" spans="2:90" x14ac:dyDescent="0.3"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63</v>
      </c>
      <c r="D6" s="1" t="s">
        <v>64</v>
      </c>
      <c r="E6" s="1" t="s">
        <v>63</v>
      </c>
      <c r="F6" s="1" t="s">
        <v>64</v>
      </c>
      <c r="G6" s="1" t="s">
        <v>63</v>
      </c>
      <c r="H6" s="1" t="s">
        <v>64</v>
      </c>
      <c r="I6" s="1" t="s">
        <v>63</v>
      </c>
      <c r="J6" s="1" t="s">
        <v>64</v>
      </c>
      <c r="K6" s="1" t="s">
        <v>63</v>
      </c>
      <c r="L6" s="1" t="s">
        <v>64</v>
      </c>
      <c r="M6" s="1" t="s">
        <v>63</v>
      </c>
      <c r="N6" s="1" t="s">
        <v>64</v>
      </c>
      <c r="O6" s="1" t="s">
        <v>63</v>
      </c>
      <c r="P6" s="1" t="s">
        <v>64</v>
      </c>
      <c r="Q6" s="1" t="s">
        <v>63</v>
      </c>
      <c r="R6" s="1" t="s">
        <v>64</v>
      </c>
      <c r="S6" s="1" t="s">
        <v>63</v>
      </c>
      <c r="T6" s="1" t="s">
        <v>64</v>
      </c>
      <c r="U6" s="1" t="s">
        <v>63</v>
      </c>
      <c r="V6" s="1" t="s">
        <v>64</v>
      </c>
      <c r="X6" s="1" t="s">
        <v>6</v>
      </c>
      <c r="Y6" s="1" t="s">
        <v>63</v>
      </c>
      <c r="Z6" s="1" t="s">
        <v>64</v>
      </c>
      <c r="AA6" s="1" t="s">
        <v>63</v>
      </c>
      <c r="AB6" s="1" t="s">
        <v>64</v>
      </c>
      <c r="AC6" s="1" t="s">
        <v>63</v>
      </c>
      <c r="AD6" s="1" t="s">
        <v>64</v>
      </c>
      <c r="AE6" s="1" t="s">
        <v>63</v>
      </c>
      <c r="AF6" s="1" t="s">
        <v>64</v>
      </c>
      <c r="AG6" s="1" t="s">
        <v>63</v>
      </c>
      <c r="AH6" s="1" t="s">
        <v>64</v>
      </c>
      <c r="AI6" s="1" t="s">
        <v>63</v>
      </c>
      <c r="AJ6" s="1" t="s">
        <v>64</v>
      </c>
      <c r="AK6" s="1" t="s">
        <v>63</v>
      </c>
      <c r="AL6" s="1" t="s">
        <v>64</v>
      </c>
      <c r="AM6" s="1" t="s">
        <v>63</v>
      </c>
      <c r="AN6" s="1" t="s">
        <v>64</v>
      </c>
      <c r="AO6" s="1" t="s">
        <v>63</v>
      </c>
      <c r="AP6" s="1" t="s">
        <v>64</v>
      </c>
      <c r="AQ6" s="1" t="s">
        <v>63</v>
      </c>
      <c r="AR6" s="1" t="s">
        <v>64</v>
      </c>
      <c r="AU6" s="1" t="s">
        <v>6</v>
      </c>
      <c r="AV6" s="1" t="s">
        <v>63</v>
      </c>
      <c r="AW6" s="1" t="s">
        <v>64</v>
      </c>
      <c r="AX6" s="1" t="s">
        <v>63</v>
      </c>
      <c r="AY6" s="1" t="s">
        <v>64</v>
      </c>
      <c r="AZ6" s="1" t="s">
        <v>63</v>
      </c>
      <c r="BA6" s="1" t="s">
        <v>64</v>
      </c>
      <c r="BB6" s="1" t="s">
        <v>63</v>
      </c>
      <c r="BC6" s="1" t="s">
        <v>64</v>
      </c>
      <c r="BD6" s="1" t="s">
        <v>63</v>
      </c>
      <c r="BE6" s="1" t="s">
        <v>64</v>
      </c>
      <c r="BF6" s="1" t="s">
        <v>63</v>
      </c>
      <c r="BG6" s="1" t="s">
        <v>64</v>
      </c>
      <c r="BH6" s="1" t="s">
        <v>63</v>
      </c>
      <c r="BI6" s="1" t="s">
        <v>64</v>
      </c>
      <c r="BJ6" s="1" t="s">
        <v>63</v>
      </c>
      <c r="BK6" s="1" t="s">
        <v>64</v>
      </c>
      <c r="BL6" s="1" t="s">
        <v>63</v>
      </c>
      <c r="BM6" s="1" t="s">
        <v>64</v>
      </c>
      <c r="BN6" s="1" t="s">
        <v>63</v>
      </c>
      <c r="BO6" s="1" t="s">
        <v>64</v>
      </c>
      <c r="BR6" s="1" t="s">
        <v>6</v>
      </c>
      <c r="BS6" s="1" t="s">
        <v>63</v>
      </c>
      <c r="BT6" s="1" t="s">
        <v>64</v>
      </c>
      <c r="BU6" s="1" t="s">
        <v>63</v>
      </c>
      <c r="BV6" s="1" t="s">
        <v>64</v>
      </c>
      <c r="BW6" s="1" t="s">
        <v>63</v>
      </c>
      <c r="BX6" s="1" t="s">
        <v>64</v>
      </c>
      <c r="BY6" s="1" t="s">
        <v>63</v>
      </c>
      <c r="BZ6" s="1" t="s">
        <v>64</v>
      </c>
      <c r="CA6" s="1" t="s">
        <v>63</v>
      </c>
      <c r="CB6" s="1" t="s">
        <v>64</v>
      </c>
      <c r="CC6" s="1" t="s">
        <v>63</v>
      </c>
      <c r="CD6" s="1" t="s">
        <v>64</v>
      </c>
      <c r="CE6" s="1" t="s">
        <v>63</v>
      </c>
      <c r="CF6" s="1" t="s">
        <v>64</v>
      </c>
      <c r="CG6" s="1" t="s">
        <v>63</v>
      </c>
      <c r="CH6" s="1" t="s">
        <v>64</v>
      </c>
      <c r="CI6" s="1" t="s">
        <v>63</v>
      </c>
      <c r="CJ6" s="1" t="s">
        <v>64</v>
      </c>
      <c r="CK6" s="1" t="s">
        <v>63</v>
      </c>
      <c r="CL6" s="1" t="s">
        <v>64</v>
      </c>
    </row>
    <row r="7" spans="2:90" x14ac:dyDescent="0.3">
      <c r="B7" s="1" t="s">
        <v>65</v>
      </c>
      <c r="C7" s="1" t="s">
        <v>53</v>
      </c>
      <c r="D7" s="1" t="s">
        <v>53</v>
      </c>
      <c r="E7" s="1" t="s">
        <v>54</v>
      </c>
      <c r="F7" s="1" t="s">
        <v>54</v>
      </c>
      <c r="G7" s="1" t="s">
        <v>55</v>
      </c>
      <c r="H7" s="1" t="s">
        <v>55</v>
      </c>
      <c r="I7" s="1" t="s">
        <v>56</v>
      </c>
      <c r="J7" s="1" t="s">
        <v>56</v>
      </c>
      <c r="K7" s="1" t="s">
        <v>57</v>
      </c>
      <c r="L7" s="1" t="s">
        <v>57</v>
      </c>
      <c r="M7" s="1" t="s">
        <v>58</v>
      </c>
      <c r="N7" s="1" t="s">
        <v>58</v>
      </c>
      <c r="O7" s="1" t="s">
        <v>59</v>
      </c>
      <c r="P7" s="1" t="s">
        <v>59</v>
      </c>
      <c r="Q7" s="1" t="s">
        <v>60</v>
      </c>
      <c r="R7" s="1" t="s">
        <v>60</v>
      </c>
      <c r="S7" s="1" t="s">
        <v>61</v>
      </c>
      <c r="T7" s="1" t="s">
        <v>61</v>
      </c>
      <c r="U7" s="1" t="s">
        <v>62</v>
      </c>
      <c r="V7" s="1" t="s">
        <v>62</v>
      </c>
      <c r="X7" s="1" t="s">
        <v>65</v>
      </c>
      <c r="Y7" s="1" t="s">
        <v>53</v>
      </c>
      <c r="Z7" s="1" t="s">
        <v>53</v>
      </c>
      <c r="AA7" s="1" t="s">
        <v>54</v>
      </c>
      <c r="AB7" s="1" t="s">
        <v>54</v>
      </c>
      <c r="AC7" s="1" t="s">
        <v>55</v>
      </c>
      <c r="AD7" s="1" t="s">
        <v>55</v>
      </c>
      <c r="AE7" s="1" t="s">
        <v>56</v>
      </c>
      <c r="AF7" s="1" t="s">
        <v>56</v>
      </c>
      <c r="AG7" s="1" t="s">
        <v>57</v>
      </c>
      <c r="AH7" s="1" t="s">
        <v>57</v>
      </c>
      <c r="AI7" s="1" t="s">
        <v>58</v>
      </c>
      <c r="AJ7" s="1" t="s">
        <v>58</v>
      </c>
      <c r="AK7" s="1" t="s">
        <v>59</v>
      </c>
      <c r="AL7" s="1" t="s">
        <v>59</v>
      </c>
      <c r="AM7" s="1" t="s">
        <v>60</v>
      </c>
      <c r="AN7" s="1" t="s">
        <v>60</v>
      </c>
      <c r="AO7" s="1" t="s">
        <v>61</v>
      </c>
      <c r="AP7" s="1" t="s">
        <v>61</v>
      </c>
      <c r="AQ7" s="1" t="s">
        <v>62</v>
      </c>
      <c r="AR7" s="1" t="s">
        <v>62</v>
      </c>
      <c r="AU7" s="1" t="s">
        <v>65</v>
      </c>
      <c r="AV7" s="1" t="s">
        <v>53</v>
      </c>
      <c r="AW7" s="1" t="s">
        <v>53</v>
      </c>
      <c r="AX7" s="1" t="s">
        <v>54</v>
      </c>
      <c r="AY7" s="1" t="s">
        <v>54</v>
      </c>
      <c r="AZ7" s="1" t="s">
        <v>55</v>
      </c>
      <c r="BA7" s="1" t="s">
        <v>55</v>
      </c>
      <c r="BB7" s="1" t="s">
        <v>56</v>
      </c>
      <c r="BC7" s="1" t="s">
        <v>56</v>
      </c>
      <c r="BD7" s="1" t="s">
        <v>57</v>
      </c>
      <c r="BE7" s="1" t="s">
        <v>57</v>
      </c>
      <c r="BF7" s="1" t="s">
        <v>58</v>
      </c>
      <c r="BG7" s="1" t="s">
        <v>58</v>
      </c>
      <c r="BH7" s="1" t="s">
        <v>59</v>
      </c>
      <c r="BI7" s="1" t="s">
        <v>59</v>
      </c>
      <c r="BJ7" s="1" t="s">
        <v>60</v>
      </c>
      <c r="BK7" s="1" t="s">
        <v>60</v>
      </c>
      <c r="BL7" s="1" t="s">
        <v>61</v>
      </c>
      <c r="BM7" s="1" t="s">
        <v>61</v>
      </c>
      <c r="BN7" s="1" t="s">
        <v>62</v>
      </c>
      <c r="BO7" s="1" t="s">
        <v>62</v>
      </c>
      <c r="BR7" s="1" t="s">
        <v>65</v>
      </c>
      <c r="BS7" s="1" t="s">
        <v>53</v>
      </c>
      <c r="BT7" s="1" t="s">
        <v>53</v>
      </c>
      <c r="BU7" s="1" t="s">
        <v>54</v>
      </c>
      <c r="BV7" s="1" t="s">
        <v>54</v>
      </c>
      <c r="BW7" s="1" t="s">
        <v>55</v>
      </c>
      <c r="BX7" s="1" t="s">
        <v>55</v>
      </c>
      <c r="BY7" s="1" t="s">
        <v>56</v>
      </c>
      <c r="BZ7" s="1" t="s">
        <v>56</v>
      </c>
      <c r="CA7" s="1" t="s">
        <v>57</v>
      </c>
      <c r="CB7" s="1" t="s">
        <v>57</v>
      </c>
      <c r="CC7" s="1" t="s">
        <v>58</v>
      </c>
      <c r="CD7" s="1" t="s">
        <v>58</v>
      </c>
      <c r="CE7" s="1" t="s">
        <v>59</v>
      </c>
      <c r="CF7" s="1" t="s">
        <v>59</v>
      </c>
      <c r="CG7" s="1" t="s">
        <v>60</v>
      </c>
      <c r="CH7" s="1" t="s">
        <v>60</v>
      </c>
      <c r="CI7" s="1" t="s">
        <v>61</v>
      </c>
      <c r="CJ7" s="1" t="s">
        <v>61</v>
      </c>
      <c r="CK7" s="1" t="s">
        <v>62</v>
      </c>
      <c r="CL7" s="1" t="s">
        <v>62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66</v>
      </c>
      <c r="Y9" s="2">
        <v>4811.17</v>
      </c>
      <c r="Z9" s="2">
        <v>4637.3599999999997</v>
      </c>
      <c r="AA9" s="2">
        <v>1014.27</v>
      </c>
      <c r="AB9" s="2">
        <v>927.81</v>
      </c>
      <c r="AC9" s="2">
        <v>312.67</v>
      </c>
      <c r="AD9" s="2">
        <v>612.15</v>
      </c>
      <c r="AE9" s="2">
        <v>3905.44</v>
      </c>
      <c r="AF9" s="2">
        <v>2214.2399999999998</v>
      </c>
      <c r="AG9" s="2">
        <v>7137.2</v>
      </c>
      <c r="AH9" s="2">
        <v>2346.4</v>
      </c>
      <c r="AI9" s="2">
        <v>13043.52</v>
      </c>
      <c r="AJ9" s="2">
        <v>3069.36</v>
      </c>
      <c r="AK9" s="2">
        <v>9839.3799999999992</v>
      </c>
      <c r="AL9" s="2">
        <v>1025.1500000000001</v>
      </c>
      <c r="AM9" s="2">
        <v>9544.08</v>
      </c>
      <c r="AN9" s="2">
        <v>2981.86</v>
      </c>
      <c r="AO9" s="2">
        <v>566.94000000000005</v>
      </c>
      <c r="AP9" s="2">
        <v>432.45</v>
      </c>
      <c r="AQ9" s="2">
        <v>2025.45</v>
      </c>
      <c r="AR9" s="2">
        <v>606.33000000000004</v>
      </c>
      <c r="AU9" s="1" t="s">
        <v>66</v>
      </c>
      <c r="AV9" s="2">
        <v>21840</v>
      </c>
      <c r="AW9" s="2">
        <v>21840</v>
      </c>
      <c r="AX9" s="2">
        <v>18808.259999999998</v>
      </c>
      <c r="AY9" s="2">
        <v>17618.900000000001</v>
      </c>
      <c r="AZ9" s="2">
        <v>6864.78</v>
      </c>
      <c r="BA9" s="2">
        <v>8400</v>
      </c>
      <c r="BB9" s="2">
        <v>26880</v>
      </c>
      <c r="BC9" s="2">
        <v>26880</v>
      </c>
      <c r="BD9" s="2">
        <v>33600</v>
      </c>
      <c r="BE9" s="2">
        <v>33600</v>
      </c>
      <c r="BF9" s="2">
        <v>60480</v>
      </c>
      <c r="BG9" s="2">
        <v>60480</v>
      </c>
      <c r="BH9" s="2">
        <v>48691.61</v>
      </c>
      <c r="BI9" s="2">
        <v>48720</v>
      </c>
      <c r="BJ9" s="2">
        <v>63840</v>
      </c>
      <c r="BK9" s="2">
        <v>63840</v>
      </c>
      <c r="BL9" s="2">
        <v>56664.92</v>
      </c>
      <c r="BM9" s="2">
        <v>43702.27</v>
      </c>
      <c r="BN9" s="2">
        <v>75600</v>
      </c>
      <c r="BO9" s="2">
        <v>60906.87</v>
      </c>
      <c r="BR9" s="1" t="s">
        <v>66</v>
      </c>
      <c r="BS9" s="2">
        <v>26651.17</v>
      </c>
      <c r="BT9" s="2">
        <v>26477.360000000001</v>
      </c>
      <c r="BU9" s="2">
        <v>19822.53</v>
      </c>
      <c r="BV9" s="2">
        <v>18546.71</v>
      </c>
      <c r="BW9" s="2">
        <v>7177.45</v>
      </c>
      <c r="BX9" s="2">
        <v>9012.15</v>
      </c>
      <c r="BY9" s="2">
        <v>30785.439999999999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67</v>
      </c>
      <c r="C10" s="2">
        <v>1.22</v>
      </c>
      <c r="D10" s="2">
        <v>0.7</v>
      </c>
      <c r="E10" s="2">
        <v>0.96</v>
      </c>
      <c r="F10" s="2">
        <v>0.6</v>
      </c>
      <c r="G10" s="2">
        <v>0.97</v>
      </c>
      <c r="H10" s="2">
        <v>0.77</v>
      </c>
      <c r="I10" s="2">
        <v>1.1499999999999999</v>
      </c>
      <c r="J10" s="2">
        <v>1.34</v>
      </c>
      <c r="K10" s="2">
        <v>1.28</v>
      </c>
      <c r="L10" s="2">
        <v>1.03</v>
      </c>
      <c r="M10" s="2">
        <v>1.64</v>
      </c>
      <c r="N10" s="2">
        <v>1.06</v>
      </c>
      <c r="O10" s="2">
        <v>1.47</v>
      </c>
      <c r="P10" s="2">
        <v>1.18</v>
      </c>
      <c r="Q10" s="2">
        <v>1.38</v>
      </c>
      <c r="R10" s="2">
        <v>1.02</v>
      </c>
      <c r="S10" s="2">
        <v>1.3</v>
      </c>
      <c r="T10" s="2">
        <v>0.84</v>
      </c>
      <c r="U10" s="2">
        <v>1.06</v>
      </c>
      <c r="V10" s="2">
        <v>0.6</v>
      </c>
      <c r="X10" s="1" t="s">
        <v>67</v>
      </c>
      <c r="Y10" s="2">
        <v>1416.9</v>
      </c>
      <c r="Z10" s="2">
        <v>876.02</v>
      </c>
      <c r="AA10" s="2">
        <v>1453.06</v>
      </c>
      <c r="AB10" s="2">
        <v>936.76</v>
      </c>
      <c r="AC10" s="2">
        <v>349.69</v>
      </c>
      <c r="AD10" s="2">
        <v>454.9</v>
      </c>
      <c r="AE10" s="2">
        <v>1962.14</v>
      </c>
      <c r="AF10" s="2">
        <v>1294.27</v>
      </c>
      <c r="AG10" s="2">
        <v>2291.44</v>
      </c>
      <c r="AH10" s="2">
        <v>1492.84</v>
      </c>
      <c r="AI10" s="2">
        <v>3957.27</v>
      </c>
      <c r="AJ10" s="2">
        <v>2713.91</v>
      </c>
      <c r="AK10" s="2">
        <v>2667.69</v>
      </c>
      <c r="AL10" s="2">
        <v>2345.27</v>
      </c>
      <c r="AM10" s="2">
        <v>3372.28</v>
      </c>
      <c r="AN10" s="2">
        <v>3103.47</v>
      </c>
      <c r="AO10" s="2">
        <v>2934.38</v>
      </c>
      <c r="AP10" s="2">
        <v>2171.14</v>
      </c>
      <c r="AQ10" s="2">
        <v>4636.34</v>
      </c>
      <c r="AR10" s="2">
        <v>2887.87</v>
      </c>
      <c r="AU10" s="1" t="s">
        <v>67</v>
      </c>
      <c r="AV10" s="2">
        <v>9459.42</v>
      </c>
      <c r="AW10" s="2">
        <v>6190</v>
      </c>
      <c r="AX10" s="2">
        <v>8642.74</v>
      </c>
      <c r="AY10" s="2">
        <v>5771.5</v>
      </c>
      <c r="AZ10" s="2">
        <v>2171.0100000000002</v>
      </c>
      <c r="BA10" s="2">
        <v>2807.15</v>
      </c>
      <c r="BB10" s="2">
        <v>11980.58</v>
      </c>
      <c r="BC10" s="2">
        <v>8281.41</v>
      </c>
      <c r="BD10" s="2">
        <v>15127.16</v>
      </c>
      <c r="BE10" s="2">
        <v>10268.76</v>
      </c>
      <c r="BF10" s="2">
        <v>26504.85</v>
      </c>
      <c r="BG10" s="2">
        <v>18811.93</v>
      </c>
      <c r="BH10" s="2">
        <v>17913.03</v>
      </c>
      <c r="BI10" s="2">
        <v>16135.56</v>
      </c>
      <c r="BJ10" s="2">
        <v>22846.58</v>
      </c>
      <c r="BK10" s="2">
        <v>21213.49</v>
      </c>
      <c r="BL10" s="2">
        <v>19889.82</v>
      </c>
      <c r="BM10" s="2">
        <v>15218.16</v>
      </c>
      <c r="BN10" s="2">
        <v>32504.86</v>
      </c>
      <c r="BO10" s="2">
        <v>20724.080000000002</v>
      </c>
      <c r="BR10" s="1" t="s">
        <v>67</v>
      </c>
      <c r="BS10" s="2">
        <v>10876.32</v>
      </c>
      <c r="BT10" s="2">
        <v>7066.02</v>
      </c>
      <c r="BU10" s="2">
        <v>10095.799999999999</v>
      </c>
      <c r="BV10" s="2">
        <v>6708.26</v>
      </c>
      <c r="BW10" s="2">
        <v>2520.6999999999998</v>
      </c>
      <c r="BX10" s="2">
        <v>3262.05</v>
      </c>
      <c r="BY10" s="2">
        <v>13942.72</v>
      </c>
      <c r="BZ10" s="2">
        <v>9575.68</v>
      </c>
      <c r="CA10" s="2">
        <v>17418.599999999999</v>
      </c>
      <c r="CB10" s="2">
        <v>11761.6</v>
      </c>
      <c r="CC10" s="2">
        <v>30462.12</v>
      </c>
      <c r="CD10" s="2">
        <v>21525.84</v>
      </c>
      <c r="CE10" s="2">
        <v>20580.72</v>
      </c>
      <c r="CF10" s="2">
        <v>18480.830000000002</v>
      </c>
      <c r="CG10" s="2">
        <v>26218.86</v>
      </c>
      <c r="CH10" s="2">
        <v>24316.959999999999</v>
      </c>
      <c r="CI10" s="2">
        <v>22824.2</v>
      </c>
      <c r="CJ10" s="2">
        <v>17389.3</v>
      </c>
      <c r="CK10" s="2">
        <v>37141.199999999997</v>
      </c>
      <c r="CL10" s="2">
        <v>23611.95</v>
      </c>
    </row>
    <row r="11" spans="2:90" x14ac:dyDescent="0.3">
      <c r="B11" s="1" t="s">
        <v>68</v>
      </c>
      <c r="C11" s="2">
        <v>3.6</v>
      </c>
      <c r="D11" s="2">
        <v>0.88</v>
      </c>
      <c r="E11" s="2">
        <v>4</v>
      </c>
      <c r="F11" s="2">
        <v>0.67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1.58</v>
      </c>
      <c r="U11" s="2">
        <v>1.52</v>
      </c>
      <c r="V11" s="2">
        <v>1.34</v>
      </c>
      <c r="X11" s="1" t="s">
        <v>68</v>
      </c>
      <c r="Y11" s="2">
        <v>7294.15</v>
      </c>
      <c r="Z11" s="2">
        <v>2190.2199999999998</v>
      </c>
      <c r="AA11" s="2">
        <v>6918.16</v>
      </c>
      <c r="AB11" s="2">
        <v>2124.34</v>
      </c>
      <c r="AC11" s="2">
        <v>3066.97</v>
      </c>
      <c r="AD11" s="2">
        <v>2734.26</v>
      </c>
      <c r="AE11" s="2">
        <v>10556.74</v>
      </c>
      <c r="AF11" s="2">
        <v>5071.34</v>
      </c>
      <c r="AG11" s="2">
        <v>14028.22</v>
      </c>
      <c r="AH11" s="2">
        <v>5282.77</v>
      </c>
      <c r="AI11" s="2">
        <v>25700.6</v>
      </c>
      <c r="AJ11" s="2">
        <v>9523.2099999999991</v>
      </c>
      <c r="AK11" s="2">
        <v>19649.849999999999</v>
      </c>
      <c r="AL11" s="2">
        <v>7901.42</v>
      </c>
      <c r="AM11" s="2">
        <v>24878.13</v>
      </c>
      <c r="AN11" s="2">
        <v>9428.2999999999993</v>
      </c>
      <c r="AO11" s="2">
        <v>10594.62</v>
      </c>
      <c r="AP11" s="2">
        <v>7092.89</v>
      </c>
      <c r="AQ11" s="2">
        <v>9332.31</v>
      </c>
      <c r="AR11" s="2">
        <v>8316.09</v>
      </c>
      <c r="AU11" s="1" t="s">
        <v>68</v>
      </c>
      <c r="AV11" s="2">
        <v>30310.66</v>
      </c>
      <c r="AW11" s="2">
        <v>15835.97</v>
      </c>
      <c r="AX11" s="2">
        <v>29229.83</v>
      </c>
      <c r="AY11" s="2">
        <v>13119.2</v>
      </c>
      <c r="AZ11" s="2">
        <v>8054.31</v>
      </c>
      <c r="BA11" s="2">
        <v>9787.5</v>
      </c>
      <c r="BB11" s="2">
        <v>35677.9</v>
      </c>
      <c r="BC11" s="2">
        <v>28765.53</v>
      </c>
      <c r="BD11" s="2">
        <v>46421.78</v>
      </c>
      <c r="BE11" s="2">
        <v>35105.699999999997</v>
      </c>
      <c r="BF11" s="2">
        <v>84027.4</v>
      </c>
      <c r="BG11" s="2">
        <v>63329.98</v>
      </c>
      <c r="BH11" s="2">
        <v>62361.48</v>
      </c>
      <c r="BI11" s="2">
        <v>51555.32</v>
      </c>
      <c r="BJ11" s="2">
        <v>77299.820000000007</v>
      </c>
      <c r="BK11" s="2">
        <v>65390.14</v>
      </c>
      <c r="BL11" s="2">
        <v>62753.41</v>
      </c>
      <c r="BM11" s="2">
        <v>52401.83</v>
      </c>
      <c r="BN11" s="2">
        <v>67830.460000000006</v>
      </c>
      <c r="BO11" s="2">
        <v>61353.61</v>
      </c>
      <c r="BR11" s="1" t="s">
        <v>68</v>
      </c>
      <c r="BS11" s="2">
        <v>37604.82</v>
      </c>
      <c r="BT11" s="2">
        <v>18026.189999999999</v>
      </c>
      <c r="BU11" s="2">
        <v>36147.980000000003</v>
      </c>
      <c r="BV11" s="2">
        <v>15243.54</v>
      </c>
      <c r="BW11" s="2">
        <v>11121.28</v>
      </c>
      <c r="BX11" s="2">
        <v>12521.76</v>
      </c>
      <c r="BY11" s="2">
        <v>46234.65</v>
      </c>
      <c r="BZ11" s="2">
        <v>33836.870000000003</v>
      </c>
      <c r="CA11" s="2">
        <v>60450</v>
      </c>
      <c r="CB11" s="2">
        <v>40388.47</v>
      </c>
      <c r="CC11" s="2">
        <v>109728</v>
      </c>
      <c r="CD11" s="2">
        <v>72853.2</v>
      </c>
      <c r="CE11" s="2">
        <v>82011.34</v>
      </c>
      <c r="CF11" s="2">
        <v>59456.74</v>
      </c>
      <c r="CG11" s="2">
        <v>102177.96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69</v>
      </c>
      <c r="C12" s="2">
        <v>3.6</v>
      </c>
      <c r="D12" s="2">
        <v>0.92</v>
      </c>
      <c r="E12" s="2">
        <v>1.8</v>
      </c>
      <c r="F12" s="2">
        <v>0.57999999999999996</v>
      </c>
      <c r="G12" s="2">
        <v>1.8</v>
      </c>
      <c r="H12" s="2">
        <v>3.37</v>
      </c>
      <c r="I12" s="2">
        <v>1.8</v>
      </c>
      <c r="J12" s="2">
        <v>1.72</v>
      </c>
      <c r="K12" s="2">
        <v>1.8</v>
      </c>
      <c r="L12" s="2">
        <v>1.46</v>
      </c>
      <c r="M12" s="2">
        <v>1.8</v>
      </c>
      <c r="N12" s="2">
        <v>1.39</v>
      </c>
      <c r="O12" s="2">
        <v>1.8</v>
      </c>
      <c r="P12" s="2">
        <v>1.42</v>
      </c>
      <c r="Q12" s="2">
        <v>1.8</v>
      </c>
      <c r="R12" s="2">
        <v>1.27</v>
      </c>
      <c r="S12" s="2">
        <v>1.25</v>
      </c>
      <c r="T12" s="2">
        <v>1.1399999999999999</v>
      </c>
      <c r="U12" s="2">
        <v>1.1000000000000001</v>
      </c>
      <c r="V12" s="2">
        <v>1.02</v>
      </c>
      <c r="X12" s="1" t="s">
        <v>69</v>
      </c>
      <c r="Y12" s="2">
        <v>1337.4</v>
      </c>
      <c r="Z12" s="2">
        <v>784.84</v>
      </c>
      <c r="AA12" s="2">
        <v>2127.9299999999998</v>
      </c>
      <c r="AB12" s="2">
        <v>856.9</v>
      </c>
      <c r="AC12" s="2">
        <v>707.41</v>
      </c>
      <c r="AD12" s="2">
        <v>581.04</v>
      </c>
      <c r="AE12" s="2">
        <v>2618.61</v>
      </c>
      <c r="AF12" s="2">
        <v>1492.43</v>
      </c>
      <c r="AG12" s="2">
        <v>3075.44</v>
      </c>
      <c r="AH12" s="2">
        <v>1665.32</v>
      </c>
      <c r="AI12" s="2">
        <v>5532.1</v>
      </c>
      <c r="AJ12" s="2">
        <v>2875.94</v>
      </c>
      <c r="AK12" s="2">
        <v>4443.42</v>
      </c>
      <c r="AL12" s="2">
        <v>2318.75</v>
      </c>
      <c r="AM12" s="2">
        <v>4425.49</v>
      </c>
      <c r="AN12" s="2">
        <v>2920.82</v>
      </c>
      <c r="AO12" s="2">
        <v>2635</v>
      </c>
      <c r="AP12" s="2">
        <v>2353.96</v>
      </c>
      <c r="AQ12" s="2">
        <v>3140.22</v>
      </c>
      <c r="AR12" s="2">
        <v>2937.33</v>
      </c>
      <c r="AU12" s="1" t="s">
        <v>69</v>
      </c>
      <c r="AV12" s="2">
        <v>9790.19</v>
      </c>
      <c r="AW12" s="2">
        <v>5623.9</v>
      </c>
      <c r="AX12" s="2">
        <v>8427.26</v>
      </c>
      <c r="AY12" s="2">
        <v>5452</v>
      </c>
      <c r="AZ12" s="2">
        <v>2761.93</v>
      </c>
      <c r="BA12" s="2">
        <v>3858.96</v>
      </c>
      <c r="BB12" s="2">
        <v>11589.39</v>
      </c>
      <c r="BC12" s="2">
        <v>10221.129999999999</v>
      </c>
      <c r="BD12" s="2">
        <v>14684.56</v>
      </c>
      <c r="BE12" s="2">
        <v>12196.61</v>
      </c>
      <c r="BF12" s="2">
        <v>26435.9</v>
      </c>
      <c r="BG12" s="2">
        <v>21421.86</v>
      </c>
      <c r="BH12" s="2">
        <v>21308.58</v>
      </c>
      <c r="BI12" s="2">
        <v>17374.57</v>
      </c>
      <c r="BJ12" s="2">
        <v>26481.43</v>
      </c>
      <c r="BK12" s="2">
        <v>21622.240000000002</v>
      </c>
      <c r="BL12" s="2">
        <v>19256.919999999998</v>
      </c>
      <c r="BM12" s="2">
        <v>18135.8</v>
      </c>
      <c r="BN12" s="2">
        <v>23656.83</v>
      </c>
      <c r="BO12" s="2">
        <v>22472.87</v>
      </c>
      <c r="BR12" s="1" t="s">
        <v>69</v>
      </c>
      <c r="BS12" s="2">
        <v>11127.59</v>
      </c>
      <c r="BT12" s="2">
        <v>6408.74</v>
      </c>
      <c r="BU12" s="2">
        <v>10555.19</v>
      </c>
      <c r="BV12" s="2">
        <v>6308.9</v>
      </c>
      <c r="BW12" s="2">
        <v>3469.34</v>
      </c>
      <c r="BX12" s="2">
        <v>4440</v>
      </c>
      <c r="BY12" s="2">
        <v>14208</v>
      </c>
      <c r="BZ12" s="2">
        <v>11713.56</v>
      </c>
      <c r="CA12" s="2">
        <v>17760</v>
      </c>
      <c r="CB12" s="2">
        <v>13861.93</v>
      </c>
      <c r="CC12" s="2">
        <v>31968</v>
      </c>
      <c r="CD12" s="2">
        <v>24297.8</v>
      </c>
      <c r="CE12" s="2">
        <v>25752</v>
      </c>
      <c r="CF12" s="2">
        <v>19693.32</v>
      </c>
      <c r="CG12" s="2">
        <v>30906.92</v>
      </c>
      <c r="CH12" s="2">
        <v>24543.06</v>
      </c>
      <c r="CI12" s="2">
        <v>21891.919999999998</v>
      </c>
      <c r="CJ12" s="2">
        <v>20489.759999999998</v>
      </c>
      <c r="CK12" s="2">
        <v>26797.05</v>
      </c>
      <c r="CL12" s="2">
        <v>25410.19</v>
      </c>
    </row>
    <row r="13" spans="2:90" x14ac:dyDescent="0.3">
      <c r="B13" s="1" t="s">
        <v>70</v>
      </c>
      <c r="C13" s="2">
        <v>1.8</v>
      </c>
      <c r="D13" s="2">
        <v>1.8</v>
      </c>
      <c r="E13" s="2">
        <v>2.84</v>
      </c>
      <c r="F13" s="2">
        <v>1.08</v>
      </c>
      <c r="G13" s="2">
        <v>1.8</v>
      </c>
      <c r="H13" s="2">
        <v>1.8</v>
      </c>
      <c r="I13" s="2">
        <v>1.08</v>
      </c>
      <c r="J13" s="2">
        <v>1.8</v>
      </c>
      <c r="K13" s="2">
        <v>1.8</v>
      </c>
      <c r="L13" s="2">
        <v>1.8</v>
      </c>
      <c r="M13" s="2">
        <v>1.8</v>
      </c>
      <c r="N13" s="2">
        <v>1.69</v>
      </c>
      <c r="O13" s="2">
        <v>1.62</v>
      </c>
      <c r="P13" s="2">
        <v>1.52</v>
      </c>
      <c r="Q13" s="2">
        <v>1.33</v>
      </c>
      <c r="R13" s="2">
        <v>1.36</v>
      </c>
      <c r="S13" s="2">
        <v>1.21</v>
      </c>
      <c r="T13" s="2">
        <v>1.08</v>
      </c>
      <c r="U13" s="2">
        <v>1.1599999999999999</v>
      </c>
      <c r="V13" s="2">
        <v>0.83</v>
      </c>
      <c r="X13" s="1" t="s">
        <v>70</v>
      </c>
      <c r="Y13" s="2">
        <v>7270.58</v>
      </c>
      <c r="Z13" s="2">
        <v>7764.73</v>
      </c>
      <c r="AA13" s="2">
        <v>6873.31</v>
      </c>
      <c r="AB13" s="2">
        <v>7572.58</v>
      </c>
      <c r="AC13" s="2">
        <v>2770.92</v>
      </c>
      <c r="AD13" s="2">
        <v>3042.53</v>
      </c>
      <c r="AE13" s="2">
        <v>8073.86</v>
      </c>
      <c r="AF13" s="2">
        <v>9945.61</v>
      </c>
      <c r="AG13" s="2">
        <v>11609.4</v>
      </c>
      <c r="AH13" s="2">
        <v>12318.46</v>
      </c>
      <c r="AI13" s="2">
        <v>18190.41</v>
      </c>
      <c r="AJ13" s="2">
        <v>17819.509999999998</v>
      </c>
      <c r="AK13" s="2">
        <v>13252.47</v>
      </c>
      <c r="AL13" s="2">
        <v>14091.95</v>
      </c>
      <c r="AM13" s="2">
        <v>15806.09</v>
      </c>
      <c r="AN13" s="2">
        <v>16061.43</v>
      </c>
      <c r="AO13" s="2">
        <v>13067.68</v>
      </c>
      <c r="AP13" s="2">
        <v>13406.86</v>
      </c>
      <c r="AQ13" s="2">
        <v>17368</v>
      </c>
      <c r="AR13" s="2">
        <v>19361.7</v>
      </c>
      <c r="AU13" s="1" t="s">
        <v>70</v>
      </c>
      <c r="AV13" s="2">
        <v>30577.63</v>
      </c>
      <c r="AW13" s="2">
        <v>40393.120000000003</v>
      </c>
      <c r="AX13" s="2">
        <v>41996.08</v>
      </c>
      <c r="AY13" s="2">
        <v>45995.87</v>
      </c>
      <c r="AZ13" s="2">
        <v>11180.63</v>
      </c>
      <c r="BA13" s="2">
        <v>12513.67</v>
      </c>
      <c r="BB13" s="2">
        <v>51623.74</v>
      </c>
      <c r="BC13" s="2">
        <v>48411.19</v>
      </c>
      <c r="BD13" s="2">
        <v>69386.600000000006</v>
      </c>
      <c r="BE13" s="2">
        <v>68578.539999999994</v>
      </c>
      <c r="BF13" s="2">
        <v>121608.39</v>
      </c>
      <c r="BG13" s="2">
        <v>125077.09</v>
      </c>
      <c r="BH13" s="2">
        <v>93091.98</v>
      </c>
      <c r="BI13" s="2">
        <v>98718.05</v>
      </c>
      <c r="BJ13" s="2">
        <v>111999.31</v>
      </c>
      <c r="BK13" s="2">
        <v>113186.07</v>
      </c>
      <c r="BL13" s="2">
        <v>93381.22</v>
      </c>
      <c r="BM13" s="2">
        <v>95236.74</v>
      </c>
      <c r="BN13" s="2">
        <v>126573.5</v>
      </c>
      <c r="BO13" s="2">
        <v>140878.79999999999</v>
      </c>
      <c r="BR13" s="1" t="s">
        <v>70</v>
      </c>
      <c r="BS13" s="2">
        <v>37848.21</v>
      </c>
      <c r="BT13" s="2">
        <v>48157.85</v>
      </c>
      <c r="BU13" s="2">
        <v>48869.39</v>
      </c>
      <c r="BV13" s="2">
        <v>53568.45</v>
      </c>
      <c r="BW13" s="2">
        <v>13951.56</v>
      </c>
      <c r="BX13" s="2">
        <v>15556.21</v>
      </c>
      <c r="BY13" s="2">
        <v>59697.599999999999</v>
      </c>
      <c r="BZ13" s="2">
        <v>58356.800000000003</v>
      </c>
      <c r="CA13" s="2">
        <v>80996</v>
      </c>
      <c r="CB13" s="2">
        <v>80897</v>
      </c>
      <c r="CC13" s="2">
        <v>139798.79999999999</v>
      </c>
      <c r="CD13" s="2">
        <v>142896.6</v>
      </c>
      <c r="CE13" s="2">
        <v>106344.45</v>
      </c>
      <c r="CF13" s="2">
        <v>112810</v>
      </c>
      <c r="CG13" s="2">
        <v>127805.4</v>
      </c>
      <c r="CH13" s="2">
        <v>129247.5</v>
      </c>
      <c r="CI13" s="2">
        <v>106448.9</v>
      </c>
      <c r="CJ13" s="2">
        <v>108643.6</v>
      </c>
      <c r="CK13" s="2">
        <v>143941.5</v>
      </c>
      <c r="CL13" s="2">
        <v>160240.5</v>
      </c>
    </row>
    <row r="14" spans="2:90" x14ac:dyDescent="0.3">
      <c r="B14" s="1" t="s">
        <v>71</v>
      </c>
      <c r="C14" s="2">
        <v>1.8</v>
      </c>
      <c r="D14" s="2">
        <v>1.8</v>
      </c>
      <c r="E14" s="2">
        <v>2.6</v>
      </c>
      <c r="F14" s="2">
        <v>2.54</v>
      </c>
      <c r="G14" s="2">
        <v>1.8</v>
      </c>
      <c r="H14" s="2">
        <v>1.8</v>
      </c>
      <c r="I14" s="2">
        <v>1.07</v>
      </c>
      <c r="J14" s="2">
        <v>1.8</v>
      </c>
      <c r="K14" s="2">
        <v>1.06</v>
      </c>
      <c r="L14" s="2">
        <v>2.46</v>
      </c>
      <c r="M14" s="2">
        <v>1.27</v>
      </c>
      <c r="N14" s="2">
        <v>2.4900000000000002</v>
      </c>
      <c r="O14" s="2">
        <v>1.24</v>
      </c>
      <c r="P14" s="2">
        <v>2.0499999999999998</v>
      </c>
      <c r="Q14" s="2">
        <v>1.23</v>
      </c>
      <c r="R14" s="2">
        <v>2.0699999999999998</v>
      </c>
      <c r="S14" s="2">
        <v>1.1299999999999999</v>
      </c>
      <c r="T14" s="2">
        <v>1.7</v>
      </c>
      <c r="U14" s="2">
        <v>0.99</v>
      </c>
      <c r="V14" s="2">
        <v>0.84</v>
      </c>
      <c r="X14" s="1" t="s">
        <v>71</v>
      </c>
      <c r="Y14" s="2">
        <v>1888.69</v>
      </c>
      <c r="Z14" s="2">
        <v>1924.5</v>
      </c>
      <c r="AA14" s="2">
        <v>1927.73</v>
      </c>
      <c r="AB14" s="2">
        <v>1966.3</v>
      </c>
      <c r="AC14" s="2">
        <v>643.11</v>
      </c>
      <c r="AD14" s="2">
        <v>714.96</v>
      </c>
      <c r="AE14" s="2">
        <v>1752.82</v>
      </c>
      <c r="AF14" s="2">
        <v>1905.96</v>
      </c>
      <c r="AG14" s="2">
        <v>2052.67</v>
      </c>
      <c r="AH14" s="2">
        <v>2595.41</v>
      </c>
      <c r="AI14" s="2">
        <v>3899.85</v>
      </c>
      <c r="AJ14" s="2">
        <v>4741.25</v>
      </c>
      <c r="AK14" s="2">
        <v>3126.2</v>
      </c>
      <c r="AL14" s="2">
        <v>3732.91</v>
      </c>
      <c r="AM14" s="2">
        <v>4019.22</v>
      </c>
      <c r="AN14" s="2">
        <v>4779.79</v>
      </c>
      <c r="AO14" s="2">
        <v>3422.2</v>
      </c>
      <c r="AP14" s="2">
        <v>4148.93</v>
      </c>
      <c r="AQ14" s="2">
        <v>4130.2299999999996</v>
      </c>
      <c r="AR14" s="2">
        <v>4051.79</v>
      </c>
      <c r="AU14" s="1" t="s">
        <v>71</v>
      </c>
      <c r="AV14" s="2">
        <v>7090.17</v>
      </c>
      <c r="AW14" s="2">
        <v>7225.88</v>
      </c>
      <c r="AX14" s="2">
        <v>9616.27</v>
      </c>
      <c r="AY14" s="2">
        <v>9577.7000000000007</v>
      </c>
      <c r="AZ14" s="2">
        <v>2245.2600000000002</v>
      </c>
      <c r="BA14" s="2">
        <v>2563.0300000000002</v>
      </c>
      <c r="BB14" s="2">
        <v>8848.4599999999991</v>
      </c>
      <c r="BC14" s="2">
        <v>7005.92</v>
      </c>
      <c r="BD14" s="2">
        <v>11257.73</v>
      </c>
      <c r="BE14" s="2">
        <v>14722.59</v>
      </c>
      <c r="BF14" s="2">
        <v>21851.31</v>
      </c>
      <c r="BG14" s="2">
        <v>27226.75</v>
      </c>
      <c r="BH14" s="2">
        <v>17455.060000000001</v>
      </c>
      <c r="BI14" s="2">
        <v>20836.2</v>
      </c>
      <c r="BJ14" s="2">
        <v>22720.880000000001</v>
      </c>
      <c r="BK14" s="2">
        <v>27287.13</v>
      </c>
      <c r="BL14" s="2">
        <v>19580.310000000001</v>
      </c>
      <c r="BM14" s="2">
        <v>23032.92</v>
      </c>
      <c r="BN14" s="2">
        <v>24071.46</v>
      </c>
      <c r="BO14" s="2">
        <v>22336.21</v>
      </c>
      <c r="BR14" s="1" t="s">
        <v>71</v>
      </c>
      <c r="BS14" s="2">
        <v>8978.86</v>
      </c>
      <c r="BT14" s="2">
        <v>9150.3799999999992</v>
      </c>
      <c r="BU14" s="2">
        <v>11544</v>
      </c>
      <c r="BV14" s="2">
        <v>11544</v>
      </c>
      <c r="BW14" s="2">
        <v>2888.37</v>
      </c>
      <c r="BX14" s="2">
        <v>3277.99</v>
      </c>
      <c r="BY14" s="2">
        <v>10601.28</v>
      </c>
      <c r="BZ14" s="2">
        <v>8911.8700000000008</v>
      </c>
      <c r="CA14" s="2">
        <v>13310.4</v>
      </c>
      <c r="CB14" s="2">
        <v>17318</v>
      </c>
      <c r="CC14" s="2">
        <v>25751.16</v>
      </c>
      <c r="CD14" s="2">
        <v>31968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26388</v>
      </c>
    </row>
    <row r="15" spans="2:90" x14ac:dyDescent="0.3">
      <c r="B15" s="1" t="s">
        <v>72</v>
      </c>
      <c r="C15" s="2">
        <v>3.6</v>
      </c>
      <c r="D15" s="2">
        <v>3.6</v>
      </c>
      <c r="E15" s="2">
        <v>3.21</v>
      </c>
      <c r="F15" s="2">
        <v>3.72</v>
      </c>
      <c r="G15" s="2">
        <v>1.8</v>
      </c>
      <c r="H15" s="2">
        <v>3.6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2.76</v>
      </c>
      <c r="S15" s="2">
        <v>1.74</v>
      </c>
      <c r="T15" s="2">
        <v>1.79</v>
      </c>
      <c r="U15" s="2">
        <v>1.56</v>
      </c>
      <c r="V15" s="2">
        <v>1.51</v>
      </c>
      <c r="X15" s="1" t="s">
        <v>72</v>
      </c>
      <c r="Y15" s="2">
        <v>7020.82</v>
      </c>
      <c r="Z15" s="2">
        <v>7335.47</v>
      </c>
      <c r="AA15" s="2">
        <v>5569.07</v>
      </c>
      <c r="AB15" s="2">
        <v>7515.32</v>
      </c>
      <c r="AC15" s="2">
        <v>2275.96</v>
      </c>
      <c r="AD15" s="2">
        <v>2716.03</v>
      </c>
      <c r="AE15" s="2">
        <v>6924.49</v>
      </c>
      <c r="AF15" s="2">
        <v>9528.11</v>
      </c>
      <c r="AG15" s="2">
        <v>6572.48</v>
      </c>
      <c r="AH15" s="2">
        <v>14664.3</v>
      </c>
      <c r="AI15" s="2">
        <v>12963.98</v>
      </c>
      <c r="AJ15" s="2">
        <v>26407.55</v>
      </c>
      <c r="AK15" s="2">
        <v>10483.219999999999</v>
      </c>
      <c r="AL15" s="2">
        <v>19000.63</v>
      </c>
      <c r="AM15" s="2">
        <v>15226.08</v>
      </c>
      <c r="AN15" s="2">
        <v>13913.37</v>
      </c>
      <c r="AO15" s="2">
        <v>10302.32</v>
      </c>
      <c r="AP15" s="2">
        <v>10642.24</v>
      </c>
      <c r="AQ15" s="2">
        <v>12692.06</v>
      </c>
      <c r="AR15" s="2">
        <v>12613.76</v>
      </c>
      <c r="AU15" s="1" t="s">
        <v>72</v>
      </c>
      <c r="AV15" s="2">
        <v>27173.03</v>
      </c>
      <c r="AW15" s="2">
        <v>28925.83</v>
      </c>
      <c r="AX15" s="2">
        <v>27961.439999999999</v>
      </c>
      <c r="AY15" s="2">
        <v>31323.05</v>
      </c>
      <c r="AZ15" s="2">
        <v>6877.45</v>
      </c>
      <c r="BA15" s="2">
        <v>10259.67</v>
      </c>
      <c r="BB15" s="2">
        <v>30106.79</v>
      </c>
      <c r="BC15" s="2">
        <v>24482.04</v>
      </c>
      <c r="BD15" s="2">
        <v>36697.93</v>
      </c>
      <c r="BE15" s="2">
        <v>46295.7</v>
      </c>
      <c r="BF15" s="2">
        <v>67946.490000000005</v>
      </c>
      <c r="BG15" s="2">
        <v>83320.45</v>
      </c>
      <c r="BH15" s="2">
        <v>54824.85</v>
      </c>
      <c r="BI15" s="2">
        <v>64918.7</v>
      </c>
      <c r="BJ15" s="2">
        <v>74144.66</v>
      </c>
      <c r="BK15" s="2">
        <v>82135.72</v>
      </c>
      <c r="BL15" s="2">
        <v>60377.07</v>
      </c>
      <c r="BM15" s="2">
        <v>61512.74</v>
      </c>
      <c r="BN15" s="2">
        <v>75032.81</v>
      </c>
      <c r="BO15" s="2">
        <v>73662.899999999994</v>
      </c>
      <c r="BR15" s="1" t="s">
        <v>72</v>
      </c>
      <c r="BS15" s="2">
        <v>34193.85</v>
      </c>
      <c r="BT15" s="2">
        <v>36261.300000000003</v>
      </c>
      <c r="BU15" s="2">
        <v>33530.51</v>
      </c>
      <c r="BV15" s="2">
        <v>38838.370000000003</v>
      </c>
      <c r="BW15" s="2">
        <v>9153.41</v>
      </c>
      <c r="BX15" s="2">
        <v>12975.7</v>
      </c>
      <c r="BY15" s="2">
        <v>37031.269999999997</v>
      </c>
      <c r="BZ15" s="2">
        <v>34010.15</v>
      </c>
      <c r="CA15" s="2">
        <v>43270.41</v>
      </c>
      <c r="CB15" s="2">
        <v>60960</v>
      </c>
      <c r="CC15" s="2">
        <v>80910.47</v>
      </c>
      <c r="CD15" s="2">
        <v>109728</v>
      </c>
      <c r="CE15" s="2">
        <v>65308.07</v>
      </c>
      <c r="CF15" s="2">
        <v>83919.33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73</v>
      </c>
      <c r="C16" s="2">
        <v>1.04</v>
      </c>
      <c r="D16" s="2">
        <v>1.38</v>
      </c>
      <c r="E16" s="2">
        <v>0.39</v>
      </c>
      <c r="F16" s="2">
        <v>0.41</v>
      </c>
      <c r="G16" s="2">
        <v>0.92</v>
      </c>
      <c r="H16" s="2">
        <v>0.47</v>
      </c>
      <c r="I16" s="2">
        <v>0.48</v>
      </c>
      <c r="J16" s="2">
        <v>1.8</v>
      </c>
      <c r="K16" s="2">
        <v>1.01</v>
      </c>
      <c r="L16" s="2">
        <v>1.8</v>
      </c>
      <c r="M16" s="2">
        <v>1.43</v>
      </c>
      <c r="N16" s="2">
        <v>1.8</v>
      </c>
      <c r="O16" s="2">
        <v>1.6</v>
      </c>
      <c r="P16" s="2">
        <v>1.62</v>
      </c>
      <c r="Q16" s="2">
        <v>1.36</v>
      </c>
      <c r="R16" s="2">
        <v>1.28</v>
      </c>
      <c r="S16" s="2">
        <v>1.21</v>
      </c>
      <c r="T16" s="2">
        <v>0.99</v>
      </c>
      <c r="U16" s="2">
        <v>1.04</v>
      </c>
      <c r="V16" s="2">
        <v>0.85</v>
      </c>
      <c r="X16" s="1" t="s">
        <v>73</v>
      </c>
      <c r="Y16" s="2">
        <v>2596.89</v>
      </c>
      <c r="Z16" s="2">
        <v>3278.01</v>
      </c>
      <c r="AA16" s="2">
        <v>2690.07</v>
      </c>
      <c r="AB16" s="2">
        <v>2863.45</v>
      </c>
      <c r="AC16" s="2">
        <v>241.48</v>
      </c>
      <c r="AD16" s="2">
        <v>1150.9100000000001</v>
      </c>
      <c r="AE16" s="2">
        <v>2072.64</v>
      </c>
      <c r="AF16" s="2">
        <v>3904.78</v>
      </c>
      <c r="AG16" s="2">
        <v>3475.44</v>
      </c>
      <c r="AH16" s="2">
        <v>4576.04</v>
      </c>
      <c r="AI16" s="2">
        <v>6286.67</v>
      </c>
      <c r="AJ16" s="2">
        <v>8442.44</v>
      </c>
      <c r="AK16" s="2">
        <v>5016.66</v>
      </c>
      <c r="AL16" s="2">
        <v>6265.97</v>
      </c>
      <c r="AM16" s="2">
        <v>6464.55</v>
      </c>
      <c r="AN16" s="2">
        <v>6773.9</v>
      </c>
      <c r="AO16" s="2">
        <v>5600.49</v>
      </c>
      <c r="AP16" s="2">
        <v>5586.13</v>
      </c>
      <c r="AQ16" s="2">
        <v>7551.76</v>
      </c>
      <c r="AR16" s="2">
        <v>7458.4</v>
      </c>
      <c r="AU16" s="1" t="s">
        <v>73</v>
      </c>
      <c r="AV16" s="2">
        <v>15592.71</v>
      </c>
      <c r="AW16" s="2">
        <v>18995.669999999998</v>
      </c>
      <c r="AX16" s="2">
        <v>13260.93</v>
      </c>
      <c r="AY16" s="2">
        <v>14139.38</v>
      </c>
      <c r="AZ16" s="2">
        <v>4418.2700000000004</v>
      </c>
      <c r="BA16" s="2">
        <v>6034.69</v>
      </c>
      <c r="BB16" s="2">
        <v>14976</v>
      </c>
      <c r="BC16" s="2">
        <v>19475.79</v>
      </c>
      <c r="BD16" s="2">
        <v>20054.759999999998</v>
      </c>
      <c r="BE16" s="2">
        <v>25158.21</v>
      </c>
      <c r="BF16" s="2">
        <v>35064.370000000003</v>
      </c>
      <c r="BG16" s="2">
        <v>46772.76</v>
      </c>
      <c r="BH16" s="2">
        <v>28259.97</v>
      </c>
      <c r="BI16" s="2">
        <v>36362.29</v>
      </c>
      <c r="BJ16" s="2">
        <v>35148.870000000003</v>
      </c>
      <c r="BK16" s="2">
        <v>38161.480000000003</v>
      </c>
      <c r="BL16" s="2">
        <v>29356.95</v>
      </c>
      <c r="BM16" s="2">
        <v>30026.15</v>
      </c>
      <c r="BN16" s="2">
        <v>40879.49</v>
      </c>
      <c r="BO16" s="2">
        <v>43558.1</v>
      </c>
      <c r="BR16" s="1" t="s">
        <v>73</v>
      </c>
      <c r="BS16" s="2">
        <v>18189.599999999999</v>
      </c>
      <c r="BT16" s="2">
        <v>22273.68</v>
      </c>
      <c r="BU16" s="2">
        <v>15951</v>
      </c>
      <c r="BV16" s="2">
        <v>17002.830000000002</v>
      </c>
      <c r="BW16" s="2">
        <v>4659.75</v>
      </c>
      <c r="BX16" s="2">
        <v>7185.6</v>
      </c>
      <c r="BY16" s="2">
        <v>17048.64</v>
      </c>
      <c r="BZ16" s="2">
        <v>23380.57</v>
      </c>
      <c r="CA16" s="2">
        <v>23530.2</v>
      </c>
      <c r="CB16" s="2">
        <v>29734.25</v>
      </c>
      <c r="CC16" s="2">
        <v>41351.040000000001</v>
      </c>
      <c r="CD16" s="2">
        <v>55215.199999999997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63</v>
      </c>
      <c r="D20" s="1" t="s">
        <v>64</v>
      </c>
      <c r="E20" s="1" t="s">
        <v>63</v>
      </c>
      <c r="F20" s="1" t="s">
        <v>64</v>
      </c>
      <c r="G20" s="1" t="s">
        <v>63</v>
      </c>
      <c r="H20" s="1" t="s">
        <v>64</v>
      </c>
      <c r="I20" s="1" t="s">
        <v>63</v>
      </c>
      <c r="J20" s="1" t="s">
        <v>64</v>
      </c>
      <c r="K20" s="1" t="s">
        <v>63</v>
      </c>
      <c r="L20" s="1" t="s">
        <v>64</v>
      </c>
      <c r="M20" s="1" t="s">
        <v>63</v>
      </c>
      <c r="N20" s="1" t="s">
        <v>64</v>
      </c>
      <c r="O20" s="1" t="s">
        <v>63</v>
      </c>
      <c r="P20" s="1" t="s">
        <v>64</v>
      </c>
      <c r="Q20" s="1" t="s">
        <v>63</v>
      </c>
      <c r="R20" s="1" t="s">
        <v>64</v>
      </c>
      <c r="S20" s="1" t="s">
        <v>63</v>
      </c>
      <c r="T20" s="1" t="s">
        <v>64</v>
      </c>
      <c r="U20" s="1" t="s">
        <v>63</v>
      </c>
      <c r="V20" s="1" t="s">
        <v>64</v>
      </c>
      <c r="X20" s="1" t="s">
        <v>6</v>
      </c>
      <c r="Y20" s="1" t="s">
        <v>63</v>
      </c>
      <c r="Z20" s="1" t="s">
        <v>64</v>
      </c>
      <c r="AA20" s="1" t="s">
        <v>63</v>
      </c>
      <c r="AB20" s="1" t="s">
        <v>64</v>
      </c>
      <c r="AC20" s="1" t="s">
        <v>63</v>
      </c>
      <c r="AD20" s="1" t="s">
        <v>64</v>
      </c>
      <c r="AE20" s="1" t="s">
        <v>63</v>
      </c>
      <c r="AF20" s="1" t="s">
        <v>64</v>
      </c>
      <c r="AG20" s="1" t="s">
        <v>63</v>
      </c>
      <c r="AH20" s="1" t="s">
        <v>64</v>
      </c>
      <c r="AI20" s="1" t="s">
        <v>63</v>
      </c>
      <c r="AJ20" s="1" t="s">
        <v>64</v>
      </c>
      <c r="AK20" s="1" t="s">
        <v>63</v>
      </c>
      <c r="AL20" s="1" t="s">
        <v>64</v>
      </c>
      <c r="AM20" s="1" t="s">
        <v>63</v>
      </c>
      <c r="AN20" s="1" t="s">
        <v>64</v>
      </c>
      <c r="AO20" s="1" t="s">
        <v>63</v>
      </c>
      <c r="AP20" s="1" t="s">
        <v>64</v>
      </c>
      <c r="AQ20" s="1" t="s">
        <v>63</v>
      </c>
      <c r="AR20" s="1" t="s">
        <v>64</v>
      </c>
      <c r="AU20" s="1" t="s">
        <v>6</v>
      </c>
      <c r="AV20" s="1" t="s">
        <v>63</v>
      </c>
      <c r="AW20" s="1" t="s">
        <v>64</v>
      </c>
      <c r="AX20" s="1" t="s">
        <v>63</v>
      </c>
      <c r="AY20" s="1" t="s">
        <v>64</v>
      </c>
      <c r="AZ20" s="1" t="s">
        <v>63</v>
      </c>
      <c r="BA20" s="1" t="s">
        <v>64</v>
      </c>
      <c r="BB20" s="1" t="s">
        <v>63</v>
      </c>
      <c r="BC20" s="1" t="s">
        <v>64</v>
      </c>
      <c r="BD20" s="1" t="s">
        <v>63</v>
      </c>
      <c r="BE20" s="1" t="s">
        <v>64</v>
      </c>
      <c r="BF20" s="1" t="s">
        <v>63</v>
      </c>
      <c r="BG20" s="1" t="s">
        <v>64</v>
      </c>
      <c r="BH20" s="1" t="s">
        <v>63</v>
      </c>
      <c r="BI20" s="1" t="s">
        <v>64</v>
      </c>
      <c r="BJ20" s="1" t="s">
        <v>63</v>
      </c>
      <c r="BK20" s="1" t="s">
        <v>64</v>
      </c>
      <c r="BL20" s="1" t="s">
        <v>63</v>
      </c>
      <c r="BM20" s="1" t="s">
        <v>64</v>
      </c>
      <c r="BN20" s="1" t="s">
        <v>63</v>
      </c>
      <c r="BO20" s="1" t="s">
        <v>64</v>
      </c>
      <c r="BR20" s="1" t="s">
        <v>6</v>
      </c>
      <c r="BS20" s="1" t="s">
        <v>63</v>
      </c>
      <c r="BT20" s="1" t="s">
        <v>64</v>
      </c>
      <c r="BU20" s="1" t="s">
        <v>63</v>
      </c>
      <c r="BV20" s="1" t="s">
        <v>64</v>
      </c>
      <c r="BW20" s="1" t="s">
        <v>63</v>
      </c>
      <c r="BX20" s="1" t="s">
        <v>64</v>
      </c>
      <c r="BY20" s="1" t="s">
        <v>63</v>
      </c>
      <c r="BZ20" s="1" t="s">
        <v>64</v>
      </c>
      <c r="CA20" s="1" t="s">
        <v>63</v>
      </c>
      <c r="CB20" s="1" t="s">
        <v>64</v>
      </c>
      <c r="CC20" s="1" t="s">
        <v>63</v>
      </c>
      <c r="CD20" s="1" t="s">
        <v>64</v>
      </c>
      <c r="CE20" s="1" t="s">
        <v>63</v>
      </c>
      <c r="CF20" s="1" t="s">
        <v>64</v>
      </c>
      <c r="CG20" s="1" t="s">
        <v>63</v>
      </c>
      <c r="CH20" s="1" t="s">
        <v>64</v>
      </c>
      <c r="CI20" s="1" t="s">
        <v>63</v>
      </c>
      <c r="CJ20" s="1" t="s">
        <v>64</v>
      </c>
      <c r="CK20" s="1" t="s">
        <v>63</v>
      </c>
      <c r="CL20" s="1" t="s">
        <v>64</v>
      </c>
    </row>
    <row r="21" spans="2:90" x14ac:dyDescent="0.3">
      <c r="B21" s="1" t="s">
        <v>65</v>
      </c>
      <c r="C21" s="1" t="s">
        <v>53</v>
      </c>
      <c r="D21" s="1" t="s">
        <v>53</v>
      </c>
      <c r="E21" s="1" t="s">
        <v>54</v>
      </c>
      <c r="F21" s="1" t="s">
        <v>54</v>
      </c>
      <c r="G21" s="1" t="s">
        <v>55</v>
      </c>
      <c r="H21" s="1" t="s">
        <v>55</v>
      </c>
      <c r="I21" s="1" t="s">
        <v>56</v>
      </c>
      <c r="J21" s="1" t="s">
        <v>56</v>
      </c>
      <c r="K21" s="1" t="s">
        <v>57</v>
      </c>
      <c r="L21" s="1" t="s">
        <v>57</v>
      </c>
      <c r="M21" s="1" t="s">
        <v>58</v>
      </c>
      <c r="N21" s="1" t="s">
        <v>58</v>
      </c>
      <c r="O21" s="1" t="s">
        <v>59</v>
      </c>
      <c r="P21" s="1" t="s">
        <v>59</v>
      </c>
      <c r="Q21" s="1" t="s">
        <v>60</v>
      </c>
      <c r="R21" s="1" t="s">
        <v>60</v>
      </c>
      <c r="S21" s="1" t="s">
        <v>61</v>
      </c>
      <c r="T21" s="1" t="s">
        <v>61</v>
      </c>
      <c r="U21" s="1" t="s">
        <v>62</v>
      </c>
      <c r="V21" s="1" t="s">
        <v>62</v>
      </c>
      <c r="X21" s="1" t="s">
        <v>65</v>
      </c>
      <c r="Y21" s="1" t="s">
        <v>53</v>
      </c>
      <c r="Z21" s="1" t="s">
        <v>53</v>
      </c>
      <c r="AA21" s="1" t="s">
        <v>54</v>
      </c>
      <c r="AB21" s="1" t="s">
        <v>54</v>
      </c>
      <c r="AC21" s="1" t="s">
        <v>55</v>
      </c>
      <c r="AD21" s="1" t="s">
        <v>55</v>
      </c>
      <c r="AE21" s="1" t="s">
        <v>56</v>
      </c>
      <c r="AF21" s="1" t="s">
        <v>56</v>
      </c>
      <c r="AG21" s="1" t="s">
        <v>57</v>
      </c>
      <c r="AH21" s="1" t="s">
        <v>57</v>
      </c>
      <c r="AI21" s="1" t="s">
        <v>58</v>
      </c>
      <c r="AJ21" s="1" t="s">
        <v>58</v>
      </c>
      <c r="AK21" s="1" t="s">
        <v>59</v>
      </c>
      <c r="AL21" s="1" t="s">
        <v>59</v>
      </c>
      <c r="AM21" s="1" t="s">
        <v>60</v>
      </c>
      <c r="AN21" s="1" t="s">
        <v>60</v>
      </c>
      <c r="AO21" s="1" t="s">
        <v>61</v>
      </c>
      <c r="AP21" s="1" t="s">
        <v>61</v>
      </c>
      <c r="AQ21" s="1" t="s">
        <v>62</v>
      </c>
      <c r="AR21" s="1" t="s">
        <v>62</v>
      </c>
      <c r="AU21" s="1" t="s">
        <v>65</v>
      </c>
      <c r="AV21" s="1" t="s">
        <v>53</v>
      </c>
      <c r="AW21" s="1" t="s">
        <v>53</v>
      </c>
      <c r="AX21" s="1" t="s">
        <v>54</v>
      </c>
      <c r="AY21" s="1" t="s">
        <v>54</v>
      </c>
      <c r="AZ21" s="1" t="s">
        <v>55</v>
      </c>
      <c r="BA21" s="1" t="s">
        <v>55</v>
      </c>
      <c r="BB21" s="1" t="s">
        <v>56</v>
      </c>
      <c r="BC21" s="1" t="s">
        <v>56</v>
      </c>
      <c r="BD21" s="1" t="s">
        <v>57</v>
      </c>
      <c r="BE21" s="1" t="s">
        <v>57</v>
      </c>
      <c r="BF21" s="1" t="s">
        <v>58</v>
      </c>
      <c r="BG21" s="1" t="s">
        <v>58</v>
      </c>
      <c r="BH21" s="1" t="s">
        <v>59</v>
      </c>
      <c r="BI21" s="1" t="s">
        <v>59</v>
      </c>
      <c r="BJ21" s="1" t="s">
        <v>60</v>
      </c>
      <c r="BK21" s="1" t="s">
        <v>60</v>
      </c>
      <c r="BL21" s="1" t="s">
        <v>61</v>
      </c>
      <c r="BM21" s="1" t="s">
        <v>61</v>
      </c>
      <c r="BN21" s="1" t="s">
        <v>62</v>
      </c>
      <c r="BO21" s="1" t="s">
        <v>62</v>
      </c>
      <c r="BR21" s="1" t="s">
        <v>65</v>
      </c>
      <c r="BS21" s="1" t="s">
        <v>53</v>
      </c>
      <c r="BT21" s="1" t="s">
        <v>53</v>
      </c>
      <c r="BU21" s="1" t="s">
        <v>54</v>
      </c>
      <c r="BV21" s="1" t="s">
        <v>54</v>
      </c>
      <c r="BW21" s="1" t="s">
        <v>55</v>
      </c>
      <c r="BX21" s="1" t="s">
        <v>55</v>
      </c>
      <c r="BY21" s="1" t="s">
        <v>56</v>
      </c>
      <c r="BZ21" s="1" t="s">
        <v>56</v>
      </c>
      <c r="CA21" s="1" t="s">
        <v>57</v>
      </c>
      <c r="CB21" s="1" t="s">
        <v>57</v>
      </c>
      <c r="CC21" s="1" t="s">
        <v>58</v>
      </c>
      <c r="CD21" s="1" t="s">
        <v>58</v>
      </c>
      <c r="CE21" s="1" t="s">
        <v>59</v>
      </c>
      <c r="CF21" s="1" t="s">
        <v>59</v>
      </c>
      <c r="CG21" s="1" t="s">
        <v>60</v>
      </c>
      <c r="CH21" s="1" t="s">
        <v>60</v>
      </c>
      <c r="CI21" s="1" t="s">
        <v>61</v>
      </c>
      <c r="CJ21" s="1" t="s">
        <v>61</v>
      </c>
      <c r="CK21" s="1" t="s">
        <v>62</v>
      </c>
      <c r="CL21" s="1" t="s">
        <v>62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66</v>
      </c>
      <c r="C23" s="2">
        <v>0.22</v>
      </c>
      <c r="D23" s="2">
        <v>0.21</v>
      </c>
      <c r="E23" s="2">
        <v>0.06</v>
      </c>
      <c r="F23" s="2">
        <v>0.06</v>
      </c>
      <c r="G23" s="2">
        <v>0.06</v>
      </c>
      <c r="H23" s="2">
        <v>0.09</v>
      </c>
      <c r="I23" s="2">
        <v>0.15</v>
      </c>
      <c r="J23" s="2">
        <v>0.09</v>
      </c>
      <c r="K23" s="2">
        <v>0.21</v>
      </c>
      <c r="L23" s="2">
        <v>0.08</v>
      </c>
      <c r="M23" s="2">
        <v>0.21</v>
      </c>
      <c r="N23" s="2">
        <v>0.05</v>
      </c>
      <c r="O23" s="2">
        <v>0.21</v>
      </c>
      <c r="P23" s="2">
        <v>0.02</v>
      </c>
      <c r="Q23" s="2">
        <v>0.15</v>
      </c>
      <c r="R23" s="2">
        <v>0.05</v>
      </c>
      <c r="S23" s="2">
        <v>0.01</v>
      </c>
      <c r="T23" s="2">
        <v>0.01</v>
      </c>
      <c r="U23" s="2">
        <v>0.03</v>
      </c>
      <c r="V23" s="2">
        <v>0.01</v>
      </c>
      <c r="X23" s="1" t="s">
        <v>66</v>
      </c>
      <c r="Y23" s="2">
        <v>3700.9</v>
      </c>
      <c r="Z23" s="2">
        <v>3567.2</v>
      </c>
      <c r="AA23" s="2">
        <v>780.21</v>
      </c>
      <c r="AB23" s="2">
        <v>713.7</v>
      </c>
      <c r="AC23" s="2">
        <v>625.34</v>
      </c>
      <c r="AD23" s="2">
        <v>1224.3</v>
      </c>
      <c r="AE23" s="2">
        <v>2440.9</v>
      </c>
      <c r="AF23" s="2">
        <v>1383.9</v>
      </c>
      <c r="AG23" s="2">
        <v>3568.6</v>
      </c>
      <c r="AH23" s="2">
        <v>1173.2</v>
      </c>
      <c r="AI23" s="2">
        <v>3623.2</v>
      </c>
      <c r="AJ23" s="2">
        <v>852.6</v>
      </c>
      <c r="AK23" s="2">
        <v>3392.89</v>
      </c>
      <c r="AL23" s="2">
        <v>353.5</v>
      </c>
      <c r="AM23" s="2">
        <v>2511.6</v>
      </c>
      <c r="AN23" s="2">
        <v>784.7</v>
      </c>
      <c r="AO23" s="2">
        <v>166.75</v>
      </c>
      <c r="AP23" s="2">
        <v>127.19</v>
      </c>
      <c r="AQ23" s="2">
        <v>450.1</v>
      </c>
      <c r="AR23" s="2">
        <v>134.74</v>
      </c>
      <c r="AU23" s="1" t="s">
        <v>66</v>
      </c>
      <c r="AV23" s="2">
        <v>16800</v>
      </c>
      <c r="AW23" s="2">
        <v>16800</v>
      </c>
      <c r="AX23" s="2">
        <v>14467.89</v>
      </c>
      <c r="AY23" s="2">
        <v>13553</v>
      </c>
      <c r="AZ23" s="2">
        <v>13729.56</v>
      </c>
      <c r="BA23" s="2">
        <v>16800</v>
      </c>
      <c r="BB23" s="2">
        <v>16800</v>
      </c>
      <c r="BC23" s="2">
        <v>16800</v>
      </c>
      <c r="BD23" s="2">
        <v>16800</v>
      </c>
      <c r="BE23" s="2">
        <v>16800</v>
      </c>
      <c r="BF23" s="2">
        <v>16800</v>
      </c>
      <c r="BG23" s="2">
        <v>16800</v>
      </c>
      <c r="BH23" s="2">
        <v>16790.21</v>
      </c>
      <c r="BI23" s="2">
        <v>16800</v>
      </c>
      <c r="BJ23" s="2">
        <v>16800</v>
      </c>
      <c r="BK23" s="2">
        <v>16800</v>
      </c>
      <c r="BL23" s="2">
        <v>16666.150000000001</v>
      </c>
      <c r="BM23" s="2">
        <v>12853.61</v>
      </c>
      <c r="BN23" s="2">
        <v>16800</v>
      </c>
      <c r="BO23" s="2">
        <v>13534.86</v>
      </c>
      <c r="BR23" s="1" t="s">
        <v>66</v>
      </c>
      <c r="BS23" s="2">
        <v>20500.900000000001</v>
      </c>
      <c r="BT23" s="2">
        <v>20367.2</v>
      </c>
      <c r="BU23" s="2">
        <v>15248.1</v>
      </c>
      <c r="BV23" s="2">
        <v>14266.7</v>
      </c>
      <c r="BW23" s="2">
        <v>14354.9</v>
      </c>
      <c r="BX23" s="2">
        <v>18024.3</v>
      </c>
      <c r="BY23" s="2">
        <v>19240.900000000001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67</v>
      </c>
      <c r="C24" s="2">
        <v>0.14000000000000001</v>
      </c>
      <c r="D24" s="2">
        <v>0.14000000000000001</v>
      </c>
      <c r="E24" s="2">
        <v>0.15</v>
      </c>
      <c r="F24" s="2">
        <v>0.15</v>
      </c>
      <c r="G24" s="2">
        <v>0.15</v>
      </c>
      <c r="H24" s="2">
        <v>0.15</v>
      </c>
      <c r="I24" s="2">
        <v>0.15</v>
      </c>
      <c r="J24" s="2">
        <v>0.15</v>
      </c>
      <c r="K24" s="2">
        <v>0.14000000000000001</v>
      </c>
      <c r="L24" s="2">
        <v>0.14000000000000001</v>
      </c>
      <c r="M24" s="2">
        <v>0.14000000000000001</v>
      </c>
      <c r="N24" s="2">
        <v>0.14000000000000001</v>
      </c>
      <c r="O24" s="2">
        <v>0.14000000000000001</v>
      </c>
      <c r="P24" s="2">
        <v>0.14000000000000001</v>
      </c>
      <c r="Q24" s="2">
        <v>0.14000000000000001</v>
      </c>
      <c r="R24" s="2">
        <v>0.14000000000000001</v>
      </c>
      <c r="S24" s="2">
        <v>0.14000000000000001</v>
      </c>
      <c r="T24" s="2">
        <v>0.14000000000000001</v>
      </c>
      <c r="U24" s="2">
        <v>0.14000000000000001</v>
      </c>
      <c r="V24" s="2">
        <v>0.14000000000000001</v>
      </c>
      <c r="X24" s="1" t="s">
        <v>67</v>
      </c>
      <c r="Y24" s="2">
        <v>1089.92</v>
      </c>
      <c r="Z24" s="2">
        <v>673.86</v>
      </c>
      <c r="AA24" s="2">
        <v>1117.74</v>
      </c>
      <c r="AB24" s="2">
        <v>720.58</v>
      </c>
      <c r="AC24" s="2">
        <v>699.38</v>
      </c>
      <c r="AD24" s="2">
        <v>909.8</v>
      </c>
      <c r="AE24" s="2">
        <v>1226.3399999999999</v>
      </c>
      <c r="AF24" s="2">
        <v>808.92</v>
      </c>
      <c r="AG24" s="2">
        <v>1145.72</v>
      </c>
      <c r="AH24" s="2">
        <v>746.42</v>
      </c>
      <c r="AI24" s="2">
        <v>1099.24</v>
      </c>
      <c r="AJ24" s="2">
        <v>753.86</v>
      </c>
      <c r="AK24" s="2">
        <v>919.89</v>
      </c>
      <c r="AL24" s="2">
        <v>808.71</v>
      </c>
      <c r="AM24" s="2">
        <v>887.44</v>
      </c>
      <c r="AN24" s="2">
        <v>816.7</v>
      </c>
      <c r="AO24" s="2">
        <v>863.05</v>
      </c>
      <c r="AP24" s="2">
        <v>638.57000000000005</v>
      </c>
      <c r="AQ24" s="2">
        <v>1030.3</v>
      </c>
      <c r="AR24" s="2">
        <v>641.75</v>
      </c>
      <c r="AU24" s="1" t="s">
        <v>67</v>
      </c>
      <c r="AV24" s="2">
        <v>7276.48</v>
      </c>
      <c r="AW24" s="2">
        <v>4761.54</v>
      </c>
      <c r="AX24" s="2">
        <v>6648.26</v>
      </c>
      <c r="AY24" s="2">
        <v>4439.62</v>
      </c>
      <c r="AZ24" s="2">
        <v>4342.0200000000004</v>
      </c>
      <c r="BA24" s="2">
        <v>5614.3</v>
      </c>
      <c r="BB24" s="2">
        <v>7487.86</v>
      </c>
      <c r="BC24" s="2">
        <v>5175.88</v>
      </c>
      <c r="BD24" s="2">
        <v>7563.58</v>
      </c>
      <c r="BE24" s="2">
        <v>5134.38</v>
      </c>
      <c r="BF24" s="2">
        <v>7362.46</v>
      </c>
      <c r="BG24" s="2">
        <v>5225.54</v>
      </c>
      <c r="BH24" s="2">
        <v>6176.91</v>
      </c>
      <c r="BI24" s="2">
        <v>5563.99</v>
      </c>
      <c r="BJ24" s="2">
        <v>6012.26</v>
      </c>
      <c r="BK24" s="2">
        <v>5582.5</v>
      </c>
      <c r="BL24" s="2">
        <v>5849.95</v>
      </c>
      <c r="BM24" s="2">
        <v>4475.93</v>
      </c>
      <c r="BN24" s="2">
        <v>7223.3</v>
      </c>
      <c r="BO24" s="2">
        <v>4605.3500000000004</v>
      </c>
      <c r="BR24" s="1" t="s">
        <v>67</v>
      </c>
      <c r="BS24" s="2">
        <v>8366.4</v>
      </c>
      <c r="BT24" s="2">
        <v>5435.4</v>
      </c>
      <c r="BU24" s="2">
        <v>7766</v>
      </c>
      <c r="BV24" s="2">
        <v>5160.2</v>
      </c>
      <c r="BW24" s="2">
        <v>5041.3999999999996</v>
      </c>
      <c r="BX24" s="2">
        <v>6524.1</v>
      </c>
      <c r="BY24" s="2">
        <v>8714.2000000000007</v>
      </c>
      <c r="BZ24" s="2">
        <v>5984.8</v>
      </c>
      <c r="CA24" s="2">
        <v>8709.2999999999993</v>
      </c>
      <c r="CB24" s="2">
        <v>5880.8</v>
      </c>
      <c r="CC24" s="2">
        <v>8461.7000000000007</v>
      </c>
      <c r="CD24" s="2">
        <v>5979.4</v>
      </c>
      <c r="CE24" s="2">
        <v>7096.8</v>
      </c>
      <c r="CF24" s="2">
        <v>6372.7</v>
      </c>
      <c r="CG24" s="2">
        <v>6899.7</v>
      </c>
      <c r="CH24" s="2">
        <v>6399.2</v>
      </c>
      <c r="CI24" s="2">
        <v>6713</v>
      </c>
      <c r="CJ24" s="2">
        <v>5114.5</v>
      </c>
      <c r="CK24" s="2">
        <v>8253.6</v>
      </c>
      <c r="CL24" s="2">
        <v>5247.1</v>
      </c>
    </row>
    <row r="25" spans="2:90" x14ac:dyDescent="0.3">
      <c r="B25" s="1" t="s">
        <v>68</v>
      </c>
      <c r="C25" s="2">
        <v>0.22</v>
      </c>
      <c r="D25" s="2">
        <v>0.14000000000000001</v>
      </c>
      <c r="E25" s="2">
        <v>0.2</v>
      </c>
      <c r="F25" s="2">
        <v>0.15</v>
      </c>
      <c r="G25" s="2">
        <v>0.31</v>
      </c>
      <c r="H25" s="2">
        <v>0.24</v>
      </c>
      <c r="I25" s="2">
        <v>0.25</v>
      </c>
      <c r="J25" s="2">
        <v>0.17</v>
      </c>
      <c r="K25" s="2">
        <v>0.26</v>
      </c>
      <c r="L25" s="2">
        <v>0.15</v>
      </c>
      <c r="M25" s="2">
        <v>0.26</v>
      </c>
      <c r="N25" s="2">
        <v>0.15</v>
      </c>
      <c r="O25" s="2">
        <v>0.27</v>
      </c>
      <c r="P25" s="2">
        <v>0.16</v>
      </c>
      <c r="Q25" s="2">
        <v>0.27</v>
      </c>
      <c r="R25" s="2">
        <v>0.15</v>
      </c>
      <c r="S25" s="2">
        <v>0.17</v>
      </c>
      <c r="T25" s="2">
        <v>0.14000000000000001</v>
      </c>
      <c r="U25" s="2">
        <v>0.14000000000000001</v>
      </c>
      <c r="V25" s="2">
        <v>0.14000000000000001</v>
      </c>
      <c r="X25" s="1" t="s">
        <v>68</v>
      </c>
      <c r="Y25" s="2">
        <v>5610.88</v>
      </c>
      <c r="Z25" s="2">
        <v>1684.78</v>
      </c>
      <c r="AA25" s="2">
        <v>5321.66</v>
      </c>
      <c r="AB25" s="2">
        <v>1634.1</v>
      </c>
      <c r="AC25" s="2">
        <v>6133.95</v>
      </c>
      <c r="AD25" s="2">
        <v>5468.52</v>
      </c>
      <c r="AE25" s="2">
        <v>6597.97</v>
      </c>
      <c r="AF25" s="2">
        <v>3169.59</v>
      </c>
      <c r="AG25" s="2">
        <v>7014.11</v>
      </c>
      <c r="AH25" s="2">
        <v>2641.39</v>
      </c>
      <c r="AI25" s="2">
        <v>7139.06</v>
      </c>
      <c r="AJ25" s="2">
        <v>2645.34</v>
      </c>
      <c r="AK25" s="2">
        <v>6775.81</v>
      </c>
      <c r="AL25" s="2">
        <v>2724.63</v>
      </c>
      <c r="AM25" s="2">
        <v>6546.88</v>
      </c>
      <c r="AN25" s="2">
        <v>2481.13</v>
      </c>
      <c r="AO25" s="2">
        <v>3116.07</v>
      </c>
      <c r="AP25" s="2">
        <v>2086.14</v>
      </c>
      <c r="AQ25" s="2">
        <v>2073.85</v>
      </c>
      <c r="AR25" s="2">
        <v>1848.02</v>
      </c>
      <c r="AU25" s="1" t="s">
        <v>68</v>
      </c>
      <c r="AV25" s="2">
        <v>23315.9</v>
      </c>
      <c r="AW25" s="2">
        <v>12181.52</v>
      </c>
      <c r="AX25" s="2">
        <v>22484.48</v>
      </c>
      <c r="AY25" s="2">
        <v>10091.700000000001</v>
      </c>
      <c r="AZ25" s="2">
        <v>16108.62</v>
      </c>
      <c r="BA25" s="2">
        <v>19575</v>
      </c>
      <c r="BB25" s="2">
        <v>22298.69</v>
      </c>
      <c r="BC25" s="2">
        <v>17978.46</v>
      </c>
      <c r="BD25" s="2">
        <v>23210.89</v>
      </c>
      <c r="BE25" s="2">
        <v>17552.849999999999</v>
      </c>
      <c r="BF25" s="2">
        <v>23340.94</v>
      </c>
      <c r="BG25" s="2">
        <v>17591.66</v>
      </c>
      <c r="BH25" s="2">
        <v>21503.96</v>
      </c>
      <c r="BI25" s="2">
        <v>17777.7</v>
      </c>
      <c r="BJ25" s="2">
        <v>20342.060000000001</v>
      </c>
      <c r="BK25" s="2">
        <v>17207.93</v>
      </c>
      <c r="BL25" s="2">
        <v>18456.88</v>
      </c>
      <c r="BM25" s="2">
        <v>15412.3</v>
      </c>
      <c r="BN25" s="2">
        <v>15073.44</v>
      </c>
      <c r="BO25" s="2">
        <v>13634.14</v>
      </c>
      <c r="BR25" s="1" t="s">
        <v>68</v>
      </c>
      <c r="BS25" s="2">
        <v>28926.78</v>
      </c>
      <c r="BT25" s="2">
        <v>13866.3</v>
      </c>
      <c r="BU25" s="2">
        <v>27806.14</v>
      </c>
      <c r="BV25" s="2">
        <v>11725.8</v>
      </c>
      <c r="BW25" s="2">
        <v>22242.57</v>
      </c>
      <c r="BX25" s="2">
        <v>25043.52</v>
      </c>
      <c r="BY25" s="2">
        <v>28896.66</v>
      </c>
      <c r="BZ25" s="2">
        <v>21148.05</v>
      </c>
      <c r="CA25" s="2">
        <v>30225</v>
      </c>
      <c r="CB25" s="2">
        <v>20194.240000000002</v>
      </c>
      <c r="CC25" s="2">
        <v>30480</v>
      </c>
      <c r="CD25" s="2">
        <v>20237</v>
      </c>
      <c r="CE25" s="2">
        <v>28279.77</v>
      </c>
      <c r="CF25" s="2">
        <v>20502.32</v>
      </c>
      <c r="CG25" s="2">
        <v>26888.94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69</v>
      </c>
      <c r="C26" s="2">
        <v>0.14000000000000001</v>
      </c>
      <c r="D26" s="2">
        <v>0.15</v>
      </c>
      <c r="E26" s="2">
        <v>0.22</v>
      </c>
      <c r="F26" s="2">
        <v>0.15</v>
      </c>
      <c r="G26" s="2">
        <v>0.24</v>
      </c>
      <c r="H26" s="2">
        <v>0.15</v>
      </c>
      <c r="I26" s="2">
        <v>0.21</v>
      </c>
      <c r="J26" s="2">
        <v>0.15</v>
      </c>
      <c r="K26" s="2">
        <v>0.2</v>
      </c>
      <c r="L26" s="2">
        <v>0.14000000000000001</v>
      </c>
      <c r="M26" s="2">
        <v>0.2</v>
      </c>
      <c r="N26" s="2">
        <v>0.14000000000000001</v>
      </c>
      <c r="O26" s="2">
        <v>0.2</v>
      </c>
      <c r="P26" s="2">
        <v>0.14000000000000001</v>
      </c>
      <c r="Q26" s="2">
        <v>0.17</v>
      </c>
      <c r="R26" s="2">
        <v>0.14000000000000001</v>
      </c>
      <c r="S26" s="2">
        <v>0.14000000000000001</v>
      </c>
      <c r="T26" s="2">
        <v>0.14000000000000001</v>
      </c>
      <c r="U26" s="2">
        <v>0.14000000000000001</v>
      </c>
      <c r="V26" s="2">
        <v>0.14000000000000001</v>
      </c>
      <c r="X26" s="1" t="s">
        <v>69</v>
      </c>
      <c r="Y26" s="2">
        <v>1028.77</v>
      </c>
      <c r="Z26" s="2">
        <v>603.72</v>
      </c>
      <c r="AA26" s="2">
        <v>1636.87</v>
      </c>
      <c r="AB26" s="2">
        <v>659.15</v>
      </c>
      <c r="AC26" s="2">
        <v>1414.82</v>
      </c>
      <c r="AD26" s="2">
        <v>1162.08</v>
      </c>
      <c r="AE26" s="2">
        <v>1636.63</v>
      </c>
      <c r="AF26" s="2">
        <v>932.77</v>
      </c>
      <c r="AG26" s="2">
        <v>1537.72</v>
      </c>
      <c r="AH26" s="2">
        <v>832.66</v>
      </c>
      <c r="AI26" s="2">
        <v>1536.69</v>
      </c>
      <c r="AJ26" s="2">
        <v>798.87</v>
      </c>
      <c r="AK26" s="2">
        <v>1532.22</v>
      </c>
      <c r="AL26" s="2">
        <v>799.57</v>
      </c>
      <c r="AM26" s="2">
        <v>1164.5999999999999</v>
      </c>
      <c r="AN26" s="2">
        <v>768.64</v>
      </c>
      <c r="AO26" s="2">
        <v>775</v>
      </c>
      <c r="AP26" s="2">
        <v>692.34</v>
      </c>
      <c r="AQ26" s="2">
        <v>697.83</v>
      </c>
      <c r="AR26" s="2">
        <v>652.74</v>
      </c>
      <c r="AU26" s="1" t="s">
        <v>69</v>
      </c>
      <c r="AV26" s="2">
        <v>7530.91</v>
      </c>
      <c r="AW26" s="2">
        <v>4326.08</v>
      </c>
      <c r="AX26" s="2">
        <v>6482.51</v>
      </c>
      <c r="AY26" s="2">
        <v>4193.8500000000004</v>
      </c>
      <c r="AZ26" s="2">
        <v>5523.86</v>
      </c>
      <c r="BA26" s="2">
        <v>7717.92</v>
      </c>
      <c r="BB26" s="2">
        <v>7243.37</v>
      </c>
      <c r="BC26" s="2">
        <v>6388.21</v>
      </c>
      <c r="BD26" s="2">
        <v>7342.28</v>
      </c>
      <c r="BE26" s="2">
        <v>6098.3</v>
      </c>
      <c r="BF26" s="2">
        <v>7343.31</v>
      </c>
      <c r="BG26" s="2">
        <v>5950.52</v>
      </c>
      <c r="BH26" s="2">
        <v>7347.78</v>
      </c>
      <c r="BI26" s="2">
        <v>5991.23</v>
      </c>
      <c r="BJ26" s="2">
        <v>6968.8</v>
      </c>
      <c r="BK26" s="2">
        <v>5690.06</v>
      </c>
      <c r="BL26" s="2">
        <v>5663.8</v>
      </c>
      <c r="BM26" s="2">
        <v>5334.06</v>
      </c>
      <c r="BN26" s="2">
        <v>5257.07</v>
      </c>
      <c r="BO26" s="2">
        <v>4993.97</v>
      </c>
      <c r="BR26" s="1" t="s">
        <v>69</v>
      </c>
      <c r="BS26" s="2">
        <v>8559.69</v>
      </c>
      <c r="BT26" s="2">
        <v>4929.8</v>
      </c>
      <c r="BU26" s="2">
        <v>8119.38</v>
      </c>
      <c r="BV26" s="2">
        <v>4853</v>
      </c>
      <c r="BW26" s="2">
        <v>6938.68</v>
      </c>
      <c r="BX26" s="2">
        <v>8880</v>
      </c>
      <c r="BY26" s="2">
        <v>8880</v>
      </c>
      <c r="BZ26" s="2">
        <v>7320.97</v>
      </c>
      <c r="CA26" s="2">
        <v>8880</v>
      </c>
      <c r="CB26" s="2">
        <v>6930.96</v>
      </c>
      <c r="CC26" s="2">
        <v>8880</v>
      </c>
      <c r="CD26" s="2">
        <v>6749.39</v>
      </c>
      <c r="CE26" s="2">
        <v>8880</v>
      </c>
      <c r="CF26" s="2">
        <v>6790.8</v>
      </c>
      <c r="CG26" s="2">
        <v>8133.4</v>
      </c>
      <c r="CH26" s="2">
        <v>6458.7</v>
      </c>
      <c r="CI26" s="2">
        <v>6438.8</v>
      </c>
      <c r="CJ26" s="2">
        <v>6026.4</v>
      </c>
      <c r="CK26" s="2">
        <v>5954.9</v>
      </c>
      <c r="CL26" s="2">
        <v>5646.71</v>
      </c>
    </row>
    <row r="27" spans="2:90" x14ac:dyDescent="0.3">
      <c r="B27" s="1" t="s">
        <v>70</v>
      </c>
      <c r="C27" s="2">
        <v>0.22</v>
      </c>
      <c r="D27" s="2">
        <v>0.19</v>
      </c>
      <c r="E27" s="2">
        <v>0.15</v>
      </c>
      <c r="F27" s="2">
        <v>0.15</v>
      </c>
      <c r="G27" s="2">
        <v>0.23</v>
      </c>
      <c r="H27" s="2">
        <v>0.22</v>
      </c>
      <c r="I27" s="2">
        <v>0.15</v>
      </c>
      <c r="J27" s="2">
        <v>0.19</v>
      </c>
      <c r="K27" s="2">
        <v>0.16</v>
      </c>
      <c r="L27" s="2">
        <v>0.17</v>
      </c>
      <c r="M27" s="2">
        <v>0.15</v>
      </c>
      <c r="N27" s="2">
        <v>0.14000000000000001</v>
      </c>
      <c r="O27" s="2">
        <v>0.14000000000000001</v>
      </c>
      <c r="P27" s="2">
        <v>0.14000000000000001</v>
      </c>
      <c r="Q27" s="2">
        <v>0.14000000000000001</v>
      </c>
      <c r="R27" s="2">
        <v>0.14000000000000001</v>
      </c>
      <c r="S27" s="2">
        <v>0.14000000000000001</v>
      </c>
      <c r="T27" s="2">
        <v>0.14000000000000001</v>
      </c>
      <c r="U27" s="2">
        <v>0.14000000000000001</v>
      </c>
      <c r="V27" s="2">
        <v>0.14000000000000001</v>
      </c>
      <c r="X27" s="1" t="s">
        <v>70</v>
      </c>
      <c r="Y27" s="2">
        <v>5592.75</v>
      </c>
      <c r="Z27" s="2">
        <v>5972.87</v>
      </c>
      <c r="AA27" s="2">
        <v>5287.16</v>
      </c>
      <c r="AB27" s="2">
        <v>5825.06</v>
      </c>
      <c r="AC27" s="2">
        <v>5541.85</v>
      </c>
      <c r="AD27" s="2">
        <v>6085.07</v>
      </c>
      <c r="AE27" s="2">
        <v>5046.16</v>
      </c>
      <c r="AF27" s="2">
        <v>6216.01</v>
      </c>
      <c r="AG27" s="2">
        <v>5804.7</v>
      </c>
      <c r="AH27" s="2">
        <v>6159.23</v>
      </c>
      <c r="AI27" s="2">
        <v>5052.8900000000003</v>
      </c>
      <c r="AJ27" s="2">
        <v>4949.8599999999997</v>
      </c>
      <c r="AK27" s="2">
        <v>4569.82</v>
      </c>
      <c r="AL27" s="2">
        <v>4859.29</v>
      </c>
      <c r="AM27" s="2">
        <v>4159.5</v>
      </c>
      <c r="AN27" s="2">
        <v>4226.6899999999996</v>
      </c>
      <c r="AO27" s="2">
        <v>3843.44</v>
      </c>
      <c r="AP27" s="2">
        <v>3943.2</v>
      </c>
      <c r="AQ27" s="2">
        <v>3859.56</v>
      </c>
      <c r="AR27" s="2">
        <v>4302.6000000000004</v>
      </c>
      <c r="AU27" s="1" t="s">
        <v>70</v>
      </c>
      <c r="AV27" s="2">
        <v>23521.26</v>
      </c>
      <c r="AW27" s="2">
        <v>31071.63</v>
      </c>
      <c r="AX27" s="2">
        <v>32304.68</v>
      </c>
      <c r="AY27" s="2">
        <v>35381.440000000002</v>
      </c>
      <c r="AZ27" s="2">
        <v>22361.26</v>
      </c>
      <c r="BA27" s="2">
        <v>25027.35</v>
      </c>
      <c r="BB27" s="2">
        <v>32264.84</v>
      </c>
      <c r="BC27" s="2">
        <v>30256.99</v>
      </c>
      <c r="BD27" s="2">
        <v>34693.300000000003</v>
      </c>
      <c r="BE27" s="2">
        <v>34289.269999999997</v>
      </c>
      <c r="BF27" s="2">
        <v>33780.11</v>
      </c>
      <c r="BG27" s="2">
        <v>34743.64</v>
      </c>
      <c r="BH27" s="2">
        <v>32100.68</v>
      </c>
      <c r="BI27" s="2">
        <v>34040.71</v>
      </c>
      <c r="BJ27" s="2">
        <v>29473.5</v>
      </c>
      <c r="BK27" s="2">
        <v>29785.81</v>
      </c>
      <c r="BL27" s="2">
        <v>27465.06</v>
      </c>
      <c r="BM27" s="2">
        <v>28010.799999999999</v>
      </c>
      <c r="BN27" s="2">
        <v>28127.439999999999</v>
      </c>
      <c r="BO27" s="2">
        <v>31306.400000000001</v>
      </c>
      <c r="BR27" s="1" t="s">
        <v>70</v>
      </c>
      <c r="BS27" s="2">
        <v>29114.01</v>
      </c>
      <c r="BT27" s="2">
        <v>37044.5</v>
      </c>
      <c r="BU27" s="2">
        <v>37591.839999999997</v>
      </c>
      <c r="BV27" s="2">
        <v>41206.5</v>
      </c>
      <c r="BW27" s="2">
        <v>27903.11</v>
      </c>
      <c r="BX27" s="2">
        <v>31112.41</v>
      </c>
      <c r="BY27" s="2">
        <v>37311</v>
      </c>
      <c r="BZ27" s="2">
        <v>36473</v>
      </c>
      <c r="CA27" s="2">
        <v>40498</v>
      </c>
      <c r="CB27" s="2">
        <v>40448.5</v>
      </c>
      <c r="CC27" s="2">
        <v>38833</v>
      </c>
      <c r="CD27" s="2">
        <v>39693.5</v>
      </c>
      <c r="CE27" s="2">
        <v>36670.5</v>
      </c>
      <c r="CF27" s="2">
        <v>38900</v>
      </c>
      <c r="CG27" s="2">
        <v>33633</v>
      </c>
      <c r="CH27" s="2">
        <v>34012.5</v>
      </c>
      <c r="CI27" s="2">
        <v>31308.5</v>
      </c>
      <c r="CJ27" s="2">
        <v>31954</v>
      </c>
      <c r="CK27" s="2">
        <v>31987</v>
      </c>
      <c r="CL27" s="2">
        <v>35609</v>
      </c>
    </row>
    <row r="28" spans="2:90" x14ac:dyDescent="0.3">
      <c r="B28" s="1" t="s">
        <v>71</v>
      </c>
      <c r="C28" s="2">
        <v>0.24</v>
      </c>
      <c r="D28" s="2">
        <v>0.24</v>
      </c>
      <c r="E28" s="2">
        <v>0.18</v>
      </c>
      <c r="F28" s="2">
        <v>0.18</v>
      </c>
      <c r="G28" s="2">
        <v>0.25</v>
      </c>
      <c r="H28" s="2">
        <v>0.24</v>
      </c>
      <c r="I28" s="2">
        <v>0.18</v>
      </c>
      <c r="J28" s="2">
        <v>0.24</v>
      </c>
      <c r="K28" s="2">
        <v>0.17</v>
      </c>
      <c r="L28" s="2">
        <v>0.17</v>
      </c>
      <c r="M28" s="2">
        <v>0.17</v>
      </c>
      <c r="N28" s="2">
        <v>0.16</v>
      </c>
      <c r="O28" s="2">
        <v>0.17</v>
      </c>
      <c r="P28" s="2">
        <v>0.17</v>
      </c>
      <c r="Q28" s="2">
        <v>0.17</v>
      </c>
      <c r="R28" s="2">
        <v>0.16</v>
      </c>
      <c r="S28" s="2">
        <v>0.17</v>
      </c>
      <c r="T28" s="2">
        <v>0.17</v>
      </c>
      <c r="U28" s="2">
        <v>0.17</v>
      </c>
      <c r="V28" s="2">
        <v>0.17</v>
      </c>
      <c r="X28" s="1" t="s">
        <v>71</v>
      </c>
      <c r="Y28" s="2">
        <v>1452.84</v>
      </c>
      <c r="Z28" s="2">
        <v>1480.38</v>
      </c>
      <c r="AA28" s="2">
        <v>1482.87</v>
      </c>
      <c r="AB28" s="2">
        <v>1512.54</v>
      </c>
      <c r="AC28" s="2">
        <v>1286.21</v>
      </c>
      <c r="AD28" s="2">
        <v>1429.92</v>
      </c>
      <c r="AE28" s="2">
        <v>1095.51</v>
      </c>
      <c r="AF28" s="2">
        <v>1191.22</v>
      </c>
      <c r="AG28" s="2">
        <v>1026.33</v>
      </c>
      <c r="AH28" s="2">
        <v>1297.7</v>
      </c>
      <c r="AI28" s="2">
        <v>1083.29</v>
      </c>
      <c r="AJ28" s="2">
        <v>1317.01</v>
      </c>
      <c r="AK28" s="2">
        <v>1078</v>
      </c>
      <c r="AL28" s="2">
        <v>1287.21</v>
      </c>
      <c r="AM28" s="2">
        <v>1057.69</v>
      </c>
      <c r="AN28" s="2">
        <v>1257.8399999999999</v>
      </c>
      <c r="AO28" s="2">
        <v>1006.53</v>
      </c>
      <c r="AP28" s="2">
        <v>1220.27</v>
      </c>
      <c r="AQ28" s="2">
        <v>917.83</v>
      </c>
      <c r="AR28" s="2">
        <v>900.4</v>
      </c>
      <c r="AU28" s="1" t="s">
        <v>71</v>
      </c>
      <c r="AV28" s="2">
        <v>5453.98</v>
      </c>
      <c r="AW28" s="2">
        <v>5558.37</v>
      </c>
      <c r="AX28" s="2">
        <v>7397.13</v>
      </c>
      <c r="AY28" s="2">
        <v>7367.46</v>
      </c>
      <c r="AZ28" s="2">
        <v>4490.5200000000004</v>
      </c>
      <c r="BA28" s="2">
        <v>5126.0600000000004</v>
      </c>
      <c r="BB28" s="2">
        <v>5530.29</v>
      </c>
      <c r="BC28" s="2">
        <v>4378.7</v>
      </c>
      <c r="BD28" s="2">
        <v>5628.87</v>
      </c>
      <c r="BE28" s="2">
        <v>7361.29</v>
      </c>
      <c r="BF28" s="2">
        <v>6069.81</v>
      </c>
      <c r="BG28" s="2">
        <v>7562.99</v>
      </c>
      <c r="BH28" s="2">
        <v>6018.98</v>
      </c>
      <c r="BI28" s="2">
        <v>7184.9</v>
      </c>
      <c r="BJ28" s="2">
        <v>5979.18</v>
      </c>
      <c r="BK28" s="2">
        <v>7180.82</v>
      </c>
      <c r="BL28" s="2">
        <v>5758.91</v>
      </c>
      <c r="BM28" s="2">
        <v>6774.39</v>
      </c>
      <c r="BN28" s="2">
        <v>5349.21</v>
      </c>
      <c r="BO28" s="2">
        <v>4963.6000000000004</v>
      </c>
      <c r="BR28" s="1" t="s">
        <v>71</v>
      </c>
      <c r="BS28" s="2">
        <v>6906.81</v>
      </c>
      <c r="BT28" s="2">
        <v>7038.75</v>
      </c>
      <c r="BU28" s="2">
        <v>8880</v>
      </c>
      <c r="BV28" s="2">
        <v>8880</v>
      </c>
      <c r="BW28" s="2">
        <v>5776.74</v>
      </c>
      <c r="BX28" s="2">
        <v>6555.98</v>
      </c>
      <c r="BY28" s="2">
        <v>6625.8</v>
      </c>
      <c r="BZ28" s="2">
        <v>5569.92</v>
      </c>
      <c r="CA28" s="2">
        <v>6655.2</v>
      </c>
      <c r="CB28" s="2">
        <v>8659</v>
      </c>
      <c r="CC28" s="2">
        <v>7153.1</v>
      </c>
      <c r="CD28" s="2">
        <v>8880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5864</v>
      </c>
    </row>
    <row r="29" spans="2:90" x14ac:dyDescent="0.3">
      <c r="B29" s="1" t="s">
        <v>72</v>
      </c>
      <c r="C29" s="2">
        <v>0.23</v>
      </c>
      <c r="D29" s="2">
        <v>0.23</v>
      </c>
      <c r="E29" s="2">
        <v>0.18</v>
      </c>
      <c r="F29" s="2">
        <v>0.2</v>
      </c>
      <c r="G29" s="2">
        <v>0.28000000000000003</v>
      </c>
      <c r="H29" s="2">
        <v>0.24</v>
      </c>
      <c r="I29" s="2">
        <v>0.21</v>
      </c>
      <c r="J29" s="2">
        <v>0.32</v>
      </c>
      <c r="K29" s="2">
        <v>0.17</v>
      </c>
      <c r="L29" s="2">
        <v>0.27</v>
      </c>
      <c r="M29" s="2">
        <v>0.18</v>
      </c>
      <c r="N29" s="2">
        <v>0.27</v>
      </c>
      <c r="O29" s="2">
        <v>0.18</v>
      </c>
      <c r="P29" s="2">
        <v>0.25</v>
      </c>
      <c r="Q29" s="2">
        <v>0.19</v>
      </c>
      <c r="R29" s="2">
        <v>0.16</v>
      </c>
      <c r="S29" s="2">
        <v>0.17</v>
      </c>
      <c r="T29" s="2">
        <v>0.17</v>
      </c>
      <c r="U29" s="2">
        <v>0.17</v>
      </c>
      <c r="V29" s="2">
        <v>0.17</v>
      </c>
      <c r="X29" s="1" t="s">
        <v>72</v>
      </c>
      <c r="Y29" s="2">
        <v>5400.63</v>
      </c>
      <c r="Z29" s="2">
        <v>5642.67</v>
      </c>
      <c r="AA29" s="2">
        <v>4283.8999999999996</v>
      </c>
      <c r="AB29" s="2">
        <v>5781.02</v>
      </c>
      <c r="AC29" s="2">
        <v>4551.92</v>
      </c>
      <c r="AD29" s="2">
        <v>5432.05</v>
      </c>
      <c r="AE29" s="2">
        <v>4327.8</v>
      </c>
      <c r="AF29" s="2">
        <v>5955.07</v>
      </c>
      <c r="AG29" s="2">
        <v>3286.24</v>
      </c>
      <c r="AH29" s="2">
        <v>7332.15</v>
      </c>
      <c r="AI29" s="2">
        <v>3601.1</v>
      </c>
      <c r="AJ29" s="2">
        <v>7335.43</v>
      </c>
      <c r="AK29" s="2">
        <v>3614.9</v>
      </c>
      <c r="AL29" s="2">
        <v>6551.94</v>
      </c>
      <c r="AM29" s="2">
        <v>4006.86</v>
      </c>
      <c r="AN29" s="2">
        <v>3661.41</v>
      </c>
      <c r="AO29" s="2">
        <v>3030.09</v>
      </c>
      <c r="AP29" s="2">
        <v>3130.07</v>
      </c>
      <c r="AQ29" s="2">
        <v>2820.46</v>
      </c>
      <c r="AR29" s="2">
        <v>2803.06</v>
      </c>
      <c r="AU29" s="1" t="s">
        <v>72</v>
      </c>
      <c r="AV29" s="2">
        <v>20902.330000000002</v>
      </c>
      <c r="AW29" s="2">
        <v>22250.639999999999</v>
      </c>
      <c r="AX29" s="2">
        <v>21508.799999999999</v>
      </c>
      <c r="AY29" s="2">
        <v>24094.65</v>
      </c>
      <c r="AZ29" s="2">
        <v>13754.89</v>
      </c>
      <c r="BA29" s="2">
        <v>20519.34</v>
      </c>
      <c r="BB29" s="2">
        <v>18816.740000000002</v>
      </c>
      <c r="BC29" s="2">
        <v>15301.28</v>
      </c>
      <c r="BD29" s="2">
        <v>18348.96</v>
      </c>
      <c r="BE29" s="2">
        <v>23147.85</v>
      </c>
      <c r="BF29" s="2">
        <v>18874.02</v>
      </c>
      <c r="BG29" s="2">
        <v>23144.57</v>
      </c>
      <c r="BH29" s="2">
        <v>18905.12</v>
      </c>
      <c r="BI29" s="2">
        <v>22385.759999999998</v>
      </c>
      <c r="BJ29" s="2">
        <v>19511.75</v>
      </c>
      <c r="BK29" s="2">
        <v>21614.66</v>
      </c>
      <c r="BL29" s="2">
        <v>17757.96</v>
      </c>
      <c r="BM29" s="2">
        <v>18091.98</v>
      </c>
      <c r="BN29" s="2">
        <v>16673.96</v>
      </c>
      <c r="BO29" s="2">
        <v>16369.53</v>
      </c>
      <c r="BR29" s="1" t="s">
        <v>72</v>
      </c>
      <c r="BS29" s="2">
        <v>26302.959999999999</v>
      </c>
      <c r="BT29" s="2">
        <v>27893.31</v>
      </c>
      <c r="BU29" s="2">
        <v>25792.7</v>
      </c>
      <c r="BV29" s="2">
        <v>29875.67</v>
      </c>
      <c r="BW29" s="2">
        <v>18306.810000000001</v>
      </c>
      <c r="BX29" s="2">
        <v>25951.39</v>
      </c>
      <c r="BY29" s="2">
        <v>23144.55</v>
      </c>
      <c r="BZ29" s="2">
        <v>21256.35</v>
      </c>
      <c r="CA29" s="2">
        <v>21635.200000000001</v>
      </c>
      <c r="CB29" s="2">
        <v>30480</v>
      </c>
      <c r="CC29" s="2">
        <v>22475.13</v>
      </c>
      <c r="CD29" s="2">
        <v>30480</v>
      </c>
      <c r="CE29" s="2">
        <v>22520.02</v>
      </c>
      <c r="CF29" s="2">
        <v>28937.7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73</v>
      </c>
      <c r="C30" s="2">
        <v>0.17</v>
      </c>
      <c r="D30" s="2">
        <v>0.17</v>
      </c>
      <c r="E30" s="2">
        <v>0.18</v>
      </c>
      <c r="F30" s="2">
        <v>0.18</v>
      </c>
      <c r="G30" s="2">
        <v>0.05</v>
      </c>
      <c r="H30" s="2">
        <v>0.18</v>
      </c>
      <c r="I30" s="2">
        <v>0.15</v>
      </c>
      <c r="J30" s="2">
        <v>0.19</v>
      </c>
      <c r="K30" s="2">
        <v>0.18</v>
      </c>
      <c r="L30" s="2">
        <v>0.18</v>
      </c>
      <c r="M30" s="2">
        <v>0.19</v>
      </c>
      <c r="N30" s="2">
        <v>0.18</v>
      </c>
      <c r="O30" s="2">
        <v>0.19</v>
      </c>
      <c r="P30" s="2">
        <v>0.17</v>
      </c>
      <c r="Q30" s="2">
        <v>0.19</v>
      </c>
      <c r="R30" s="2">
        <v>0.18</v>
      </c>
      <c r="S30" s="2">
        <v>0.2</v>
      </c>
      <c r="T30" s="2">
        <v>0.19</v>
      </c>
      <c r="U30" s="2">
        <v>0.19</v>
      </c>
      <c r="V30" s="2">
        <v>0.19</v>
      </c>
      <c r="X30" s="1" t="s">
        <v>73</v>
      </c>
      <c r="Y30" s="2">
        <v>1997.61</v>
      </c>
      <c r="Z30" s="2">
        <v>2521.54</v>
      </c>
      <c r="AA30" s="2">
        <v>2069.29</v>
      </c>
      <c r="AB30" s="2">
        <v>2202.65</v>
      </c>
      <c r="AC30" s="2">
        <v>482.97</v>
      </c>
      <c r="AD30" s="2">
        <v>2301.81</v>
      </c>
      <c r="AE30" s="2">
        <v>1295.4000000000001</v>
      </c>
      <c r="AF30" s="2">
        <v>2440.4899999999998</v>
      </c>
      <c r="AG30" s="2">
        <v>1737.72</v>
      </c>
      <c r="AH30" s="2">
        <v>2288.02</v>
      </c>
      <c r="AI30" s="2">
        <v>1746.3</v>
      </c>
      <c r="AJ30" s="2">
        <v>2345.12</v>
      </c>
      <c r="AK30" s="2">
        <v>1729.88</v>
      </c>
      <c r="AL30" s="2">
        <v>2160.6799999999998</v>
      </c>
      <c r="AM30" s="2">
        <v>1701.2</v>
      </c>
      <c r="AN30" s="2">
        <v>1782.61</v>
      </c>
      <c r="AO30" s="2">
        <v>1647.2</v>
      </c>
      <c r="AP30" s="2">
        <v>1642.98</v>
      </c>
      <c r="AQ30" s="2">
        <v>1678.17</v>
      </c>
      <c r="AR30" s="2">
        <v>1657.42</v>
      </c>
      <c r="AU30" s="1" t="s">
        <v>73</v>
      </c>
      <c r="AV30" s="2">
        <v>11994.39</v>
      </c>
      <c r="AW30" s="2">
        <v>14612.06</v>
      </c>
      <c r="AX30" s="2">
        <v>10200.709999999999</v>
      </c>
      <c r="AY30" s="2">
        <v>10876.45</v>
      </c>
      <c r="AZ30" s="2">
        <v>8836.5300000000007</v>
      </c>
      <c r="BA30" s="2">
        <v>12069.39</v>
      </c>
      <c r="BB30" s="2">
        <v>9360</v>
      </c>
      <c r="BC30" s="2">
        <v>12172.37</v>
      </c>
      <c r="BD30" s="2">
        <v>10027.379999999999</v>
      </c>
      <c r="BE30" s="2">
        <v>12579.11</v>
      </c>
      <c r="BF30" s="2">
        <v>9740.1</v>
      </c>
      <c r="BG30" s="2">
        <v>12992.43</v>
      </c>
      <c r="BH30" s="2">
        <v>9744.82</v>
      </c>
      <c r="BI30" s="2">
        <v>12538.72</v>
      </c>
      <c r="BJ30" s="2">
        <v>9249.7000000000007</v>
      </c>
      <c r="BK30" s="2">
        <v>10042.49</v>
      </c>
      <c r="BL30" s="2">
        <v>8634.4</v>
      </c>
      <c r="BM30" s="2">
        <v>8831.2199999999993</v>
      </c>
      <c r="BN30" s="2">
        <v>9084.33</v>
      </c>
      <c r="BO30" s="2">
        <v>9679.58</v>
      </c>
      <c r="BR30" s="1" t="s">
        <v>73</v>
      </c>
      <c r="BS30" s="2">
        <v>13992</v>
      </c>
      <c r="BT30" s="2">
        <v>17133.599999999999</v>
      </c>
      <c r="BU30" s="2">
        <v>12270</v>
      </c>
      <c r="BV30" s="2">
        <v>13079.1</v>
      </c>
      <c r="BW30" s="2">
        <v>9319.5</v>
      </c>
      <c r="BX30" s="2">
        <v>14371.2</v>
      </c>
      <c r="BY30" s="2">
        <v>10655.4</v>
      </c>
      <c r="BZ30" s="2">
        <v>14612.86</v>
      </c>
      <c r="CA30" s="2">
        <v>11765.1</v>
      </c>
      <c r="CB30" s="2">
        <v>14867.13</v>
      </c>
      <c r="CC30" s="2">
        <v>11486.4</v>
      </c>
      <c r="CD30" s="2">
        <v>15337.55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63</v>
      </c>
      <c r="D34" s="1" t="s">
        <v>64</v>
      </c>
      <c r="E34" s="1" t="s">
        <v>63</v>
      </c>
      <c r="F34" s="1" t="s">
        <v>64</v>
      </c>
      <c r="G34" s="1" t="s">
        <v>63</v>
      </c>
      <c r="H34" s="1" t="s">
        <v>64</v>
      </c>
      <c r="I34" s="1" t="s">
        <v>63</v>
      </c>
      <c r="J34" s="1" t="s">
        <v>64</v>
      </c>
      <c r="K34" s="1" t="s">
        <v>63</v>
      </c>
      <c r="L34" s="1" t="s">
        <v>64</v>
      </c>
      <c r="M34" s="1" t="s">
        <v>63</v>
      </c>
      <c r="N34" s="1" t="s">
        <v>64</v>
      </c>
      <c r="O34" s="1" t="s">
        <v>63</v>
      </c>
      <c r="P34" s="1" t="s">
        <v>64</v>
      </c>
      <c r="Q34" s="1" t="s">
        <v>63</v>
      </c>
      <c r="R34" s="1" t="s">
        <v>64</v>
      </c>
      <c r="S34" s="1" t="s">
        <v>63</v>
      </c>
      <c r="T34" s="1" t="s">
        <v>64</v>
      </c>
      <c r="U34" s="1" t="s">
        <v>63</v>
      </c>
      <c r="V34" s="1" t="s">
        <v>64</v>
      </c>
      <c r="X34" s="1" t="s">
        <v>6</v>
      </c>
      <c r="Y34" s="1" t="s">
        <v>63</v>
      </c>
      <c r="Z34" s="1" t="s">
        <v>64</v>
      </c>
      <c r="AA34" s="1" t="s">
        <v>63</v>
      </c>
      <c r="AB34" s="1" t="s">
        <v>64</v>
      </c>
      <c r="AC34" s="1" t="s">
        <v>63</v>
      </c>
      <c r="AD34" s="1" t="s">
        <v>64</v>
      </c>
      <c r="AE34" s="1" t="s">
        <v>63</v>
      </c>
      <c r="AF34" s="1" t="s">
        <v>64</v>
      </c>
      <c r="AG34" s="1" t="s">
        <v>63</v>
      </c>
      <c r="AH34" s="1" t="s">
        <v>64</v>
      </c>
      <c r="AI34" s="1" t="s">
        <v>63</v>
      </c>
      <c r="AJ34" s="1" t="s">
        <v>64</v>
      </c>
      <c r="AK34" s="1" t="s">
        <v>63</v>
      </c>
      <c r="AL34" s="1" t="s">
        <v>64</v>
      </c>
      <c r="AM34" s="1" t="s">
        <v>63</v>
      </c>
      <c r="AN34" s="1" t="s">
        <v>64</v>
      </c>
      <c r="AO34" s="1" t="s">
        <v>63</v>
      </c>
      <c r="AP34" s="1" t="s">
        <v>64</v>
      </c>
      <c r="AQ34" s="1" t="s">
        <v>63</v>
      </c>
      <c r="AR34" s="1" t="s">
        <v>64</v>
      </c>
      <c r="AU34" s="1" t="s">
        <v>6</v>
      </c>
      <c r="AV34" s="1" t="s">
        <v>63</v>
      </c>
      <c r="AW34" s="1" t="s">
        <v>64</v>
      </c>
      <c r="AX34" s="1" t="s">
        <v>63</v>
      </c>
      <c r="AY34" s="1" t="s">
        <v>64</v>
      </c>
      <c r="AZ34" s="1" t="s">
        <v>63</v>
      </c>
      <c r="BA34" s="1" t="s">
        <v>64</v>
      </c>
      <c r="BB34" s="1" t="s">
        <v>63</v>
      </c>
      <c r="BC34" s="1" t="s">
        <v>64</v>
      </c>
      <c r="BD34" s="1" t="s">
        <v>63</v>
      </c>
      <c r="BE34" s="1" t="s">
        <v>64</v>
      </c>
      <c r="BF34" s="1" t="s">
        <v>63</v>
      </c>
      <c r="BG34" s="1" t="s">
        <v>64</v>
      </c>
      <c r="BH34" s="1" t="s">
        <v>63</v>
      </c>
      <c r="BI34" s="1" t="s">
        <v>64</v>
      </c>
      <c r="BJ34" s="1" t="s">
        <v>63</v>
      </c>
      <c r="BK34" s="1" t="s">
        <v>64</v>
      </c>
      <c r="BL34" s="1" t="s">
        <v>63</v>
      </c>
      <c r="BM34" s="1" t="s">
        <v>64</v>
      </c>
      <c r="BN34" s="1" t="s">
        <v>63</v>
      </c>
      <c r="BO34" s="1" t="s">
        <v>64</v>
      </c>
      <c r="BR34" s="1" t="s">
        <v>6</v>
      </c>
      <c r="BS34" s="1" t="s">
        <v>63</v>
      </c>
      <c r="BT34" s="1" t="s">
        <v>64</v>
      </c>
      <c r="BU34" s="1" t="s">
        <v>63</v>
      </c>
      <c r="BV34" s="1" t="s">
        <v>64</v>
      </c>
      <c r="BW34" s="1" t="s">
        <v>63</v>
      </c>
      <c r="BX34" s="1" t="s">
        <v>64</v>
      </c>
      <c r="BY34" s="1" t="s">
        <v>63</v>
      </c>
      <c r="BZ34" s="1" t="s">
        <v>64</v>
      </c>
      <c r="CA34" s="1" t="s">
        <v>63</v>
      </c>
      <c r="CB34" s="1" t="s">
        <v>64</v>
      </c>
      <c r="CC34" s="1" t="s">
        <v>63</v>
      </c>
      <c r="CD34" s="1" t="s">
        <v>64</v>
      </c>
      <c r="CE34" s="1" t="s">
        <v>63</v>
      </c>
      <c r="CF34" s="1" t="s">
        <v>64</v>
      </c>
      <c r="CG34" s="1" t="s">
        <v>63</v>
      </c>
      <c r="CH34" s="1" t="s">
        <v>64</v>
      </c>
      <c r="CI34" s="1" t="s">
        <v>63</v>
      </c>
      <c r="CJ34" s="1" t="s">
        <v>64</v>
      </c>
      <c r="CK34" s="1" t="s">
        <v>63</v>
      </c>
      <c r="CL34" s="1" t="s">
        <v>64</v>
      </c>
    </row>
    <row r="35" spans="2:90" x14ac:dyDescent="0.3">
      <c r="B35" s="1" t="s">
        <v>65</v>
      </c>
      <c r="C35" s="1" t="s">
        <v>53</v>
      </c>
      <c r="D35" s="1" t="s">
        <v>53</v>
      </c>
      <c r="E35" s="1" t="s">
        <v>54</v>
      </c>
      <c r="F35" s="1" t="s">
        <v>54</v>
      </c>
      <c r="G35" s="1" t="s">
        <v>55</v>
      </c>
      <c r="H35" s="1" t="s">
        <v>55</v>
      </c>
      <c r="I35" s="1" t="s">
        <v>56</v>
      </c>
      <c r="J35" s="1" t="s">
        <v>56</v>
      </c>
      <c r="K35" s="1" t="s">
        <v>57</v>
      </c>
      <c r="L35" s="1" t="s">
        <v>57</v>
      </c>
      <c r="M35" s="1" t="s">
        <v>58</v>
      </c>
      <c r="N35" s="1" t="s">
        <v>58</v>
      </c>
      <c r="O35" s="1" t="s">
        <v>59</v>
      </c>
      <c r="P35" s="1" t="s">
        <v>59</v>
      </c>
      <c r="Q35" s="1" t="s">
        <v>60</v>
      </c>
      <c r="R35" s="1" t="s">
        <v>60</v>
      </c>
      <c r="S35" s="1" t="s">
        <v>61</v>
      </c>
      <c r="T35" s="1" t="s">
        <v>61</v>
      </c>
      <c r="U35" s="1" t="s">
        <v>62</v>
      </c>
      <c r="V35" s="1" t="s">
        <v>62</v>
      </c>
      <c r="X35" s="1" t="s">
        <v>65</v>
      </c>
      <c r="Y35" s="1" t="s">
        <v>53</v>
      </c>
      <c r="Z35" s="1" t="s">
        <v>53</v>
      </c>
      <c r="AA35" s="1" t="s">
        <v>54</v>
      </c>
      <c r="AB35" s="1" t="s">
        <v>54</v>
      </c>
      <c r="AC35" s="1" t="s">
        <v>55</v>
      </c>
      <c r="AD35" s="1" t="s">
        <v>55</v>
      </c>
      <c r="AE35" s="1" t="s">
        <v>56</v>
      </c>
      <c r="AF35" s="1" t="s">
        <v>56</v>
      </c>
      <c r="AG35" s="1" t="s">
        <v>57</v>
      </c>
      <c r="AH35" s="1" t="s">
        <v>57</v>
      </c>
      <c r="AI35" s="1" t="s">
        <v>58</v>
      </c>
      <c r="AJ35" s="1" t="s">
        <v>58</v>
      </c>
      <c r="AK35" s="1" t="s">
        <v>59</v>
      </c>
      <c r="AL35" s="1" t="s">
        <v>59</v>
      </c>
      <c r="AM35" s="1" t="s">
        <v>60</v>
      </c>
      <c r="AN35" s="1" t="s">
        <v>60</v>
      </c>
      <c r="AO35" s="1" t="s">
        <v>61</v>
      </c>
      <c r="AP35" s="1" t="s">
        <v>61</v>
      </c>
      <c r="AQ35" s="1" t="s">
        <v>62</v>
      </c>
      <c r="AR35" s="1" t="s">
        <v>62</v>
      </c>
      <c r="AU35" s="1" t="s">
        <v>65</v>
      </c>
      <c r="AV35" s="1" t="s">
        <v>53</v>
      </c>
      <c r="AW35" s="1" t="s">
        <v>53</v>
      </c>
      <c r="AX35" s="1" t="s">
        <v>54</v>
      </c>
      <c r="AY35" s="1" t="s">
        <v>54</v>
      </c>
      <c r="AZ35" s="1" t="s">
        <v>55</v>
      </c>
      <c r="BA35" s="1" t="s">
        <v>55</v>
      </c>
      <c r="BB35" s="1" t="s">
        <v>56</v>
      </c>
      <c r="BC35" s="1" t="s">
        <v>56</v>
      </c>
      <c r="BD35" s="1" t="s">
        <v>57</v>
      </c>
      <c r="BE35" s="1" t="s">
        <v>57</v>
      </c>
      <c r="BF35" s="1" t="s">
        <v>58</v>
      </c>
      <c r="BG35" s="1" t="s">
        <v>58</v>
      </c>
      <c r="BH35" s="1" t="s">
        <v>59</v>
      </c>
      <c r="BI35" s="1" t="s">
        <v>59</v>
      </c>
      <c r="BJ35" s="1" t="s">
        <v>60</v>
      </c>
      <c r="BK35" s="1" t="s">
        <v>60</v>
      </c>
      <c r="BL35" s="1" t="s">
        <v>61</v>
      </c>
      <c r="BM35" s="1" t="s">
        <v>61</v>
      </c>
      <c r="BN35" s="1" t="s">
        <v>62</v>
      </c>
      <c r="BO35" s="1" t="s">
        <v>62</v>
      </c>
      <c r="BR35" s="1" t="s">
        <v>65</v>
      </c>
      <c r="BS35" s="1" t="s">
        <v>53</v>
      </c>
      <c r="BT35" s="1" t="s">
        <v>53</v>
      </c>
      <c r="BU35" s="1" t="s">
        <v>54</v>
      </c>
      <c r="BV35" s="1" t="s">
        <v>54</v>
      </c>
      <c r="BW35" s="1" t="s">
        <v>55</v>
      </c>
      <c r="BX35" s="1" t="s">
        <v>55</v>
      </c>
      <c r="BY35" s="1" t="s">
        <v>56</v>
      </c>
      <c r="BZ35" s="1" t="s">
        <v>56</v>
      </c>
      <c r="CA35" s="1" t="s">
        <v>57</v>
      </c>
      <c r="CB35" s="1" t="s">
        <v>57</v>
      </c>
      <c r="CC35" s="1" t="s">
        <v>58</v>
      </c>
      <c r="CD35" s="1" t="s">
        <v>58</v>
      </c>
      <c r="CE35" s="1" t="s">
        <v>59</v>
      </c>
      <c r="CF35" s="1" t="s">
        <v>59</v>
      </c>
      <c r="CG35" s="1" t="s">
        <v>60</v>
      </c>
      <c r="CH35" s="1" t="s">
        <v>60</v>
      </c>
      <c r="CI35" s="1" t="s">
        <v>61</v>
      </c>
      <c r="CJ35" s="1" t="s">
        <v>61</v>
      </c>
      <c r="CK35" s="1" t="s">
        <v>62</v>
      </c>
      <c r="CL35" s="1" t="s">
        <v>62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66</v>
      </c>
      <c r="C37" s="2">
        <v>1254.03</v>
      </c>
      <c r="D37" s="2">
        <v>1262.51</v>
      </c>
      <c r="E37" s="2">
        <v>218.33</v>
      </c>
      <c r="F37" s="2">
        <v>201.36</v>
      </c>
      <c r="G37" s="2">
        <v>71.680000000000007</v>
      </c>
      <c r="H37" s="2">
        <v>141.46</v>
      </c>
      <c r="I37" s="2">
        <v>1022.5</v>
      </c>
      <c r="J37" s="2">
        <v>603.9</v>
      </c>
      <c r="K37" s="2">
        <v>1840.65</v>
      </c>
      <c r="L37" s="2">
        <v>631.30999999999995</v>
      </c>
      <c r="M37" s="2">
        <v>3347.06</v>
      </c>
      <c r="N37" s="2">
        <v>850.07</v>
      </c>
      <c r="O37" s="2">
        <v>2554.59</v>
      </c>
      <c r="P37" s="2">
        <v>295.27999999999997</v>
      </c>
      <c r="Q37" s="2">
        <v>2501.4499999999998</v>
      </c>
      <c r="R37" s="2">
        <v>821.13</v>
      </c>
      <c r="S37" s="2">
        <v>157.91</v>
      </c>
      <c r="T37" s="2">
        <v>133.16</v>
      </c>
      <c r="U37" s="2">
        <v>591.16</v>
      </c>
      <c r="V37" s="2">
        <v>193.36</v>
      </c>
      <c r="X37" s="1" t="s">
        <v>66</v>
      </c>
      <c r="Y37" s="2">
        <v>528.70000000000005</v>
      </c>
      <c r="Z37" s="2">
        <v>509.6</v>
      </c>
      <c r="AA37" s="2">
        <v>111.46</v>
      </c>
      <c r="AB37" s="2">
        <v>101.96</v>
      </c>
      <c r="AC37" s="2">
        <v>89.33</v>
      </c>
      <c r="AD37" s="2">
        <v>174.9</v>
      </c>
      <c r="AE37" s="2">
        <v>348.7</v>
      </c>
      <c r="AF37" s="2">
        <v>197.7</v>
      </c>
      <c r="AG37" s="2">
        <v>509.8</v>
      </c>
      <c r="AH37" s="2">
        <v>167.6</v>
      </c>
      <c r="AI37" s="2">
        <v>517.6</v>
      </c>
      <c r="AJ37" s="2">
        <v>121.8</v>
      </c>
      <c r="AK37" s="2">
        <v>484.7</v>
      </c>
      <c r="AL37" s="2">
        <v>50.5</v>
      </c>
      <c r="AM37" s="2">
        <v>358.8</v>
      </c>
      <c r="AN37" s="2">
        <v>112.1</v>
      </c>
      <c r="AO37" s="2">
        <v>23.82</v>
      </c>
      <c r="AP37" s="2">
        <v>18.170000000000002</v>
      </c>
      <c r="AQ37" s="2">
        <v>64.3</v>
      </c>
      <c r="AR37" s="2">
        <v>19.25</v>
      </c>
      <c r="AU37" s="1" t="s">
        <v>66</v>
      </c>
      <c r="AV37" s="2">
        <v>2400</v>
      </c>
      <c r="AW37" s="2">
        <v>2400</v>
      </c>
      <c r="AX37" s="2">
        <v>2066.84</v>
      </c>
      <c r="AY37" s="2">
        <v>1936.14</v>
      </c>
      <c r="AZ37" s="2">
        <v>1961.37</v>
      </c>
      <c r="BA37" s="2">
        <v>2400</v>
      </c>
      <c r="BB37" s="2">
        <v>2400</v>
      </c>
      <c r="BC37" s="2">
        <v>2400</v>
      </c>
      <c r="BD37" s="2">
        <v>2400</v>
      </c>
      <c r="BE37" s="2">
        <v>2400</v>
      </c>
      <c r="BF37" s="2">
        <v>2400</v>
      </c>
      <c r="BG37" s="2">
        <v>2400</v>
      </c>
      <c r="BH37" s="2">
        <v>2398.6</v>
      </c>
      <c r="BI37" s="2">
        <v>2400</v>
      </c>
      <c r="BJ37" s="2">
        <v>2400</v>
      </c>
      <c r="BK37" s="2">
        <v>2400</v>
      </c>
      <c r="BL37" s="2">
        <v>2380.88</v>
      </c>
      <c r="BM37" s="2">
        <v>1836.23</v>
      </c>
      <c r="BN37" s="2">
        <v>2400</v>
      </c>
      <c r="BO37" s="2">
        <v>1933.55</v>
      </c>
      <c r="BR37" s="1" t="s">
        <v>66</v>
      </c>
      <c r="BS37" s="2">
        <v>2928.7</v>
      </c>
      <c r="BT37" s="2">
        <v>2909.6</v>
      </c>
      <c r="BU37" s="2">
        <v>2178.3000000000002</v>
      </c>
      <c r="BV37" s="2">
        <v>2038.1</v>
      </c>
      <c r="BW37" s="2">
        <v>2050.6999999999998</v>
      </c>
      <c r="BX37" s="2">
        <v>2574.9</v>
      </c>
      <c r="BY37" s="2">
        <v>2748.7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67</v>
      </c>
      <c r="C38" s="2">
        <v>1818.37</v>
      </c>
      <c r="D38" s="2">
        <v>666.58</v>
      </c>
      <c r="E38" s="2">
        <v>1434.41</v>
      </c>
      <c r="F38" s="2">
        <v>591.66999999999996</v>
      </c>
      <c r="G38" s="2">
        <v>359.34</v>
      </c>
      <c r="H38" s="2">
        <v>367.95</v>
      </c>
      <c r="I38" s="2">
        <v>2346.09</v>
      </c>
      <c r="J38" s="2">
        <v>1860.19</v>
      </c>
      <c r="K38" s="2">
        <v>3049.21</v>
      </c>
      <c r="L38" s="2">
        <v>1638.43</v>
      </c>
      <c r="M38" s="2">
        <v>6746.72</v>
      </c>
      <c r="N38" s="2">
        <v>3097.91</v>
      </c>
      <c r="O38" s="2">
        <v>4130.32</v>
      </c>
      <c r="P38" s="2">
        <v>2967.62</v>
      </c>
      <c r="Q38" s="2">
        <v>4946.25</v>
      </c>
      <c r="R38" s="2">
        <v>3390.83</v>
      </c>
      <c r="S38" s="2">
        <v>4054.22</v>
      </c>
      <c r="T38" s="2">
        <v>1998.44</v>
      </c>
      <c r="U38" s="2">
        <v>5277.25</v>
      </c>
      <c r="V38" s="2">
        <v>1921.41</v>
      </c>
      <c r="X38" s="1" t="s">
        <v>67</v>
      </c>
      <c r="Y38" s="2">
        <v>1089.92</v>
      </c>
      <c r="Z38" s="2">
        <v>673.86</v>
      </c>
      <c r="AA38" s="2">
        <v>1117.74</v>
      </c>
      <c r="AB38" s="2">
        <v>720.58</v>
      </c>
      <c r="AC38" s="2">
        <v>699.38</v>
      </c>
      <c r="AD38" s="2">
        <v>909.8</v>
      </c>
      <c r="AE38" s="2">
        <v>1226.3399999999999</v>
      </c>
      <c r="AF38" s="2">
        <v>808.92</v>
      </c>
      <c r="AG38" s="2">
        <v>1145.72</v>
      </c>
      <c r="AH38" s="2">
        <v>746.42</v>
      </c>
      <c r="AI38" s="2">
        <v>1099.24</v>
      </c>
      <c r="AJ38" s="2">
        <v>753.86</v>
      </c>
      <c r="AK38" s="2">
        <v>919.89</v>
      </c>
      <c r="AL38" s="2">
        <v>808.71</v>
      </c>
      <c r="AM38" s="2">
        <v>887.44</v>
      </c>
      <c r="AN38" s="2">
        <v>816.7</v>
      </c>
      <c r="AO38" s="2">
        <v>863.05</v>
      </c>
      <c r="AP38" s="2">
        <v>638.57000000000005</v>
      </c>
      <c r="AQ38" s="2">
        <v>1030.3</v>
      </c>
      <c r="AR38" s="2">
        <v>641.75</v>
      </c>
      <c r="AU38" s="1" t="s">
        <v>67</v>
      </c>
      <c r="AV38" s="2">
        <v>7276.48</v>
      </c>
      <c r="AW38" s="2">
        <v>4761.54</v>
      </c>
      <c r="AX38" s="2">
        <v>6648.26</v>
      </c>
      <c r="AY38" s="2">
        <v>4439.62</v>
      </c>
      <c r="AZ38" s="2">
        <v>4342.0200000000004</v>
      </c>
      <c r="BA38" s="2">
        <v>5614.3</v>
      </c>
      <c r="BB38" s="2">
        <v>7487.86</v>
      </c>
      <c r="BC38" s="2">
        <v>5175.88</v>
      </c>
      <c r="BD38" s="2">
        <v>7563.58</v>
      </c>
      <c r="BE38" s="2">
        <v>5134.38</v>
      </c>
      <c r="BF38" s="2">
        <v>7362.46</v>
      </c>
      <c r="BG38" s="2">
        <v>5225.54</v>
      </c>
      <c r="BH38" s="2">
        <v>6176.91</v>
      </c>
      <c r="BI38" s="2">
        <v>5563.99</v>
      </c>
      <c r="BJ38" s="2">
        <v>6012.26</v>
      </c>
      <c r="BK38" s="2">
        <v>5582.5</v>
      </c>
      <c r="BL38" s="2">
        <v>5849.95</v>
      </c>
      <c r="BM38" s="2">
        <v>4475.93</v>
      </c>
      <c r="BN38" s="2">
        <v>7223.3</v>
      </c>
      <c r="BO38" s="2">
        <v>4605.3500000000004</v>
      </c>
      <c r="BR38" s="1" t="s">
        <v>67</v>
      </c>
      <c r="BS38" s="2">
        <v>8366.4</v>
      </c>
      <c r="BT38" s="2">
        <v>5435.4</v>
      </c>
      <c r="BU38" s="2">
        <v>7766</v>
      </c>
      <c r="BV38" s="2">
        <v>5160.2</v>
      </c>
      <c r="BW38" s="2">
        <v>5041.3999999999996</v>
      </c>
      <c r="BX38" s="2">
        <v>6524.1</v>
      </c>
      <c r="BY38" s="2">
        <v>8714.2000000000007</v>
      </c>
      <c r="BZ38" s="2">
        <v>5984.8</v>
      </c>
      <c r="CA38" s="2">
        <v>8709.2999999999993</v>
      </c>
      <c r="CB38" s="2">
        <v>5880.8</v>
      </c>
      <c r="CC38" s="2">
        <v>8461.7000000000007</v>
      </c>
      <c r="CD38" s="2">
        <v>5979.4</v>
      </c>
      <c r="CE38" s="2">
        <v>7096.8</v>
      </c>
      <c r="CF38" s="2">
        <v>6372.7</v>
      </c>
      <c r="CG38" s="2">
        <v>6899.7</v>
      </c>
      <c r="CH38" s="2">
        <v>6399.2</v>
      </c>
      <c r="CI38" s="2">
        <v>6713</v>
      </c>
      <c r="CJ38" s="2">
        <v>5114.5</v>
      </c>
      <c r="CK38" s="2">
        <v>8253.6</v>
      </c>
      <c r="CL38" s="2">
        <v>5247.1</v>
      </c>
    </row>
    <row r="39" spans="2:90" x14ac:dyDescent="0.3">
      <c r="B39" s="1" t="s">
        <v>68</v>
      </c>
      <c r="C39" s="2">
        <v>28820.31</v>
      </c>
      <c r="D39" s="2">
        <v>2137.3000000000002</v>
      </c>
      <c r="E39" s="2">
        <v>28861.02</v>
      </c>
      <c r="F39" s="2">
        <v>1511.04</v>
      </c>
      <c r="G39" s="2">
        <v>6190.83</v>
      </c>
      <c r="H39" s="2">
        <v>5326.11</v>
      </c>
      <c r="I39" s="2">
        <v>20624.77</v>
      </c>
      <c r="J39" s="2">
        <v>9989.3799999999992</v>
      </c>
      <c r="K39" s="2">
        <v>27507.040000000001</v>
      </c>
      <c r="L39" s="2">
        <v>10438.06</v>
      </c>
      <c r="M39" s="2">
        <v>50479.66</v>
      </c>
      <c r="N39" s="2">
        <v>18916.48</v>
      </c>
      <c r="O39" s="2">
        <v>39262.6</v>
      </c>
      <c r="P39" s="2">
        <v>15786.03</v>
      </c>
      <c r="Q39" s="2">
        <v>49782.89</v>
      </c>
      <c r="R39" s="2">
        <v>18640.75</v>
      </c>
      <c r="S39" s="2">
        <v>20879.79</v>
      </c>
      <c r="T39" s="2">
        <v>12512.77</v>
      </c>
      <c r="U39" s="2">
        <v>15716.81</v>
      </c>
      <c r="V39" s="2">
        <v>12479.65</v>
      </c>
      <c r="X39" s="1" t="s">
        <v>68</v>
      </c>
      <c r="Y39" s="2">
        <v>1870.29</v>
      </c>
      <c r="Z39" s="2">
        <v>561.59</v>
      </c>
      <c r="AA39" s="2">
        <v>1773.89</v>
      </c>
      <c r="AB39" s="2">
        <v>544.70000000000005</v>
      </c>
      <c r="AC39" s="2">
        <v>2044.65</v>
      </c>
      <c r="AD39" s="2">
        <v>1822.84</v>
      </c>
      <c r="AE39" s="2">
        <v>2199.3200000000002</v>
      </c>
      <c r="AF39" s="2">
        <v>1056.53</v>
      </c>
      <c r="AG39" s="2">
        <v>2338.04</v>
      </c>
      <c r="AH39" s="2">
        <v>880.46</v>
      </c>
      <c r="AI39" s="2">
        <v>2379.69</v>
      </c>
      <c r="AJ39" s="2">
        <v>881.78</v>
      </c>
      <c r="AK39" s="2">
        <v>2258.6</v>
      </c>
      <c r="AL39" s="2">
        <v>908.21</v>
      </c>
      <c r="AM39" s="2">
        <v>2182.29</v>
      </c>
      <c r="AN39" s="2">
        <v>827.04</v>
      </c>
      <c r="AO39" s="2">
        <v>1038.69</v>
      </c>
      <c r="AP39" s="2">
        <v>695.38</v>
      </c>
      <c r="AQ39" s="2">
        <v>691.28</v>
      </c>
      <c r="AR39" s="2">
        <v>616.01</v>
      </c>
      <c r="AU39" s="1" t="s">
        <v>68</v>
      </c>
      <c r="AV39" s="2">
        <v>7771.97</v>
      </c>
      <c r="AW39" s="2">
        <v>4060.51</v>
      </c>
      <c r="AX39" s="2">
        <v>7494.83</v>
      </c>
      <c r="AY39" s="2">
        <v>3363.9</v>
      </c>
      <c r="AZ39" s="2">
        <v>5369.54</v>
      </c>
      <c r="BA39" s="2">
        <v>6525</v>
      </c>
      <c r="BB39" s="2">
        <v>7432.9</v>
      </c>
      <c r="BC39" s="2">
        <v>5992.82</v>
      </c>
      <c r="BD39" s="2">
        <v>7736.96</v>
      </c>
      <c r="BE39" s="2">
        <v>5850.95</v>
      </c>
      <c r="BF39" s="2">
        <v>7780.31</v>
      </c>
      <c r="BG39" s="2">
        <v>5863.89</v>
      </c>
      <c r="BH39" s="2">
        <v>7167.99</v>
      </c>
      <c r="BI39" s="2">
        <v>5925.9</v>
      </c>
      <c r="BJ39" s="2">
        <v>6780.69</v>
      </c>
      <c r="BK39" s="2">
        <v>5735.98</v>
      </c>
      <c r="BL39" s="2">
        <v>6152.29</v>
      </c>
      <c r="BM39" s="2">
        <v>5137.43</v>
      </c>
      <c r="BN39" s="2">
        <v>5024.4799999999996</v>
      </c>
      <c r="BO39" s="2">
        <v>4544.71</v>
      </c>
      <c r="BR39" s="1" t="s">
        <v>68</v>
      </c>
      <c r="BS39" s="2">
        <v>9642.26</v>
      </c>
      <c r="BT39" s="2">
        <v>4622.1000000000004</v>
      </c>
      <c r="BU39" s="2">
        <v>9268.7099999999991</v>
      </c>
      <c r="BV39" s="2">
        <v>3908.6</v>
      </c>
      <c r="BW39" s="2">
        <v>7414.19</v>
      </c>
      <c r="BX39" s="2">
        <v>8347.84</v>
      </c>
      <c r="BY39" s="2">
        <v>9632.2199999999993</v>
      </c>
      <c r="BZ39" s="2">
        <v>7049.35</v>
      </c>
      <c r="CA39" s="2">
        <v>10075</v>
      </c>
      <c r="CB39" s="2">
        <v>6731.41</v>
      </c>
      <c r="CC39" s="2">
        <v>10160</v>
      </c>
      <c r="CD39" s="2">
        <v>6745.67</v>
      </c>
      <c r="CE39" s="2">
        <v>9426.59</v>
      </c>
      <c r="CF39" s="2">
        <v>6834.11</v>
      </c>
      <c r="CG39" s="2">
        <v>8962.98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69</v>
      </c>
      <c r="C40" s="2">
        <v>5390.05</v>
      </c>
      <c r="D40" s="2">
        <v>829.97</v>
      </c>
      <c r="E40" s="2">
        <v>4059.74</v>
      </c>
      <c r="F40" s="2">
        <v>534.36</v>
      </c>
      <c r="G40" s="2">
        <v>1443.68</v>
      </c>
      <c r="H40" s="2">
        <v>2150.5100000000002</v>
      </c>
      <c r="I40" s="2">
        <v>5201.08</v>
      </c>
      <c r="J40" s="2">
        <v>2870.89</v>
      </c>
      <c r="K40" s="2">
        <v>6137.58</v>
      </c>
      <c r="L40" s="2">
        <v>2719.88</v>
      </c>
      <c r="M40" s="2">
        <v>11048.13</v>
      </c>
      <c r="N40" s="2">
        <v>4515.8999999999996</v>
      </c>
      <c r="O40" s="2">
        <v>8944.5499999999993</v>
      </c>
      <c r="P40" s="2">
        <v>3715.34</v>
      </c>
      <c r="Q40" s="2">
        <v>8862.2199999999993</v>
      </c>
      <c r="R40" s="2">
        <v>4159.95</v>
      </c>
      <c r="S40" s="2">
        <v>3666.62</v>
      </c>
      <c r="T40" s="2">
        <v>3090.14</v>
      </c>
      <c r="U40" s="2">
        <v>3941.31</v>
      </c>
      <c r="V40" s="2">
        <v>3442.56</v>
      </c>
      <c r="X40" s="1" t="s">
        <v>69</v>
      </c>
      <c r="Y40" s="2">
        <v>1028.77</v>
      </c>
      <c r="Z40" s="2">
        <v>603.72</v>
      </c>
      <c r="AA40" s="2">
        <v>1636.87</v>
      </c>
      <c r="AB40" s="2">
        <v>659.15</v>
      </c>
      <c r="AC40" s="2">
        <v>1414.82</v>
      </c>
      <c r="AD40" s="2">
        <v>1162.08</v>
      </c>
      <c r="AE40" s="2">
        <v>1636.63</v>
      </c>
      <c r="AF40" s="2">
        <v>932.77</v>
      </c>
      <c r="AG40" s="2">
        <v>1537.72</v>
      </c>
      <c r="AH40" s="2">
        <v>832.66</v>
      </c>
      <c r="AI40" s="2">
        <v>1536.69</v>
      </c>
      <c r="AJ40" s="2">
        <v>798.87</v>
      </c>
      <c r="AK40" s="2">
        <v>1532.22</v>
      </c>
      <c r="AL40" s="2">
        <v>799.57</v>
      </c>
      <c r="AM40" s="2">
        <v>1164.5999999999999</v>
      </c>
      <c r="AN40" s="2">
        <v>768.64</v>
      </c>
      <c r="AO40" s="2">
        <v>775</v>
      </c>
      <c r="AP40" s="2">
        <v>692.34</v>
      </c>
      <c r="AQ40" s="2">
        <v>697.83</v>
      </c>
      <c r="AR40" s="2">
        <v>652.74</v>
      </c>
      <c r="AU40" s="1" t="s">
        <v>69</v>
      </c>
      <c r="AV40" s="2">
        <v>7530.91</v>
      </c>
      <c r="AW40" s="2">
        <v>4326.08</v>
      </c>
      <c r="AX40" s="2">
        <v>6482.51</v>
      </c>
      <c r="AY40" s="2">
        <v>4193.8500000000004</v>
      </c>
      <c r="AZ40" s="2">
        <v>5523.86</v>
      </c>
      <c r="BA40" s="2">
        <v>7717.92</v>
      </c>
      <c r="BB40" s="2">
        <v>7243.37</v>
      </c>
      <c r="BC40" s="2">
        <v>6388.21</v>
      </c>
      <c r="BD40" s="2">
        <v>7342.28</v>
      </c>
      <c r="BE40" s="2">
        <v>6098.3</v>
      </c>
      <c r="BF40" s="2">
        <v>7343.31</v>
      </c>
      <c r="BG40" s="2">
        <v>5950.52</v>
      </c>
      <c r="BH40" s="2">
        <v>7347.78</v>
      </c>
      <c r="BI40" s="2">
        <v>5991.23</v>
      </c>
      <c r="BJ40" s="2">
        <v>6968.8</v>
      </c>
      <c r="BK40" s="2">
        <v>5690.06</v>
      </c>
      <c r="BL40" s="2">
        <v>5663.8</v>
      </c>
      <c r="BM40" s="2">
        <v>5334.06</v>
      </c>
      <c r="BN40" s="2">
        <v>5257.07</v>
      </c>
      <c r="BO40" s="2">
        <v>4993.97</v>
      </c>
      <c r="BR40" s="1" t="s">
        <v>69</v>
      </c>
      <c r="BS40" s="2">
        <v>8559.69</v>
      </c>
      <c r="BT40" s="2">
        <v>4929.8</v>
      </c>
      <c r="BU40" s="2">
        <v>8119.38</v>
      </c>
      <c r="BV40" s="2">
        <v>4853</v>
      </c>
      <c r="BW40" s="2">
        <v>6938.68</v>
      </c>
      <c r="BX40" s="2">
        <v>8880</v>
      </c>
      <c r="BY40" s="2">
        <v>8880</v>
      </c>
      <c r="BZ40" s="2">
        <v>7320.97</v>
      </c>
      <c r="CA40" s="2">
        <v>8880</v>
      </c>
      <c r="CB40" s="2">
        <v>6930.96</v>
      </c>
      <c r="CC40" s="2">
        <v>8880</v>
      </c>
      <c r="CD40" s="2">
        <v>6749.39</v>
      </c>
      <c r="CE40" s="2">
        <v>8880</v>
      </c>
      <c r="CF40" s="2">
        <v>6790.8</v>
      </c>
      <c r="CG40" s="2">
        <v>8133.4</v>
      </c>
      <c r="CH40" s="2">
        <v>6458.7</v>
      </c>
      <c r="CI40" s="2">
        <v>6438.8</v>
      </c>
      <c r="CJ40" s="2">
        <v>6026.4</v>
      </c>
      <c r="CK40" s="2">
        <v>5954.9</v>
      </c>
      <c r="CL40" s="2">
        <v>5646.71</v>
      </c>
    </row>
    <row r="41" spans="2:90" x14ac:dyDescent="0.3">
      <c r="B41" s="1" t="s">
        <v>70</v>
      </c>
      <c r="C41" s="2">
        <v>14706.24</v>
      </c>
      <c r="D41" s="2">
        <v>15609.51</v>
      </c>
      <c r="E41" s="2">
        <v>20403.810000000001</v>
      </c>
      <c r="F41" s="2">
        <v>8570.42</v>
      </c>
      <c r="G41" s="2">
        <v>5512.79</v>
      </c>
      <c r="H41" s="2">
        <v>5976.27</v>
      </c>
      <c r="I41" s="2">
        <v>9382</v>
      </c>
      <c r="J41" s="2">
        <v>19590.43</v>
      </c>
      <c r="K41" s="2">
        <v>22661.55</v>
      </c>
      <c r="L41" s="2">
        <v>24166.68</v>
      </c>
      <c r="M41" s="2">
        <v>35521.15</v>
      </c>
      <c r="N41" s="2">
        <v>32748.01</v>
      </c>
      <c r="O41" s="2">
        <v>23435.24</v>
      </c>
      <c r="P41" s="2">
        <v>23345.09</v>
      </c>
      <c r="Q41" s="2">
        <v>23122.53</v>
      </c>
      <c r="R41" s="2">
        <v>23911.34</v>
      </c>
      <c r="S41" s="2">
        <v>17538.57</v>
      </c>
      <c r="T41" s="2">
        <v>15983.3</v>
      </c>
      <c r="U41" s="2">
        <v>22486.07</v>
      </c>
      <c r="V41" s="2">
        <v>17944.37</v>
      </c>
      <c r="X41" s="1" t="s">
        <v>70</v>
      </c>
      <c r="Y41" s="2">
        <v>1118.55</v>
      </c>
      <c r="Z41" s="2">
        <v>1194.57</v>
      </c>
      <c r="AA41" s="2">
        <v>1057.43</v>
      </c>
      <c r="AB41" s="2">
        <v>1165.01</v>
      </c>
      <c r="AC41" s="2">
        <v>1108.3699999999999</v>
      </c>
      <c r="AD41" s="2">
        <v>1217.01</v>
      </c>
      <c r="AE41" s="2">
        <v>1009.23</v>
      </c>
      <c r="AF41" s="2">
        <v>1243.2</v>
      </c>
      <c r="AG41" s="2">
        <v>1160.94</v>
      </c>
      <c r="AH41" s="2">
        <v>1231.8499999999999</v>
      </c>
      <c r="AI41" s="2">
        <v>1010.58</v>
      </c>
      <c r="AJ41" s="2">
        <v>989.97</v>
      </c>
      <c r="AK41" s="2">
        <v>913.96</v>
      </c>
      <c r="AL41" s="2">
        <v>971.86</v>
      </c>
      <c r="AM41" s="2">
        <v>831.9</v>
      </c>
      <c r="AN41" s="2">
        <v>845.34</v>
      </c>
      <c r="AO41" s="2">
        <v>768.69</v>
      </c>
      <c r="AP41" s="2">
        <v>788.64</v>
      </c>
      <c r="AQ41" s="2">
        <v>771.91</v>
      </c>
      <c r="AR41" s="2">
        <v>860.52</v>
      </c>
      <c r="AU41" s="1" t="s">
        <v>70</v>
      </c>
      <c r="AV41" s="2">
        <v>4704.25</v>
      </c>
      <c r="AW41" s="2">
        <v>6214.33</v>
      </c>
      <c r="AX41" s="2">
        <v>6460.94</v>
      </c>
      <c r="AY41" s="2">
        <v>7076.29</v>
      </c>
      <c r="AZ41" s="2">
        <v>4472.25</v>
      </c>
      <c r="BA41" s="2">
        <v>5005.47</v>
      </c>
      <c r="BB41" s="2">
        <v>6452.97</v>
      </c>
      <c r="BC41" s="2">
        <v>6051.4</v>
      </c>
      <c r="BD41" s="2">
        <v>6938.66</v>
      </c>
      <c r="BE41" s="2">
        <v>6857.85</v>
      </c>
      <c r="BF41" s="2">
        <v>6756.02</v>
      </c>
      <c r="BG41" s="2">
        <v>6948.73</v>
      </c>
      <c r="BH41" s="2">
        <v>6420.14</v>
      </c>
      <c r="BI41" s="2">
        <v>6808.14</v>
      </c>
      <c r="BJ41" s="2">
        <v>5894.7</v>
      </c>
      <c r="BK41" s="2">
        <v>5957.16</v>
      </c>
      <c r="BL41" s="2">
        <v>5493.01</v>
      </c>
      <c r="BM41" s="2">
        <v>5602.16</v>
      </c>
      <c r="BN41" s="2">
        <v>5625.49</v>
      </c>
      <c r="BO41" s="2">
        <v>6261.28</v>
      </c>
      <c r="BR41" s="1" t="s">
        <v>70</v>
      </c>
      <c r="BS41" s="2">
        <v>5822.8</v>
      </c>
      <c r="BT41" s="2">
        <v>7408.9</v>
      </c>
      <c r="BU41" s="2">
        <v>7518.37</v>
      </c>
      <c r="BV41" s="2">
        <v>8241.2999999999993</v>
      </c>
      <c r="BW41" s="2">
        <v>5580.62</v>
      </c>
      <c r="BX41" s="2">
        <v>6222.48</v>
      </c>
      <c r="BY41" s="2">
        <v>7462.2</v>
      </c>
      <c r="BZ41" s="2">
        <v>7294.6</v>
      </c>
      <c r="CA41" s="2">
        <v>8099.6</v>
      </c>
      <c r="CB41" s="2">
        <v>8089.7</v>
      </c>
      <c r="CC41" s="2">
        <v>7766.6</v>
      </c>
      <c r="CD41" s="2">
        <v>7938.7</v>
      </c>
      <c r="CE41" s="2">
        <v>7334.1</v>
      </c>
      <c r="CF41" s="2">
        <v>7780</v>
      </c>
      <c r="CG41" s="2">
        <v>6726.6</v>
      </c>
      <c r="CH41" s="2">
        <v>6802.5</v>
      </c>
      <c r="CI41" s="2">
        <v>6261.7</v>
      </c>
      <c r="CJ41" s="2">
        <v>6390.8</v>
      </c>
      <c r="CK41" s="2">
        <v>6397.4</v>
      </c>
      <c r="CL41" s="2">
        <v>7121.8</v>
      </c>
    </row>
    <row r="42" spans="2:90" x14ac:dyDescent="0.3">
      <c r="B42" s="1" t="s">
        <v>71</v>
      </c>
      <c r="C42" s="2">
        <v>3726.49</v>
      </c>
      <c r="D42" s="2">
        <v>3760.39</v>
      </c>
      <c r="E42" s="2">
        <v>5174.75</v>
      </c>
      <c r="F42" s="2">
        <v>5102.68</v>
      </c>
      <c r="G42" s="2">
        <v>1251.21</v>
      </c>
      <c r="H42" s="2">
        <v>1372.17</v>
      </c>
      <c r="I42" s="2">
        <v>1965.55</v>
      </c>
      <c r="J42" s="2">
        <v>3674.77</v>
      </c>
      <c r="K42" s="2">
        <v>2283.69</v>
      </c>
      <c r="L42" s="2">
        <v>6759.71</v>
      </c>
      <c r="M42" s="2">
        <v>5219.97</v>
      </c>
      <c r="N42" s="2">
        <v>12398.84</v>
      </c>
      <c r="O42" s="2">
        <v>4093.17</v>
      </c>
      <c r="P42" s="2">
        <v>8010.26</v>
      </c>
      <c r="Q42" s="2">
        <v>5231.8599999999997</v>
      </c>
      <c r="R42" s="2">
        <v>10411.41</v>
      </c>
      <c r="S42" s="2">
        <v>4150.38</v>
      </c>
      <c r="T42" s="2">
        <v>7370.18</v>
      </c>
      <c r="U42" s="2">
        <v>4414.41</v>
      </c>
      <c r="V42" s="2">
        <v>3603.87</v>
      </c>
      <c r="X42" s="1" t="s">
        <v>71</v>
      </c>
      <c r="Y42" s="2">
        <v>1452.84</v>
      </c>
      <c r="Z42" s="2">
        <v>1480.38</v>
      </c>
      <c r="AA42" s="2">
        <v>1482.87</v>
      </c>
      <c r="AB42" s="2">
        <v>1512.54</v>
      </c>
      <c r="AC42" s="2">
        <v>1286.21</v>
      </c>
      <c r="AD42" s="2">
        <v>1429.92</v>
      </c>
      <c r="AE42" s="2">
        <v>1095.51</v>
      </c>
      <c r="AF42" s="2">
        <v>1191.22</v>
      </c>
      <c r="AG42" s="2">
        <v>1026.33</v>
      </c>
      <c r="AH42" s="2">
        <v>1297.7</v>
      </c>
      <c r="AI42" s="2">
        <v>1083.29</v>
      </c>
      <c r="AJ42" s="2">
        <v>1317.01</v>
      </c>
      <c r="AK42" s="2">
        <v>1078</v>
      </c>
      <c r="AL42" s="2">
        <v>1287.21</v>
      </c>
      <c r="AM42" s="2">
        <v>1057.69</v>
      </c>
      <c r="AN42" s="2">
        <v>1257.8399999999999</v>
      </c>
      <c r="AO42" s="2">
        <v>1006.53</v>
      </c>
      <c r="AP42" s="2">
        <v>1220.27</v>
      </c>
      <c r="AQ42" s="2">
        <v>917.83</v>
      </c>
      <c r="AR42" s="2">
        <v>900.4</v>
      </c>
      <c r="AU42" s="1" t="s">
        <v>71</v>
      </c>
      <c r="AV42" s="2">
        <v>5453.98</v>
      </c>
      <c r="AW42" s="2">
        <v>5558.37</v>
      </c>
      <c r="AX42" s="2">
        <v>7397.13</v>
      </c>
      <c r="AY42" s="2">
        <v>7367.46</v>
      </c>
      <c r="AZ42" s="2">
        <v>4490.5200000000004</v>
      </c>
      <c r="BA42" s="2">
        <v>5126.0600000000004</v>
      </c>
      <c r="BB42" s="2">
        <v>5530.29</v>
      </c>
      <c r="BC42" s="2">
        <v>4378.7</v>
      </c>
      <c r="BD42" s="2">
        <v>5628.87</v>
      </c>
      <c r="BE42" s="2">
        <v>7361.29</v>
      </c>
      <c r="BF42" s="2">
        <v>6069.81</v>
      </c>
      <c r="BG42" s="2">
        <v>7562.99</v>
      </c>
      <c r="BH42" s="2">
        <v>6018.98</v>
      </c>
      <c r="BI42" s="2">
        <v>7184.9</v>
      </c>
      <c r="BJ42" s="2">
        <v>5979.18</v>
      </c>
      <c r="BK42" s="2">
        <v>7180.82</v>
      </c>
      <c r="BL42" s="2">
        <v>5758.91</v>
      </c>
      <c r="BM42" s="2">
        <v>6774.39</v>
      </c>
      <c r="BN42" s="2">
        <v>5349.21</v>
      </c>
      <c r="BO42" s="2">
        <v>4963.6000000000004</v>
      </c>
      <c r="BR42" s="1" t="s">
        <v>71</v>
      </c>
      <c r="BS42" s="2">
        <v>6906.81</v>
      </c>
      <c r="BT42" s="2">
        <v>7038.75</v>
      </c>
      <c r="BU42" s="2">
        <v>8880</v>
      </c>
      <c r="BV42" s="2">
        <v>8880</v>
      </c>
      <c r="BW42" s="2">
        <v>5776.74</v>
      </c>
      <c r="BX42" s="2">
        <v>6555.98</v>
      </c>
      <c r="BY42" s="2">
        <v>6625.8</v>
      </c>
      <c r="BZ42" s="2">
        <v>5569.92</v>
      </c>
      <c r="CA42" s="2">
        <v>6655.2</v>
      </c>
      <c r="CB42" s="2">
        <v>8659</v>
      </c>
      <c r="CC42" s="2">
        <v>7153.1</v>
      </c>
      <c r="CD42" s="2">
        <v>8880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5864</v>
      </c>
    </row>
    <row r="43" spans="2:90" x14ac:dyDescent="0.3">
      <c r="B43" s="1" t="s">
        <v>72</v>
      </c>
      <c r="C43" s="2">
        <v>27291.759999999998</v>
      </c>
      <c r="D43" s="2">
        <v>28645.53</v>
      </c>
      <c r="E43" s="2">
        <v>18466.189999999999</v>
      </c>
      <c r="F43" s="2">
        <v>28746.959999999999</v>
      </c>
      <c r="G43" s="2">
        <v>4400.21</v>
      </c>
      <c r="H43" s="2">
        <v>10468.43</v>
      </c>
      <c r="I43" s="2">
        <v>13188.08</v>
      </c>
      <c r="J43" s="2">
        <v>18587.45</v>
      </c>
      <c r="K43" s="2">
        <v>12528.39</v>
      </c>
      <c r="L43" s="2">
        <v>28314.14</v>
      </c>
      <c r="M43" s="2">
        <v>24759.09</v>
      </c>
      <c r="N43" s="2">
        <v>50782.239999999998</v>
      </c>
      <c r="O43" s="2">
        <v>20071.89</v>
      </c>
      <c r="P43" s="2">
        <v>36551.32</v>
      </c>
      <c r="Q43" s="2">
        <v>29375.78</v>
      </c>
      <c r="R43" s="2">
        <v>40883.17</v>
      </c>
      <c r="S43" s="2">
        <v>19316.09</v>
      </c>
      <c r="T43" s="2">
        <v>20345.84</v>
      </c>
      <c r="U43" s="2">
        <v>21508.720000000001</v>
      </c>
      <c r="V43" s="2">
        <v>20449.7</v>
      </c>
      <c r="X43" s="1" t="s">
        <v>72</v>
      </c>
      <c r="Y43" s="2">
        <v>1800.21</v>
      </c>
      <c r="Z43" s="2">
        <v>1880.89</v>
      </c>
      <c r="AA43" s="2">
        <v>1427.97</v>
      </c>
      <c r="AB43" s="2">
        <v>1927.01</v>
      </c>
      <c r="AC43" s="2">
        <v>1517.31</v>
      </c>
      <c r="AD43" s="2">
        <v>1810.68</v>
      </c>
      <c r="AE43" s="2">
        <v>1442.6</v>
      </c>
      <c r="AF43" s="2">
        <v>1985.02</v>
      </c>
      <c r="AG43" s="2">
        <v>1095.4100000000001</v>
      </c>
      <c r="AH43" s="2">
        <v>2444.0500000000002</v>
      </c>
      <c r="AI43" s="2">
        <v>1200.3699999999999</v>
      </c>
      <c r="AJ43" s="2">
        <v>2445.14</v>
      </c>
      <c r="AK43" s="2">
        <v>1204.97</v>
      </c>
      <c r="AL43" s="2">
        <v>2183.98</v>
      </c>
      <c r="AM43" s="2">
        <v>1335.62</v>
      </c>
      <c r="AN43" s="2">
        <v>1220.47</v>
      </c>
      <c r="AO43" s="2">
        <v>1010.03</v>
      </c>
      <c r="AP43" s="2">
        <v>1043.3599999999999</v>
      </c>
      <c r="AQ43" s="2">
        <v>940.15</v>
      </c>
      <c r="AR43" s="2">
        <v>934.35</v>
      </c>
      <c r="AU43" s="1" t="s">
        <v>72</v>
      </c>
      <c r="AV43" s="2">
        <v>6967.44</v>
      </c>
      <c r="AW43" s="2">
        <v>7416.88</v>
      </c>
      <c r="AX43" s="2">
        <v>7169.6</v>
      </c>
      <c r="AY43" s="2">
        <v>8031.55</v>
      </c>
      <c r="AZ43" s="2">
        <v>4584.96</v>
      </c>
      <c r="BA43" s="2">
        <v>6839.78</v>
      </c>
      <c r="BB43" s="2">
        <v>6272.25</v>
      </c>
      <c r="BC43" s="2">
        <v>5100.43</v>
      </c>
      <c r="BD43" s="2">
        <v>6116.32</v>
      </c>
      <c r="BE43" s="2">
        <v>7715.95</v>
      </c>
      <c r="BF43" s="2">
        <v>6291.34</v>
      </c>
      <c r="BG43" s="2">
        <v>7714.86</v>
      </c>
      <c r="BH43" s="2">
        <v>6301.71</v>
      </c>
      <c r="BI43" s="2">
        <v>7461.92</v>
      </c>
      <c r="BJ43" s="2">
        <v>6503.92</v>
      </c>
      <c r="BK43" s="2">
        <v>7204.89</v>
      </c>
      <c r="BL43" s="2">
        <v>5919.32</v>
      </c>
      <c r="BM43" s="2">
        <v>6030.66</v>
      </c>
      <c r="BN43" s="2">
        <v>5557.99</v>
      </c>
      <c r="BO43" s="2">
        <v>5456.51</v>
      </c>
      <c r="BR43" s="1" t="s">
        <v>72</v>
      </c>
      <c r="BS43" s="2">
        <v>8767.65</v>
      </c>
      <c r="BT43" s="2">
        <v>9297.77</v>
      </c>
      <c r="BU43" s="2">
        <v>8597.57</v>
      </c>
      <c r="BV43" s="2">
        <v>9958.56</v>
      </c>
      <c r="BW43" s="2">
        <v>6102.27</v>
      </c>
      <c r="BX43" s="2">
        <v>8650.4599999999991</v>
      </c>
      <c r="BY43" s="2">
        <v>7714.85</v>
      </c>
      <c r="BZ43" s="2">
        <v>7085.45</v>
      </c>
      <c r="CA43" s="2">
        <v>7211.73</v>
      </c>
      <c r="CB43" s="2">
        <v>10160</v>
      </c>
      <c r="CC43" s="2">
        <v>7491.71</v>
      </c>
      <c r="CD43" s="2">
        <v>10160</v>
      </c>
      <c r="CE43" s="2">
        <v>7506.67</v>
      </c>
      <c r="CF43" s="2">
        <v>9645.9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73</v>
      </c>
      <c r="C44" s="2">
        <v>2937.05</v>
      </c>
      <c r="D44" s="2">
        <v>4889.82</v>
      </c>
      <c r="E44" s="2">
        <v>1079.6400000000001</v>
      </c>
      <c r="F44" s="2">
        <v>1208.93</v>
      </c>
      <c r="G44" s="2">
        <v>285</v>
      </c>
      <c r="H44" s="2">
        <v>572.44000000000005</v>
      </c>
      <c r="I44" s="2">
        <v>1115.08</v>
      </c>
      <c r="J44" s="2">
        <v>7508.81</v>
      </c>
      <c r="K44" s="2">
        <v>3838.49</v>
      </c>
      <c r="L44" s="2">
        <v>8794.9699999999993</v>
      </c>
      <c r="M44" s="2">
        <v>9928</v>
      </c>
      <c r="N44" s="2">
        <v>16246.07</v>
      </c>
      <c r="O44" s="2">
        <v>8882.2900000000009</v>
      </c>
      <c r="P44" s="2">
        <v>10930.97</v>
      </c>
      <c r="Q44" s="2">
        <v>9792.7999999999993</v>
      </c>
      <c r="R44" s="2">
        <v>9490.69</v>
      </c>
      <c r="S44" s="2">
        <v>7585.66</v>
      </c>
      <c r="T44" s="2">
        <v>6171.23</v>
      </c>
      <c r="U44" s="2">
        <v>8747.32</v>
      </c>
      <c r="V44" s="2">
        <v>7131.32</v>
      </c>
      <c r="X44" s="1" t="s">
        <v>73</v>
      </c>
      <c r="Y44" s="2">
        <v>665.87</v>
      </c>
      <c r="Z44" s="2">
        <v>840.51</v>
      </c>
      <c r="AA44" s="2">
        <v>689.76</v>
      </c>
      <c r="AB44" s="2">
        <v>734.22</v>
      </c>
      <c r="AC44" s="2">
        <v>160.99</v>
      </c>
      <c r="AD44" s="2">
        <v>767.27</v>
      </c>
      <c r="AE44" s="2">
        <v>431.8</v>
      </c>
      <c r="AF44" s="2">
        <v>813.5</v>
      </c>
      <c r="AG44" s="2">
        <v>579.24</v>
      </c>
      <c r="AH44" s="2">
        <v>762.67</v>
      </c>
      <c r="AI44" s="2">
        <v>582.1</v>
      </c>
      <c r="AJ44" s="2">
        <v>781.71</v>
      </c>
      <c r="AK44" s="2">
        <v>576.63</v>
      </c>
      <c r="AL44" s="2">
        <v>720.23</v>
      </c>
      <c r="AM44" s="2">
        <v>567.07000000000005</v>
      </c>
      <c r="AN44" s="2">
        <v>594.20000000000005</v>
      </c>
      <c r="AO44" s="2">
        <v>549.07000000000005</v>
      </c>
      <c r="AP44" s="2">
        <v>547.66</v>
      </c>
      <c r="AQ44" s="2">
        <v>559.39</v>
      </c>
      <c r="AR44" s="2">
        <v>552.47</v>
      </c>
      <c r="AU44" s="1" t="s">
        <v>73</v>
      </c>
      <c r="AV44" s="2">
        <v>3998.13</v>
      </c>
      <c r="AW44" s="2">
        <v>4870.6899999999996</v>
      </c>
      <c r="AX44" s="2">
        <v>3400.24</v>
      </c>
      <c r="AY44" s="2">
        <v>3625.48</v>
      </c>
      <c r="AZ44" s="2">
        <v>2945.51</v>
      </c>
      <c r="BA44" s="2">
        <v>4023.13</v>
      </c>
      <c r="BB44" s="2">
        <v>3120</v>
      </c>
      <c r="BC44" s="2">
        <v>4057.46</v>
      </c>
      <c r="BD44" s="2">
        <v>3342.46</v>
      </c>
      <c r="BE44" s="2">
        <v>4193.04</v>
      </c>
      <c r="BF44" s="2">
        <v>3246.7</v>
      </c>
      <c r="BG44" s="2">
        <v>4330.8100000000004</v>
      </c>
      <c r="BH44" s="2">
        <v>3248.27</v>
      </c>
      <c r="BI44" s="2">
        <v>4179.57</v>
      </c>
      <c r="BJ44" s="2">
        <v>3083.23</v>
      </c>
      <c r="BK44" s="2">
        <v>3347.5</v>
      </c>
      <c r="BL44" s="2">
        <v>2878.13</v>
      </c>
      <c r="BM44" s="2">
        <v>2943.74</v>
      </c>
      <c r="BN44" s="2">
        <v>3028.11</v>
      </c>
      <c r="BO44" s="2">
        <v>3226.53</v>
      </c>
      <c r="BR44" s="1" t="s">
        <v>73</v>
      </c>
      <c r="BS44" s="2">
        <v>4664</v>
      </c>
      <c r="BT44" s="2">
        <v>5711.2</v>
      </c>
      <c r="BU44" s="2">
        <v>4090</v>
      </c>
      <c r="BV44" s="2">
        <v>4359.7</v>
      </c>
      <c r="BW44" s="2">
        <v>3106.5</v>
      </c>
      <c r="BX44" s="2">
        <v>4790.3999999999996</v>
      </c>
      <c r="BY44" s="2">
        <v>3551.8</v>
      </c>
      <c r="BZ44" s="2">
        <v>4870.95</v>
      </c>
      <c r="CA44" s="2">
        <v>3921.7</v>
      </c>
      <c r="CB44" s="2">
        <v>4955.71</v>
      </c>
      <c r="CC44" s="2">
        <v>3828.8</v>
      </c>
      <c r="CD44" s="2">
        <v>5112.5200000000004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5" spans="2:90" x14ac:dyDescent="0.3">
      <c r="W45">
        <f>SUM(C37:V44)</f>
        <v>1638352.5500000003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63</v>
      </c>
      <c r="D48" s="1" t="s">
        <v>64</v>
      </c>
      <c r="E48" s="1" t="s">
        <v>63</v>
      </c>
      <c r="F48" s="1" t="s">
        <v>64</v>
      </c>
      <c r="G48" s="1" t="s">
        <v>63</v>
      </c>
      <c r="H48" s="1" t="s">
        <v>64</v>
      </c>
      <c r="I48" s="1" t="s">
        <v>63</v>
      </c>
      <c r="J48" s="1" t="s">
        <v>64</v>
      </c>
      <c r="K48" s="1" t="s">
        <v>63</v>
      </c>
      <c r="L48" s="1" t="s">
        <v>64</v>
      </c>
      <c r="M48" s="1" t="s">
        <v>63</v>
      </c>
      <c r="N48" s="1" t="s">
        <v>64</v>
      </c>
      <c r="O48" s="1" t="s">
        <v>63</v>
      </c>
      <c r="P48" s="1" t="s">
        <v>64</v>
      </c>
      <c r="Q48" s="1" t="s">
        <v>63</v>
      </c>
      <c r="R48" s="1" t="s">
        <v>64</v>
      </c>
      <c r="S48" s="1" t="s">
        <v>63</v>
      </c>
      <c r="T48" s="1" t="s">
        <v>64</v>
      </c>
      <c r="U48" s="1" t="s">
        <v>63</v>
      </c>
      <c r="V48" s="1" t="s">
        <v>64</v>
      </c>
      <c r="X48" s="1" t="s">
        <v>6</v>
      </c>
      <c r="Y48" s="1" t="s">
        <v>63</v>
      </c>
      <c r="Z48" s="1" t="s">
        <v>64</v>
      </c>
      <c r="AA48" s="1" t="s">
        <v>63</v>
      </c>
      <c r="AB48" s="1" t="s">
        <v>64</v>
      </c>
      <c r="AC48" s="1" t="s">
        <v>63</v>
      </c>
      <c r="AD48" s="1" t="s">
        <v>64</v>
      </c>
      <c r="AE48" s="1" t="s">
        <v>63</v>
      </c>
      <c r="AF48" s="1" t="s">
        <v>64</v>
      </c>
      <c r="AG48" s="1" t="s">
        <v>63</v>
      </c>
      <c r="AH48" s="1" t="s">
        <v>64</v>
      </c>
      <c r="AI48" s="1" t="s">
        <v>63</v>
      </c>
      <c r="AJ48" s="1" t="s">
        <v>64</v>
      </c>
      <c r="AK48" s="1" t="s">
        <v>63</v>
      </c>
      <c r="AL48" s="1" t="s">
        <v>64</v>
      </c>
      <c r="AM48" s="1" t="s">
        <v>63</v>
      </c>
      <c r="AN48" s="1" t="s">
        <v>64</v>
      </c>
      <c r="AO48" s="1" t="s">
        <v>63</v>
      </c>
      <c r="AP48" s="1" t="s">
        <v>64</v>
      </c>
      <c r="AQ48" s="1" t="s">
        <v>63</v>
      </c>
      <c r="AR48" s="1" t="s">
        <v>64</v>
      </c>
      <c r="AU48" s="1" t="s">
        <v>6</v>
      </c>
      <c r="AV48" s="1" t="s">
        <v>63</v>
      </c>
      <c r="AW48" s="1" t="s">
        <v>64</v>
      </c>
      <c r="AX48" s="1" t="s">
        <v>63</v>
      </c>
      <c r="AY48" s="1" t="s">
        <v>64</v>
      </c>
      <c r="AZ48" s="1" t="s">
        <v>63</v>
      </c>
      <c r="BA48" s="1" t="s">
        <v>64</v>
      </c>
      <c r="BB48" s="1" t="s">
        <v>63</v>
      </c>
      <c r="BC48" s="1" t="s">
        <v>64</v>
      </c>
      <c r="BD48" s="1" t="s">
        <v>63</v>
      </c>
      <c r="BE48" s="1" t="s">
        <v>64</v>
      </c>
      <c r="BF48" s="1" t="s">
        <v>63</v>
      </c>
      <c r="BG48" s="1" t="s">
        <v>64</v>
      </c>
      <c r="BH48" s="1" t="s">
        <v>63</v>
      </c>
      <c r="BI48" s="1" t="s">
        <v>64</v>
      </c>
      <c r="BJ48" s="1" t="s">
        <v>63</v>
      </c>
      <c r="BK48" s="1" t="s">
        <v>64</v>
      </c>
      <c r="BL48" s="1" t="s">
        <v>63</v>
      </c>
      <c r="BM48" s="1" t="s">
        <v>64</v>
      </c>
      <c r="BN48" s="1" t="s">
        <v>63</v>
      </c>
      <c r="BO48" s="1" t="s">
        <v>64</v>
      </c>
      <c r="BR48" s="1" t="s">
        <v>6</v>
      </c>
      <c r="BS48" s="1" t="s">
        <v>63</v>
      </c>
      <c r="BT48" s="1" t="s">
        <v>64</v>
      </c>
      <c r="BU48" s="1" t="s">
        <v>63</v>
      </c>
      <c r="BV48" s="1" t="s">
        <v>64</v>
      </c>
      <c r="BW48" s="1" t="s">
        <v>63</v>
      </c>
      <c r="BX48" s="1" t="s">
        <v>64</v>
      </c>
      <c r="BY48" s="1" t="s">
        <v>63</v>
      </c>
      <c r="BZ48" s="1" t="s">
        <v>64</v>
      </c>
      <c r="CA48" s="1" t="s">
        <v>63</v>
      </c>
      <c r="CB48" s="1" t="s">
        <v>64</v>
      </c>
      <c r="CC48" s="1" t="s">
        <v>63</v>
      </c>
      <c r="CD48" s="1" t="s">
        <v>64</v>
      </c>
      <c r="CE48" s="1" t="s">
        <v>63</v>
      </c>
      <c r="CF48" s="1" t="s">
        <v>64</v>
      </c>
      <c r="CG48" s="1" t="s">
        <v>63</v>
      </c>
      <c r="CH48" s="1" t="s">
        <v>64</v>
      </c>
      <c r="CI48" s="1" t="s">
        <v>63</v>
      </c>
      <c r="CJ48" s="1" t="s">
        <v>64</v>
      </c>
      <c r="CK48" s="1" t="s">
        <v>63</v>
      </c>
      <c r="CL48" s="1" t="s">
        <v>64</v>
      </c>
    </row>
    <row r="49" spans="2:90" x14ac:dyDescent="0.3">
      <c r="B49" s="1" t="s">
        <v>65</v>
      </c>
      <c r="C49" s="1" t="s">
        <v>53</v>
      </c>
      <c r="D49" s="1" t="s">
        <v>53</v>
      </c>
      <c r="E49" s="1" t="s">
        <v>54</v>
      </c>
      <c r="F49" s="1" t="s">
        <v>54</v>
      </c>
      <c r="G49" s="1" t="s">
        <v>55</v>
      </c>
      <c r="H49" s="1" t="s">
        <v>55</v>
      </c>
      <c r="I49" s="1" t="s">
        <v>56</v>
      </c>
      <c r="J49" s="1" t="s">
        <v>56</v>
      </c>
      <c r="K49" s="1" t="s">
        <v>57</v>
      </c>
      <c r="L49" s="1" t="s">
        <v>57</v>
      </c>
      <c r="M49" s="1" t="s">
        <v>58</v>
      </c>
      <c r="N49" s="1" t="s">
        <v>58</v>
      </c>
      <c r="O49" s="1" t="s">
        <v>59</v>
      </c>
      <c r="P49" s="1" t="s">
        <v>59</v>
      </c>
      <c r="Q49" s="1" t="s">
        <v>60</v>
      </c>
      <c r="R49" s="1" t="s">
        <v>60</v>
      </c>
      <c r="S49" s="1" t="s">
        <v>61</v>
      </c>
      <c r="T49" s="1" t="s">
        <v>61</v>
      </c>
      <c r="U49" s="1" t="s">
        <v>62</v>
      </c>
      <c r="V49" s="1" t="s">
        <v>62</v>
      </c>
      <c r="X49" s="1" t="s">
        <v>65</v>
      </c>
      <c r="Y49" s="1" t="s">
        <v>53</v>
      </c>
      <c r="Z49" s="1" t="s">
        <v>53</v>
      </c>
      <c r="AA49" s="1" t="s">
        <v>54</v>
      </c>
      <c r="AB49" s="1" t="s">
        <v>54</v>
      </c>
      <c r="AC49" s="1" t="s">
        <v>55</v>
      </c>
      <c r="AD49" s="1" t="s">
        <v>55</v>
      </c>
      <c r="AE49" s="1" t="s">
        <v>56</v>
      </c>
      <c r="AF49" s="1" t="s">
        <v>56</v>
      </c>
      <c r="AG49" s="1" t="s">
        <v>57</v>
      </c>
      <c r="AH49" s="1" t="s">
        <v>57</v>
      </c>
      <c r="AI49" s="1" t="s">
        <v>58</v>
      </c>
      <c r="AJ49" s="1" t="s">
        <v>58</v>
      </c>
      <c r="AK49" s="1" t="s">
        <v>59</v>
      </c>
      <c r="AL49" s="1" t="s">
        <v>59</v>
      </c>
      <c r="AM49" s="1" t="s">
        <v>60</v>
      </c>
      <c r="AN49" s="1" t="s">
        <v>60</v>
      </c>
      <c r="AO49" s="1" t="s">
        <v>61</v>
      </c>
      <c r="AP49" s="1" t="s">
        <v>61</v>
      </c>
      <c r="AQ49" s="1" t="s">
        <v>62</v>
      </c>
      <c r="AR49" s="1" t="s">
        <v>62</v>
      </c>
      <c r="AU49" s="1" t="s">
        <v>65</v>
      </c>
      <c r="AV49" s="1" t="s">
        <v>53</v>
      </c>
      <c r="AW49" s="1" t="s">
        <v>53</v>
      </c>
      <c r="AX49" s="1" t="s">
        <v>54</v>
      </c>
      <c r="AY49" s="1" t="s">
        <v>54</v>
      </c>
      <c r="AZ49" s="1" t="s">
        <v>55</v>
      </c>
      <c r="BA49" s="1" t="s">
        <v>55</v>
      </c>
      <c r="BB49" s="1" t="s">
        <v>56</v>
      </c>
      <c r="BC49" s="1" t="s">
        <v>56</v>
      </c>
      <c r="BD49" s="1" t="s">
        <v>57</v>
      </c>
      <c r="BE49" s="1" t="s">
        <v>57</v>
      </c>
      <c r="BF49" s="1" t="s">
        <v>58</v>
      </c>
      <c r="BG49" s="1" t="s">
        <v>58</v>
      </c>
      <c r="BH49" s="1" t="s">
        <v>59</v>
      </c>
      <c r="BI49" s="1" t="s">
        <v>59</v>
      </c>
      <c r="BJ49" s="1" t="s">
        <v>60</v>
      </c>
      <c r="BK49" s="1" t="s">
        <v>60</v>
      </c>
      <c r="BL49" s="1" t="s">
        <v>61</v>
      </c>
      <c r="BM49" s="1" t="s">
        <v>61</v>
      </c>
      <c r="BN49" s="1" t="s">
        <v>62</v>
      </c>
      <c r="BO49" s="1" t="s">
        <v>62</v>
      </c>
      <c r="BR49" s="1" t="s">
        <v>65</v>
      </c>
      <c r="BS49" s="1" t="s">
        <v>53</v>
      </c>
      <c r="BT49" s="1" t="s">
        <v>53</v>
      </c>
      <c r="BU49" s="1" t="s">
        <v>54</v>
      </c>
      <c r="BV49" s="1" t="s">
        <v>54</v>
      </c>
      <c r="BW49" s="1" t="s">
        <v>55</v>
      </c>
      <c r="BX49" s="1" t="s">
        <v>55</v>
      </c>
      <c r="BY49" s="1" t="s">
        <v>56</v>
      </c>
      <c r="BZ49" s="1" t="s">
        <v>56</v>
      </c>
      <c r="CA49" s="1" t="s">
        <v>57</v>
      </c>
      <c r="CB49" s="1" t="s">
        <v>57</v>
      </c>
      <c r="CC49" s="1" t="s">
        <v>58</v>
      </c>
      <c r="CD49" s="1" t="s">
        <v>58</v>
      </c>
      <c r="CE49" s="1" t="s">
        <v>59</v>
      </c>
      <c r="CF49" s="1" t="s">
        <v>59</v>
      </c>
      <c r="CG49" s="1" t="s">
        <v>60</v>
      </c>
      <c r="CH49" s="1" t="s">
        <v>60</v>
      </c>
      <c r="CI49" s="1" t="s">
        <v>61</v>
      </c>
      <c r="CJ49" s="1" t="s">
        <v>61</v>
      </c>
      <c r="CK49" s="1" t="s">
        <v>62</v>
      </c>
      <c r="CL49" s="1" t="s">
        <v>62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66</v>
      </c>
      <c r="C51" s="2">
        <v>704.71</v>
      </c>
      <c r="D51" s="2">
        <v>625.67999999999995</v>
      </c>
      <c r="E51" s="2">
        <v>177.97</v>
      </c>
      <c r="F51" s="2">
        <v>160.51</v>
      </c>
      <c r="G51" s="2">
        <v>50.49</v>
      </c>
      <c r="H51" s="2">
        <v>98.42</v>
      </c>
      <c r="I51" s="2">
        <v>558.88</v>
      </c>
      <c r="J51" s="2">
        <v>290.17</v>
      </c>
      <c r="K51" s="2">
        <v>1054.53</v>
      </c>
      <c r="L51" s="2">
        <v>319.7</v>
      </c>
      <c r="M51" s="2">
        <v>1963.88</v>
      </c>
      <c r="N51" s="2">
        <v>399.44</v>
      </c>
      <c r="O51" s="2">
        <v>1468.7</v>
      </c>
      <c r="P51" s="2">
        <v>125.73</v>
      </c>
      <c r="Q51" s="2">
        <v>1389.62</v>
      </c>
      <c r="R51" s="2">
        <v>402.16</v>
      </c>
      <c r="S51" s="2">
        <v>72.78</v>
      </c>
      <c r="T51" s="2">
        <v>44.99</v>
      </c>
      <c r="U51" s="2">
        <v>242.38</v>
      </c>
      <c r="V51" s="2">
        <v>58.5</v>
      </c>
      <c r="X51" s="1" t="s">
        <v>66</v>
      </c>
      <c r="Y51" s="2">
        <v>0.15</v>
      </c>
      <c r="Z51" s="2">
        <v>0.14000000000000001</v>
      </c>
      <c r="AA51" s="2">
        <v>0.03</v>
      </c>
      <c r="AB51" s="2">
        <v>0.03</v>
      </c>
      <c r="AC51" s="2">
        <v>0.02</v>
      </c>
      <c r="AD51" s="2">
        <v>0.05</v>
      </c>
      <c r="AE51" s="2">
        <v>0.1</v>
      </c>
      <c r="AF51" s="2">
        <v>0.05</v>
      </c>
      <c r="AG51" s="2">
        <v>0.14000000000000001</v>
      </c>
      <c r="AH51" s="2">
        <v>0.05</v>
      </c>
      <c r="AI51" s="2">
        <v>0.14000000000000001</v>
      </c>
      <c r="AJ51" s="2">
        <v>0.03</v>
      </c>
      <c r="AK51" s="2">
        <v>0.13</v>
      </c>
      <c r="AL51" s="2">
        <v>0.01</v>
      </c>
      <c r="AM51" s="2">
        <v>0.1</v>
      </c>
      <c r="AN51" s="2">
        <v>0.03</v>
      </c>
      <c r="AO51" s="2">
        <v>0.01</v>
      </c>
      <c r="AP51" s="2">
        <v>0.01</v>
      </c>
      <c r="AQ51" s="2">
        <v>0.02</v>
      </c>
      <c r="AR51" s="2">
        <v>0.01</v>
      </c>
      <c r="AU51" s="1" t="s">
        <v>66</v>
      </c>
      <c r="AV51" s="2">
        <v>0.3</v>
      </c>
      <c r="AW51" s="2">
        <v>0.3</v>
      </c>
      <c r="AX51" s="2">
        <v>0.26</v>
      </c>
      <c r="AY51" s="2">
        <v>0.24</v>
      </c>
      <c r="AZ51" s="2">
        <v>0.25</v>
      </c>
      <c r="BA51" s="2">
        <v>0.3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0.3</v>
      </c>
      <c r="BM51" s="2">
        <v>0.23</v>
      </c>
      <c r="BN51" s="2">
        <v>0.3</v>
      </c>
      <c r="BO51" s="2">
        <v>0.24</v>
      </c>
      <c r="BR51" s="1" t="s">
        <v>66</v>
      </c>
      <c r="BS51" s="2">
        <v>0.37</v>
      </c>
      <c r="BT51" s="2">
        <v>0.36</v>
      </c>
      <c r="BU51" s="2">
        <v>0.27</v>
      </c>
      <c r="BV51" s="2">
        <v>0.25</v>
      </c>
      <c r="BW51" s="2">
        <v>0.26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0.32</v>
      </c>
      <c r="CE51" s="2">
        <v>0.36</v>
      </c>
      <c r="CF51" s="2">
        <v>0.31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67</v>
      </c>
      <c r="C52" s="2">
        <v>1461.52</v>
      </c>
      <c r="D52" s="2">
        <v>485.54</v>
      </c>
      <c r="E52" s="2">
        <v>1271.81</v>
      </c>
      <c r="F52" s="2">
        <v>482.68</v>
      </c>
      <c r="G52" s="2">
        <v>294</v>
      </c>
      <c r="H52" s="2">
        <v>287.75</v>
      </c>
      <c r="I52" s="2">
        <v>2010.68</v>
      </c>
      <c r="J52" s="2">
        <v>1350.73</v>
      </c>
      <c r="K52" s="2">
        <v>2585.64</v>
      </c>
      <c r="L52" s="2">
        <v>1200.26</v>
      </c>
      <c r="M52" s="2">
        <v>5727.86</v>
      </c>
      <c r="N52" s="2">
        <v>2252.4699999999998</v>
      </c>
      <c r="O52" s="2">
        <v>3346.69</v>
      </c>
      <c r="P52" s="2">
        <v>2269.92</v>
      </c>
      <c r="Q52" s="2">
        <v>3969.66</v>
      </c>
      <c r="R52" s="2">
        <v>2666.73</v>
      </c>
      <c r="S52" s="2">
        <v>3307.44</v>
      </c>
      <c r="T52" s="2">
        <v>1458.11</v>
      </c>
      <c r="U52" s="2">
        <v>4158.2700000000004</v>
      </c>
      <c r="V52" s="2">
        <v>1366.63</v>
      </c>
      <c r="X52" s="1" t="s">
        <v>67</v>
      </c>
      <c r="Y52" s="2">
        <v>0.3</v>
      </c>
      <c r="Z52" s="2">
        <v>0.19</v>
      </c>
      <c r="AA52" s="2">
        <v>0.31</v>
      </c>
      <c r="AB52" s="2">
        <v>0.2</v>
      </c>
      <c r="AC52" s="2">
        <v>0.19</v>
      </c>
      <c r="AD52" s="2">
        <v>0.25</v>
      </c>
      <c r="AE52" s="2">
        <v>0.34</v>
      </c>
      <c r="AF52" s="2">
        <v>0.22</v>
      </c>
      <c r="AG52" s="2">
        <v>0.32</v>
      </c>
      <c r="AH52" s="2">
        <v>0.21</v>
      </c>
      <c r="AI52" s="2">
        <v>0.31</v>
      </c>
      <c r="AJ52" s="2">
        <v>0.21</v>
      </c>
      <c r="AK52" s="2">
        <v>0.26</v>
      </c>
      <c r="AL52" s="2">
        <v>0.22</v>
      </c>
      <c r="AM52" s="2">
        <v>0.25</v>
      </c>
      <c r="AN52" s="2">
        <v>0.23</v>
      </c>
      <c r="AO52" s="2">
        <v>0.24</v>
      </c>
      <c r="AP52" s="2">
        <v>0.18</v>
      </c>
      <c r="AQ52" s="2">
        <v>0.28999999999999998</v>
      </c>
      <c r="AR52" s="2">
        <v>0.18</v>
      </c>
      <c r="AU52" s="1" t="s">
        <v>67</v>
      </c>
      <c r="AV52" s="2">
        <v>0.7</v>
      </c>
      <c r="AW52" s="2">
        <v>0.46</v>
      </c>
      <c r="AX52" s="2">
        <v>0.64</v>
      </c>
      <c r="AY52" s="2">
        <v>0.43</v>
      </c>
      <c r="AZ52" s="2">
        <v>0.56999999999999995</v>
      </c>
      <c r="BA52" s="2">
        <v>0.54</v>
      </c>
      <c r="BB52" s="2">
        <v>0.72</v>
      </c>
      <c r="BC52" s="2">
        <v>0.71</v>
      </c>
      <c r="BD52" s="2">
        <v>0.76</v>
      </c>
      <c r="BE52" s="2">
        <v>0.64</v>
      </c>
      <c r="BF52" s="2">
        <v>0.82</v>
      </c>
      <c r="BG52" s="2">
        <v>0.65</v>
      </c>
      <c r="BH52" s="2">
        <v>0.77</v>
      </c>
      <c r="BI52" s="2">
        <v>0.7</v>
      </c>
      <c r="BJ52" s="2">
        <v>0.75</v>
      </c>
      <c r="BK52" s="2">
        <v>0.65</v>
      </c>
      <c r="BL52" s="2">
        <v>0.73</v>
      </c>
      <c r="BM52" s="2">
        <v>0.56000000000000005</v>
      </c>
      <c r="BN52" s="2">
        <v>0.69</v>
      </c>
      <c r="BO52" s="2">
        <v>0.46</v>
      </c>
      <c r="BR52" s="1" t="s">
        <v>67</v>
      </c>
      <c r="BS52" s="2">
        <v>0.8</v>
      </c>
      <c r="BT52" s="2">
        <v>0.52</v>
      </c>
      <c r="BU52" s="2">
        <v>0.75</v>
      </c>
      <c r="BV52" s="2">
        <v>0.5</v>
      </c>
      <c r="BW52" s="2">
        <v>0.66</v>
      </c>
      <c r="BX52" s="2">
        <v>0.63</v>
      </c>
      <c r="BY52" s="2">
        <v>0.84</v>
      </c>
      <c r="BZ52" s="2">
        <v>0.82</v>
      </c>
      <c r="CA52" s="2">
        <v>0.88</v>
      </c>
      <c r="CB52" s="2">
        <v>0.74</v>
      </c>
      <c r="CC52" s="2">
        <v>0.94</v>
      </c>
      <c r="CD52" s="2">
        <v>0.75</v>
      </c>
      <c r="CE52" s="2">
        <v>0.89</v>
      </c>
      <c r="CF52" s="2">
        <v>0.8</v>
      </c>
      <c r="CG52" s="2">
        <v>0.86</v>
      </c>
      <c r="CH52" s="2">
        <v>0.75</v>
      </c>
      <c r="CI52" s="2">
        <v>0.84</v>
      </c>
      <c r="CJ52" s="2">
        <v>0.64</v>
      </c>
      <c r="CK52" s="2">
        <v>0.79</v>
      </c>
      <c r="CL52" s="2">
        <v>0.53</v>
      </c>
    </row>
    <row r="53" spans="2:90" x14ac:dyDescent="0.3">
      <c r="B53" s="1" t="s">
        <v>68</v>
      </c>
      <c r="C53" s="2">
        <v>21219.78</v>
      </c>
      <c r="D53" s="2">
        <v>1495.96</v>
      </c>
      <c r="E53" s="2">
        <v>24170.2</v>
      </c>
      <c r="F53" s="2">
        <v>1215.53</v>
      </c>
      <c r="G53" s="2">
        <v>4317.83</v>
      </c>
      <c r="H53" s="2">
        <v>3758.67</v>
      </c>
      <c r="I53" s="2">
        <v>15365.93</v>
      </c>
      <c r="J53" s="2">
        <v>6838.93</v>
      </c>
      <c r="K53" s="2">
        <v>20016.79</v>
      </c>
      <c r="L53" s="2">
        <v>6997.92</v>
      </c>
      <c r="M53" s="2">
        <v>36969.11</v>
      </c>
      <c r="N53" s="2">
        <v>12479.1</v>
      </c>
      <c r="O53" s="2">
        <v>27167.66</v>
      </c>
      <c r="P53" s="2">
        <v>10542.63</v>
      </c>
      <c r="Q53" s="2">
        <v>34486.11</v>
      </c>
      <c r="R53" s="2">
        <v>13026.62</v>
      </c>
      <c r="S53" s="2">
        <v>15082.88</v>
      </c>
      <c r="T53" s="2">
        <v>7997.83</v>
      </c>
      <c r="U53" s="2">
        <v>10810.63</v>
      </c>
      <c r="V53" s="2">
        <v>8331.19</v>
      </c>
      <c r="X53" s="1" t="s">
        <v>68</v>
      </c>
      <c r="Y53" s="2">
        <v>0.52</v>
      </c>
      <c r="Z53" s="2">
        <v>0.16</v>
      </c>
      <c r="AA53" s="2">
        <v>0.49</v>
      </c>
      <c r="AB53" s="2">
        <v>0.15</v>
      </c>
      <c r="AC53" s="2">
        <v>0.56999999999999995</v>
      </c>
      <c r="AD53" s="2">
        <v>0.51</v>
      </c>
      <c r="AE53" s="2">
        <v>0.61</v>
      </c>
      <c r="AF53" s="2">
        <v>0.28999999999999998</v>
      </c>
      <c r="AG53" s="2">
        <v>0.65</v>
      </c>
      <c r="AH53" s="2">
        <v>0.24</v>
      </c>
      <c r="AI53" s="2">
        <v>0.66</v>
      </c>
      <c r="AJ53" s="2">
        <v>0.24</v>
      </c>
      <c r="AK53" s="2">
        <v>0.63</v>
      </c>
      <c r="AL53" s="2">
        <v>0.25</v>
      </c>
      <c r="AM53" s="2">
        <v>0.61</v>
      </c>
      <c r="AN53" s="2">
        <v>0.23</v>
      </c>
      <c r="AO53" s="2">
        <v>0.28999999999999998</v>
      </c>
      <c r="AP53" s="2">
        <v>0.19</v>
      </c>
      <c r="AQ53" s="2">
        <v>0.19</v>
      </c>
      <c r="AR53" s="2">
        <v>0.17</v>
      </c>
      <c r="AU53" s="1" t="s">
        <v>68</v>
      </c>
      <c r="AV53" s="2">
        <v>1.02</v>
      </c>
      <c r="AW53" s="2">
        <v>0.39</v>
      </c>
      <c r="AX53" s="2">
        <v>1.03</v>
      </c>
      <c r="AY53" s="2">
        <v>0.32</v>
      </c>
      <c r="AZ53" s="2">
        <v>0.92</v>
      </c>
      <c r="BA53" s="2">
        <v>0.87</v>
      </c>
      <c r="BB53" s="2">
        <v>0.93</v>
      </c>
      <c r="BC53" s="2">
        <v>0.75</v>
      </c>
      <c r="BD53" s="2">
        <v>0.97</v>
      </c>
      <c r="BE53" s="2">
        <v>0.73</v>
      </c>
      <c r="BF53" s="2">
        <v>0.97</v>
      </c>
      <c r="BG53" s="2">
        <v>0.73</v>
      </c>
      <c r="BH53" s="2">
        <v>0.97</v>
      </c>
      <c r="BI53" s="2">
        <v>0.74</v>
      </c>
      <c r="BJ53" s="2">
        <v>0.96</v>
      </c>
      <c r="BK53" s="2">
        <v>0.72</v>
      </c>
      <c r="BL53" s="2">
        <v>0.77</v>
      </c>
      <c r="BM53" s="2">
        <v>0.64</v>
      </c>
      <c r="BN53" s="2">
        <v>0.63</v>
      </c>
      <c r="BO53" s="2">
        <v>0.56999999999999995</v>
      </c>
      <c r="BR53" s="1" t="s">
        <v>68</v>
      </c>
      <c r="BS53" s="2">
        <v>1.27</v>
      </c>
      <c r="BT53" s="2">
        <v>0.44</v>
      </c>
      <c r="BU53" s="2">
        <v>1.27</v>
      </c>
      <c r="BV53" s="2">
        <v>0.38</v>
      </c>
      <c r="BW53" s="2">
        <v>1.27</v>
      </c>
      <c r="BX53" s="2">
        <v>1.1100000000000001</v>
      </c>
      <c r="BY53" s="2">
        <v>1.2</v>
      </c>
      <c r="BZ53" s="2">
        <v>0.88</v>
      </c>
      <c r="CA53" s="2">
        <v>1.26</v>
      </c>
      <c r="CB53" s="2">
        <v>0.84</v>
      </c>
      <c r="CC53" s="2">
        <v>1.27</v>
      </c>
      <c r="CD53" s="2">
        <v>0.84</v>
      </c>
      <c r="CE53" s="2">
        <v>1.27</v>
      </c>
      <c r="CF53" s="2">
        <v>0.85</v>
      </c>
      <c r="CG53" s="2">
        <v>1.27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69</v>
      </c>
      <c r="C54" s="2">
        <v>3744.19</v>
      </c>
      <c r="D54" s="2">
        <v>551.98</v>
      </c>
      <c r="E54" s="2">
        <v>3296.87</v>
      </c>
      <c r="F54" s="2">
        <v>411.05</v>
      </c>
      <c r="G54" s="2">
        <v>987.32</v>
      </c>
      <c r="H54" s="2">
        <v>1562.38</v>
      </c>
      <c r="I54" s="2">
        <v>3601.41</v>
      </c>
      <c r="J54" s="2">
        <v>1970.89</v>
      </c>
      <c r="K54" s="2">
        <v>4212.3</v>
      </c>
      <c r="L54" s="2">
        <v>1807.64</v>
      </c>
      <c r="M54" s="2">
        <v>7548.43</v>
      </c>
      <c r="N54" s="2">
        <v>2929.41</v>
      </c>
      <c r="O54" s="2">
        <v>5932.81</v>
      </c>
      <c r="P54" s="2">
        <v>2454.29</v>
      </c>
      <c r="Q54" s="2">
        <v>5891.29</v>
      </c>
      <c r="R54" s="2">
        <v>2723.29</v>
      </c>
      <c r="S54" s="2">
        <v>2464.67</v>
      </c>
      <c r="T54" s="2">
        <v>1970.09</v>
      </c>
      <c r="U54" s="2">
        <v>2540.48</v>
      </c>
      <c r="V54" s="2">
        <v>2207.92</v>
      </c>
      <c r="X54" s="1" t="s">
        <v>69</v>
      </c>
      <c r="Y54" s="2">
        <v>0.28999999999999998</v>
      </c>
      <c r="Z54" s="2">
        <v>0.17</v>
      </c>
      <c r="AA54" s="2">
        <v>0.45</v>
      </c>
      <c r="AB54" s="2">
        <v>0.18</v>
      </c>
      <c r="AC54" s="2">
        <v>0.39</v>
      </c>
      <c r="AD54" s="2">
        <v>0.32</v>
      </c>
      <c r="AE54" s="2">
        <v>0.45</v>
      </c>
      <c r="AF54" s="2">
        <v>0.26</v>
      </c>
      <c r="AG54" s="2">
        <v>0.43</v>
      </c>
      <c r="AH54" s="2">
        <v>0.23</v>
      </c>
      <c r="AI54" s="2">
        <v>0.43</v>
      </c>
      <c r="AJ54" s="2">
        <v>0.22</v>
      </c>
      <c r="AK54" s="2">
        <v>0.43</v>
      </c>
      <c r="AL54" s="2">
        <v>0.22</v>
      </c>
      <c r="AM54" s="2">
        <v>0.32</v>
      </c>
      <c r="AN54" s="2">
        <v>0.21</v>
      </c>
      <c r="AO54" s="2">
        <v>0.22</v>
      </c>
      <c r="AP54" s="2">
        <v>0.19</v>
      </c>
      <c r="AQ54" s="2">
        <v>0.19</v>
      </c>
      <c r="AR54" s="2">
        <v>0.18</v>
      </c>
      <c r="AU54" s="1" t="s">
        <v>69</v>
      </c>
      <c r="AV54" s="2">
        <v>0.98</v>
      </c>
      <c r="AW54" s="2">
        <v>0.54</v>
      </c>
      <c r="AX54" s="2">
        <v>0.89</v>
      </c>
      <c r="AY54" s="2">
        <v>0.4</v>
      </c>
      <c r="AZ54" s="2">
        <v>0.88</v>
      </c>
      <c r="BA54" s="2">
        <v>0.96</v>
      </c>
      <c r="BB54" s="2">
        <v>0.91</v>
      </c>
      <c r="BC54" s="2">
        <v>0.8</v>
      </c>
      <c r="BD54" s="2">
        <v>0.92</v>
      </c>
      <c r="BE54" s="2">
        <v>0.76</v>
      </c>
      <c r="BF54" s="2">
        <v>0.92</v>
      </c>
      <c r="BG54" s="2">
        <v>0.74</v>
      </c>
      <c r="BH54" s="2">
        <v>0.92</v>
      </c>
      <c r="BI54" s="2">
        <v>0.75</v>
      </c>
      <c r="BJ54" s="2">
        <v>0.87</v>
      </c>
      <c r="BK54" s="2">
        <v>0.71</v>
      </c>
      <c r="BL54" s="2">
        <v>0.71</v>
      </c>
      <c r="BM54" s="2">
        <v>0.67</v>
      </c>
      <c r="BN54" s="2">
        <v>0.66</v>
      </c>
      <c r="BO54" s="2">
        <v>0.62</v>
      </c>
      <c r="BR54" s="1" t="s">
        <v>69</v>
      </c>
      <c r="BS54" s="2">
        <v>1.1100000000000001</v>
      </c>
      <c r="BT54" s="2">
        <v>0.62</v>
      </c>
      <c r="BU54" s="2">
        <v>1.1100000000000001</v>
      </c>
      <c r="BV54" s="2">
        <v>0.47</v>
      </c>
      <c r="BW54" s="2">
        <v>1.1100000000000001</v>
      </c>
      <c r="BX54" s="2">
        <v>1.1100000000000001</v>
      </c>
      <c r="BY54" s="2">
        <v>1.1100000000000001</v>
      </c>
      <c r="BZ54" s="2">
        <v>0.92</v>
      </c>
      <c r="CA54" s="2">
        <v>1.1100000000000001</v>
      </c>
      <c r="CB54" s="2">
        <v>0.87</v>
      </c>
      <c r="CC54" s="2">
        <v>1.1100000000000001</v>
      </c>
      <c r="CD54" s="2">
        <v>0.84</v>
      </c>
      <c r="CE54" s="2">
        <v>1.1100000000000001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70</v>
      </c>
      <c r="C55" s="2">
        <v>10458.74</v>
      </c>
      <c r="D55" s="2">
        <v>11277.22</v>
      </c>
      <c r="E55" s="2">
        <v>17044.009999999998</v>
      </c>
      <c r="F55" s="2">
        <v>7171.87</v>
      </c>
      <c r="G55" s="2">
        <v>4068.25</v>
      </c>
      <c r="H55" s="2">
        <v>4528.1499999999996</v>
      </c>
      <c r="I55" s="2">
        <v>6958.69</v>
      </c>
      <c r="J55" s="2">
        <v>14243.44</v>
      </c>
      <c r="K55" s="2">
        <v>16567.330000000002</v>
      </c>
      <c r="L55" s="2">
        <v>17807.14</v>
      </c>
      <c r="M55" s="2">
        <v>26126.77</v>
      </c>
      <c r="N55" s="2">
        <v>24504.69</v>
      </c>
      <c r="O55" s="2">
        <v>16937.72</v>
      </c>
      <c r="P55" s="2">
        <v>17439.53</v>
      </c>
      <c r="Q55" s="2">
        <v>16476.86</v>
      </c>
      <c r="R55" s="2">
        <v>17377.400000000001</v>
      </c>
      <c r="S55" s="2">
        <v>12208.52</v>
      </c>
      <c r="T55" s="2">
        <v>11777.42</v>
      </c>
      <c r="U55" s="2">
        <v>15606.43</v>
      </c>
      <c r="V55" s="2">
        <v>12865.61</v>
      </c>
      <c r="X55" s="1" t="s">
        <v>70</v>
      </c>
      <c r="Y55" s="2">
        <v>0.31</v>
      </c>
      <c r="Z55" s="2">
        <v>0.33</v>
      </c>
      <c r="AA55" s="2">
        <v>0.28999999999999998</v>
      </c>
      <c r="AB55" s="2">
        <v>0.32</v>
      </c>
      <c r="AC55" s="2">
        <v>0.31</v>
      </c>
      <c r="AD55" s="2">
        <v>0.34</v>
      </c>
      <c r="AE55" s="2">
        <v>0.28000000000000003</v>
      </c>
      <c r="AF55" s="2">
        <v>0.35</v>
      </c>
      <c r="AG55" s="2">
        <v>0.32</v>
      </c>
      <c r="AH55" s="2">
        <v>0.34</v>
      </c>
      <c r="AI55" s="2">
        <v>0.28000000000000003</v>
      </c>
      <c r="AJ55" s="2">
        <v>0.27</v>
      </c>
      <c r="AK55" s="2">
        <v>0.25</v>
      </c>
      <c r="AL55" s="2">
        <v>0.27</v>
      </c>
      <c r="AM55" s="2">
        <v>0.23</v>
      </c>
      <c r="AN55" s="2">
        <v>0.23</v>
      </c>
      <c r="AO55" s="2">
        <v>0.21</v>
      </c>
      <c r="AP55" s="2">
        <v>0.22</v>
      </c>
      <c r="AQ55" s="2">
        <v>0.21</v>
      </c>
      <c r="AR55" s="2">
        <v>0.24</v>
      </c>
      <c r="AU55" s="1" t="s">
        <v>70</v>
      </c>
      <c r="AV55" s="2">
        <v>0.86</v>
      </c>
      <c r="AW55" s="2">
        <v>0.85</v>
      </c>
      <c r="AX55" s="2">
        <v>0.92</v>
      </c>
      <c r="AY55" s="2">
        <v>0.68</v>
      </c>
      <c r="AZ55" s="2">
        <v>0.86</v>
      </c>
      <c r="BA55" s="2">
        <v>0.86</v>
      </c>
      <c r="BB55" s="2">
        <v>0.67</v>
      </c>
      <c r="BC55" s="2">
        <v>0.87</v>
      </c>
      <c r="BD55" s="2">
        <v>0.87</v>
      </c>
      <c r="BE55" s="2">
        <v>0.88</v>
      </c>
      <c r="BF55" s="2">
        <v>0.84</v>
      </c>
      <c r="BG55" s="2">
        <v>0.82</v>
      </c>
      <c r="BH55" s="2">
        <v>0.8</v>
      </c>
      <c r="BI55" s="2">
        <v>0.79</v>
      </c>
      <c r="BJ55" s="2">
        <v>0.74</v>
      </c>
      <c r="BK55" s="2">
        <v>0.74</v>
      </c>
      <c r="BL55" s="2">
        <v>0.7</v>
      </c>
      <c r="BM55" s="2">
        <v>0.67</v>
      </c>
      <c r="BN55" s="2">
        <v>0.69</v>
      </c>
      <c r="BO55" s="2">
        <v>0.6</v>
      </c>
      <c r="BR55" s="1" t="s">
        <v>70</v>
      </c>
      <c r="BS55" s="2">
        <v>1.07</v>
      </c>
      <c r="BT55" s="2">
        <v>1.01</v>
      </c>
      <c r="BU55" s="2">
        <v>1.07</v>
      </c>
      <c r="BV55" s="2">
        <v>0.79</v>
      </c>
      <c r="BW55" s="2">
        <v>1.07</v>
      </c>
      <c r="BX55" s="2">
        <v>1.07</v>
      </c>
      <c r="BY55" s="2">
        <v>0.78</v>
      </c>
      <c r="BZ55" s="2">
        <v>1.05</v>
      </c>
      <c r="CA55" s="2">
        <v>1.01</v>
      </c>
      <c r="CB55" s="2">
        <v>1.04</v>
      </c>
      <c r="CC55" s="2">
        <v>0.97</v>
      </c>
      <c r="CD55" s="2">
        <v>0.94</v>
      </c>
      <c r="CE55" s="2">
        <v>0.92</v>
      </c>
      <c r="CF55" s="2">
        <v>0.9</v>
      </c>
      <c r="CG55" s="2">
        <v>0.84</v>
      </c>
      <c r="CH55" s="2">
        <v>0.85</v>
      </c>
      <c r="CI55" s="2">
        <v>0.8</v>
      </c>
      <c r="CJ55" s="2">
        <v>0.76</v>
      </c>
      <c r="CK55" s="2">
        <v>0.78</v>
      </c>
      <c r="CL55" s="2">
        <v>0.68</v>
      </c>
    </row>
    <row r="56" spans="2:90" x14ac:dyDescent="0.3">
      <c r="B56" s="1" t="s">
        <v>71</v>
      </c>
      <c r="C56" s="2">
        <v>2871.21</v>
      </c>
      <c r="D56" s="2">
        <v>3011.99</v>
      </c>
      <c r="E56" s="2">
        <v>4562.95</v>
      </c>
      <c r="F56" s="2">
        <v>4611.49</v>
      </c>
      <c r="G56" s="2">
        <v>989.47</v>
      </c>
      <c r="H56" s="2">
        <v>1144.05</v>
      </c>
      <c r="I56" s="2">
        <v>1616.06</v>
      </c>
      <c r="J56" s="2">
        <v>2991.15</v>
      </c>
      <c r="K56" s="2">
        <v>1870.27</v>
      </c>
      <c r="L56" s="2">
        <v>5557.01</v>
      </c>
      <c r="M56" s="2">
        <v>4190.04</v>
      </c>
      <c r="N56" s="2">
        <v>10382.48</v>
      </c>
      <c r="O56" s="2">
        <v>3292.38</v>
      </c>
      <c r="P56" s="2">
        <v>6820.19</v>
      </c>
      <c r="Q56" s="2">
        <v>4178.71</v>
      </c>
      <c r="R56" s="2">
        <v>8583.14</v>
      </c>
      <c r="S56" s="2">
        <v>3224.6</v>
      </c>
      <c r="T56" s="2">
        <v>6320.55</v>
      </c>
      <c r="U56" s="2">
        <v>3404.21</v>
      </c>
      <c r="V56" s="2">
        <v>2982.8</v>
      </c>
      <c r="X56" s="1" t="s">
        <v>71</v>
      </c>
      <c r="Y56" s="2">
        <v>0.4</v>
      </c>
      <c r="Z56" s="2">
        <v>0.41</v>
      </c>
      <c r="AA56" s="2">
        <v>0.41</v>
      </c>
      <c r="AB56" s="2">
        <v>0.42</v>
      </c>
      <c r="AC56" s="2">
        <v>0.36</v>
      </c>
      <c r="AD56" s="2">
        <v>0.4</v>
      </c>
      <c r="AE56" s="2">
        <v>0.3</v>
      </c>
      <c r="AF56" s="2">
        <v>0.33</v>
      </c>
      <c r="AG56" s="2">
        <v>0.28999999999999998</v>
      </c>
      <c r="AH56" s="2">
        <v>0.36</v>
      </c>
      <c r="AI56" s="2">
        <v>0.3</v>
      </c>
      <c r="AJ56" s="2">
        <v>0.37</v>
      </c>
      <c r="AK56" s="2">
        <v>0.3</v>
      </c>
      <c r="AL56" s="2">
        <v>0.36</v>
      </c>
      <c r="AM56" s="2">
        <v>0.28999999999999998</v>
      </c>
      <c r="AN56" s="2">
        <v>0.35</v>
      </c>
      <c r="AO56" s="2">
        <v>0.28000000000000003</v>
      </c>
      <c r="AP56" s="2">
        <v>0.34</v>
      </c>
      <c r="AQ56" s="2">
        <v>0.25</v>
      </c>
      <c r="AR56" s="2">
        <v>0.25</v>
      </c>
      <c r="AU56" s="1" t="s">
        <v>71</v>
      </c>
      <c r="AV56" s="2">
        <v>0.88</v>
      </c>
      <c r="AW56" s="2">
        <v>0.88</v>
      </c>
      <c r="AX56" s="2">
        <v>0.92</v>
      </c>
      <c r="AY56" s="2">
        <v>0.92</v>
      </c>
      <c r="AZ56" s="2">
        <v>0.86</v>
      </c>
      <c r="BA56" s="2">
        <v>0.87</v>
      </c>
      <c r="BB56" s="2">
        <v>0.69</v>
      </c>
      <c r="BC56" s="2">
        <v>0.87</v>
      </c>
      <c r="BD56" s="2">
        <v>0.7</v>
      </c>
      <c r="BE56" s="2">
        <v>0.94</v>
      </c>
      <c r="BF56" s="2">
        <v>0.76</v>
      </c>
      <c r="BG56" s="2">
        <v>0.95</v>
      </c>
      <c r="BH56" s="2">
        <v>0.75</v>
      </c>
      <c r="BI56" s="2">
        <v>0.9</v>
      </c>
      <c r="BJ56" s="2">
        <v>0.75</v>
      </c>
      <c r="BK56" s="2">
        <v>0.9</v>
      </c>
      <c r="BL56" s="2">
        <v>0.72</v>
      </c>
      <c r="BM56" s="2">
        <v>0.85</v>
      </c>
      <c r="BN56" s="2">
        <v>0.67</v>
      </c>
      <c r="BO56" s="2">
        <v>0.62</v>
      </c>
      <c r="BR56" s="1" t="s">
        <v>71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0.83</v>
      </c>
      <c r="BZ56" s="2">
        <v>1.1100000000000001</v>
      </c>
      <c r="CA56" s="2">
        <v>0.83</v>
      </c>
      <c r="CB56" s="2">
        <v>1.1100000000000001</v>
      </c>
      <c r="CC56" s="2">
        <v>0.89</v>
      </c>
      <c r="CD56" s="2">
        <v>1.1100000000000001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72</v>
      </c>
      <c r="C57" s="2">
        <v>22240.81</v>
      </c>
      <c r="D57" s="2">
        <v>22965.08</v>
      </c>
      <c r="E57" s="2">
        <v>16540.189999999999</v>
      </c>
      <c r="F57" s="2">
        <v>25981.35</v>
      </c>
      <c r="G57" s="2">
        <v>3594.53</v>
      </c>
      <c r="H57" s="2">
        <v>8703.5</v>
      </c>
      <c r="I57" s="2">
        <v>10989.82</v>
      </c>
      <c r="J57" s="2">
        <v>14873.26</v>
      </c>
      <c r="K57" s="2">
        <v>10368.24</v>
      </c>
      <c r="L57" s="2">
        <v>23140.28</v>
      </c>
      <c r="M57" s="2">
        <v>20475.21</v>
      </c>
      <c r="N57" s="2">
        <v>42010.58</v>
      </c>
      <c r="O57" s="2">
        <v>16643.04</v>
      </c>
      <c r="P57" s="2">
        <v>30384.7</v>
      </c>
      <c r="Q57" s="2">
        <v>23878.69</v>
      </c>
      <c r="R57" s="2">
        <v>33572.1</v>
      </c>
      <c r="S57" s="2">
        <v>15348.15</v>
      </c>
      <c r="T57" s="2">
        <v>16899.34</v>
      </c>
      <c r="U57" s="2">
        <v>17090.34</v>
      </c>
      <c r="V57" s="2">
        <v>16601.509999999998</v>
      </c>
      <c r="X57" s="1" t="s">
        <v>72</v>
      </c>
      <c r="Y57" s="2">
        <v>0.5</v>
      </c>
      <c r="Z57" s="2">
        <v>0.52</v>
      </c>
      <c r="AA57" s="2">
        <v>0.4</v>
      </c>
      <c r="AB57" s="2">
        <v>0.54</v>
      </c>
      <c r="AC57" s="2">
        <v>0.42</v>
      </c>
      <c r="AD57" s="2">
        <v>0.5</v>
      </c>
      <c r="AE57" s="2">
        <v>0.4</v>
      </c>
      <c r="AF57" s="2">
        <v>0.55000000000000004</v>
      </c>
      <c r="AG57" s="2">
        <v>0.3</v>
      </c>
      <c r="AH57" s="2">
        <v>0.68</v>
      </c>
      <c r="AI57" s="2">
        <v>0.33</v>
      </c>
      <c r="AJ57" s="2">
        <v>0.68</v>
      </c>
      <c r="AK57" s="2">
        <v>0.33</v>
      </c>
      <c r="AL57" s="2">
        <v>0.61</v>
      </c>
      <c r="AM57" s="2">
        <v>0.37</v>
      </c>
      <c r="AN57" s="2">
        <v>0.34</v>
      </c>
      <c r="AO57" s="2">
        <v>0.28000000000000003</v>
      </c>
      <c r="AP57" s="2">
        <v>0.28999999999999998</v>
      </c>
      <c r="AQ57" s="2">
        <v>0.26</v>
      </c>
      <c r="AR57" s="2">
        <v>0.26</v>
      </c>
      <c r="AU57" s="1" t="s">
        <v>72</v>
      </c>
      <c r="AV57" s="2">
        <v>1.01</v>
      </c>
      <c r="AW57" s="2">
        <v>1.01</v>
      </c>
      <c r="AX57" s="2">
        <v>0.92</v>
      </c>
      <c r="AY57" s="2">
        <v>1</v>
      </c>
      <c r="AZ57" s="2">
        <v>0.83</v>
      </c>
      <c r="BA57" s="2">
        <v>1</v>
      </c>
      <c r="BB57" s="2">
        <v>0.81</v>
      </c>
      <c r="BC57" s="2">
        <v>0.91</v>
      </c>
      <c r="BD57" s="2">
        <v>0.76</v>
      </c>
      <c r="BE57" s="2">
        <v>0.96</v>
      </c>
      <c r="BF57" s="2">
        <v>0.79</v>
      </c>
      <c r="BG57" s="2">
        <v>0.96</v>
      </c>
      <c r="BH57" s="2">
        <v>0.79</v>
      </c>
      <c r="BI57" s="2">
        <v>0.93</v>
      </c>
      <c r="BJ57" s="2">
        <v>0.81</v>
      </c>
      <c r="BK57" s="2">
        <v>0.9</v>
      </c>
      <c r="BL57" s="2">
        <v>0.74</v>
      </c>
      <c r="BM57" s="2">
        <v>0.75</v>
      </c>
      <c r="BN57" s="2">
        <v>0.69</v>
      </c>
      <c r="BO57" s="2">
        <v>0.68</v>
      </c>
      <c r="BR57" s="1" t="s">
        <v>72</v>
      </c>
      <c r="BS57" s="2">
        <v>1.27</v>
      </c>
      <c r="BT57" s="2">
        <v>1.27</v>
      </c>
      <c r="BU57" s="2">
        <v>1.1100000000000001</v>
      </c>
      <c r="BV57" s="2">
        <v>1.24</v>
      </c>
      <c r="BW57" s="2">
        <v>1.1100000000000001</v>
      </c>
      <c r="BX57" s="2">
        <v>1.27</v>
      </c>
      <c r="BY57" s="2">
        <v>1</v>
      </c>
      <c r="BZ57" s="2">
        <v>1.27</v>
      </c>
      <c r="CA57" s="2">
        <v>0.9</v>
      </c>
      <c r="CB57" s="2">
        <v>1.27</v>
      </c>
      <c r="CC57" s="2">
        <v>0.94</v>
      </c>
      <c r="CD57" s="2">
        <v>1.27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73</v>
      </c>
      <c r="C58" s="2">
        <v>2356.92</v>
      </c>
      <c r="D58" s="2">
        <v>4101.16</v>
      </c>
      <c r="E58" s="2">
        <v>979.75</v>
      </c>
      <c r="F58" s="2">
        <v>1092.6500000000001</v>
      </c>
      <c r="G58" s="2">
        <v>167.66</v>
      </c>
      <c r="H58" s="2">
        <v>495.18</v>
      </c>
      <c r="I58" s="2">
        <v>850.51</v>
      </c>
      <c r="J58" s="2">
        <v>6455.59</v>
      </c>
      <c r="K58" s="2">
        <v>3055.04</v>
      </c>
      <c r="L58" s="2">
        <v>7596.66</v>
      </c>
      <c r="M58" s="2">
        <v>7929.19</v>
      </c>
      <c r="N58" s="2">
        <v>14001.5</v>
      </c>
      <c r="O58" s="2">
        <v>7037.93</v>
      </c>
      <c r="P58" s="2">
        <v>9202.01</v>
      </c>
      <c r="Q58" s="2">
        <v>7773.83</v>
      </c>
      <c r="R58" s="2">
        <v>7705.94</v>
      </c>
      <c r="S58" s="2">
        <v>5871.49</v>
      </c>
      <c r="T58" s="2">
        <v>4896.78</v>
      </c>
      <c r="U58" s="2">
        <v>6756.55</v>
      </c>
      <c r="V58" s="2">
        <v>5445.9</v>
      </c>
      <c r="X58" s="1" t="s">
        <v>73</v>
      </c>
      <c r="Y58" s="2">
        <v>0.18</v>
      </c>
      <c r="Z58" s="2">
        <v>0.23</v>
      </c>
      <c r="AA58" s="2">
        <v>0.19</v>
      </c>
      <c r="AB58" s="2">
        <v>0.2</v>
      </c>
      <c r="AC58" s="2">
        <v>0.04</v>
      </c>
      <c r="AD58" s="2">
        <v>0.21</v>
      </c>
      <c r="AE58" s="2">
        <v>0.12</v>
      </c>
      <c r="AF58" s="2">
        <v>0.23</v>
      </c>
      <c r="AG58" s="2">
        <v>0.16</v>
      </c>
      <c r="AH58" s="2">
        <v>0.21</v>
      </c>
      <c r="AI58" s="2">
        <v>0.16</v>
      </c>
      <c r="AJ58" s="2">
        <v>0.22</v>
      </c>
      <c r="AK58" s="2">
        <v>0.16</v>
      </c>
      <c r="AL58" s="2">
        <v>0.2</v>
      </c>
      <c r="AM58" s="2">
        <v>0.16</v>
      </c>
      <c r="AN58" s="2">
        <v>0.17</v>
      </c>
      <c r="AO58" s="2">
        <v>0.15</v>
      </c>
      <c r="AP58" s="2">
        <v>0.15</v>
      </c>
      <c r="AQ58" s="2">
        <v>0.16</v>
      </c>
      <c r="AR58" s="2">
        <v>0.15</v>
      </c>
      <c r="AU58" s="1" t="s">
        <v>73</v>
      </c>
      <c r="AV58" s="2">
        <v>0.6</v>
      </c>
      <c r="AW58" s="2">
        <v>0.72</v>
      </c>
      <c r="AX58" s="2">
        <v>0.33</v>
      </c>
      <c r="AY58" s="2">
        <v>0.35</v>
      </c>
      <c r="AZ58" s="2">
        <v>0.3</v>
      </c>
      <c r="BA58" s="2">
        <v>0.39</v>
      </c>
      <c r="BB58" s="2">
        <v>0.3</v>
      </c>
      <c r="BC58" s="2">
        <v>0.82</v>
      </c>
      <c r="BD58" s="2">
        <v>0.62</v>
      </c>
      <c r="BE58" s="2">
        <v>0.83</v>
      </c>
      <c r="BF58" s="2">
        <v>0.75</v>
      </c>
      <c r="BG58" s="2">
        <v>0.83</v>
      </c>
      <c r="BH58" s="2">
        <v>0.78</v>
      </c>
      <c r="BI58" s="2">
        <v>0.79</v>
      </c>
      <c r="BJ58" s="2">
        <v>0.73</v>
      </c>
      <c r="BK58" s="2">
        <v>0.71</v>
      </c>
      <c r="BL58" s="2">
        <v>0.69</v>
      </c>
      <c r="BM58" s="2">
        <v>0.62</v>
      </c>
      <c r="BN58" s="2">
        <v>0.64</v>
      </c>
      <c r="BO58" s="2">
        <v>0.56000000000000005</v>
      </c>
      <c r="BR58" s="1" t="s">
        <v>73</v>
      </c>
      <c r="BS58" s="2">
        <v>0.7</v>
      </c>
      <c r="BT58" s="2">
        <v>0.84</v>
      </c>
      <c r="BU58" s="2">
        <v>0.39</v>
      </c>
      <c r="BV58" s="2">
        <v>0.42</v>
      </c>
      <c r="BW58" s="2">
        <v>0.32</v>
      </c>
      <c r="BX58" s="2">
        <v>0.46</v>
      </c>
      <c r="BY58" s="2">
        <v>0.34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59" spans="2:90" x14ac:dyDescent="0.3">
      <c r="W59" s="4">
        <f>SUM(C51:V58)/$W$45</f>
        <v>0.76502895545894511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63</v>
      </c>
      <c r="D62" s="1" t="s">
        <v>64</v>
      </c>
      <c r="E62" s="1" t="s">
        <v>63</v>
      </c>
      <c r="F62" s="1" t="s">
        <v>64</v>
      </c>
      <c r="G62" s="1" t="s">
        <v>63</v>
      </c>
      <c r="H62" s="1" t="s">
        <v>64</v>
      </c>
      <c r="I62" s="1" t="s">
        <v>63</v>
      </c>
      <c r="J62" s="1" t="s">
        <v>64</v>
      </c>
      <c r="K62" s="1" t="s">
        <v>63</v>
      </c>
      <c r="L62" s="1" t="s">
        <v>64</v>
      </c>
      <c r="M62" s="1" t="s">
        <v>63</v>
      </c>
      <c r="N62" s="1" t="s">
        <v>64</v>
      </c>
      <c r="O62" s="1" t="s">
        <v>63</v>
      </c>
      <c r="P62" s="1" t="s">
        <v>64</v>
      </c>
      <c r="Q62" s="1" t="s">
        <v>63</v>
      </c>
      <c r="R62" s="1" t="s">
        <v>64</v>
      </c>
      <c r="S62" s="1" t="s">
        <v>63</v>
      </c>
      <c r="T62" s="1" t="s">
        <v>64</v>
      </c>
      <c r="U62" s="1" t="s">
        <v>63</v>
      </c>
      <c r="V62" s="1" t="s">
        <v>64</v>
      </c>
      <c r="X62" s="1" t="s">
        <v>6</v>
      </c>
      <c r="Y62" s="1" t="s">
        <v>63</v>
      </c>
      <c r="Z62" s="1" t="s">
        <v>64</v>
      </c>
      <c r="AA62" s="1" t="s">
        <v>63</v>
      </c>
      <c r="AB62" s="1" t="s">
        <v>64</v>
      </c>
      <c r="AC62" s="1" t="s">
        <v>63</v>
      </c>
      <c r="AD62" s="1" t="s">
        <v>64</v>
      </c>
      <c r="AE62" s="1" t="s">
        <v>63</v>
      </c>
      <c r="AF62" s="1" t="s">
        <v>64</v>
      </c>
      <c r="AG62" s="1" t="s">
        <v>63</v>
      </c>
      <c r="AH62" s="1" t="s">
        <v>64</v>
      </c>
      <c r="AI62" s="1" t="s">
        <v>63</v>
      </c>
      <c r="AJ62" s="1" t="s">
        <v>64</v>
      </c>
      <c r="AK62" s="1" t="s">
        <v>63</v>
      </c>
      <c r="AL62" s="1" t="s">
        <v>64</v>
      </c>
      <c r="AM62" s="1" t="s">
        <v>63</v>
      </c>
      <c r="AN62" s="1" t="s">
        <v>64</v>
      </c>
      <c r="AO62" s="1" t="s">
        <v>63</v>
      </c>
      <c r="AP62" s="1" t="s">
        <v>64</v>
      </c>
      <c r="AQ62" s="1" t="s">
        <v>63</v>
      </c>
      <c r="AR62" s="1" t="s">
        <v>64</v>
      </c>
      <c r="AU62" s="1" t="s">
        <v>6</v>
      </c>
      <c r="AV62" s="1" t="s">
        <v>63</v>
      </c>
      <c r="AW62" s="1" t="s">
        <v>64</v>
      </c>
      <c r="AX62" s="1" t="s">
        <v>63</v>
      </c>
      <c r="AY62" s="1" t="s">
        <v>64</v>
      </c>
      <c r="AZ62" s="1" t="s">
        <v>63</v>
      </c>
      <c r="BA62" s="1" t="s">
        <v>64</v>
      </c>
      <c r="BB62" s="1" t="s">
        <v>63</v>
      </c>
      <c r="BC62" s="1" t="s">
        <v>64</v>
      </c>
      <c r="BD62" s="1" t="s">
        <v>63</v>
      </c>
      <c r="BE62" s="1" t="s">
        <v>64</v>
      </c>
      <c r="BF62" s="1" t="s">
        <v>63</v>
      </c>
      <c r="BG62" s="1" t="s">
        <v>64</v>
      </c>
      <c r="BH62" s="1" t="s">
        <v>63</v>
      </c>
      <c r="BI62" s="1" t="s">
        <v>64</v>
      </c>
      <c r="BJ62" s="1" t="s">
        <v>63</v>
      </c>
      <c r="BK62" s="1" t="s">
        <v>64</v>
      </c>
      <c r="BL62" s="1" t="s">
        <v>63</v>
      </c>
      <c r="BM62" s="1" t="s">
        <v>64</v>
      </c>
      <c r="BN62" s="1" t="s">
        <v>63</v>
      </c>
      <c r="BO62" s="1" t="s">
        <v>64</v>
      </c>
      <c r="BR62" s="1" t="s">
        <v>6</v>
      </c>
      <c r="BS62" s="1" t="s">
        <v>63</v>
      </c>
      <c r="BT62" s="1" t="s">
        <v>64</v>
      </c>
      <c r="BU62" s="1" t="s">
        <v>63</v>
      </c>
      <c r="BV62" s="1" t="s">
        <v>64</v>
      </c>
      <c r="BW62" s="1" t="s">
        <v>63</v>
      </c>
      <c r="BX62" s="1" t="s">
        <v>64</v>
      </c>
      <c r="BY62" s="1" t="s">
        <v>63</v>
      </c>
      <c r="BZ62" s="1" t="s">
        <v>64</v>
      </c>
      <c r="CA62" s="1" t="s">
        <v>63</v>
      </c>
      <c r="CB62" s="1" t="s">
        <v>64</v>
      </c>
      <c r="CC62" s="1" t="s">
        <v>63</v>
      </c>
      <c r="CD62" s="1" t="s">
        <v>64</v>
      </c>
      <c r="CE62" s="1" t="s">
        <v>63</v>
      </c>
      <c r="CF62" s="1" t="s">
        <v>64</v>
      </c>
      <c r="CG62" s="1" t="s">
        <v>63</v>
      </c>
      <c r="CH62" s="1" t="s">
        <v>64</v>
      </c>
      <c r="CI62" s="1" t="s">
        <v>63</v>
      </c>
      <c r="CJ62" s="1" t="s">
        <v>64</v>
      </c>
      <c r="CK62" s="1" t="s">
        <v>63</v>
      </c>
      <c r="CL62" s="1" t="s">
        <v>64</v>
      </c>
    </row>
    <row r="63" spans="2:90" x14ac:dyDescent="0.3">
      <c r="B63" s="1" t="s">
        <v>65</v>
      </c>
      <c r="C63" s="1" t="s">
        <v>53</v>
      </c>
      <c r="D63" s="1" t="s">
        <v>53</v>
      </c>
      <c r="E63" s="1" t="s">
        <v>54</v>
      </c>
      <c r="F63" s="1" t="s">
        <v>54</v>
      </c>
      <c r="G63" s="1" t="s">
        <v>55</v>
      </c>
      <c r="H63" s="1" t="s">
        <v>55</v>
      </c>
      <c r="I63" s="1" t="s">
        <v>56</v>
      </c>
      <c r="J63" s="1" t="s">
        <v>56</v>
      </c>
      <c r="K63" s="1" t="s">
        <v>57</v>
      </c>
      <c r="L63" s="1" t="s">
        <v>57</v>
      </c>
      <c r="M63" s="1" t="s">
        <v>58</v>
      </c>
      <c r="N63" s="1" t="s">
        <v>58</v>
      </c>
      <c r="O63" s="1" t="s">
        <v>59</v>
      </c>
      <c r="P63" s="1" t="s">
        <v>59</v>
      </c>
      <c r="Q63" s="1" t="s">
        <v>60</v>
      </c>
      <c r="R63" s="1" t="s">
        <v>60</v>
      </c>
      <c r="S63" s="1" t="s">
        <v>61</v>
      </c>
      <c r="T63" s="1" t="s">
        <v>61</v>
      </c>
      <c r="U63" s="1" t="s">
        <v>62</v>
      </c>
      <c r="V63" s="1" t="s">
        <v>62</v>
      </c>
      <c r="X63" s="1" t="s">
        <v>65</v>
      </c>
      <c r="Y63" s="1" t="s">
        <v>53</v>
      </c>
      <c r="Z63" s="1" t="s">
        <v>53</v>
      </c>
      <c r="AA63" s="1" t="s">
        <v>54</v>
      </c>
      <c r="AB63" s="1" t="s">
        <v>54</v>
      </c>
      <c r="AC63" s="1" t="s">
        <v>55</v>
      </c>
      <c r="AD63" s="1" t="s">
        <v>55</v>
      </c>
      <c r="AE63" s="1" t="s">
        <v>56</v>
      </c>
      <c r="AF63" s="1" t="s">
        <v>56</v>
      </c>
      <c r="AG63" s="1" t="s">
        <v>57</v>
      </c>
      <c r="AH63" s="1" t="s">
        <v>57</v>
      </c>
      <c r="AI63" s="1" t="s">
        <v>58</v>
      </c>
      <c r="AJ63" s="1" t="s">
        <v>58</v>
      </c>
      <c r="AK63" s="1" t="s">
        <v>59</v>
      </c>
      <c r="AL63" s="1" t="s">
        <v>59</v>
      </c>
      <c r="AM63" s="1" t="s">
        <v>60</v>
      </c>
      <c r="AN63" s="1" t="s">
        <v>60</v>
      </c>
      <c r="AO63" s="1" t="s">
        <v>61</v>
      </c>
      <c r="AP63" s="1" t="s">
        <v>61</v>
      </c>
      <c r="AQ63" s="1" t="s">
        <v>62</v>
      </c>
      <c r="AR63" s="1" t="s">
        <v>62</v>
      </c>
      <c r="AU63" s="1" t="s">
        <v>65</v>
      </c>
      <c r="AV63" s="1" t="s">
        <v>53</v>
      </c>
      <c r="AW63" s="1" t="s">
        <v>53</v>
      </c>
      <c r="AX63" s="1" t="s">
        <v>54</v>
      </c>
      <c r="AY63" s="1" t="s">
        <v>54</v>
      </c>
      <c r="AZ63" s="1" t="s">
        <v>55</v>
      </c>
      <c r="BA63" s="1" t="s">
        <v>55</v>
      </c>
      <c r="BB63" s="1" t="s">
        <v>56</v>
      </c>
      <c r="BC63" s="1" t="s">
        <v>56</v>
      </c>
      <c r="BD63" s="1" t="s">
        <v>57</v>
      </c>
      <c r="BE63" s="1" t="s">
        <v>57</v>
      </c>
      <c r="BF63" s="1" t="s">
        <v>58</v>
      </c>
      <c r="BG63" s="1" t="s">
        <v>58</v>
      </c>
      <c r="BH63" s="1" t="s">
        <v>59</v>
      </c>
      <c r="BI63" s="1" t="s">
        <v>59</v>
      </c>
      <c r="BJ63" s="1" t="s">
        <v>60</v>
      </c>
      <c r="BK63" s="1" t="s">
        <v>60</v>
      </c>
      <c r="BL63" s="1" t="s">
        <v>61</v>
      </c>
      <c r="BM63" s="1" t="s">
        <v>61</v>
      </c>
      <c r="BN63" s="1" t="s">
        <v>62</v>
      </c>
      <c r="BO63" s="1" t="s">
        <v>62</v>
      </c>
      <c r="BR63" s="1" t="s">
        <v>65</v>
      </c>
      <c r="BS63" s="1" t="s">
        <v>53</v>
      </c>
      <c r="BT63" s="1" t="s">
        <v>53</v>
      </c>
      <c r="BU63" s="1" t="s">
        <v>54</v>
      </c>
      <c r="BV63" s="1" t="s">
        <v>54</v>
      </c>
      <c r="BW63" s="1" t="s">
        <v>55</v>
      </c>
      <c r="BX63" s="1" t="s">
        <v>55</v>
      </c>
      <c r="BY63" s="1" t="s">
        <v>56</v>
      </c>
      <c r="BZ63" s="1" t="s">
        <v>56</v>
      </c>
      <c r="CA63" s="1" t="s">
        <v>57</v>
      </c>
      <c r="CB63" s="1" t="s">
        <v>57</v>
      </c>
      <c r="CC63" s="1" t="s">
        <v>58</v>
      </c>
      <c r="CD63" s="1" t="s">
        <v>58</v>
      </c>
      <c r="CE63" s="1" t="s">
        <v>59</v>
      </c>
      <c r="CF63" s="1" t="s">
        <v>59</v>
      </c>
      <c r="CG63" s="1" t="s">
        <v>60</v>
      </c>
      <c r="CH63" s="1" t="s">
        <v>60</v>
      </c>
      <c r="CI63" s="1" t="s">
        <v>61</v>
      </c>
      <c r="CJ63" s="1" t="s">
        <v>61</v>
      </c>
      <c r="CK63" s="1" t="s">
        <v>62</v>
      </c>
      <c r="CL63" s="1" t="s">
        <v>62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66</v>
      </c>
      <c r="C65" s="2">
        <v>30.73</v>
      </c>
      <c r="D65" s="2">
        <v>36.15</v>
      </c>
      <c r="E65" s="2">
        <v>10.3</v>
      </c>
      <c r="F65" s="2">
        <v>10.24</v>
      </c>
      <c r="G65" s="2">
        <v>4.21</v>
      </c>
      <c r="H65" s="2">
        <v>7.34</v>
      </c>
      <c r="I65" s="2">
        <v>25.83</v>
      </c>
      <c r="J65" s="2">
        <v>26.81</v>
      </c>
      <c r="K65" s="2">
        <v>44.53</v>
      </c>
      <c r="L65" s="2">
        <v>17.41</v>
      </c>
      <c r="M65" s="2">
        <v>73.180000000000007</v>
      </c>
      <c r="N65" s="2">
        <v>27.34</v>
      </c>
      <c r="O65" s="2">
        <v>48.08</v>
      </c>
      <c r="P65" s="2">
        <v>8.6999999999999993</v>
      </c>
      <c r="Q65" s="2">
        <v>63.24</v>
      </c>
      <c r="R65" s="2">
        <v>21.59</v>
      </c>
      <c r="S65" s="2">
        <v>6.5</v>
      </c>
      <c r="T65" s="2">
        <v>5.23</v>
      </c>
      <c r="U65" s="2">
        <v>21.57</v>
      </c>
      <c r="V65" s="2">
        <v>7.72</v>
      </c>
      <c r="X65" s="1" t="s">
        <v>66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66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69.989999999999995</v>
      </c>
      <c r="BR65" s="1" t="s">
        <v>66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67</v>
      </c>
      <c r="C66" s="2">
        <v>125.82</v>
      </c>
      <c r="D66" s="2">
        <v>57.05</v>
      </c>
      <c r="E66" s="2">
        <v>54.89</v>
      </c>
      <c r="F66" s="2">
        <v>38.1</v>
      </c>
      <c r="G66" s="2">
        <v>22.12</v>
      </c>
      <c r="H66" s="2">
        <v>31.83</v>
      </c>
      <c r="I66" s="2">
        <v>126.34</v>
      </c>
      <c r="J66" s="2">
        <v>196.57</v>
      </c>
      <c r="K66" s="2">
        <v>177.29</v>
      </c>
      <c r="L66" s="2">
        <v>174.35</v>
      </c>
      <c r="M66" s="2">
        <v>408.28</v>
      </c>
      <c r="N66" s="2">
        <v>359.01</v>
      </c>
      <c r="O66" s="2">
        <v>297.18</v>
      </c>
      <c r="P66" s="2">
        <v>266.5</v>
      </c>
      <c r="Q66" s="2">
        <v>349.64</v>
      </c>
      <c r="R66" s="2">
        <v>259.51</v>
      </c>
      <c r="S66" s="2">
        <v>250.89</v>
      </c>
      <c r="T66" s="2">
        <v>178.78</v>
      </c>
      <c r="U66" s="2">
        <v>369.58</v>
      </c>
      <c r="V66" s="2">
        <v>168.68</v>
      </c>
      <c r="X66" s="1" t="s">
        <v>67</v>
      </c>
      <c r="Y66" s="2">
        <v>59.95</v>
      </c>
      <c r="Z66" s="2">
        <v>60</v>
      </c>
      <c r="AA66" s="2">
        <v>59.94</v>
      </c>
      <c r="AB66" s="2">
        <v>60</v>
      </c>
      <c r="AC66" s="2">
        <v>60</v>
      </c>
      <c r="AD66" s="2">
        <v>59.98</v>
      </c>
      <c r="AE66" s="2">
        <v>69.87</v>
      </c>
      <c r="AF66" s="2">
        <v>69.989999999999995</v>
      </c>
      <c r="AG66" s="2">
        <v>69.92</v>
      </c>
      <c r="AH66" s="2">
        <v>69.989999999999995</v>
      </c>
      <c r="AI66" s="2">
        <v>69.94</v>
      </c>
      <c r="AJ66" s="2">
        <v>69.989999999999995</v>
      </c>
      <c r="AK66" s="2">
        <v>69.98</v>
      </c>
      <c r="AL66" s="2">
        <v>69.989999999999995</v>
      </c>
      <c r="AM66" s="2">
        <v>69.98</v>
      </c>
      <c r="AN66" s="2">
        <v>69.989999999999995</v>
      </c>
      <c r="AO66" s="2">
        <v>69.989999999999995</v>
      </c>
      <c r="AP66" s="2">
        <v>70</v>
      </c>
      <c r="AQ66" s="2">
        <v>69.959999999999994</v>
      </c>
      <c r="AR66" s="2">
        <v>70</v>
      </c>
      <c r="AU66" s="1" t="s">
        <v>67</v>
      </c>
      <c r="AV66" s="2">
        <v>49.23</v>
      </c>
      <c r="AW66" s="2">
        <v>54.5</v>
      </c>
      <c r="AX66" s="2">
        <v>51.49</v>
      </c>
      <c r="AY66" s="2">
        <v>54.67</v>
      </c>
      <c r="AZ66" s="2">
        <v>53.19</v>
      </c>
      <c r="BA66" s="2">
        <v>53.67</v>
      </c>
      <c r="BB66" s="2">
        <v>57.05</v>
      </c>
      <c r="BC66" s="2">
        <v>57.67</v>
      </c>
      <c r="BD66" s="2">
        <v>58.68</v>
      </c>
      <c r="BE66" s="2">
        <v>65.42</v>
      </c>
      <c r="BF66" s="2">
        <v>53.81</v>
      </c>
      <c r="BG66" s="2">
        <v>64.94</v>
      </c>
      <c r="BH66" s="2">
        <v>57.76</v>
      </c>
      <c r="BI66" s="2">
        <v>62.88</v>
      </c>
      <c r="BJ66" s="2">
        <v>59.31</v>
      </c>
      <c r="BK66" s="2">
        <v>64.98</v>
      </c>
      <c r="BL66" s="2">
        <v>60.72</v>
      </c>
      <c r="BM66" s="2">
        <v>67.92</v>
      </c>
      <c r="BN66" s="2">
        <v>62.94</v>
      </c>
      <c r="BO66" s="2">
        <v>69.33</v>
      </c>
      <c r="BR66" s="1" t="s">
        <v>67</v>
      </c>
      <c r="BS66" s="2">
        <v>-0.28000000000000003</v>
      </c>
      <c r="BT66" s="2">
        <v>-0.13</v>
      </c>
      <c r="BU66" s="2">
        <v>-0.21</v>
      </c>
      <c r="BV66" s="2">
        <v>-0.13</v>
      </c>
      <c r="BW66" s="2">
        <v>-0.06</v>
      </c>
      <c r="BX66" s="2">
        <v>-0.06</v>
      </c>
      <c r="BY66" s="2">
        <v>-0.31</v>
      </c>
      <c r="BZ66" s="2">
        <v>-0.28999999999999998</v>
      </c>
      <c r="CA66" s="2">
        <v>-0.33</v>
      </c>
      <c r="CB66" s="2">
        <v>-0.12</v>
      </c>
      <c r="CC66" s="2">
        <v>-0.93</v>
      </c>
      <c r="CD66" s="2">
        <v>-0.24</v>
      </c>
      <c r="CE66" s="2">
        <v>-0.53</v>
      </c>
      <c r="CF66" s="2">
        <v>-0.28000000000000003</v>
      </c>
      <c r="CG66" s="2">
        <v>-0.59</v>
      </c>
      <c r="CH66" s="2">
        <v>-0.25</v>
      </c>
      <c r="CI66" s="2">
        <v>-0.44</v>
      </c>
      <c r="CJ66" s="2">
        <v>-0.09</v>
      </c>
      <c r="CK66" s="2">
        <v>-0.43</v>
      </c>
      <c r="CL66" s="2">
        <v>-0.04</v>
      </c>
    </row>
    <row r="67" spans="2:90" x14ac:dyDescent="0.3">
      <c r="B67" s="1" t="s">
        <v>68</v>
      </c>
      <c r="C67" s="2">
        <v>2499.38</v>
      </c>
      <c r="D67" s="2">
        <v>203.58</v>
      </c>
      <c r="E67" s="2">
        <v>2110.4499999999998</v>
      </c>
      <c r="F67" s="2">
        <v>122.59</v>
      </c>
      <c r="G67" s="2">
        <v>590.21</v>
      </c>
      <c r="H67" s="2">
        <v>670.26</v>
      </c>
      <c r="I67" s="2">
        <v>1810.37</v>
      </c>
      <c r="J67" s="2">
        <v>1194.55</v>
      </c>
      <c r="K67" s="2">
        <v>2802.2</v>
      </c>
      <c r="L67" s="2">
        <v>1387.88</v>
      </c>
      <c r="M67" s="2">
        <v>4865.7</v>
      </c>
      <c r="N67" s="2">
        <v>2633.79</v>
      </c>
      <c r="O67" s="2">
        <v>4152.08</v>
      </c>
      <c r="P67" s="2">
        <v>1919.37</v>
      </c>
      <c r="Q67" s="2">
        <v>5101.0200000000004</v>
      </c>
      <c r="R67" s="2">
        <v>2060.83</v>
      </c>
      <c r="S67" s="2">
        <v>2099.73</v>
      </c>
      <c r="T67" s="2">
        <v>1691.52</v>
      </c>
      <c r="U67" s="2">
        <v>1692.96</v>
      </c>
      <c r="V67" s="2">
        <v>1388.26</v>
      </c>
      <c r="X67" s="1" t="s">
        <v>68</v>
      </c>
      <c r="Y67" s="2">
        <v>58.49</v>
      </c>
      <c r="Z67" s="2">
        <v>60</v>
      </c>
      <c r="AA67" s="2">
        <v>58.91</v>
      </c>
      <c r="AB67" s="2">
        <v>60</v>
      </c>
      <c r="AC67" s="2">
        <v>57.4</v>
      </c>
      <c r="AD67" s="2">
        <v>58.71</v>
      </c>
      <c r="AE67" s="2">
        <v>65.31</v>
      </c>
      <c r="AF67" s="2">
        <v>69.95</v>
      </c>
      <c r="AG67" s="2">
        <v>63.32</v>
      </c>
      <c r="AH67" s="2">
        <v>69.98</v>
      </c>
      <c r="AI67" s="2">
        <v>62.62</v>
      </c>
      <c r="AJ67" s="2">
        <v>69.98</v>
      </c>
      <c r="AK67" s="2">
        <v>64.53</v>
      </c>
      <c r="AL67" s="2">
        <v>69.98</v>
      </c>
      <c r="AM67" s="2">
        <v>65.52</v>
      </c>
      <c r="AN67" s="2">
        <v>69.989999999999995</v>
      </c>
      <c r="AO67" s="2">
        <v>69.959999999999994</v>
      </c>
      <c r="AP67" s="2">
        <v>70</v>
      </c>
      <c r="AQ67" s="2">
        <v>70</v>
      </c>
      <c r="AR67" s="2">
        <v>70</v>
      </c>
      <c r="AU67" s="1" t="s">
        <v>68</v>
      </c>
      <c r="AV67" s="2">
        <v>25.57</v>
      </c>
      <c r="AW67" s="2">
        <v>54.81</v>
      </c>
      <c r="AX67" s="2">
        <v>25.31</v>
      </c>
      <c r="AY67" s="2">
        <v>54.94</v>
      </c>
      <c r="AZ67" s="2">
        <v>34.26</v>
      </c>
      <c r="BA67" s="2">
        <v>38.549999999999997</v>
      </c>
      <c r="BB67" s="2">
        <v>39.549999999999997</v>
      </c>
      <c r="BC67" s="2">
        <v>55.24</v>
      </c>
      <c r="BD67" s="2">
        <v>38.5</v>
      </c>
      <c r="BE67" s="2">
        <v>60.71</v>
      </c>
      <c r="BF67" s="2">
        <v>37.92</v>
      </c>
      <c r="BG67" s="2">
        <v>60.6</v>
      </c>
      <c r="BH67" s="2">
        <v>38.65</v>
      </c>
      <c r="BI67" s="2">
        <v>60.08</v>
      </c>
      <c r="BJ67" s="2">
        <v>39.18</v>
      </c>
      <c r="BK67" s="2">
        <v>61.63</v>
      </c>
      <c r="BL67" s="2">
        <v>58</v>
      </c>
      <c r="BM67" s="2">
        <v>65.41</v>
      </c>
      <c r="BN67" s="2">
        <v>65.95</v>
      </c>
      <c r="BO67" s="2">
        <v>67.72</v>
      </c>
      <c r="BR67" s="1" t="s">
        <v>68</v>
      </c>
      <c r="BS67" s="2">
        <v>-1.72</v>
      </c>
      <c r="BT67" s="2">
        <v>-0.12</v>
      </c>
      <c r="BU67" s="2">
        <v>-1.76</v>
      </c>
      <c r="BV67" s="2">
        <v>-0.12</v>
      </c>
      <c r="BW67" s="2">
        <v>-0.35</v>
      </c>
      <c r="BX67" s="2">
        <v>-0.27</v>
      </c>
      <c r="BY67" s="2">
        <v>-0.96</v>
      </c>
      <c r="BZ67" s="2">
        <v>-0.37</v>
      </c>
      <c r="CA67" s="2">
        <v>-1.22</v>
      </c>
      <c r="CB67" s="2">
        <v>-0.26</v>
      </c>
      <c r="CC67" s="2">
        <v>-2.25</v>
      </c>
      <c r="CD67" s="2">
        <v>-0.48</v>
      </c>
      <c r="CE67" s="2">
        <v>-1.81</v>
      </c>
      <c r="CF67" s="2">
        <v>-0.41</v>
      </c>
      <c r="CG67" s="2">
        <v>-2.34</v>
      </c>
      <c r="CH67" s="2">
        <v>-0.44</v>
      </c>
      <c r="CI67" s="2">
        <v>-0.6</v>
      </c>
      <c r="CJ67" s="2">
        <v>-0.2</v>
      </c>
      <c r="CK67" s="2">
        <v>-0.24</v>
      </c>
      <c r="CL67" s="2">
        <v>-0.13</v>
      </c>
    </row>
    <row r="68" spans="2:90" x14ac:dyDescent="0.3">
      <c r="B68" s="1" t="s">
        <v>69</v>
      </c>
      <c r="C68" s="2">
        <v>500.05</v>
      </c>
      <c r="D68" s="2">
        <v>66.900000000000006</v>
      </c>
      <c r="E68" s="2">
        <v>267.87</v>
      </c>
      <c r="F68" s="2">
        <v>45.8</v>
      </c>
      <c r="G68" s="2">
        <v>126.34</v>
      </c>
      <c r="H68" s="2">
        <v>188.61</v>
      </c>
      <c r="I68" s="2">
        <v>524.72</v>
      </c>
      <c r="J68" s="2">
        <v>255.61</v>
      </c>
      <c r="K68" s="2">
        <v>594.87</v>
      </c>
      <c r="L68" s="2">
        <v>308.83999999999997</v>
      </c>
      <c r="M68" s="2">
        <v>1133.55</v>
      </c>
      <c r="N68" s="2">
        <v>541.04</v>
      </c>
      <c r="O68" s="2">
        <v>954.12</v>
      </c>
      <c r="P68" s="2">
        <v>374.72</v>
      </c>
      <c r="Q68" s="2">
        <v>964.75</v>
      </c>
      <c r="R68" s="2">
        <v>451.35</v>
      </c>
      <c r="S68" s="2">
        <v>381.49</v>
      </c>
      <c r="T68" s="2">
        <v>301.7</v>
      </c>
      <c r="U68" s="2">
        <v>409.11</v>
      </c>
      <c r="V68" s="2">
        <v>322.51</v>
      </c>
      <c r="X68" s="1" t="s">
        <v>69</v>
      </c>
      <c r="Y68" s="2">
        <v>59.96</v>
      </c>
      <c r="Z68" s="2">
        <v>60</v>
      </c>
      <c r="AA68" s="2">
        <v>59.34</v>
      </c>
      <c r="AB68" s="2">
        <v>60</v>
      </c>
      <c r="AC68" s="2">
        <v>59.73</v>
      </c>
      <c r="AD68" s="2">
        <v>59.92</v>
      </c>
      <c r="AE68" s="2">
        <v>69.23</v>
      </c>
      <c r="AF68" s="2">
        <v>69.98</v>
      </c>
      <c r="AG68" s="2">
        <v>69.48</v>
      </c>
      <c r="AH68" s="2">
        <v>69.989999999999995</v>
      </c>
      <c r="AI68" s="2">
        <v>69.48</v>
      </c>
      <c r="AJ68" s="2">
        <v>69.989999999999995</v>
      </c>
      <c r="AK68" s="2">
        <v>69.489999999999995</v>
      </c>
      <c r="AL68" s="2">
        <v>69.989999999999995</v>
      </c>
      <c r="AM68" s="2">
        <v>69.91</v>
      </c>
      <c r="AN68" s="2">
        <v>69.989999999999995</v>
      </c>
      <c r="AO68" s="2">
        <v>69.989999999999995</v>
      </c>
      <c r="AP68" s="2">
        <v>70</v>
      </c>
      <c r="AQ68" s="2">
        <v>70</v>
      </c>
      <c r="AR68" s="2">
        <v>70</v>
      </c>
      <c r="AU68" s="1" t="s">
        <v>69</v>
      </c>
      <c r="AV68" s="2">
        <v>29.45</v>
      </c>
      <c r="AW68" s="2">
        <v>53.66</v>
      </c>
      <c r="AX68" s="2">
        <v>37.049999999999997</v>
      </c>
      <c r="AY68" s="2">
        <v>54.76</v>
      </c>
      <c r="AZ68" s="2">
        <v>37.26</v>
      </c>
      <c r="BA68" s="2">
        <v>30.45</v>
      </c>
      <c r="BB68" s="2">
        <v>41.91</v>
      </c>
      <c r="BC68" s="2">
        <v>51.62</v>
      </c>
      <c r="BD68" s="2">
        <v>43.81</v>
      </c>
      <c r="BE68" s="2">
        <v>58.52</v>
      </c>
      <c r="BF68" s="2">
        <v>43.8</v>
      </c>
      <c r="BG68" s="2">
        <v>59.86</v>
      </c>
      <c r="BH68" s="2">
        <v>43.74</v>
      </c>
      <c r="BI68" s="2">
        <v>59.5</v>
      </c>
      <c r="BJ68" s="2">
        <v>48.72</v>
      </c>
      <c r="BK68" s="2">
        <v>61.98</v>
      </c>
      <c r="BL68" s="2">
        <v>62.17</v>
      </c>
      <c r="BM68" s="2">
        <v>64.349999999999994</v>
      </c>
      <c r="BN68" s="2">
        <v>64.78</v>
      </c>
      <c r="BO68" s="2">
        <v>66.09</v>
      </c>
      <c r="BR68" s="1" t="s">
        <v>69</v>
      </c>
      <c r="BS68" s="2">
        <v>-1.35</v>
      </c>
      <c r="BT68" s="2">
        <v>-0.15</v>
      </c>
      <c r="BU68" s="2">
        <v>-0.79</v>
      </c>
      <c r="BV68" s="2">
        <v>-0.12</v>
      </c>
      <c r="BW68" s="2">
        <v>-0.3</v>
      </c>
      <c r="BX68" s="2">
        <v>-0.48</v>
      </c>
      <c r="BY68" s="2">
        <v>-0.9</v>
      </c>
      <c r="BZ68" s="2">
        <v>-0.49</v>
      </c>
      <c r="CA68" s="2">
        <v>-1.01</v>
      </c>
      <c r="CB68" s="2">
        <v>-0.34</v>
      </c>
      <c r="CC68" s="2">
        <v>-1.82</v>
      </c>
      <c r="CD68" s="2">
        <v>-0.52</v>
      </c>
      <c r="CE68" s="2">
        <v>-1.47</v>
      </c>
      <c r="CF68" s="2">
        <v>-0.44</v>
      </c>
      <c r="CG68" s="2">
        <v>-1.42</v>
      </c>
      <c r="CH68" s="2">
        <v>-0.42</v>
      </c>
      <c r="CI68" s="2">
        <v>-0.37</v>
      </c>
      <c r="CJ68" s="2">
        <v>-0.26</v>
      </c>
      <c r="CK68" s="2">
        <v>-0.31</v>
      </c>
      <c r="CL68" s="2">
        <v>-0.23</v>
      </c>
    </row>
    <row r="69" spans="2:90" x14ac:dyDescent="0.3">
      <c r="B69" s="1" t="s">
        <v>70</v>
      </c>
      <c r="C69" s="2">
        <v>1110.6500000000001</v>
      </c>
      <c r="D69" s="2">
        <v>1124.19</v>
      </c>
      <c r="E69" s="2">
        <v>1437.86</v>
      </c>
      <c r="F69" s="2">
        <v>628.69000000000005</v>
      </c>
      <c r="G69" s="2">
        <v>418.81</v>
      </c>
      <c r="H69" s="2">
        <v>417.75</v>
      </c>
      <c r="I69" s="2">
        <v>888.78</v>
      </c>
      <c r="J69" s="2">
        <v>1781.2</v>
      </c>
      <c r="K69" s="2">
        <v>2248.9</v>
      </c>
      <c r="L69" s="2">
        <v>2109.48</v>
      </c>
      <c r="M69" s="2">
        <v>3531.99</v>
      </c>
      <c r="N69" s="2">
        <v>2833.5</v>
      </c>
      <c r="O69" s="2">
        <v>2330.1799999999998</v>
      </c>
      <c r="P69" s="2">
        <v>1925.95</v>
      </c>
      <c r="Q69" s="2">
        <v>2251.09</v>
      </c>
      <c r="R69" s="2">
        <v>2145.5700000000002</v>
      </c>
      <c r="S69" s="2">
        <v>1781.65</v>
      </c>
      <c r="T69" s="2">
        <v>1175.3499999999999</v>
      </c>
      <c r="U69" s="2">
        <v>2034.69</v>
      </c>
      <c r="V69" s="2">
        <v>1411.72</v>
      </c>
      <c r="X69" s="1" t="s">
        <v>70</v>
      </c>
      <c r="Y69" s="2">
        <v>59.94</v>
      </c>
      <c r="Z69" s="2">
        <v>59.91</v>
      </c>
      <c r="AA69" s="2">
        <v>59.96</v>
      </c>
      <c r="AB69" s="2">
        <v>59.92</v>
      </c>
      <c r="AC69" s="2">
        <v>59.94</v>
      </c>
      <c r="AD69" s="2">
        <v>59.9</v>
      </c>
      <c r="AE69" s="2">
        <v>69.959999999999994</v>
      </c>
      <c r="AF69" s="2">
        <v>69.86</v>
      </c>
      <c r="AG69" s="2">
        <v>69.91</v>
      </c>
      <c r="AH69" s="2">
        <v>69.87</v>
      </c>
      <c r="AI69" s="2">
        <v>69.959999999999994</v>
      </c>
      <c r="AJ69" s="2">
        <v>69.97</v>
      </c>
      <c r="AK69" s="2">
        <v>69.98</v>
      </c>
      <c r="AL69" s="2">
        <v>69.97</v>
      </c>
      <c r="AM69" s="2">
        <v>69.989999999999995</v>
      </c>
      <c r="AN69" s="2">
        <v>69.989999999999995</v>
      </c>
      <c r="AO69" s="2">
        <v>69.989999999999995</v>
      </c>
      <c r="AP69" s="2">
        <v>69.989999999999995</v>
      </c>
      <c r="AQ69" s="2">
        <v>69.989999999999995</v>
      </c>
      <c r="AR69" s="2">
        <v>69.989999999999995</v>
      </c>
      <c r="AU69" s="1" t="s">
        <v>70</v>
      </c>
      <c r="AV69" s="2">
        <v>38.81</v>
      </c>
      <c r="AW69" s="2">
        <v>40.14</v>
      </c>
      <c r="AX69" s="2">
        <v>34.28</v>
      </c>
      <c r="AY69" s="2">
        <v>50.04</v>
      </c>
      <c r="AZ69" s="2">
        <v>39.36</v>
      </c>
      <c r="BA69" s="2">
        <v>39.1</v>
      </c>
      <c r="BB69" s="2">
        <v>59.44</v>
      </c>
      <c r="BC69" s="2">
        <v>45.45</v>
      </c>
      <c r="BD69" s="2">
        <v>49.1</v>
      </c>
      <c r="BE69" s="2">
        <v>47.76</v>
      </c>
      <c r="BF69" s="2">
        <v>51.37</v>
      </c>
      <c r="BG69" s="2">
        <v>53.58</v>
      </c>
      <c r="BH69" s="2">
        <v>55.24</v>
      </c>
      <c r="BI69" s="2">
        <v>56.24</v>
      </c>
      <c r="BJ69" s="2">
        <v>60.34</v>
      </c>
      <c r="BK69" s="2">
        <v>59.8</v>
      </c>
      <c r="BL69" s="2">
        <v>62.6</v>
      </c>
      <c r="BM69" s="2">
        <v>64.290000000000006</v>
      </c>
      <c r="BN69" s="2">
        <v>63.38</v>
      </c>
      <c r="BO69" s="2">
        <v>66.819999999999993</v>
      </c>
      <c r="BR69" s="1" t="s">
        <v>70</v>
      </c>
      <c r="BS69" s="2">
        <v>-0.71</v>
      </c>
      <c r="BT69" s="2">
        <v>-0.64</v>
      </c>
      <c r="BU69" s="2">
        <v>-0.97</v>
      </c>
      <c r="BV69" s="2">
        <v>-0.26</v>
      </c>
      <c r="BW69" s="2">
        <v>-0.26</v>
      </c>
      <c r="BX69" s="2">
        <v>-0.27</v>
      </c>
      <c r="BY69" s="2">
        <v>-0.24</v>
      </c>
      <c r="BZ69" s="2">
        <v>-0.74</v>
      </c>
      <c r="CA69" s="2">
        <v>-0.73</v>
      </c>
      <c r="CB69" s="2">
        <v>-0.79</v>
      </c>
      <c r="CC69" s="2">
        <v>-1.1200000000000001</v>
      </c>
      <c r="CD69" s="2">
        <v>-0.94</v>
      </c>
      <c r="CE69" s="2">
        <v>-0.66</v>
      </c>
      <c r="CF69" s="2">
        <v>-0.61</v>
      </c>
      <c r="CG69" s="2">
        <v>-0.52</v>
      </c>
      <c r="CH69" s="2">
        <v>-0.55000000000000004</v>
      </c>
      <c r="CI69" s="2">
        <v>-0.34</v>
      </c>
      <c r="CJ69" s="2">
        <v>-0.26</v>
      </c>
      <c r="CK69" s="2">
        <v>-0.4</v>
      </c>
      <c r="CL69" s="2">
        <v>-0.18</v>
      </c>
    </row>
    <row r="70" spans="2:90" x14ac:dyDescent="0.3">
      <c r="B70" s="1" t="s">
        <v>71</v>
      </c>
      <c r="C70" s="2">
        <v>211.94</v>
      </c>
      <c r="D70" s="2">
        <v>202.55</v>
      </c>
      <c r="E70" s="2">
        <v>246.4</v>
      </c>
      <c r="F70" s="2">
        <v>280.76</v>
      </c>
      <c r="G70" s="2">
        <v>78.34</v>
      </c>
      <c r="H70" s="2">
        <v>64.03</v>
      </c>
      <c r="I70" s="2">
        <v>150.93</v>
      </c>
      <c r="J70" s="2">
        <v>208.35</v>
      </c>
      <c r="K70" s="2">
        <v>171.74</v>
      </c>
      <c r="L70" s="2">
        <v>450.37</v>
      </c>
      <c r="M70" s="2">
        <v>433.41</v>
      </c>
      <c r="N70" s="2">
        <v>833.6</v>
      </c>
      <c r="O70" s="2">
        <v>315.93</v>
      </c>
      <c r="P70" s="2">
        <v>469.58</v>
      </c>
      <c r="Q70" s="2">
        <v>414.47</v>
      </c>
      <c r="R70" s="2">
        <v>737.35</v>
      </c>
      <c r="S70" s="2">
        <v>348.81</v>
      </c>
      <c r="T70" s="2">
        <v>401.79</v>
      </c>
      <c r="U70" s="2">
        <v>342.24</v>
      </c>
      <c r="V70" s="2">
        <v>242.92</v>
      </c>
      <c r="X70" s="1" t="s">
        <v>71</v>
      </c>
      <c r="Y70" s="2">
        <v>59.69</v>
      </c>
      <c r="Z70" s="2">
        <v>59.65</v>
      </c>
      <c r="AA70" s="2">
        <v>59.64</v>
      </c>
      <c r="AB70" s="2">
        <v>59.6</v>
      </c>
      <c r="AC70" s="2">
        <v>59.85</v>
      </c>
      <c r="AD70" s="2">
        <v>59.72</v>
      </c>
      <c r="AE70" s="2">
        <v>69.94</v>
      </c>
      <c r="AF70" s="2">
        <v>69.89</v>
      </c>
      <c r="AG70" s="2">
        <v>69.959999999999994</v>
      </c>
      <c r="AH70" s="2">
        <v>69.819999999999993</v>
      </c>
      <c r="AI70" s="2">
        <v>69.94</v>
      </c>
      <c r="AJ70" s="2">
        <v>69.8</v>
      </c>
      <c r="AK70" s="2">
        <v>69.94</v>
      </c>
      <c r="AL70" s="2">
        <v>69.83</v>
      </c>
      <c r="AM70" s="2">
        <v>69.95</v>
      </c>
      <c r="AN70" s="2">
        <v>69.849999999999994</v>
      </c>
      <c r="AO70" s="2">
        <v>69.959999999999994</v>
      </c>
      <c r="AP70" s="2">
        <v>69.88</v>
      </c>
      <c r="AQ70" s="2">
        <v>69.98</v>
      </c>
      <c r="AR70" s="2">
        <v>69.98</v>
      </c>
      <c r="AU70" s="1" t="s">
        <v>71</v>
      </c>
      <c r="AV70" s="2">
        <v>37.840000000000003</v>
      </c>
      <c r="AW70" s="2">
        <v>37.840000000000003</v>
      </c>
      <c r="AX70" s="2">
        <v>33.85</v>
      </c>
      <c r="AY70" s="2">
        <v>34.159999999999997</v>
      </c>
      <c r="AZ70" s="2">
        <v>38.93</v>
      </c>
      <c r="BA70" s="2">
        <v>38.53</v>
      </c>
      <c r="BB70" s="2">
        <v>58.6</v>
      </c>
      <c r="BC70" s="2">
        <v>45.09</v>
      </c>
      <c r="BD70" s="2">
        <v>62.43</v>
      </c>
      <c r="BE70" s="2">
        <v>41.03</v>
      </c>
      <c r="BF70" s="2">
        <v>58.79</v>
      </c>
      <c r="BG70" s="2">
        <v>40.840000000000003</v>
      </c>
      <c r="BH70" s="2">
        <v>59.25</v>
      </c>
      <c r="BI70" s="2">
        <v>45.91</v>
      </c>
      <c r="BJ70" s="2">
        <v>59.61</v>
      </c>
      <c r="BK70" s="2">
        <v>45.96</v>
      </c>
      <c r="BL70" s="2">
        <v>61.45</v>
      </c>
      <c r="BM70" s="2">
        <v>51.14</v>
      </c>
      <c r="BN70" s="2">
        <v>64.260000000000005</v>
      </c>
      <c r="BO70" s="2">
        <v>66.22</v>
      </c>
      <c r="BR70" s="1" t="s">
        <v>71</v>
      </c>
      <c r="BS70" s="2">
        <v>-0.75</v>
      </c>
      <c r="BT70" s="2">
        <v>-0.75</v>
      </c>
      <c r="BU70" s="2">
        <v>-1</v>
      </c>
      <c r="BV70" s="2">
        <v>-0.97</v>
      </c>
      <c r="BW70" s="2">
        <v>-0.27</v>
      </c>
      <c r="BX70" s="2">
        <v>-0.28000000000000003</v>
      </c>
      <c r="BY70" s="2">
        <v>-0.27</v>
      </c>
      <c r="BZ70" s="2">
        <v>-0.76</v>
      </c>
      <c r="CA70" s="2">
        <v>-0.21</v>
      </c>
      <c r="CB70" s="2">
        <v>-1.21</v>
      </c>
      <c r="CC70" s="2">
        <v>-0.59</v>
      </c>
      <c r="CD70" s="2">
        <v>-2.19</v>
      </c>
      <c r="CE70" s="2">
        <v>-0.45</v>
      </c>
      <c r="CF70" s="2">
        <v>-1.3</v>
      </c>
      <c r="CG70" s="2">
        <v>-0.56999999999999995</v>
      </c>
      <c r="CH70" s="2">
        <v>-1.7</v>
      </c>
      <c r="CI70" s="2">
        <v>-0.4</v>
      </c>
      <c r="CJ70" s="2">
        <v>-1.07</v>
      </c>
      <c r="CK70" s="2">
        <v>-0.34</v>
      </c>
      <c r="CL70" s="2">
        <v>-0.22</v>
      </c>
    </row>
    <row r="71" spans="2:90" x14ac:dyDescent="0.3">
      <c r="B71" s="1" t="s">
        <v>72</v>
      </c>
      <c r="C71" s="2">
        <v>1248.18</v>
      </c>
      <c r="D71" s="2">
        <v>1482.19</v>
      </c>
      <c r="E71" s="2">
        <v>741.9</v>
      </c>
      <c r="F71" s="2">
        <v>1113.2</v>
      </c>
      <c r="G71" s="2">
        <v>225.8</v>
      </c>
      <c r="H71" s="2">
        <v>438.2</v>
      </c>
      <c r="I71" s="2">
        <v>746.62</v>
      </c>
      <c r="J71" s="2">
        <v>1002.34</v>
      </c>
      <c r="K71" s="2">
        <v>751.15</v>
      </c>
      <c r="L71" s="2">
        <v>1525.62</v>
      </c>
      <c r="M71" s="2">
        <v>1486.22</v>
      </c>
      <c r="N71" s="2">
        <v>2584.23</v>
      </c>
      <c r="O71" s="2">
        <v>1083.96</v>
      </c>
      <c r="P71" s="2">
        <v>1651.77</v>
      </c>
      <c r="Q71" s="2">
        <v>1631.7</v>
      </c>
      <c r="R71" s="2">
        <v>2323.75</v>
      </c>
      <c r="S71" s="2">
        <v>1171.43</v>
      </c>
      <c r="T71" s="2">
        <v>929.78</v>
      </c>
      <c r="U71" s="2">
        <v>1175.82</v>
      </c>
      <c r="V71" s="2">
        <v>1096.96</v>
      </c>
      <c r="X71" s="1" t="s">
        <v>72</v>
      </c>
      <c r="Y71" s="2">
        <v>58.81</v>
      </c>
      <c r="Z71" s="2">
        <v>58.43</v>
      </c>
      <c r="AA71" s="2">
        <v>59.72</v>
      </c>
      <c r="AB71" s="2">
        <v>58.18</v>
      </c>
      <c r="AC71" s="2">
        <v>59.59</v>
      </c>
      <c r="AD71" s="2">
        <v>58.76</v>
      </c>
      <c r="AE71" s="2">
        <v>69.650000000000006</v>
      </c>
      <c r="AF71" s="2">
        <v>67.459999999999994</v>
      </c>
      <c r="AG71" s="2">
        <v>69.94</v>
      </c>
      <c r="AH71" s="2">
        <v>61.43</v>
      </c>
      <c r="AI71" s="2">
        <v>69.89</v>
      </c>
      <c r="AJ71" s="2">
        <v>61.41</v>
      </c>
      <c r="AK71" s="2">
        <v>69.89</v>
      </c>
      <c r="AL71" s="2">
        <v>65.5</v>
      </c>
      <c r="AM71" s="2">
        <v>69.78</v>
      </c>
      <c r="AN71" s="2">
        <v>69.88</v>
      </c>
      <c r="AO71" s="2">
        <v>69.959999999999994</v>
      </c>
      <c r="AP71" s="2">
        <v>69.95</v>
      </c>
      <c r="AQ71" s="2">
        <v>69.98</v>
      </c>
      <c r="AR71" s="2">
        <v>69.98</v>
      </c>
      <c r="AU71" s="1" t="s">
        <v>72</v>
      </c>
      <c r="AV71" s="2">
        <v>26.74</v>
      </c>
      <c r="AW71" s="2">
        <v>26.43</v>
      </c>
      <c r="AX71" s="2">
        <v>34.01</v>
      </c>
      <c r="AY71" s="2">
        <v>27.18</v>
      </c>
      <c r="AZ71" s="2">
        <v>41.15</v>
      </c>
      <c r="BA71" s="2">
        <v>27.16</v>
      </c>
      <c r="BB71" s="2">
        <v>50.73</v>
      </c>
      <c r="BC71" s="2">
        <v>41.04</v>
      </c>
      <c r="BD71" s="2">
        <v>58.35</v>
      </c>
      <c r="BE71" s="2">
        <v>38.78</v>
      </c>
      <c r="BF71" s="2">
        <v>56.61</v>
      </c>
      <c r="BG71" s="2">
        <v>38.799999999999997</v>
      </c>
      <c r="BH71" s="2">
        <v>56.5</v>
      </c>
      <c r="BI71" s="2">
        <v>42.21</v>
      </c>
      <c r="BJ71" s="2">
        <v>54.32</v>
      </c>
      <c r="BK71" s="2">
        <v>45.64</v>
      </c>
      <c r="BL71" s="2">
        <v>60.13</v>
      </c>
      <c r="BM71" s="2">
        <v>59.15</v>
      </c>
      <c r="BN71" s="2">
        <v>62.92</v>
      </c>
      <c r="BO71" s="2">
        <v>63.6</v>
      </c>
      <c r="BR71" s="1" t="s">
        <v>72</v>
      </c>
      <c r="BS71" s="2">
        <v>-1.59</v>
      </c>
      <c r="BT71" s="2">
        <v>-1.62</v>
      </c>
      <c r="BU71" s="2">
        <v>-0.99</v>
      </c>
      <c r="BV71" s="2">
        <v>-1.53</v>
      </c>
      <c r="BW71" s="2">
        <v>-0.23</v>
      </c>
      <c r="BX71" s="2">
        <v>-0.59</v>
      </c>
      <c r="BY71" s="2">
        <v>-0.51</v>
      </c>
      <c r="BZ71" s="2">
        <v>-0.92</v>
      </c>
      <c r="CA71" s="2">
        <v>-0.34</v>
      </c>
      <c r="CB71" s="2">
        <v>-1.1399999999999999</v>
      </c>
      <c r="CC71" s="2">
        <v>-0.73</v>
      </c>
      <c r="CD71" s="2">
        <v>-2.0499999999999998</v>
      </c>
      <c r="CE71" s="2">
        <v>-0.59</v>
      </c>
      <c r="CF71" s="2">
        <v>-1.47</v>
      </c>
      <c r="CG71" s="2">
        <v>-0.93</v>
      </c>
      <c r="CH71" s="2">
        <v>-1.73</v>
      </c>
      <c r="CI71" s="2">
        <v>-0.48</v>
      </c>
      <c r="CJ71" s="2">
        <v>-0.53</v>
      </c>
      <c r="CK71" s="2">
        <v>-0.43</v>
      </c>
      <c r="CL71" s="2">
        <v>-0.39</v>
      </c>
    </row>
    <row r="72" spans="2:90" x14ac:dyDescent="0.3">
      <c r="B72" s="1" t="s">
        <v>73</v>
      </c>
      <c r="C72" s="2">
        <v>132.38999999999999</v>
      </c>
      <c r="D72" s="2">
        <v>135.11000000000001</v>
      </c>
      <c r="E72" s="2">
        <v>23.34</v>
      </c>
      <c r="F72" s="2">
        <v>28.98</v>
      </c>
      <c r="G72" s="2">
        <v>7.53</v>
      </c>
      <c r="H72" s="2">
        <v>13.7</v>
      </c>
      <c r="I72" s="2">
        <v>37.58</v>
      </c>
      <c r="J72" s="2">
        <v>183.74</v>
      </c>
      <c r="K72" s="2">
        <v>158.79</v>
      </c>
      <c r="L72" s="2">
        <v>162.91</v>
      </c>
      <c r="M72" s="2">
        <v>300.04000000000002</v>
      </c>
      <c r="N72" s="2">
        <v>335.6</v>
      </c>
      <c r="O72" s="2">
        <v>292.45999999999998</v>
      </c>
      <c r="P72" s="2">
        <v>309.61</v>
      </c>
      <c r="Q72" s="2">
        <v>268.23</v>
      </c>
      <c r="R72" s="2">
        <v>278.12</v>
      </c>
      <c r="S72" s="2">
        <v>307.58</v>
      </c>
      <c r="T72" s="2">
        <v>174.73</v>
      </c>
      <c r="U72" s="2">
        <v>335.3</v>
      </c>
      <c r="V72" s="2">
        <v>206.87</v>
      </c>
      <c r="X72" s="1" t="s">
        <v>73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59.99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73</v>
      </c>
      <c r="AV72" s="2">
        <v>52.64</v>
      </c>
      <c r="AW72" s="2">
        <v>48.49</v>
      </c>
      <c r="AX72" s="2">
        <v>54.93</v>
      </c>
      <c r="AY72" s="2">
        <v>54.9</v>
      </c>
      <c r="AZ72" s="2">
        <v>54.96</v>
      </c>
      <c r="BA72" s="2">
        <v>54.82</v>
      </c>
      <c r="BB72" s="2">
        <v>64.95</v>
      </c>
      <c r="BC72" s="2">
        <v>50.16</v>
      </c>
      <c r="BD72" s="2">
        <v>66.11</v>
      </c>
      <c r="BE72" s="2">
        <v>52.83</v>
      </c>
      <c r="BF72" s="2">
        <v>59.66</v>
      </c>
      <c r="BG72" s="2">
        <v>52.74</v>
      </c>
      <c r="BH72" s="2">
        <v>56.94</v>
      </c>
      <c r="BI72" s="2">
        <v>56.27</v>
      </c>
      <c r="BJ72" s="2">
        <v>60.61</v>
      </c>
      <c r="BK72" s="2">
        <v>62.23</v>
      </c>
      <c r="BL72" s="2">
        <v>62.93</v>
      </c>
      <c r="BM72" s="2">
        <v>66.13</v>
      </c>
      <c r="BN72" s="2">
        <v>65.510000000000005</v>
      </c>
      <c r="BO72" s="2">
        <v>67.84</v>
      </c>
      <c r="BR72" s="1" t="s">
        <v>73</v>
      </c>
      <c r="BS72" s="2">
        <v>-0.18</v>
      </c>
      <c r="BT72" s="2">
        <v>-0.31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-0.1</v>
      </c>
      <c r="CB72" s="2">
        <v>-0.56000000000000005</v>
      </c>
      <c r="CC72" s="2">
        <v>-0.53</v>
      </c>
      <c r="CD72" s="2">
        <v>-1.01</v>
      </c>
      <c r="CE72" s="2">
        <v>-0.56999999999999995</v>
      </c>
      <c r="CF72" s="2">
        <v>-0.61</v>
      </c>
      <c r="CG72" s="2">
        <v>-0.5</v>
      </c>
      <c r="CH72" s="2">
        <v>-0.41</v>
      </c>
      <c r="CI72" s="2">
        <v>-0.33</v>
      </c>
      <c r="CJ72" s="2">
        <v>-0.17</v>
      </c>
      <c r="CK72" s="2">
        <v>-0.26</v>
      </c>
      <c r="CL72" s="2">
        <v>-0.12</v>
      </c>
    </row>
    <row r="73" spans="2:90" x14ac:dyDescent="0.3">
      <c r="W73" s="3">
        <f>SUM(C65:V72)/$W$45</f>
        <v>7.4719406393941257E-2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63</v>
      </c>
      <c r="D76" s="1" t="s">
        <v>64</v>
      </c>
      <c r="E76" s="1" t="s">
        <v>63</v>
      </c>
      <c r="F76" s="1" t="s">
        <v>64</v>
      </c>
      <c r="G76" s="1" t="s">
        <v>63</v>
      </c>
      <c r="H76" s="1" t="s">
        <v>64</v>
      </c>
      <c r="I76" s="1" t="s">
        <v>63</v>
      </c>
      <c r="J76" s="1" t="s">
        <v>64</v>
      </c>
      <c r="K76" s="1" t="s">
        <v>63</v>
      </c>
      <c r="L76" s="1" t="s">
        <v>64</v>
      </c>
      <c r="M76" s="1" t="s">
        <v>63</v>
      </c>
      <c r="N76" s="1" t="s">
        <v>64</v>
      </c>
      <c r="O76" s="1" t="s">
        <v>63</v>
      </c>
      <c r="P76" s="1" t="s">
        <v>64</v>
      </c>
      <c r="Q76" s="1" t="s">
        <v>63</v>
      </c>
      <c r="R76" s="1" t="s">
        <v>64</v>
      </c>
      <c r="S76" s="1" t="s">
        <v>63</v>
      </c>
      <c r="T76" s="1" t="s">
        <v>64</v>
      </c>
      <c r="U76" s="1" t="s">
        <v>63</v>
      </c>
      <c r="V76" s="1" t="s">
        <v>64</v>
      </c>
      <c r="X76" s="1" t="s">
        <v>6</v>
      </c>
      <c r="Y76" s="1" t="s">
        <v>63</v>
      </c>
      <c r="Z76" s="1" t="s">
        <v>64</v>
      </c>
      <c r="AA76" s="1" t="s">
        <v>63</v>
      </c>
      <c r="AB76" s="1" t="s">
        <v>64</v>
      </c>
      <c r="AC76" s="1" t="s">
        <v>63</v>
      </c>
      <c r="AD76" s="1" t="s">
        <v>64</v>
      </c>
      <c r="AE76" s="1" t="s">
        <v>63</v>
      </c>
      <c r="AF76" s="1" t="s">
        <v>64</v>
      </c>
      <c r="AG76" s="1" t="s">
        <v>63</v>
      </c>
      <c r="AH76" s="1" t="s">
        <v>64</v>
      </c>
      <c r="AI76" s="1" t="s">
        <v>63</v>
      </c>
      <c r="AJ76" s="1" t="s">
        <v>64</v>
      </c>
      <c r="AK76" s="1" t="s">
        <v>63</v>
      </c>
      <c r="AL76" s="1" t="s">
        <v>64</v>
      </c>
      <c r="AM76" s="1" t="s">
        <v>63</v>
      </c>
      <c r="AN76" s="1" t="s">
        <v>64</v>
      </c>
      <c r="AO76" s="1" t="s">
        <v>63</v>
      </c>
      <c r="AP76" s="1" t="s">
        <v>64</v>
      </c>
      <c r="AQ76" s="1" t="s">
        <v>63</v>
      </c>
      <c r="AR76" s="1" t="s">
        <v>64</v>
      </c>
      <c r="AU76" s="1" t="s">
        <v>6</v>
      </c>
      <c r="AV76" s="1" t="s">
        <v>63</v>
      </c>
      <c r="AW76" s="1" t="s">
        <v>64</v>
      </c>
      <c r="AX76" s="1" t="s">
        <v>63</v>
      </c>
      <c r="AY76" s="1" t="s">
        <v>64</v>
      </c>
      <c r="AZ76" s="1" t="s">
        <v>63</v>
      </c>
      <c r="BA76" s="1" t="s">
        <v>64</v>
      </c>
      <c r="BB76" s="1" t="s">
        <v>63</v>
      </c>
      <c r="BC76" s="1" t="s">
        <v>64</v>
      </c>
      <c r="BD76" s="1" t="s">
        <v>63</v>
      </c>
      <c r="BE76" s="1" t="s">
        <v>64</v>
      </c>
      <c r="BF76" s="1" t="s">
        <v>63</v>
      </c>
      <c r="BG76" s="1" t="s">
        <v>64</v>
      </c>
      <c r="BH76" s="1" t="s">
        <v>63</v>
      </c>
      <c r="BI76" s="1" t="s">
        <v>64</v>
      </c>
      <c r="BJ76" s="1" t="s">
        <v>63</v>
      </c>
      <c r="BK76" s="1" t="s">
        <v>64</v>
      </c>
      <c r="BL76" s="1" t="s">
        <v>63</v>
      </c>
      <c r="BM76" s="1" t="s">
        <v>64</v>
      </c>
      <c r="BN76" s="1" t="s">
        <v>63</v>
      </c>
      <c r="BO76" s="1" t="s">
        <v>64</v>
      </c>
      <c r="BR76" s="1" t="s">
        <v>6</v>
      </c>
      <c r="BS76" s="1" t="s">
        <v>63</v>
      </c>
      <c r="BT76" s="1" t="s">
        <v>64</v>
      </c>
      <c r="BU76" s="1" t="s">
        <v>63</v>
      </c>
      <c r="BV76" s="1" t="s">
        <v>64</v>
      </c>
      <c r="BW76" s="1" t="s">
        <v>63</v>
      </c>
      <c r="BX76" s="1" t="s">
        <v>64</v>
      </c>
      <c r="BY76" s="1" t="s">
        <v>63</v>
      </c>
      <c r="BZ76" s="1" t="s">
        <v>64</v>
      </c>
      <c r="CA76" s="1" t="s">
        <v>63</v>
      </c>
      <c r="CB76" s="1" t="s">
        <v>64</v>
      </c>
      <c r="CC76" s="1" t="s">
        <v>63</v>
      </c>
      <c r="CD76" s="1" t="s">
        <v>64</v>
      </c>
      <c r="CE76" s="1" t="s">
        <v>63</v>
      </c>
      <c r="CF76" s="1" t="s">
        <v>64</v>
      </c>
      <c r="CG76" s="1" t="s">
        <v>63</v>
      </c>
      <c r="CH76" s="1" t="s">
        <v>64</v>
      </c>
      <c r="CI76" s="1" t="s">
        <v>63</v>
      </c>
      <c r="CJ76" s="1" t="s">
        <v>64</v>
      </c>
      <c r="CK76" s="1" t="s">
        <v>63</v>
      </c>
      <c r="CL76" s="1" t="s">
        <v>64</v>
      </c>
    </row>
    <row r="77" spans="2:90" x14ac:dyDescent="0.3">
      <c r="B77" s="1" t="s">
        <v>65</v>
      </c>
      <c r="C77" s="1" t="s">
        <v>53</v>
      </c>
      <c r="D77" s="1" t="s">
        <v>53</v>
      </c>
      <c r="E77" s="1" t="s">
        <v>54</v>
      </c>
      <c r="F77" s="1" t="s">
        <v>54</v>
      </c>
      <c r="G77" s="1" t="s">
        <v>55</v>
      </c>
      <c r="H77" s="1" t="s">
        <v>55</v>
      </c>
      <c r="I77" s="1" t="s">
        <v>56</v>
      </c>
      <c r="J77" s="1" t="s">
        <v>56</v>
      </c>
      <c r="K77" s="1" t="s">
        <v>57</v>
      </c>
      <c r="L77" s="1" t="s">
        <v>57</v>
      </c>
      <c r="M77" s="1" t="s">
        <v>58</v>
      </c>
      <c r="N77" s="1" t="s">
        <v>58</v>
      </c>
      <c r="O77" s="1" t="s">
        <v>59</v>
      </c>
      <c r="P77" s="1" t="s">
        <v>59</v>
      </c>
      <c r="Q77" s="1" t="s">
        <v>60</v>
      </c>
      <c r="R77" s="1" t="s">
        <v>60</v>
      </c>
      <c r="S77" s="1" t="s">
        <v>61</v>
      </c>
      <c r="T77" s="1" t="s">
        <v>61</v>
      </c>
      <c r="U77" s="1" t="s">
        <v>62</v>
      </c>
      <c r="V77" s="1" t="s">
        <v>62</v>
      </c>
      <c r="X77" s="1" t="s">
        <v>65</v>
      </c>
      <c r="Y77" s="1" t="s">
        <v>53</v>
      </c>
      <c r="Z77" s="1" t="s">
        <v>53</v>
      </c>
      <c r="AA77" s="1" t="s">
        <v>54</v>
      </c>
      <c r="AB77" s="1" t="s">
        <v>54</v>
      </c>
      <c r="AC77" s="1" t="s">
        <v>55</v>
      </c>
      <c r="AD77" s="1" t="s">
        <v>55</v>
      </c>
      <c r="AE77" s="1" t="s">
        <v>56</v>
      </c>
      <c r="AF77" s="1" t="s">
        <v>56</v>
      </c>
      <c r="AG77" s="1" t="s">
        <v>57</v>
      </c>
      <c r="AH77" s="1" t="s">
        <v>57</v>
      </c>
      <c r="AI77" s="1" t="s">
        <v>58</v>
      </c>
      <c r="AJ77" s="1" t="s">
        <v>58</v>
      </c>
      <c r="AK77" s="1" t="s">
        <v>59</v>
      </c>
      <c r="AL77" s="1" t="s">
        <v>59</v>
      </c>
      <c r="AM77" s="1" t="s">
        <v>60</v>
      </c>
      <c r="AN77" s="1" t="s">
        <v>60</v>
      </c>
      <c r="AO77" s="1" t="s">
        <v>61</v>
      </c>
      <c r="AP77" s="1" t="s">
        <v>61</v>
      </c>
      <c r="AQ77" s="1" t="s">
        <v>62</v>
      </c>
      <c r="AR77" s="1" t="s">
        <v>62</v>
      </c>
      <c r="AU77" s="1" t="s">
        <v>65</v>
      </c>
      <c r="AV77" s="1" t="s">
        <v>53</v>
      </c>
      <c r="AW77" s="1" t="s">
        <v>53</v>
      </c>
      <c r="AX77" s="1" t="s">
        <v>54</v>
      </c>
      <c r="AY77" s="1" t="s">
        <v>54</v>
      </c>
      <c r="AZ77" s="1" t="s">
        <v>55</v>
      </c>
      <c r="BA77" s="1" t="s">
        <v>55</v>
      </c>
      <c r="BB77" s="1" t="s">
        <v>56</v>
      </c>
      <c r="BC77" s="1" t="s">
        <v>56</v>
      </c>
      <c r="BD77" s="1" t="s">
        <v>57</v>
      </c>
      <c r="BE77" s="1" t="s">
        <v>57</v>
      </c>
      <c r="BF77" s="1" t="s">
        <v>58</v>
      </c>
      <c r="BG77" s="1" t="s">
        <v>58</v>
      </c>
      <c r="BH77" s="1" t="s">
        <v>59</v>
      </c>
      <c r="BI77" s="1" t="s">
        <v>59</v>
      </c>
      <c r="BJ77" s="1" t="s">
        <v>60</v>
      </c>
      <c r="BK77" s="1" t="s">
        <v>60</v>
      </c>
      <c r="BL77" s="1" t="s">
        <v>61</v>
      </c>
      <c r="BM77" s="1" t="s">
        <v>61</v>
      </c>
      <c r="BN77" s="1" t="s">
        <v>62</v>
      </c>
      <c r="BO77" s="1" t="s">
        <v>62</v>
      </c>
      <c r="BR77" s="1" t="s">
        <v>65</v>
      </c>
      <c r="BS77" s="1" t="s">
        <v>53</v>
      </c>
      <c r="BT77" s="1" t="s">
        <v>53</v>
      </c>
      <c r="BU77" s="1" t="s">
        <v>54</v>
      </c>
      <c r="BV77" s="1" t="s">
        <v>54</v>
      </c>
      <c r="BW77" s="1" t="s">
        <v>55</v>
      </c>
      <c r="BX77" s="1" t="s">
        <v>55</v>
      </c>
      <c r="BY77" s="1" t="s">
        <v>56</v>
      </c>
      <c r="BZ77" s="1" t="s">
        <v>56</v>
      </c>
      <c r="CA77" s="1" t="s">
        <v>57</v>
      </c>
      <c r="CB77" s="1" t="s">
        <v>57</v>
      </c>
      <c r="CC77" s="1" t="s">
        <v>58</v>
      </c>
      <c r="CD77" s="1" t="s">
        <v>58</v>
      </c>
      <c r="CE77" s="1" t="s">
        <v>59</v>
      </c>
      <c r="CF77" s="1" t="s">
        <v>59</v>
      </c>
      <c r="CG77" s="1" t="s">
        <v>60</v>
      </c>
      <c r="CH77" s="1" t="s">
        <v>60</v>
      </c>
      <c r="CI77" s="1" t="s">
        <v>61</v>
      </c>
      <c r="CJ77" s="1" t="s">
        <v>61</v>
      </c>
      <c r="CK77" s="1" t="s">
        <v>62</v>
      </c>
      <c r="CL77" s="1" t="s">
        <v>62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66</v>
      </c>
      <c r="C79" s="2">
        <v>7.95</v>
      </c>
      <c r="D79" s="2">
        <v>14.37</v>
      </c>
      <c r="E79" s="2">
        <v>2.99</v>
      </c>
      <c r="F79" s="2">
        <v>2.97</v>
      </c>
      <c r="G79" s="2">
        <v>0.98</v>
      </c>
      <c r="H79" s="2">
        <v>2.39</v>
      </c>
      <c r="I79" s="2">
        <v>15.33</v>
      </c>
      <c r="J79" s="2">
        <v>5.09</v>
      </c>
      <c r="K79" s="2">
        <v>18.47</v>
      </c>
      <c r="L79" s="2">
        <v>10.65</v>
      </c>
      <c r="M79" s="2">
        <v>17.88</v>
      </c>
      <c r="N79" s="2">
        <v>9.9499999999999993</v>
      </c>
      <c r="O79" s="2">
        <v>11.07</v>
      </c>
      <c r="P79" s="2">
        <v>2.92</v>
      </c>
      <c r="Q79" s="2">
        <v>11.49</v>
      </c>
      <c r="R79" s="2">
        <v>4.05</v>
      </c>
      <c r="S79" s="2">
        <v>0.72</v>
      </c>
      <c r="T79" s="2">
        <v>1.26</v>
      </c>
      <c r="U79" s="2">
        <v>1.59</v>
      </c>
      <c r="V79" s="2">
        <v>0.97</v>
      </c>
      <c r="X79" s="1" t="s">
        <v>66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66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66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67</v>
      </c>
      <c r="C80" s="2">
        <v>65.849999999999994</v>
      </c>
      <c r="D80" s="2">
        <v>25.4</v>
      </c>
      <c r="E80" s="2">
        <v>36.82</v>
      </c>
      <c r="F80" s="2">
        <v>17.239999999999998</v>
      </c>
      <c r="G80" s="2">
        <v>8.67</v>
      </c>
      <c r="H80" s="2">
        <v>15.47</v>
      </c>
      <c r="I80" s="2">
        <v>60.57</v>
      </c>
      <c r="J80" s="2">
        <v>92.15</v>
      </c>
      <c r="K80" s="2">
        <v>76</v>
      </c>
      <c r="L80" s="2">
        <v>79.099999999999994</v>
      </c>
      <c r="M80" s="2">
        <v>137.24</v>
      </c>
      <c r="N80" s="2">
        <v>110.94</v>
      </c>
      <c r="O80" s="2">
        <v>103.56</v>
      </c>
      <c r="P80" s="2">
        <v>96.74</v>
      </c>
      <c r="Q80" s="2">
        <v>133.29</v>
      </c>
      <c r="R80" s="2">
        <v>92.78</v>
      </c>
      <c r="S80" s="2">
        <v>90.64</v>
      </c>
      <c r="T80" s="2">
        <v>74.260000000000005</v>
      </c>
      <c r="U80" s="2">
        <v>114.89</v>
      </c>
      <c r="V80" s="2">
        <v>70.73</v>
      </c>
      <c r="X80" s="1" t="s">
        <v>67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67</v>
      </c>
      <c r="AV80" s="2">
        <v>1.58</v>
      </c>
      <c r="AW80" s="2">
        <v>1.43</v>
      </c>
      <c r="AX80" s="2">
        <v>1.51</v>
      </c>
      <c r="AY80" s="2">
        <v>1.43</v>
      </c>
      <c r="AZ80" s="2">
        <v>0.56000000000000005</v>
      </c>
      <c r="BA80" s="2">
        <v>0.56000000000000005</v>
      </c>
      <c r="BB80" s="2">
        <v>1.68</v>
      </c>
      <c r="BC80" s="2">
        <v>1.66</v>
      </c>
      <c r="BD80" s="2">
        <v>2.04</v>
      </c>
      <c r="BE80" s="2">
        <v>1.83</v>
      </c>
      <c r="BF80" s="2">
        <v>4.01</v>
      </c>
      <c r="BG80" s="2">
        <v>3.33</v>
      </c>
      <c r="BH80" s="2">
        <v>3.01</v>
      </c>
      <c r="BI80" s="2">
        <v>2.77</v>
      </c>
      <c r="BJ80" s="2">
        <v>3.84</v>
      </c>
      <c r="BK80" s="2">
        <v>3.51</v>
      </c>
      <c r="BL80" s="2">
        <v>3.36</v>
      </c>
      <c r="BM80" s="2">
        <v>3</v>
      </c>
      <c r="BN80" s="2">
        <v>4.29</v>
      </c>
      <c r="BO80" s="2">
        <v>3.89</v>
      </c>
      <c r="BR80" s="1" t="s">
        <v>67</v>
      </c>
      <c r="BS80" s="2">
        <v>-0.18</v>
      </c>
      <c r="BT80" s="2">
        <v>-0.09</v>
      </c>
      <c r="BU80" s="2">
        <v>-0.14000000000000001</v>
      </c>
      <c r="BV80" s="2">
        <v>-0.09</v>
      </c>
      <c r="BW80" s="2">
        <v>-0.11</v>
      </c>
      <c r="BX80" s="2">
        <v>-0.11</v>
      </c>
      <c r="BY80" s="2">
        <v>-0.18</v>
      </c>
      <c r="BZ80" s="2">
        <v>-0.18</v>
      </c>
      <c r="CA80" s="2">
        <v>-0.16</v>
      </c>
      <c r="CB80" s="2">
        <v>-7.0000000000000007E-2</v>
      </c>
      <c r="CC80" s="2">
        <v>-0.23</v>
      </c>
      <c r="CD80" s="2">
        <v>-7.0000000000000007E-2</v>
      </c>
      <c r="CE80" s="2">
        <v>-0.17</v>
      </c>
      <c r="CF80" s="2">
        <v>-0.1</v>
      </c>
      <c r="CG80" s="2">
        <v>-0.15</v>
      </c>
      <c r="CH80" s="2">
        <v>-7.0000000000000007E-2</v>
      </c>
      <c r="CI80" s="2">
        <v>-0.13</v>
      </c>
      <c r="CJ80" s="2">
        <v>-0.03</v>
      </c>
      <c r="CK80" s="2">
        <v>-0.1</v>
      </c>
      <c r="CL80" s="2">
        <v>-0.01</v>
      </c>
    </row>
    <row r="81" spans="2:90" x14ac:dyDescent="0.3">
      <c r="B81" s="1" t="s">
        <v>68</v>
      </c>
      <c r="C81" s="2">
        <v>618.76</v>
      </c>
      <c r="D81" s="2">
        <v>70.959999999999994</v>
      </c>
      <c r="E81" s="2">
        <v>541.26</v>
      </c>
      <c r="F81" s="2">
        <v>35.229999999999997</v>
      </c>
      <c r="G81" s="2">
        <v>109.79</v>
      </c>
      <c r="H81" s="2">
        <v>189.38</v>
      </c>
      <c r="I81" s="2">
        <v>608.87</v>
      </c>
      <c r="J81" s="2">
        <v>448.88</v>
      </c>
      <c r="K81" s="2">
        <v>739.62</v>
      </c>
      <c r="L81" s="2">
        <v>426.39</v>
      </c>
      <c r="M81" s="2">
        <v>1262.3399999999999</v>
      </c>
      <c r="N81" s="2">
        <v>697.85</v>
      </c>
      <c r="O81" s="2">
        <v>1130.3499999999999</v>
      </c>
      <c r="P81" s="2">
        <v>587.96</v>
      </c>
      <c r="Q81" s="2">
        <v>1441.81</v>
      </c>
      <c r="R81" s="2">
        <v>631.11</v>
      </c>
      <c r="S81" s="2">
        <v>530.53</v>
      </c>
      <c r="T81" s="2">
        <v>484.48</v>
      </c>
      <c r="U81" s="2">
        <v>505.73</v>
      </c>
      <c r="V81" s="2">
        <v>417.7</v>
      </c>
      <c r="X81" s="1" t="s">
        <v>68</v>
      </c>
      <c r="Y81" s="2">
        <v>1.33</v>
      </c>
      <c r="Z81" s="2">
        <v>1.3</v>
      </c>
      <c r="AA81" s="2">
        <v>1.32</v>
      </c>
      <c r="AB81" s="2">
        <v>1.3</v>
      </c>
      <c r="AC81" s="2">
        <v>0.52</v>
      </c>
      <c r="AD81" s="2">
        <v>0.51</v>
      </c>
      <c r="AE81" s="2">
        <v>1.47</v>
      </c>
      <c r="AF81" s="2">
        <v>1.37</v>
      </c>
      <c r="AG81" s="2">
        <v>1.9</v>
      </c>
      <c r="AH81" s="2">
        <v>1.71</v>
      </c>
      <c r="AI81" s="2">
        <v>3.45</v>
      </c>
      <c r="AJ81" s="2">
        <v>3.09</v>
      </c>
      <c r="AK81" s="2">
        <v>2.7</v>
      </c>
      <c r="AL81" s="2">
        <v>2.4900000000000002</v>
      </c>
      <c r="AM81" s="2">
        <v>3.48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68</v>
      </c>
      <c r="AV81" s="2">
        <v>3.05</v>
      </c>
      <c r="AW81" s="2">
        <v>1.42</v>
      </c>
      <c r="AX81" s="2">
        <v>3.08</v>
      </c>
      <c r="AY81" s="2">
        <v>1.42</v>
      </c>
      <c r="AZ81" s="2">
        <v>0.88</v>
      </c>
      <c r="BA81" s="2">
        <v>0.78</v>
      </c>
      <c r="BB81" s="2">
        <v>2.4300000000000002</v>
      </c>
      <c r="BC81" s="2">
        <v>1.74</v>
      </c>
      <c r="BD81" s="2">
        <v>3.12</v>
      </c>
      <c r="BE81" s="2">
        <v>1.98</v>
      </c>
      <c r="BF81" s="2">
        <v>5.7</v>
      </c>
      <c r="BG81" s="2">
        <v>3.56</v>
      </c>
      <c r="BH81" s="2">
        <v>4.5</v>
      </c>
      <c r="BI81" s="2">
        <v>2.9</v>
      </c>
      <c r="BJ81" s="2">
        <v>5.82</v>
      </c>
      <c r="BK81" s="2">
        <v>3.7</v>
      </c>
      <c r="BL81" s="2">
        <v>3.52</v>
      </c>
      <c r="BM81" s="2">
        <v>3.12</v>
      </c>
      <c r="BN81" s="2">
        <v>4.09</v>
      </c>
      <c r="BO81" s="2">
        <v>3.99</v>
      </c>
      <c r="BR81" s="1" t="s">
        <v>68</v>
      </c>
      <c r="BS81" s="2">
        <v>-0.56000000000000005</v>
      </c>
      <c r="BT81" s="2">
        <v>-0.09</v>
      </c>
      <c r="BU81" s="2">
        <v>-0.56999999999999995</v>
      </c>
      <c r="BV81" s="2">
        <v>-0.08</v>
      </c>
      <c r="BW81" s="2">
        <v>-0.4</v>
      </c>
      <c r="BX81" s="2">
        <v>-0.34</v>
      </c>
      <c r="BY81" s="2">
        <v>-0.39</v>
      </c>
      <c r="BZ81" s="2">
        <v>-0.21</v>
      </c>
      <c r="CA81" s="2">
        <v>-0.39</v>
      </c>
      <c r="CB81" s="2">
        <v>-0.13</v>
      </c>
      <c r="CC81" s="2">
        <v>-0.39</v>
      </c>
      <c r="CD81" s="2">
        <v>-0.13</v>
      </c>
      <c r="CE81" s="2">
        <v>-0.4</v>
      </c>
      <c r="CF81" s="2">
        <v>-0.14000000000000001</v>
      </c>
      <c r="CG81" s="2">
        <v>-0.4</v>
      </c>
      <c r="CH81" s="2">
        <v>-0.12</v>
      </c>
      <c r="CI81" s="2">
        <v>-0.17</v>
      </c>
      <c r="CJ81" s="2">
        <v>-7.0000000000000007E-2</v>
      </c>
      <c r="CK81" s="2">
        <v>-0.06</v>
      </c>
      <c r="CL81" s="2">
        <v>-0.03</v>
      </c>
    </row>
    <row r="82" spans="2:90" x14ac:dyDescent="0.3">
      <c r="B82" s="1" t="s">
        <v>69</v>
      </c>
      <c r="C82" s="2">
        <v>138.87</v>
      </c>
      <c r="D82" s="2">
        <v>26.11</v>
      </c>
      <c r="E82" s="2">
        <v>93.44</v>
      </c>
      <c r="F82" s="2">
        <v>13.64</v>
      </c>
      <c r="G82" s="2">
        <v>31.92</v>
      </c>
      <c r="H82" s="2">
        <v>60.41</v>
      </c>
      <c r="I82" s="2">
        <v>221.68</v>
      </c>
      <c r="J82" s="2">
        <v>113.59</v>
      </c>
      <c r="K82" s="2">
        <v>277.25</v>
      </c>
      <c r="L82" s="2">
        <v>103.48</v>
      </c>
      <c r="M82" s="2">
        <v>458.03</v>
      </c>
      <c r="N82" s="2">
        <v>148.69</v>
      </c>
      <c r="O82" s="2">
        <v>401.43</v>
      </c>
      <c r="P82" s="2">
        <v>127.07</v>
      </c>
      <c r="Q82" s="2">
        <v>437.57</v>
      </c>
      <c r="R82" s="2">
        <v>184.83</v>
      </c>
      <c r="S82" s="2">
        <v>172.93</v>
      </c>
      <c r="T82" s="2">
        <v>108.77</v>
      </c>
      <c r="U82" s="2">
        <v>162.13</v>
      </c>
      <c r="V82" s="2">
        <v>140.32</v>
      </c>
      <c r="X82" s="1" t="s">
        <v>69</v>
      </c>
      <c r="Y82" s="2">
        <v>1.3</v>
      </c>
      <c r="Z82" s="2">
        <v>1.3</v>
      </c>
      <c r="AA82" s="2">
        <v>1.31</v>
      </c>
      <c r="AB82" s="2">
        <v>1.3</v>
      </c>
      <c r="AC82" s="2">
        <v>0.5</v>
      </c>
      <c r="AD82" s="2">
        <v>0.5</v>
      </c>
      <c r="AE82" s="2">
        <v>1.39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69</v>
      </c>
      <c r="AV82" s="2">
        <v>2.65</v>
      </c>
      <c r="AW82" s="2">
        <v>1.45</v>
      </c>
      <c r="AX82" s="2">
        <v>2.11</v>
      </c>
      <c r="AY82" s="2">
        <v>1.42</v>
      </c>
      <c r="AZ82" s="2">
        <v>0.81</v>
      </c>
      <c r="BA82" s="2">
        <v>0.99</v>
      </c>
      <c r="BB82" s="2">
        <v>2.29</v>
      </c>
      <c r="BC82" s="2">
        <v>1.86</v>
      </c>
      <c r="BD82" s="2">
        <v>2.74</v>
      </c>
      <c r="BE82" s="2">
        <v>2.0499999999999998</v>
      </c>
      <c r="BF82" s="2">
        <v>4.93</v>
      </c>
      <c r="BG82" s="2">
        <v>3.61</v>
      </c>
      <c r="BH82" s="2">
        <v>3.98</v>
      </c>
      <c r="BI82" s="2">
        <v>2.92</v>
      </c>
      <c r="BJ82" s="2">
        <v>4.68</v>
      </c>
      <c r="BK82" s="2">
        <v>3.68</v>
      </c>
      <c r="BL82" s="2">
        <v>3.28</v>
      </c>
      <c r="BM82" s="2">
        <v>3.17</v>
      </c>
      <c r="BN82" s="2">
        <v>4.17</v>
      </c>
      <c r="BO82" s="2">
        <v>4.09</v>
      </c>
      <c r="BR82" s="1" t="s">
        <v>69</v>
      </c>
      <c r="BS82" s="2">
        <v>-0.51</v>
      </c>
      <c r="BT82" s="2">
        <v>-0.11</v>
      </c>
      <c r="BU82" s="2">
        <v>-0.38</v>
      </c>
      <c r="BV82" s="2">
        <v>-0.09</v>
      </c>
      <c r="BW82" s="2">
        <v>-0.38</v>
      </c>
      <c r="BX82" s="2">
        <v>-0.49</v>
      </c>
      <c r="BY82" s="2">
        <v>-0.39</v>
      </c>
      <c r="BZ82" s="2">
        <v>-0.26</v>
      </c>
      <c r="CA82" s="2">
        <v>-0.37</v>
      </c>
      <c r="CB82" s="2">
        <v>-0.16</v>
      </c>
      <c r="CC82" s="2">
        <v>-0.37</v>
      </c>
      <c r="CD82" s="2">
        <v>-0.14000000000000001</v>
      </c>
      <c r="CE82" s="2">
        <v>-0.37</v>
      </c>
      <c r="CF82" s="2">
        <v>-0.15</v>
      </c>
      <c r="CG82" s="2">
        <v>-0.3</v>
      </c>
      <c r="CH82" s="2">
        <v>-0.11</v>
      </c>
      <c r="CI82" s="2">
        <v>-0.11</v>
      </c>
      <c r="CJ82" s="2">
        <v>-0.08</v>
      </c>
      <c r="CK82" s="2">
        <v>-7.0000000000000007E-2</v>
      </c>
      <c r="CL82" s="2">
        <v>-0.06</v>
      </c>
    </row>
    <row r="83" spans="2:90" x14ac:dyDescent="0.3">
      <c r="B83" s="1" t="s">
        <v>70</v>
      </c>
      <c r="C83" s="2">
        <v>303.25</v>
      </c>
      <c r="D83" s="2">
        <v>350.37</v>
      </c>
      <c r="E83" s="2">
        <v>351.69</v>
      </c>
      <c r="F83" s="2">
        <v>115.1</v>
      </c>
      <c r="G83" s="2">
        <v>106.74</v>
      </c>
      <c r="H83" s="2">
        <v>155.88</v>
      </c>
      <c r="I83" s="2">
        <v>332.53</v>
      </c>
      <c r="J83" s="2">
        <v>611.20000000000005</v>
      </c>
      <c r="K83" s="2">
        <v>757.23</v>
      </c>
      <c r="L83" s="2">
        <v>761.44</v>
      </c>
      <c r="M83" s="2">
        <v>1000.14</v>
      </c>
      <c r="N83" s="2">
        <v>885.93</v>
      </c>
      <c r="O83" s="2">
        <v>743.71</v>
      </c>
      <c r="P83" s="2">
        <v>697.38</v>
      </c>
      <c r="Q83" s="2">
        <v>787.17</v>
      </c>
      <c r="R83" s="2">
        <v>788.78</v>
      </c>
      <c r="S83" s="2">
        <v>638.19000000000005</v>
      </c>
      <c r="T83" s="2">
        <v>479.96</v>
      </c>
      <c r="U83" s="2">
        <v>715.38</v>
      </c>
      <c r="V83" s="2">
        <v>491.16</v>
      </c>
      <c r="X83" s="1" t="s">
        <v>70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70</v>
      </c>
      <c r="AV83" s="2">
        <v>2.0099999999999998</v>
      </c>
      <c r="AW83" s="2">
        <v>1.94</v>
      </c>
      <c r="AX83" s="2">
        <v>2.2799999999999998</v>
      </c>
      <c r="AY83" s="2">
        <v>1.56</v>
      </c>
      <c r="AZ83" s="2">
        <v>0.76</v>
      </c>
      <c r="BA83" s="2">
        <v>0.77</v>
      </c>
      <c r="BB83" s="2">
        <v>1.61</v>
      </c>
      <c r="BC83" s="2">
        <v>2.11</v>
      </c>
      <c r="BD83" s="2">
        <v>2.44</v>
      </c>
      <c r="BE83" s="2">
        <v>2.5099999999999998</v>
      </c>
      <c r="BF83" s="2">
        <v>4.21</v>
      </c>
      <c r="BG83" s="2">
        <v>4.03</v>
      </c>
      <c r="BH83" s="2">
        <v>3.15</v>
      </c>
      <c r="BI83" s="2">
        <v>3.09</v>
      </c>
      <c r="BJ83" s="2">
        <v>3.78</v>
      </c>
      <c r="BK83" s="2">
        <v>3.81</v>
      </c>
      <c r="BL83" s="2">
        <v>3.26</v>
      </c>
      <c r="BM83" s="2">
        <v>3.17</v>
      </c>
      <c r="BN83" s="2">
        <v>4.26</v>
      </c>
      <c r="BO83" s="2">
        <v>4.04</v>
      </c>
      <c r="BR83" s="1" t="s">
        <v>70</v>
      </c>
      <c r="BS83" s="2">
        <v>-0.35</v>
      </c>
      <c r="BT83" s="2">
        <v>-0.33</v>
      </c>
      <c r="BU83" s="2">
        <v>-0.43</v>
      </c>
      <c r="BV83" s="2">
        <v>-0.16</v>
      </c>
      <c r="BW83" s="2">
        <v>-0.34</v>
      </c>
      <c r="BX83" s="2">
        <v>-0.35</v>
      </c>
      <c r="BY83" s="2">
        <v>-0.15</v>
      </c>
      <c r="BZ83" s="2">
        <v>-0.35</v>
      </c>
      <c r="CA83" s="2">
        <v>-0.3</v>
      </c>
      <c r="CB83" s="2">
        <v>-0.32</v>
      </c>
      <c r="CC83" s="2">
        <v>-0.27</v>
      </c>
      <c r="CD83" s="2">
        <v>-0.23</v>
      </c>
      <c r="CE83" s="2">
        <v>-0.21</v>
      </c>
      <c r="CF83" s="2">
        <v>-0.2</v>
      </c>
      <c r="CG83" s="2">
        <v>-0.14000000000000001</v>
      </c>
      <c r="CH83" s="2">
        <v>-0.15</v>
      </c>
      <c r="CI83" s="2">
        <v>-0.11</v>
      </c>
      <c r="CJ83" s="2">
        <v>-0.08</v>
      </c>
      <c r="CK83" s="2">
        <v>-0.09</v>
      </c>
      <c r="CL83" s="2">
        <v>-0.05</v>
      </c>
    </row>
    <row r="84" spans="2:90" x14ac:dyDescent="0.3">
      <c r="B84" s="1" t="s">
        <v>71</v>
      </c>
      <c r="C84" s="2">
        <v>71.34</v>
      </c>
      <c r="D84" s="2">
        <v>27.34</v>
      </c>
      <c r="E84" s="2">
        <v>76.03</v>
      </c>
      <c r="F84" s="2">
        <v>27.12</v>
      </c>
      <c r="G84" s="2">
        <v>19.57</v>
      </c>
      <c r="H84" s="2">
        <v>14.92</v>
      </c>
      <c r="I84" s="2">
        <v>35.369999999999997</v>
      </c>
      <c r="J84" s="2">
        <v>48.18</v>
      </c>
      <c r="K84" s="2">
        <v>38.909999999999997</v>
      </c>
      <c r="L84" s="2">
        <v>102.57</v>
      </c>
      <c r="M84" s="2">
        <v>97.58</v>
      </c>
      <c r="N84" s="2">
        <v>163.65</v>
      </c>
      <c r="O84" s="2">
        <v>87.06</v>
      </c>
      <c r="P84" s="2">
        <v>104.35</v>
      </c>
      <c r="Q84" s="2">
        <v>109.51</v>
      </c>
      <c r="R84" s="2">
        <v>176.04</v>
      </c>
      <c r="S84" s="2">
        <v>102.5</v>
      </c>
      <c r="T84" s="2">
        <v>75.27</v>
      </c>
      <c r="U84" s="2">
        <v>94.02</v>
      </c>
      <c r="V84" s="2">
        <v>60.75</v>
      </c>
      <c r="X84" s="1" t="s">
        <v>71</v>
      </c>
      <c r="Y84" s="2">
        <v>1.31</v>
      </c>
      <c r="Z84" s="2">
        <v>1.31</v>
      </c>
      <c r="AA84" s="2">
        <v>1.31</v>
      </c>
      <c r="AB84" s="2">
        <v>1.31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1.72</v>
      </c>
      <c r="AI84" s="2">
        <v>3.09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71</v>
      </c>
      <c r="AV84" s="2">
        <v>2.06</v>
      </c>
      <c r="AW84" s="2">
        <v>2.06</v>
      </c>
      <c r="AX84" s="2">
        <v>2.2999999999999998</v>
      </c>
      <c r="AY84" s="2">
        <v>2.2799999999999998</v>
      </c>
      <c r="AZ84" s="2">
        <v>0.77</v>
      </c>
      <c r="BA84" s="2">
        <v>0.78</v>
      </c>
      <c r="BB84" s="2">
        <v>1.64</v>
      </c>
      <c r="BC84" s="2">
        <v>2.13</v>
      </c>
      <c r="BD84" s="2">
        <v>1.92</v>
      </c>
      <c r="BE84" s="2">
        <v>2.92</v>
      </c>
      <c r="BF84" s="2">
        <v>3.67</v>
      </c>
      <c r="BG84" s="2">
        <v>5.29</v>
      </c>
      <c r="BH84" s="2">
        <v>2.94</v>
      </c>
      <c r="BI84" s="2">
        <v>3.79</v>
      </c>
      <c r="BJ84" s="2">
        <v>3.82</v>
      </c>
      <c r="BK84" s="2">
        <v>4.96</v>
      </c>
      <c r="BL84" s="2">
        <v>3.32</v>
      </c>
      <c r="BM84" s="2">
        <v>3.99</v>
      </c>
      <c r="BN84" s="2">
        <v>4.2</v>
      </c>
      <c r="BO84" s="2">
        <v>4.08</v>
      </c>
      <c r="BR84" s="1" t="s">
        <v>71</v>
      </c>
      <c r="BS84" s="2">
        <v>-0.37</v>
      </c>
      <c r="BT84" s="2">
        <v>-0.37</v>
      </c>
      <c r="BU84" s="2">
        <v>-0.43</v>
      </c>
      <c r="BV84" s="2">
        <v>-0.43</v>
      </c>
      <c r="BW84" s="2">
        <v>-0.35</v>
      </c>
      <c r="BX84" s="2">
        <v>-0.35</v>
      </c>
      <c r="BY84" s="2">
        <v>-0.16</v>
      </c>
      <c r="BZ84" s="2">
        <v>-0.35</v>
      </c>
      <c r="CA84" s="2">
        <v>-0.11</v>
      </c>
      <c r="CB84" s="2">
        <v>-0.41</v>
      </c>
      <c r="CC84" s="2">
        <v>-0.16</v>
      </c>
      <c r="CD84" s="2">
        <v>-0.41</v>
      </c>
      <c r="CE84" s="2">
        <v>-0.15</v>
      </c>
      <c r="CF84" s="2">
        <v>-0.34</v>
      </c>
      <c r="CG84" s="2">
        <v>-0.15</v>
      </c>
      <c r="CH84" s="2">
        <v>-0.34</v>
      </c>
      <c r="CI84" s="2">
        <v>-0.12</v>
      </c>
      <c r="CJ84" s="2">
        <v>-0.27</v>
      </c>
      <c r="CK84" s="2">
        <v>-0.08</v>
      </c>
      <c r="CL84" s="2">
        <v>-0.05</v>
      </c>
    </row>
    <row r="85" spans="2:90" x14ac:dyDescent="0.3">
      <c r="B85" s="1" t="s">
        <v>72</v>
      </c>
      <c r="C85" s="2">
        <v>273.37</v>
      </c>
      <c r="D85" s="2">
        <v>282.04000000000002</v>
      </c>
      <c r="E85" s="2">
        <v>148.72</v>
      </c>
      <c r="F85" s="2">
        <v>229.89</v>
      </c>
      <c r="G85" s="2">
        <v>48.78</v>
      </c>
      <c r="H85" s="2">
        <v>117.96</v>
      </c>
      <c r="I85" s="2">
        <v>184.63</v>
      </c>
      <c r="J85" s="2">
        <v>197.36</v>
      </c>
      <c r="K85" s="2">
        <v>187.56</v>
      </c>
      <c r="L85" s="2">
        <v>291.01</v>
      </c>
      <c r="M85" s="2">
        <v>305.76</v>
      </c>
      <c r="N85" s="2">
        <v>502.27</v>
      </c>
      <c r="O85" s="2">
        <v>241.15</v>
      </c>
      <c r="P85" s="2">
        <v>401.99</v>
      </c>
      <c r="Q85" s="2">
        <v>419.67</v>
      </c>
      <c r="R85" s="2">
        <v>531.87</v>
      </c>
      <c r="S85" s="2">
        <v>293.22000000000003</v>
      </c>
      <c r="T85" s="2">
        <v>218.3</v>
      </c>
      <c r="U85" s="2">
        <v>283.76</v>
      </c>
      <c r="V85" s="2">
        <v>208.99</v>
      </c>
      <c r="X85" s="1" t="s">
        <v>72</v>
      </c>
      <c r="Y85" s="2">
        <v>1.33</v>
      </c>
      <c r="Z85" s="2">
        <v>1.33</v>
      </c>
      <c r="AA85" s="2">
        <v>1.31</v>
      </c>
      <c r="AB85" s="2">
        <v>1.34</v>
      </c>
      <c r="AC85" s="2">
        <v>0.5</v>
      </c>
      <c r="AD85" s="2">
        <v>0.51</v>
      </c>
      <c r="AE85" s="2">
        <v>1.38</v>
      </c>
      <c r="AF85" s="2">
        <v>1.42</v>
      </c>
      <c r="AG85" s="2">
        <v>1.72</v>
      </c>
      <c r="AH85" s="2">
        <v>1.95</v>
      </c>
      <c r="AI85" s="2">
        <v>3.09</v>
      </c>
      <c r="AJ85" s="2">
        <v>3.52</v>
      </c>
      <c r="AK85" s="2">
        <v>2.4900000000000002</v>
      </c>
      <c r="AL85" s="2">
        <v>2.66</v>
      </c>
      <c r="AM85" s="2">
        <v>3.27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72</v>
      </c>
      <c r="AV85" s="2">
        <v>2.92</v>
      </c>
      <c r="AW85" s="2">
        <v>2.95</v>
      </c>
      <c r="AX85" s="2">
        <v>2.29</v>
      </c>
      <c r="AY85" s="2">
        <v>2.87</v>
      </c>
      <c r="AZ85" s="2">
        <v>0.73</v>
      </c>
      <c r="BA85" s="2">
        <v>1.1000000000000001</v>
      </c>
      <c r="BB85" s="2">
        <v>1.89</v>
      </c>
      <c r="BC85" s="2">
        <v>2.34</v>
      </c>
      <c r="BD85" s="2">
        <v>2.06</v>
      </c>
      <c r="BE85" s="2">
        <v>3.09</v>
      </c>
      <c r="BF85" s="2">
        <v>3.82</v>
      </c>
      <c r="BG85" s="2">
        <v>5.57</v>
      </c>
      <c r="BH85" s="2">
        <v>3.08</v>
      </c>
      <c r="BI85" s="2">
        <v>4.12</v>
      </c>
      <c r="BJ85" s="2">
        <v>4.2</v>
      </c>
      <c r="BK85" s="2">
        <v>5</v>
      </c>
      <c r="BL85" s="2">
        <v>3.39</v>
      </c>
      <c r="BM85" s="2">
        <v>3.45</v>
      </c>
      <c r="BN85" s="2">
        <v>4.29</v>
      </c>
      <c r="BO85" s="2">
        <v>4.25</v>
      </c>
      <c r="BR85" s="1" t="s">
        <v>72</v>
      </c>
      <c r="BS85" s="2">
        <v>-0.55000000000000004</v>
      </c>
      <c r="BT85" s="2">
        <v>-0.55000000000000004</v>
      </c>
      <c r="BU85" s="2">
        <v>-0.43</v>
      </c>
      <c r="BV85" s="2">
        <v>-0.53</v>
      </c>
      <c r="BW85" s="2">
        <v>-0.31</v>
      </c>
      <c r="BX85" s="2">
        <v>-0.54</v>
      </c>
      <c r="BY85" s="2">
        <v>-0.27</v>
      </c>
      <c r="BZ85" s="2">
        <v>-0.39</v>
      </c>
      <c r="CA85" s="2">
        <v>-0.17</v>
      </c>
      <c r="CB85" s="2">
        <v>-0.37</v>
      </c>
      <c r="CC85" s="2">
        <v>-0.19</v>
      </c>
      <c r="CD85" s="2">
        <v>-0.37</v>
      </c>
      <c r="CE85" s="2">
        <v>-0.19</v>
      </c>
      <c r="CF85" s="2">
        <v>-0.36</v>
      </c>
      <c r="CG85" s="2">
        <v>-0.22</v>
      </c>
      <c r="CH85" s="2">
        <v>-0.35</v>
      </c>
      <c r="CI85" s="2">
        <v>-0.14000000000000001</v>
      </c>
      <c r="CJ85" s="2">
        <v>-0.15</v>
      </c>
      <c r="CK85" s="2">
        <v>-0.1</v>
      </c>
      <c r="CL85" s="2">
        <v>-0.09</v>
      </c>
    </row>
    <row r="86" spans="2:90" x14ac:dyDescent="0.3">
      <c r="B86" s="1" t="s">
        <v>73</v>
      </c>
      <c r="C86" s="2">
        <v>13.03</v>
      </c>
      <c r="D86" s="2">
        <v>31.12</v>
      </c>
      <c r="E86" s="2">
        <v>3.16</v>
      </c>
      <c r="F86" s="2">
        <v>4.45</v>
      </c>
      <c r="G86" s="2">
        <v>0.93</v>
      </c>
      <c r="H86" s="2">
        <v>1.97</v>
      </c>
      <c r="I86" s="2">
        <v>11.65</v>
      </c>
      <c r="J86" s="2">
        <v>28.8</v>
      </c>
      <c r="K86" s="2">
        <v>24.48</v>
      </c>
      <c r="L86" s="2">
        <v>58.71</v>
      </c>
      <c r="M86" s="2">
        <v>74.8</v>
      </c>
      <c r="N86" s="2">
        <v>71.989999999999995</v>
      </c>
      <c r="O86" s="2">
        <v>68.22</v>
      </c>
      <c r="P86" s="2">
        <v>36.6</v>
      </c>
      <c r="Q86" s="2">
        <v>45.01</v>
      </c>
      <c r="R86" s="2">
        <v>19.98</v>
      </c>
      <c r="S86" s="2">
        <v>18.399999999999999</v>
      </c>
      <c r="T86" s="2">
        <v>14.81</v>
      </c>
      <c r="U86" s="2">
        <v>40.89</v>
      </c>
      <c r="V86" s="2">
        <v>39.71</v>
      </c>
      <c r="X86" s="1" t="s">
        <v>73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73</v>
      </c>
      <c r="AV86" s="2">
        <v>1.48</v>
      </c>
      <c r="AW86" s="2">
        <v>1.61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1.91</v>
      </c>
      <c r="BD86" s="2">
        <v>1.82</v>
      </c>
      <c r="BE86" s="2">
        <v>2.27</v>
      </c>
      <c r="BF86" s="2">
        <v>3.62</v>
      </c>
      <c r="BG86" s="2">
        <v>4.0999999999999996</v>
      </c>
      <c r="BH86" s="2">
        <v>3.06</v>
      </c>
      <c r="BI86" s="2">
        <v>3.09</v>
      </c>
      <c r="BJ86" s="2">
        <v>3.76</v>
      </c>
      <c r="BK86" s="2">
        <v>3.66</v>
      </c>
      <c r="BL86" s="2">
        <v>3.24</v>
      </c>
      <c r="BM86" s="2">
        <v>3.08</v>
      </c>
      <c r="BN86" s="2">
        <v>4.12</v>
      </c>
      <c r="BO86" s="2">
        <v>3.98</v>
      </c>
      <c r="BR86" s="1" t="s">
        <v>73</v>
      </c>
      <c r="BS86" s="2">
        <v>-0.12</v>
      </c>
      <c r="BT86" s="2">
        <v>-0.19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-0.06</v>
      </c>
      <c r="CB86" s="2">
        <v>-0.25</v>
      </c>
      <c r="CC86" s="2">
        <v>-0.15</v>
      </c>
      <c r="CD86" s="2">
        <v>-0.25</v>
      </c>
      <c r="CE86" s="2">
        <v>-0.19</v>
      </c>
      <c r="CF86" s="2">
        <v>-0.2</v>
      </c>
      <c r="CG86" s="2">
        <v>-0.13</v>
      </c>
      <c r="CH86" s="2">
        <v>-0.11</v>
      </c>
      <c r="CI86" s="2">
        <v>-0.1</v>
      </c>
      <c r="CJ86" s="2">
        <v>-0.06</v>
      </c>
      <c r="CK86" s="2">
        <v>-0.06</v>
      </c>
      <c r="CL86" s="2">
        <v>-0.03</v>
      </c>
    </row>
    <row r="87" spans="2:90" x14ac:dyDescent="0.3">
      <c r="W87" s="3">
        <f>SUM(C79:V86)/$W$45</f>
        <v>2.144160608167028E-2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63</v>
      </c>
      <c r="D90" s="1" t="s">
        <v>64</v>
      </c>
      <c r="E90" s="1" t="s">
        <v>63</v>
      </c>
      <c r="F90" s="1" t="s">
        <v>64</v>
      </c>
      <c r="G90" s="1" t="s">
        <v>63</v>
      </c>
      <c r="H90" s="1" t="s">
        <v>64</v>
      </c>
      <c r="I90" s="1" t="s">
        <v>63</v>
      </c>
      <c r="J90" s="1" t="s">
        <v>64</v>
      </c>
      <c r="K90" s="1" t="s">
        <v>63</v>
      </c>
      <c r="L90" s="1" t="s">
        <v>64</v>
      </c>
      <c r="M90" s="1" t="s">
        <v>63</v>
      </c>
      <c r="N90" s="1" t="s">
        <v>64</v>
      </c>
      <c r="O90" s="1" t="s">
        <v>63</v>
      </c>
      <c r="P90" s="1" t="s">
        <v>64</v>
      </c>
      <c r="Q90" s="1" t="s">
        <v>63</v>
      </c>
      <c r="R90" s="1" t="s">
        <v>64</v>
      </c>
      <c r="S90" s="1" t="s">
        <v>63</v>
      </c>
      <c r="T90" s="1" t="s">
        <v>64</v>
      </c>
      <c r="U90" s="1" t="s">
        <v>63</v>
      </c>
      <c r="V90" s="1" t="s">
        <v>64</v>
      </c>
      <c r="X90" s="1" t="s">
        <v>6</v>
      </c>
      <c r="Y90" s="5" t="s">
        <v>63</v>
      </c>
      <c r="Z90" s="5"/>
      <c r="AA90" s="5"/>
      <c r="AB90" s="5"/>
      <c r="AC90" s="5"/>
      <c r="AD90" s="5"/>
      <c r="AE90" s="5"/>
      <c r="AF90" s="5"/>
      <c r="AG90" s="5"/>
      <c r="AH90" s="5"/>
      <c r="AI90" s="5" t="s">
        <v>64</v>
      </c>
      <c r="AJ90" s="5"/>
      <c r="AK90" s="5"/>
      <c r="AL90" s="5"/>
      <c r="AM90" s="5"/>
      <c r="AN90" s="5"/>
      <c r="AO90" s="5"/>
      <c r="AP90" s="5"/>
      <c r="AQ90" s="5"/>
      <c r="AR90" s="5"/>
      <c r="AU90" s="1" t="s">
        <v>6</v>
      </c>
      <c r="AV90" s="5" t="s">
        <v>63</v>
      </c>
      <c r="AW90" s="5"/>
      <c r="AX90" s="5"/>
      <c r="AY90" s="5"/>
      <c r="AZ90" s="5"/>
      <c r="BA90" s="5"/>
      <c r="BB90" s="5"/>
      <c r="BC90" s="5"/>
      <c r="BD90" s="5"/>
      <c r="BE90" s="5"/>
      <c r="BF90" s="5" t="s">
        <v>64</v>
      </c>
      <c r="BG90" s="5"/>
      <c r="BH90" s="5"/>
      <c r="BI90" s="5"/>
      <c r="BJ90" s="5"/>
      <c r="BK90" s="5"/>
      <c r="BL90" s="5"/>
      <c r="BM90" s="5"/>
      <c r="BN90" s="5"/>
      <c r="BO90" s="5"/>
      <c r="BR90" s="1" t="s">
        <v>6</v>
      </c>
      <c r="BS90" s="1" t="s">
        <v>63</v>
      </c>
      <c r="BT90" s="1" t="s">
        <v>64</v>
      </c>
      <c r="BU90" s="1" t="s">
        <v>63</v>
      </c>
      <c r="BV90" s="1" t="s">
        <v>64</v>
      </c>
      <c r="BW90" s="1" t="s">
        <v>63</v>
      </c>
      <c r="BX90" s="1" t="s">
        <v>64</v>
      </c>
      <c r="BY90" s="1" t="s">
        <v>63</v>
      </c>
      <c r="BZ90" s="1" t="s">
        <v>64</v>
      </c>
      <c r="CA90" s="1" t="s">
        <v>63</v>
      </c>
      <c r="CB90" s="1" t="s">
        <v>64</v>
      </c>
      <c r="CC90" s="1" t="s">
        <v>63</v>
      </c>
      <c r="CD90" s="1" t="s">
        <v>64</v>
      </c>
      <c r="CE90" s="1" t="s">
        <v>63</v>
      </c>
      <c r="CF90" s="1" t="s">
        <v>64</v>
      </c>
      <c r="CG90" s="1" t="s">
        <v>63</v>
      </c>
      <c r="CH90" s="1" t="s">
        <v>64</v>
      </c>
      <c r="CI90" s="1" t="s">
        <v>63</v>
      </c>
      <c r="CJ90" s="1" t="s">
        <v>64</v>
      </c>
      <c r="CK90" s="1" t="s">
        <v>63</v>
      </c>
      <c r="CL90" s="1" t="s">
        <v>64</v>
      </c>
    </row>
    <row r="91" spans="2:90" x14ac:dyDescent="0.3">
      <c r="B91" s="1" t="s">
        <v>65</v>
      </c>
      <c r="C91" s="1" t="s">
        <v>53</v>
      </c>
      <c r="D91" s="1" t="s">
        <v>53</v>
      </c>
      <c r="E91" s="1" t="s">
        <v>54</v>
      </c>
      <c r="F91" s="1" t="s">
        <v>54</v>
      </c>
      <c r="G91" s="1" t="s">
        <v>55</v>
      </c>
      <c r="H91" s="1" t="s">
        <v>55</v>
      </c>
      <c r="I91" s="1" t="s">
        <v>56</v>
      </c>
      <c r="J91" s="1" t="s">
        <v>56</v>
      </c>
      <c r="K91" s="1" t="s">
        <v>57</v>
      </c>
      <c r="L91" s="1" t="s">
        <v>57</v>
      </c>
      <c r="M91" s="1" t="s">
        <v>58</v>
      </c>
      <c r="N91" s="1" t="s">
        <v>58</v>
      </c>
      <c r="O91" s="1" t="s">
        <v>59</v>
      </c>
      <c r="P91" s="1" t="s">
        <v>59</v>
      </c>
      <c r="Q91" s="1" t="s">
        <v>60</v>
      </c>
      <c r="R91" s="1" t="s">
        <v>60</v>
      </c>
      <c r="S91" s="1" t="s">
        <v>61</v>
      </c>
      <c r="T91" s="1" t="s">
        <v>61</v>
      </c>
      <c r="U91" s="1" t="s">
        <v>62</v>
      </c>
      <c r="V91" s="1" t="s">
        <v>62</v>
      </c>
      <c r="X91" s="1" t="s">
        <v>65</v>
      </c>
      <c r="Y91" s="1" t="s">
        <v>53</v>
      </c>
      <c r="Z91" s="1" t="s">
        <v>62</v>
      </c>
      <c r="AA91" s="1" t="s">
        <v>54</v>
      </c>
      <c r="AB91" s="1" t="s">
        <v>55</v>
      </c>
      <c r="AC91" s="1" t="s">
        <v>56</v>
      </c>
      <c r="AD91" s="1" t="s">
        <v>57</v>
      </c>
      <c r="AE91" s="1" t="s">
        <v>58</v>
      </c>
      <c r="AF91" s="1" t="s">
        <v>59</v>
      </c>
      <c r="AG91" s="1" t="s">
        <v>60</v>
      </c>
      <c r="AH91" s="1" t="s">
        <v>61</v>
      </c>
      <c r="AI91" s="1" t="s">
        <v>53</v>
      </c>
      <c r="AJ91" s="1" t="s">
        <v>62</v>
      </c>
      <c r="AK91" s="1" t="s">
        <v>54</v>
      </c>
      <c r="AL91" s="1" t="s">
        <v>55</v>
      </c>
      <c r="AM91" s="1" t="s">
        <v>56</v>
      </c>
      <c r="AN91" s="1" t="s">
        <v>57</v>
      </c>
      <c r="AO91" s="1" t="s">
        <v>58</v>
      </c>
      <c r="AP91" s="1" t="s">
        <v>59</v>
      </c>
      <c r="AQ91" s="1" t="s">
        <v>60</v>
      </c>
      <c r="AR91" s="1" t="s">
        <v>61</v>
      </c>
      <c r="AU91" s="1" t="s">
        <v>65</v>
      </c>
      <c r="AV91" s="1" t="s">
        <v>53</v>
      </c>
      <c r="AW91" s="1" t="s">
        <v>62</v>
      </c>
      <c r="AX91" s="1" t="s">
        <v>54</v>
      </c>
      <c r="AY91" s="1" t="s">
        <v>55</v>
      </c>
      <c r="AZ91" s="1" t="s">
        <v>56</v>
      </c>
      <c r="BA91" s="1" t="s">
        <v>57</v>
      </c>
      <c r="BB91" s="1" t="s">
        <v>58</v>
      </c>
      <c r="BC91" s="1" t="s">
        <v>59</v>
      </c>
      <c r="BD91" s="1" t="s">
        <v>60</v>
      </c>
      <c r="BE91" s="1" t="s">
        <v>61</v>
      </c>
      <c r="BF91" s="1" t="s">
        <v>53</v>
      </c>
      <c r="BG91" s="1" t="s">
        <v>62</v>
      </c>
      <c r="BH91" s="1" t="s">
        <v>54</v>
      </c>
      <c r="BI91" s="1" t="s">
        <v>55</v>
      </c>
      <c r="BJ91" s="1" t="s">
        <v>56</v>
      </c>
      <c r="BK91" s="1" t="s">
        <v>57</v>
      </c>
      <c r="BL91" s="1" t="s">
        <v>58</v>
      </c>
      <c r="BM91" s="1" t="s">
        <v>59</v>
      </c>
      <c r="BN91" s="1" t="s">
        <v>60</v>
      </c>
      <c r="BO91" s="1" t="s">
        <v>61</v>
      </c>
      <c r="BR91" s="1" t="s">
        <v>65</v>
      </c>
      <c r="BS91" s="1" t="s">
        <v>53</v>
      </c>
      <c r="BT91" s="1" t="s">
        <v>53</v>
      </c>
      <c r="BU91" s="1" t="s">
        <v>54</v>
      </c>
      <c r="BV91" s="1" t="s">
        <v>54</v>
      </c>
      <c r="BW91" s="1" t="s">
        <v>55</v>
      </c>
      <c r="BX91" s="1" t="s">
        <v>55</v>
      </c>
      <c r="BY91" s="1" t="s">
        <v>56</v>
      </c>
      <c r="BZ91" s="1" t="s">
        <v>56</v>
      </c>
      <c r="CA91" s="1" t="s">
        <v>57</v>
      </c>
      <c r="CB91" s="1" t="s">
        <v>57</v>
      </c>
      <c r="CC91" s="1" t="s">
        <v>58</v>
      </c>
      <c r="CD91" s="1" t="s">
        <v>58</v>
      </c>
      <c r="CE91" s="1" t="s">
        <v>59</v>
      </c>
      <c r="CF91" s="1" t="s">
        <v>59</v>
      </c>
      <c r="CG91" s="1" t="s">
        <v>60</v>
      </c>
      <c r="CH91" s="1" t="s">
        <v>60</v>
      </c>
      <c r="CI91" s="1" t="s">
        <v>61</v>
      </c>
      <c r="CJ91" s="1" t="s">
        <v>61</v>
      </c>
      <c r="CK91" s="1" t="s">
        <v>62</v>
      </c>
      <c r="CL91" s="1" t="s">
        <v>62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66</v>
      </c>
      <c r="C93" s="2">
        <v>510.65</v>
      </c>
      <c r="D93" s="2">
        <v>586.32000000000005</v>
      </c>
      <c r="E93" s="2">
        <v>27.08</v>
      </c>
      <c r="F93" s="2">
        <v>27.64</v>
      </c>
      <c r="G93" s="2">
        <v>16</v>
      </c>
      <c r="H93" s="2">
        <v>33.299999999999997</v>
      </c>
      <c r="I93" s="2">
        <v>422.47</v>
      </c>
      <c r="J93" s="2">
        <v>281.83</v>
      </c>
      <c r="K93" s="2">
        <v>723.12</v>
      </c>
      <c r="L93" s="2">
        <v>283.55</v>
      </c>
      <c r="M93" s="2">
        <v>1292.1199999999999</v>
      </c>
      <c r="N93" s="2">
        <v>413.34</v>
      </c>
      <c r="O93" s="2">
        <v>1026.74</v>
      </c>
      <c r="P93" s="2">
        <v>157.93</v>
      </c>
      <c r="Q93" s="2">
        <v>1037.0999999999999</v>
      </c>
      <c r="R93" s="2">
        <v>393.33</v>
      </c>
      <c r="S93" s="2">
        <v>77.91</v>
      </c>
      <c r="T93" s="2">
        <v>81.67</v>
      </c>
      <c r="U93" s="2">
        <v>325.62</v>
      </c>
      <c r="V93" s="2">
        <v>126.16</v>
      </c>
      <c r="X93" s="1" t="s">
        <v>66</v>
      </c>
      <c r="Y93" s="2">
        <v>3523.53</v>
      </c>
      <c r="Z93" s="2">
        <v>1211.9000000000001</v>
      </c>
      <c r="AA93" s="2">
        <v>889.83</v>
      </c>
      <c r="AB93" s="2">
        <v>252.45</v>
      </c>
      <c r="AC93" s="2">
        <v>2794.38</v>
      </c>
      <c r="AD93" s="2">
        <v>5272.66</v>
      </c>
      <c r="AE93" s="2">
        <v>9819.3799999999992</v>
      </c>
      <c r="AF93" s="2">
        <v>7343.49</v>
      </c>
      <c r="AG93" s="2">
        <v>6948.09</v>
      </c>
      <c r="AH93" s="2">
        <v>363.92</v>
      </c>
      <c r="AI93" s="2">
        <v>3128.38</v>
      </c>
      <c r="AJ93" s="2">
        <v>292.5</v>
      </c>
      <c r="AK93" s="2">
        <v>802.53</v>
      </c>
      <c r="AL93" s="2">
        <v>492.12</v>
      </c>
      <c r="AM93" s="2">
        <v>1450.83</v>
      </c>
      <c r="AN93" s="2">
        <v>1598.51</v>
      </c>
      <c r="AO93" s="2">
        <v>1997.18</v>
      </c>
      <c r="AP93" s="2">
        <v>628.63</v>
      </c>
      <c r="AQ93" s="2">
        <v>2010.78</v>
      </c>
      <c r="AR93" s="2">
        <v>224.96</v>
      </c>
      <c r="AU93" s="1" t="s">
        <v>66</v>
      </c>
      <c r="AV93" s="2">
        <v>12174.88</v>
      </c>
      <c r="AW93" s="2">
        <v>42790.45</v>
      </c>
      <c r="AX93" s="2">
        <v>13595.55</v>
      </c>
      <c r="AY93" s="2">
        <v>3875.8</v>
      </c>
      <c r="AZ93" s="2">
        <v>15653.14</v>
      </c>
      <c r="BA93" s="2">
        <v>19689.34</v>
      </c>
      <c r="BB93" s="2">
        <v>36389.86</v>
      </c>
      <c r="BC93" s="2">
        <v>28313.46</v>
      </c>
      <c r="BD93" s="2">
        <v>38314.47</v>
      </c>
      <c r="BE93" s="2">
        <v>35076.660000000003</v>
      </c>
      <c r="BF93" s="2">
        <v>12120.49</v>
      </c>
      <c r="BG93" s="2">
        <v>28192.95</v>
      </c>
      <c r="BH93" s="2">
        <v>12333.32</v>
      </c>
      <c r="BI93" s="2">
        <v>5032.9799999999996</v>
      </c>
      <c r="BJ93" s="2">
        <v>15221.49</v>
      </c>
      <c r="BK93" s="2">
        <v>18984.29</v>
      </c>
      <c r="BL93" s="2">
        <v>34888.06</v>
      </c>
      <c r="BM93" s="2">
        <v>27527.47</v>
      </c>
      <c r="BN93" s="2">
        <v>37671.1</v>
      </c>
      <c r="BO93" s="2">
        <v>21682.94</v>
      </c>
      <c r="BR93" s="1" t="s">
        <v>66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67</v>
      </c>
      <c r="C94" s="2">
        <v>165.17</v>
      </c>
      <c r="D94" s="2">
        <v>98.59</v>
      </c>
      <c r="E94" s="2">
        <v>70.88</v>
      </c>
      <c r="F94" s="2">
        <v>53.65</v>
      </c>
      <c r="G94" s="2">
        <v>34.549999999999997</v>
      </c>
      <c r="H94" s="2">
        <v>32.909999999999997</v>
      </c>
      <c r="I94" s="2">
        <v>148.5</v>
      </c>
      <c r="J94" s="2">
        <v>220.73</v>
      </c>
      <c r="K94" s="2">
        <v>210.28</v>
      </c>
      <c r="L94" s="2">
        <v>184.73</v>
      </c>
      <c r="M94" s="2">
        <v>473.34</v>
      </c>
      <c r="N94" s="2">
        <v>375.49</v>
      </c>
      <c r="O94" s="2">
        <v>382.89</v>
      </c>
      <c r="P94" s="2">
        <v>334.45</v>
      </c>
      <c r="Q94" s="2">
        <v>493.67</v>
      </c>
      <c r="R94" s="2">
        <v>371.82</v>
      </c>
      <c r="S94" s="2">
        <v>405.25</v>
      </c>
      <c r="T94" s="2">
        <v>287.29000000000002</v>
      </c>
      <c r="U94" s="2">
        <v>634.5</v>
      </c>
      <c r="V94" s="2">
        <v>315.37</v>
      </c>
      <c r="X94" s="1" t="s">
        <v>67</v>
      </c>
      <c r="Y94" s="2">
        <v>1201.19</v>
      </c>
      <c r="Z94" s="2">
        <v>3922.78</v>
      </c>
      <c r="AA94" s="2">
        <v>1325.78</v>
      </c>
      <c r="AB94" s="2">
        <v>302.74</v>
      </c>
      <c r="AC94" s="2">
        <v>1744.73</v>
      </c>
      <c r="AD94" s="2">
        <v>2022.78</v>
      </c>
      <c r="AE94" s="2">
        <v>3499.97</v>
      </c>
      <c r="AF94" s="2">
        <v>2282.46</v>
      </c>
      <c r="AG94" s="2">
        <v>2870.14</v>
      </c>
      <c r="AH94" s="2">
        <v>2538.89</v>
      </c>
      <c r="AI94" s="2">
        <v>697.02</v>
      </c>
      <c r="AJ94" s="2">
        <v>2266.62</v>
      </c>
      <c r="AK94" s="2">
        <v>805.96</v>
      </c>
      <c r="AL94" s="2">
        <v>374.91</v>
      </c>
      <c r="AM94" s="2">
        <v>1008.17</v>
      </c>
      <c r="AN94" s="2">
        <v>1168.9100000000001</v>
      </c>
      <c r="AO94" s="2">
        <v>2120.11</v>
      </c>
      <c r="AP94" s="2">
        <v>1917.37</v>
      </c>
      <c r="AQ94" s="2">
        <v>2603.89</v>
      </c>
      <c r="AR94" s="2">
        <v>1725.9</v>
      </c>
      <c r="AU94" s="1" t="s">
        <v>67</v>
      </c>
      <c r="AV94" s="2">
        <v>7271.56</v>
      </c>
      <c r="AW94" s="2">
        <v>24284.12</v>
      </c>
      <c r="AX94" s="2">
        <v>7483.41</v>
      </c>
      <c r="AY94" s="2">
        <v>1687.56</v>
      </c>
      <c r="AZ94" s="2">
        <v>9929.0300000000007</v>
      </c>
      <c r="BA94" s="2">
        <v>12388.62</v>
      </c>
      <c r="BB94" s="2">
        <v>21808.39</v>
      </c>
      <c r="BC94" s="2">
        <v>13893.45</v>
      </c>
      <c r="BD94" s="2">
        <v>17503.939999999999</v>
      </c>
      <c r="BE94" s="2">
        <v>15428.07</v>
      </c>
      <c r="BF94" s="2">
        <v>4183.05</v>
      </c>
      <c r="BG94" s="2">
        <v>13686.78</v>
      </c>
      <c r="BH94" s="2">
        <v>4506.1000000000004</v>
      </c>
      <c r="BI94" s="2">
        <v>2093.34</v>
      </c>
      <c r="BJ94" s="2">
        <v>5640.47</v>
      </c>
      <c r="BK94" s="2">
        <v>7031.69</v>
      </c>
      <c r="BL94" s="2">
        <v>12800.45</v>
      </c>
      <c r="BM94" s="2">
        <v>11585.32</v>
      </c>
      <c r="BN94" s="2">
        <v>15798.75</v>
      </c>
      <c r="BO94" s="2">
        <v>10378.780000000001</v>
      </c>
      <c r="BR94" s="1" t="s">
        <v>67</v>
      </c>
      <c r="BS94" s="2">
        <v>1.58</v>
      </c>
      <c r="BT94" s="2">
        <v>0.91</v>
      </c>
      <c r="BU94" s="2">
        <v>1.25</v>
      </c>
      <c r="BV94" s="2">
        <v>0.78</v>
      </c>
      <c r="BW94" s="2">
        <v>0.49</v>
      </c>
      <c r="BX94" s="2">
        <v>0.38</v>
      </c>
      <c r="BY94" s="2">
        <v>1.84</v>
      </c>
      <c r="BZ94" s="2">
        <v>2.14</v>
      </c>
      <c r="CA94" s="2">
        <v>2.56</v>
      </c>
      <c r="CB94" s="2">
        <v>2.0499999999999998</v>
      </c>
      <c r="CC94" s="2">
        <v>5.89</v>
      </c>
      <c r="CD94" s="2">
        <v>3.82</v>
      </c>
      <c r="CE94" s="2">
        <v>4.25</v>
      </c>
      <c r="CF94" s="2">
        <v>3.43</v>
      </c>
      <c r="CG94" s="2">
        <v>5.26</v>
      </c>
      <c r="CH94" s="2">
        <v>3.89</v>
      </c>
      <c r="CI94" s="2">
        <v>4.43</v>
      </c>
      <c r="CJ94" s="2">
        <v>2.87</v>
      </c>
      <c r="CK94" s="2">
        <v>4.7699999999999996</v>
      </c>
      <c r="CL94" s="2">
        <v>2.71</v>
      </c>
    </row>
    <row r="95" spans="2:90" x14ac:dyDescent="0.3">
      <c r="B95" s="1" t="s">
        <v>68</v>
      </c>
      <c r="C95" s="2">
        <v>4482.3999999999996</v>
      </c>
      <c r="D95" s="2">
        <v>366.8</v>
      </c>
      <c r="E95" s="2">
        <v>2039.11</v>
      </c>
      <c r="F95" s="2">
        <v>137.69</v>
      </c>
      <c r="G95" s="2">
        <v>1172.99</v>
      </c>
      <c r="H95" s="2">
        <v>707.8</v>
      </c>
      <c r="I95" s="2">
        <v>2839.61</v>
      </c>
      <c r="J95" s="2">
        <v>1507.02</v>
      </c>
      <c r="K95" s="2">
        <v>3948.42</v>
      </c>
      <c r="L95" s="2">
        <v>1625.87</v>
      </c>
      <c r="M95" s="2">
        <v>7382.51</v>
      </c>
      <c r="N95" s="2">
        <v>3105.74</v>
      </c>
      <c r="O95" s="2">
        <v>6812.51</v>
      </c>
      <c r="P95" s="2">
        <v>2736.08</v>
      </c>
      <c r="Q95" s="2">
        <v>8753.94</v>
      </c>
      <c r="R95" s="2">
        <v>2922.2</v>
      </c>
      <c r="S95" s="2">
        <v>3166.64</v>
      </c>
      <c r="T95" s="2">
        <v>2338.94</v>
      </c>
      <c r="U95" s="2">
        <v>2707.49</v>
      </c>
      <c r="V95" s="2">
        <v>2342.5</v>
      </c>
      <c r="X95" s="1" t="s">
        <v>68</v>
      </c>
      <c r="Y95" s="2">
        <v>5894.38</v>
      </c>
      <c r="Z95" s="2">
        <v>7120.01</v>
      </c>
      <c r="AA95" s="2">
        <v>6037.49</v>
      </c>
      <c r="AB95" s="2">
        <v>2398.8000000000002</v>
      </c>
      <c r="AC95" s="2">
        <v>8536.6299999999992</v>
      </c>
      <c r="AD95" s="2">
        <v>11120.44</v>
      </c>
      <c r="AE95" s="2">
        <v>20538.400000000001</v>
      </c>
      <c r="AF95" s="2">
        <v>15093.15</v>
      </c>
      <c r="AG95" s="2">
        <v>19158.95</v>
      </c>
      <c r="AH95" s="2">
        <v>8379.4</v>
      </c>
      <c r="AI95" s="2">
        <v>1699.69</v>
      </c>
      <c r="AJ95" s="2">
        <v>6218.69</v>
      </c>
      <c r="AK95" s="2">
        <v>1802.75</v>
      </c>
      <c r="AL95" s="2">
        <v>2088.16</v>
      </c>
      <c r="AM95" s="2">
        <v>3799.49</v>
      </c>
      <c r="AN95" s="2">
        <v>3887.74</v>
      </c>
      <c r="AO95" s="2">
        <v>6932.84</v>
      </c>
      <c r="AP95" s="2">
        <v>5857.01</v>
      </c>
      <c r="AQ95" s="2">
        <v>7237.02</v>
      </c>
      <c r="AR95" s="2">
        <v>5075.74</v>
      </c>
      <c r="AU95" s="1" t="s">
        <v>68</v>
      </c>
      <c r="AV95" s="2">
        <v>21193.02</v>
      </c>
      <c r="AW95" s="2">
        <v>42942.75</v>
      </c>
      <c r="AX95" s="2">
        <v>23842.31</v>
      </c>
      <c r="AY95" s="2">
        <v>5324.22</v>
      </c>
      <c r="AZ95" s="2">
        <v>25399.26</v>
      </c>
      <c r="BA95" s="2">
        <v>32261.96</v>
      </c>
      <c r="BB95" s="2">
        <v>58816.85</v>
      </c>
      <c r="BC95" s="2">
        <v>40895.79</v>
      </c>
      <c r="BD95" s="2">
        <v>50861.23</v>
      </c>
      <c r="BE95" s="2">
        <v>42292.78</v>
      </c>
      <c r="BF95" s="2">
        <v>10200.379999999999</v>
      </c>
      <c r="BG95" s="2">
        <v>37382.36</v>
      </c>
      <c r="BH95" s="2">
        <v>10074.700000000001</v>
      </c>
      <c r="BI95" s="2">
        <v>6582.2</v>
      </c>
      <c r="BJ95" s="2">
        <v>18349.29</v>
      </c>
      <c r="BK95" s="2">
        <v>21722.13</v>
      </c>
      <c r="BL95" s="2">
        <v>38438.800000000003</v>
      </c>
      <c r="BM95" s="2">
        <v>31575.360000000001</v>
      </c>
      <c r="BN95" s="2">
        <v>42310.03</v>
      </c>
      <c r="BO95" s="2">
        <v>30516.1</v>
      </c>
      <c r="BR95" s="1" t="s">
        <v>68</v>
      </c>
      <c r="BS95" s="2">
        <v>4.68</v>
      </c>
      <c r="BT95" s="2">
        <v>1.1399999999999999</v>
      </c>
      <c r="BU95" s="2">
        <v>5.2</v>
      </c>
      <c r="BV95" s="2">
        <v>0.88</v>
      </c>
      <c r="BW95" s="2">
        <v>0.9</v>
      </c>
      <c r="BX95" s="2">
        <v>0.9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5.36</v>
      </c>
      <c r="CK95" s="2">
        <v>6.83</v>
      </c>
      <c r="CL95" s="2">
        <v>6.03</v>
      </c>
    </row>
    <row r="96" spans="2:90" x14ac:dyDescent="0.3">
      <c r="B96" s="1" t="s">
        <v>69</v>
      </c>
      <c r="C96" s="2">
        <v>1006.94</v>
      </c>
      <c r="D96" s="2">
        <v>184.98</v>
      </c>
      <c r="E96" s="2">
        <v>401.55</v>
      </c>
      <c r="F96" s="2">
        <v>63.87</v>
      </c>
      <c r="G96" s="2">
        <v>298.10000000000002</v>
      </c>
      <c r="H96" s="2">
        <v>339.11</v>
      </c>
      <c r="I96" s="2">
        <v>853.27</v>
      </c>
      <c r="J96" s="2">
        <v>530.79999999999995</v>
      </c>
      <c r="K96" s="2">
        <v>1053.1500000000001</v>
      </c>
      <c r="L96" s="2">
        <v>499.92</v>
      </c>
      <c r="M96" s="2">
        <v>1908.12</v>
      </c>
      <c r="N96" s="2">
        <v>896.76</v>
      </c>
      <c r="O96" s="2">
        <v>1656.2</v>
      </c>
      <c r="P96" s="2">
        <v>759.25</v>
      </c>
      <c r="Q96" s="2">
        <v>1568.6</v>
      </c>
      <c r="R96" s="2">
        <v>800.48</v>
      </c>
      <c r="S96" s="2">
        <v>647.53</v>
      </c>
      <c r="T96" s="2">
        <v>709.58</v>
      </c>
      <c r="U96" s="2">
        <v>829.6</v>
      </c>
      <c r="V96" s="2">
        <v>771.81</v>
      </c>
      <c r="X96" s="1" t="s">
        <v>69</v>
      </c>
      <c r="Y96" s="2">
        <v>1040.05</v>
      </c>
      <c r="Z96" s="2">
        <v>2300.86</v>
      </c>
      <c r="AA96" s="2">
        <v>1831.6</v>
      </c>
      <c r="AB96" s="2">
        <v>548.51</v>
      </c>
      <c r="AC96" s="2">
        <v>2000.78</v>
      </c>
      <c r="AD96" s="2">
        <v>2340.17</v>
      </c>
      <c r="AE96" s="2">
        <v>4193.57</v>
      </c>
      <c r="AF96" s="2">
        <v>3296.01</v>
      </c>
      <c r="AG96" s="2">
        <v>3272.94</v>
      </c>
      <c r="AH96" s="2">
        <v>1970.03</v>
      </c>
      <c r="AI96" s="2">
        <v>598.14</v>
      </c>
      <c r="AJ96" s="2">
        <v>2160.6999999999998</v>
      </c>
      <c r="AK96" s="2">
        <v>707.49</v>
      </c>
      <c r="AL96" s="2">
        <v>463.94</v>
      </c>
      <c r="AM96" s="2">
        <v>1145.5999999999999</v>
      </c>
      <c r="AN96" s="2">
        <v>1236.6600000000001</v>
      </c>
      <c r="AO96" s="2">
        <v>2104.38</v>
      </c>
      <c r="AP96" s="2">
        <v>1734.25</v>
      </c>
      <c r="AQ96" s="2">
        <v>2148.33</v>
      </c>
      <c r="AR96" s="2">
        <v>1727.4</v>
      </c>
      <c r="AU96" s="1" t="s">
        <v>69</v>
      </c>
      <c r="AV96" s="2">
        <v>6227.98</v>
      </c>
      <c r="AW96" s="2">
        <v>13814.99</v>
      </c>
      <c r="AX96" s="2">
        <v>6605.03</v>
      </c>
      <c r="AY96" s="2">
        <v>1748.92</v>
      </c>
      <c r="AZ96" s="2">
        <v>7505.14</v>
      </c>
      <c r="BA96" s="2">
        <v>9394.36</v>
      </c>
      <c r="BB96" s="2">
        <v>16864.52</v>
      </c>
      <c r="BC96" s="2">
        <v>13112.25</v>
      </c>
      <c r="BD96" s="2">
        <v>16285.28</v>
      </c>
      <c r="BE96" s="2">
        <v>11862.87</v>
      </c>
      <c r="BF96" s="2">
        <v>3378.17</v>
      </c>
      <c r="BG96" s="2">
        <v>12951.64</v>
      </c>
      <c r="BH96" s="2">
        <v>3951.32</v>
      </c>
      <c r="BI96" s="2">
        <v>2604.7199999999998</v>
      </c>
      <c r="BJ96" s="2">
        <v>6419.8</v>
      </c>
      <c r="BK96" s="2">
        <v>7437.17</v>
      </c>
      <c r="BL96" s="2">
        <v>12668.16</v>
      </c>
      <c r="BM96" s="2">
        <v>10426.61</v>
      </c>
      <c r="BN96" s="2">
        <v>12929.31</v>
      </c>
      <c r="BO96" s="2">
        <v>10352.459999999999</v>
      </c>
      <c r="BR96" s="1" t="s">
        <v>69</v>
      </c>
      <c r="BS96" s="2">
        <v>4.68</v>
      </c>
      <c r="BT96" s="2">
        <v>1.2</v>
      </c>
      <c r="BU96" s="2">
        <v>2.34</v>
      </c>
      <c r="BV96" s="2">
        <v>0.76</v>
      </c>
      <c r="BW96" s="2">
        <v>0.9</v>
      </c>
      <c r="BX96" s="2">
        <v>1.68</v>
      </c>
      <c r="BY96" s="2">
        <v>2.88</v>
      </c>
      <c r="BZ96" s="2">
        <v>2.75</v>
      </c>
      <c r="CA96" s="2">
        <v>3.6</v>
      </c>
      <c r="CB96" s="2">
        <v>2.92</v>
      </c>
      <c r="CC96" s="2">
        <v>6.48</v>
      </c>
      <c r="CD96" s="2">
        <v>5.01</v>
      </c>
      <c r="CE96" s="2">
        <v>5.22</v>
      </c>
      <c r="CF96" s="2">
        <v>4.0999999999999996</v>
      </c>
      <c r="CG96" s="2">
        <v>6.84</v>
      </c>
      <c r="CH96" s="2">
        <v>4.82</v>
      </c>
      <c r="CI96" s="2">
        <v>4.25</v>
      </c>
      <c r="CJ96" s="2">
        <v>3.88</v>
      </c>
      <c r="CK96" s="2">
        <v>4.97</v>
      </c>
      <c r="CL96" s="2">
        <v>4.5999999999999996</v>
      </c>
    </row>
    <row r="97" spans="2:90" x14ac:dyDescent="0.3">
      <c r="B97" s="1" t="s">
        <v>70</v>
      </c>
      <c r="C97" s="2">
        <v>2833.61</v>
      </c>
      <c r="D97" s="2">
        <v>2857.74</v>
      </c>
      <c r="E97" s="2">
        <v>1570.25</v>
      </c>
      <c r="F97" s="2">
        <v>654.76</v>
      </c>
      <c r="G97" s="2">
        <v>918.98</v>
      </c>
      <c r="H97" s="2">
        <v>874.49</v>
      </c>
      <c r="I97" s="2">
        <v>1202</v>
      </c>
      <c r="J97" s="2">
        <v>2954.58</v>
      </c>
      <c r="K97" s="2">
        <v>3088.09</v>
      </c>
      <c r="L97" s="2">
        <v>3488.62</v>
      </c>
      <c r="M97" s="2">
        <v>4862.24</v>
      </c>
      <c r="N97" s="2">
        <v>4523.88</v>
      </c>
      <c r="O97" s="2">
        <v>3423.63</v>
      </c>
      <c r="P97" s="2">
        <v>3282.24</v>
      </c>
      <c r="Q97" s="2">
        <v>3607.41</v>
      </c>
      <c r="R97" s="2">
        <v>3599.6</v>
      </c>
      <c r="S97" s="2">
        <v>2910.21</v>
      </c>
      <c r="T97" s="2">
        <v>2550.58</v>
      </c>
      <c r="U97" s="2">
        <v>4129.5600000000004</v>
      </c>
      <c r="V97" s="2">
        <v>3175.89</v>
      </c>
      <c r="X97" s="1" t="s">
        <v>70</v>
      </c>
      <c r="Y97" s="2">
        <v>5810.41</v>
      </c>
      <c r="Z97" s="2">
        <v>13467.57</v>
      </c>
      <c r="AA97" s="2">
        <v>6005.62</v>
      </c>
      <c r="AB97" s="2">
        <v>2260.14</v>
      </c>
      <c r="AC97" s="2">
        <v>6461.48</v>
      </c>
      <c r="AD97" s="2">
        <v>9204.07</v>
      </c>
      <c r="AE97" s="2">
        <v>14514.88</v>
      </c>
      <c r="AF97" s="2">
        <v>10450.58</v>
      </c>
      <c r="AG97" s="2">
        <v>12365.65</v>
      </c>
      <c r="AH97" s="2">
        <v>10049.200000000001</v>
      </c>
      <c r="AI97" s="2">
        <v>6265.12</v>
      </c>
      <c r="AJ97" s="2">
        <v>15443.67</v>
      </c>
      <c r="AK97" s="2">
        <v>6626.13</v>
      </c>
      <c r="AL97" s="2">
        <v>2515.64</v>
      </c>
      <c r="AM97" s="2">
        <v>7913.02</v>
      </c>
      <c r="AN97" s="2">
        <v>9892.8799999999992</v>
      </c>
      <c r="AO97" s="2">
        <v>14476.76</v>
      </c>
      <c r="AP97" s="2">
        <v>11446.78</v>
      </c>
      <c r="AQ97" s="2">
        <v>12771.14</v>
      </c>
      <c r="AR97" s="2">
        <v>10870.17</v>
      </c>
      <c r="AU97" s="1" t="s">
        <v>70</v>
      </c>
      <c r="AV97" s="2">
        <v>20307.45</v>
      </c>
      <c r="AW97" s="2">
        <v>80348.429999999993</v>
      </c>
      <c r="AX97" s="2">
        <v>33749.9</v>
      </c>
      <c r="AY97" s="2">
        <v>7735.93</v>
      </c>
      <c r="AZ97" s="2">
        <v>35944.120000000003</v>
      </c>
      <c r="BA97" s="2">
        <v>47596.93</v>
      </c>
      <c r="BB97" s="2">
        <v>83660.72</v>
      </c>
      <c r="BC97" s="2">
        <v>62672.92</v>
      </c>
      <c r="BD97" s="2">
        <v>73989.350000000006</v>
      </c>
      <c r="BE97" s="2">
        <v>59868.4</v>
      </c>
      <c r="BF97" s="2">
        <v>27133.18</v>
      </c>
      <c r="BG97" s="2">
        <v>92983.83</v>
      </c>
      <c r="BH97" s="2">
        <v>37020.720000000001</v>
      </c>
      <c r="BI97" s="2">
        <v>8952.35</v>
      </c>
      <c r="BJ97" s="2">
        <v>32974.18</v>
      </c>
      <c r="BK97" s="2">
        <v>47364.12</v>
      </c>
      <c r="BL97" s="2">
        <v>87671.44</v>
      </c>
      <c r="BM97" s="2">
        <v>68890.47</v>
      </c>
      <c r="BN97" s="2">
        <v>76507.960000000006</v>
      </c>
      <c r="BO97" s="2">
        <v>64883.53</v>
      </c>
      <c r="BR97" s="1" t="s">
        <v>70</v>
      </c>
      <c r="BS97" s="2">
        <v>2.34</v>
      </c>
      <c r="BT97" s="2">
        <v>2.34</v>
      </c>
      <c r="BU97" s="2">
        <v>3.69</v>
      </c>
      <c r="BV97" s="2">
        <v>1.41</v>
      </c>
      <c r="BW97" s="2">
        <v>0.9</v>
      </c>
      <c r="BX97" s="2">
        <v>0.9</v>
      </c>
      <c r="BY97" s="2">
        <v>1.72</v>
      </c>
      <c r="BZ97" s="2">
        <v>2.88</v>
      </c>
      <c r="CA97" s="2">
        <v>3.6</v>
      </c>
      <c r="CB97" s="2">
        <v>3.6</v>
      </c>
      <c r="CC97" s="2">
        <v>6.48</v>
      </c>
      <c r="CD97" s="2">
        <v>6.09</v>
      </c>
      <c r="CE97" s="2">
        <v>4.7</v>
      </c>
      <c r="CF97" s="2">
        <v>4.42</v>
      </c>
      <c r="CG97" s="2">
        <v>5.0599999999999996</v>
      </c>
      <c r="CH97" s="2">
        <v>5.17</v>
      </c>
      <c r="CI97" s="2">
        <v>4.13</v>
      </c>
      <c r="CJ97" s="2">
        <v>3.68</v>
      </c>
      <c r="CK97" s="2">
        <v>5.21</v>
      </c>
      <c r="CL97" s="2">
        <v>3.75</v>
      </c>
    </row>
    <row r="98" spans="2:90" x14ac:dyDescent="0.3">
      <c r="B98" s="1" t="s">
        <v>71</v>
      </c>
      <c r="C98" s="2">
        <v>571.99</v>
      </c>
      <c r="D98" s="2">
        <v>518.52</v>
      </c>
      <c r="E98" s="2">
        <v>289.37</v>
      </c>
      <c r="F98" s="2">
        <v>183.31</v>
      </c>
      <c r="G98" s="2">
        <v>163.83000000000001</v>
      </c>
      <c r="H98" s="2">
        <v>149.16999999999999</v>
      </c>
      <c r="I98" s="2">
        <v>163.19</v>
      </c>
      <c r="J98" s="2">
        <v>427.08</v>
      </c>
      <c r="K98" s="2">
        <v>202.78</v>
      </c>
      <c r="L98" s="2">
        <v>649.76</v>
      </c>
      <c r="M98" s="2">
        <v>498.93</v>
      </c>
      <c r="N98" s="2">
        <v>1019.12</v>
      </c>
      <c r="O98" s="2">
        <v>397.8</v>
      </c>
      <c r="P98" s="2">
        <v>616.14</v>
      </c>
      <c r="Q98" s="2">
        <v>529.16999999999996</v>
      </c>
      <c r="R98" s="2">
        <v>914.88</v>
      </c>
      <c r="S98" s="2">
        <v>474.47</v>
      </c>
      <c r="T98" s="2">
        <v>572.57000000000005</v>
      </c>
      <c r="U98" s="2">
        <v>573.94000000000005</v>
      </c>
      <c r="V98" s="2">
        <v>317.39</v>
      </c>
      <c r="X98" s="1" t="s">
        <v>71</v>
      </c>
      <c r="Y98" s="2">
        <v>1595.12</v>
      </c>
      <c r="Z98" s="2">
        <v>3440.68</v>
      </c>
      <c r="AA98" s="2">
        <v>1755.93</v>
      </c>
      <c r="AB98" s="2">
        <v>549.71</v>
      </c>
      <c r="AC98" s="2">
        <v>1512.94</v>
      </c>
      <c r="AD98" s="2">
        <v>1770.92</v>
      </c>
      <c r="AE98" s="2">
        <v>3311.25</v>
      </c>
      <c r="AF98" s="2">
        <v>2662.45</v>
      </c>
      <c r="AG98" s="2">
        <v>3407.09</v>
      </c>
      <c r="AH98" s="2">
        <v>2844.67</v>
      </c>
      <c r="AI98" s="2">
        <v>1673.33</v>
      </c>
      <c r="AJ98" s="2">
        <v>3531.25</v>
      </c>
      <c r="AK98" s="2">
        <v>1814.26</v>
      </c>
      <c r="AL98" s="2">
        <v>635.59</v>
      </c>
      <c r="AM98" s="2">
        <v>1661.75</v>
      </c>
      <c r="AN98" s="2">
        <v>2257.64</v>
      </c>
      <c r="AO98" s="2">
        <v>4165.87</v>
      </c>
      <c r="AP98" s="2">
        <v>3324.44</v>
      </c>
      <c r="AQ98" s="2">
        <v>4148.7700000000004</v>
      </c>
      <c r="AR98" s="2">
        <v>3723.35</v>
      </c>
      <c r="AU98" s="1" t="s">
        <v>71</v>
      </c>
      <c r="AV98" s="2">
        <v>4935.24</v>
      </c>
      <c r="AW98" s="2">
        <v>16701.07</v>
      </c>
      <c r="AX98" s="2">
        <v>8121.64</v>
      </c>
      <c r="AY98" s="2">
        <v>1619.15</v>
      </c>
      <c r="AZ98" s="2">
        <v>6777.14</v>
      </c>
      <c r="BA98" s="2">
        <v>8555.08</v>
      </c>
      <c r="BB98" s="2">
        <v>16248.27</v>
      </c>
      <c r="BC98" s="2">
        <v>12982.4</v>
      </c>
      <c r="BD98" s="2">
        <v>16695.03</v>
      </c>
      <c r="BE98" s="2">
        <v>13829.24</v>
      </c>
      <c r="BF98" s="2">
        <v>5288.42</v>
      </c>
      <c r="BG98" s="2">
        <v>17180</v>
      </c>
      <c r="BH98" s="2">
        <v>8425.08</v>
      </c>
      <c r="BI98" s="2">
        <v>1975.81</v>
      </c>
      <c r="BJ98" s="2">
        <v>5245.27</v>
      </c>
      <c r="BK98" s="2">
        <v>11184.71</v>
      </c>
      <c r="BL98" s="2">
        <v>21472.34</v>
      </c>
      <c r="BM98" s="2">
        <v>16698.61</v>
      </c>
      <c r="BN98" s="2">
        <v>21056.11</v>
      </c>
      <c r="BO98" s="2">
        <v>18614</v>
      </c>
      <c r="BR98" s="1" t="s">
        <v>71</v>
      </c>
      <c r="BS98" s="2">
        <v>2.34</v>
      </c>
      <c r="BT98" s="2">
        <v>2.34</v>
      </c>
      <c r="BU98" s="2">
        <v>3.38</v>
      </c>
      <c r="BV98" s="2">
        <v>3.3</v>
      </c>
      <c r="BW98" s="2">
        <v>0.9</v>
      </c>
      <c r="BX98" s="2">
        <v>0.9</v>
      </c>
      <c r="BY98" s="2">
        <v>1.71</v>
      </c>
      <c r="BZ98" s="2">
        <v>2.88</v>
      </c>
      <c r="CA98" s="2">
        <v>2.11</v>
      </c>
      <c r="CB98" s="2">
        <v>4.92</v>
      </c>
      <c r="CC98" s="2">
        <v>4.5599999999999996</v>
      </c>
      <c r="CD98" s="2">
        <v>8.9700000000000006</v>
      </c>
      <c r="CE98" s="2">
        <v>3.59</v>
      </c>
      <c r="CF98" s="2">
        <v>5.95</v>
      </c>
      <c r="CG98" s="2">
        <v>4.66</v>
      </c>
      <c r="CH98" s="2">
        <v>7.86</v>
      </c>
      <c r="CI98" s="2">
        <v>3.85</v>
      </c>
      <c r="CJ98" s="2">
        <v>5.77</v>
      </c>
      <c r="CK98" s="2">
        <v>4.45</v>
      </c>
      <c r="CL98" s="2">
        <v>3.8</v>
      </c>
    </row>
    <row r="99" spans="2:90" x14ac:dyDescent="0.3">
      <c r="B99" s="1" t="s">
        <v>72</v>
      </c>
      <c r="C99" s="2">
        <v>3529.4</v>
      </c>
      <c r="D99" s="2">
        <v>3916.22</v>
      </c>
      <c r="E99" s="2">
        <v>1035.3800000000001</v>
      </c>
      <c r="F99" s="2">
        <v>1422.52</v>
      </c>
      <c r="G99" s="2">
        <v>531.1</v>
      </c>
      <c r="H99" s="2">
        <v>1208.77</v>
      </c>
      <c r="I99" s="2">
        <v>1267.01</v>
      </c>
      <c r="J99" s="2">
        <v>2514.48</v>
      </c>
      <c r="K99" s="2">
        <v>1221.44</v>
      </c>
      <c r="L99" s="2">
        <v>3357.22</v>
      </c>
      <c r="M99" s="2">
        <v>2491.9</v>
      </c>
      <c r="N99" s="2">
        <v>5685.16</v>
      </c>
      <c r="O99" s="2">
        <v>2103.7399999999998</v>
      </c>
      <c r="P99" s="2">
        <v>4112.8599999999997</v>
      </c>
      <c r="Q99" s="2">
        <v>3445.72</v>
      </c>
      <c r="R99" s="2">
        <v>4455.45</v>
      </c>
      <c r="S99" s="2">
        <v>2503.2800000000002</v>
      </c>
      <c r="T99" s="2">
        <v>2298.4299999999998</v>
      </c>
      <c r="U99" s="2">
        <v>2958.81</v>
      </c>
      <c r="V99" s="2">
        <v>2542.2399999999998</v>
      </c>
      <c r="X99" s="1" t="s">
        <v>72</v>
      </c>
      <c r="Y99" s="2">
        <v>6178</v>
      </c>
      <c r="Z99" s="2">
        <v>10945.19</v>
      </c>
      <c r="AA99" s="2">
        <v>5153.33</v>
      </c>
      <c r="AB99" s="2">
        <v>1996.96</v>
      </c>
      <c r="AC99" s="2">
        <v>6105.46</v>
      </c>
      <c r="AD99" s="2">
        <v>5760.16</v>
      </c>
      <c r="AE99" s="2">
        <v>11375.12</v>
      </c>
      <c r="AF99" s="2">
        <v>9246.15</v>
      </c>
      <c r="AG99" s="2">
        <v>13266.01</v>
      </c>
      <c r="AH99" s="2">
        <v>8840.7000000000007</v>
      </c>
      <c r="AI99" s="2">
        <v>6379.19</v>
      </c>
      <c r="AJ99" s="2">
        <v>11023.2</v>
      </c>
      <c r="AK99" s="2">
        <v>6989.96</v>
      </c>
      <c r="AL99" s="2">
        <v>2417.64</v>
      </c>
      <c r="AM99" s="2">
        <v>8262.92</v>
      </c>
      <c r="AN99" s="2">
        <v>12855.72</v>
      </c>
      <c r="AO99" s="2">
        <v>23339.21</v>
      </c>
      <c r="AP99" s="2">
        <v>16880.400000000001</v>
      </c>
      <c r="AQ99" s="2">
        <v>12184.02</v>
      </c>
      <c r="AR99" s="2">
        <v>9449.48</v>
      </c>
      <c r="AU99" s="1" t="s">
        <v>72</v>
      </c>
      <c r="AV99" s="2">
        <v>20245.740000000002</v>
      </c>
      <c r="AW99" s="2">
        <v>53623.08</v>
      </c>
      <c r="AX99" s="2">
        <v>23977.9</v>
      </c>
      <c r="AY99" s="2">
        <v>5175.72</v>
      </c>
      <c r="AZ99" s="2">
        <v>23173.200000000001</v>
      </c>
      <c r="BA99" s="2">
        <v>27947.33</v>
      </c>
      <c r="BB99" s="2">
        <v>51580.2</v>
      </c>
      <c r="BC99" s="2">
        <v>41570.39</v>
      </c>
      <c r="BD99" s="2">
        <v>54913.5</v>
      </c>
      <c r="BE99" s="2">
        <v>43277.97</v>
      </c>
      <c r="BF99" s="2">
        <v>21048.73</v>
      </c>
      <c r="BG99" s="2">
        <v>54070.23</v>
      </c>
      <c r="BH99" s="2">
        <v>27176.47</v>
      </c>
      <c r="BI99" s="2">
        <v>7797.79</v>
      </c>
      <c r="BJ99" s="2">
        <v>17879.689999999999</v>
      </c>
      <c r="BK99" s="2">
        <v>34887.97</v>
      </c>
      <c r="BL99" s="2">
        <v>63900.5</v>
      </c>
      <c r="BM99" s="2">
        <v>49828.59</v>
      </c>
      <c r="BN99" s="2">
        <v>62174.94</v>
      </c>
      <c r="BO99" s="2">
        <v>46500.26</v>
      </c>
      <c r="BR99" s="1" t="s">
        <v>72</v>
      </c>
      <c r="BS99" s="2">
        <v>4.68</v>
      </c>
      <c r="BT99" s="2">
        <v>4.68</v>
      </c>
      <c r="BU99" s="2">
        <v>4.17</v>
      </c>
      <c r="BV99" s="2">
        <v>4.83</v>
      </c>
      <c r="BW99" s="2">
        <v>0.9</v>
      </c>
      <c r="BX99" s="2">
        <v>1.8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10.47</v>
      </c>
      <c r="CI99" s="2">
        <v>5.9</v>
      </c>
      <c r="CJ99" s="2">
        <v>6.08</v>
      </c>
      <c r="CK99" s="2">
        <v>7.03</v>
      </c>
      <c r="CL99" s="2">
        <v>6.78</v>
      </c>
    </row>
    <row r="100" spans="2:90" x14ac:dyDescent="0.3">
      <c r="B100" s="1" t="s">
        <v>73</v>
      </c>
      <c r="C100" s="2">
        <v>434.71</v>
      </c>
      <c r="D100" s="2">
        <v>622.41999999999996</v>
      </c>
      <c r="E100" s="2">
        <v>73.400000000000006</v>
      </c>
      <c r="F100" s="2">
        <v>82.84</v>
      </c>
      <c r="G100" s="2">
        <v>108.88</v>
      </c>
      <c r="H100" s="2">
        <v>61.59</v>
      </c>
      <c r="I100" s="2">
        <v>215.34</v>
      </c>
      <c r="J100" s="2">
        <v>840.68</v>
      </c>
      <c r="K100" s="2">
        <v>600.17999999999995</v>
      </c>
      <c r="L100" s="2">
        <v>976.69</v>
      </c>
      <c r="M100" s="2">
        <v>1623.97</v>
      </c>
      <c r="N100" s="2">
        <v>1836.97</v>
      </c>
      <c r="O100" s="2">
        <v>1483.68</v>
      </c>
      <c r="P100" s="2">
        <v>1382.75</v>
      </c>
      <c r="Q100" s="2">
        <v>1705.73</v>
      </c>
      <c r="R100" s="2">
        <v>1486.65</v>
      </c>
      <c r="S100" s="2">
        <v>1388.19</v>
      </c>
      <c r="T100" s="2">
        <v>1084.92</v>
      </c>
      <c r="U100" s="2">
        <v>1614.58</v>
      </c>
      <c r="V100" s="2">
        <v>1438.84</v>
      </c>
      <c r="X100" s="1" t="s">
        <v>73</v>
      </c>
      <c r="Y100" s="2">
        <v>2276.4899999999998</v>
      </c>
      <c r="Z100" s="2">
        <v>6520.87</v>
      </c>
      <c r="AA100" s="2">
        <v>2539.85</v>
      </c>
      <c r="AB100" s="2">
        <v>181.73</v>
      </c>
      <c r="AC100" s="2">
        <v>1776.98</v>
      </c>
      <c r="AD100" s="2">
        <v>3037.48</v>
      </c>
      <c r="AE100" s="2">
        <v>5538.68</v>
      </c>
      <c r="AF100" s="2">
        <v>4394.42</v>
      </c>
      <c r="AG100" s="2">
        <v>5699</v>
      </c>
      <c r="AH100" s="2">
        <v>4841.18</v>
      </c>
      <c r="AI100" s="2">
        <v>2964.98</v>
      </c>
      <c r="AJ100" s="2">
        <v>6437.92</v>
      </c>
      <c r="AK100" s="2">
        <v>2693.51</v>
      </c>
      <c r="AL100" s="2">
        <v>1060.78</v>
      </c>
      <c r="AM100" s="2">
        <v>3586.54</v>
      </c>
      <c r="AN100" s="2">
        <v>4220.37</v>
      </c>
      <c r="AO100" s="2">
        <v>7778.62</v>
      </c>
      <c r="AP100" s="2">
        <v>5685.87</v>
      </c>
      <c r="AQ100" s="2">
        <v>6040.76</v>
      </c>
      <c r="AR100" s="2">
        <v>4927.5200000000004</v>
      </c>
      <c r="AU100" s="1" t="s">
        <v>73</v>
      </c>
      <c r="AV100" s="2">
        <v>10856.37</v>
      </c>
      <c r="AW100" s="2">
        <v>26998.28</v>
      </c>
      <c r="AX100" s="2">
        <v>11272.39</v>
      </c>
      <c r="AY100" s="2">
        <v>3171.22</v>
      </c>
      <c r="AZ100" s="2">
        <v>10148.14</v>
      </c>
      <c r="BA100" s="2">
        <v>13600.52</v>
      </c>
      <c r="BB100" s="2">
        <v>24067.360000000001</v>
      </c>
      <c r="BC100" s="2">
        <v>19079.05</v>
      </c>
      <c r="BD100" s="2">
        <v>23899.96</v>
      </c>
      <c r="BE100" s="2">
        <v>19611.28</v>
      </c>
      <c r="BF100" s="2">
        <v>14179.42</v>
      </c>
      <c r="BG100" s="2">
        <v>28054.58</v>
      </c>
      <c r="BH100" s="2">
        <v>11961.13</v>
      </c>
      <c r="BI100" s="2">
        <v>4697.87</v>
      </c>
      <c r="BJ100" s="2">
        <v>15004.69</v>
      </c>
      <c r="BK100" s="2">
        <v>19587.64</v>
      </c>
      <c r="BL100" s="2">
        <v>36460.019999999997</v>
      </c>
      <c r="BM100" s="2">
        <v>27235.8</v>
      </c>
      <c r="BN100" s="2">
        <v>27010.12</v>
      </c>
      <c r="BO100" s="2">
        <v>20403.16</v>
      </c>
      <c r="BR100" s="1" t="s">
        <v>73</v>
      </c>
      <c r="BS100" s="2">
        <v>1.35</v>
      </c>
      <c r="BT100" s="2">
        <v>1.8</v>
      </c>
      <c r="BU100" s="2">
        <v>0.5</v>
      </c>
      <c r="BV100" s="2">
        <v>0.53</v>
      </c>
      <c r="BW100" s="2">
        <v>0.46</v>
      </c>
      <c r="BX100" s="2">
        <v>0.23</v>
      </c>
      <c r="BY100" s="2">
        <v>0.77</v>
      </c>
      <c r="BZ100" s="2">
        <v>2.88</v>
      </c>
      <c r="CA100" s="2">
        <v>2.0099999999999998</v>
      </c>
      <c r="CB100" s="2">
        <v>3.6</v>
      </c>
      <c r="CC100" s="2">
        <v>5.15</v>
      </c>
      <c r="CD100" s="2">
        <v>6.48</v>
      </c>
      <c r="CE100" s="2">
        <v>4.6399999999999997</v>
      </c>
      <c r="CF100" s="2">
        <v>4.6900000000000004</v>
      </c>
      <c r="CG100" s="2">
        <v>5.18</v>
      </c>
      <c r="CH100" s="2">
        <v>4.8499999999999996</v>
      </c>
      <c r="CI100" s="2">
        <v>4.12</v>
      </c>
      <c r="CJ100" s="2">
        <v>3.38</v>
      </c>
      <c r="CK100" s="2">
        <v>4.66</v>
      </c>
      <c r="CL100" s="2">
        <v>3.81</v>
      </c>
    </row>
    <row r="101" spans="2:90" x14ac:dyDescent="0.3">
      <c r="W101" s="3">
        <f>SUM(C93:V100)/$W$45</f>
        <v>0.1388100076506732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63</v>
      </c>
      <c r="D104" s="1" t="s">
        <v>64</v>
      </c>
      <c r="E104" s="1" t="s">
        <v>63</v>
      </c>
      <c r="F104" s="1" t="s">
        <v>64</v>
      </c>
      <c r="G104" s="1" t="s">
        <v>63</v>
      </c>
      <c r="H104" s="1" t="s">
        <v>64</v>
      </c>
      <c r="I104" s="1" t="s">
        <v>63</v>
      </c>
      <c r="J104" s="1" t="s">
        <v>64</v>
      </c>
      <c r="K104" s="1" t="s">
        <v>63</v>
      </c>
      <c r="L104" s="1" t="s">
        <v>64</v>
      </c>
      <c r="M104" s="1" t="s">
        <v>63</v>
      </c>
      <c r="N104" s="1" t="s">
        <v>64</v>
      </c>
      <c r="O104" s="1" t="s">
        <v>63</v>
      </c>
      <c r="P104" s="1" t="s">
        <v>64</v>
      </c>
      <c r="Q104" s="1" t="s">
        <v>63</v>
      </c>
      <c r="R104" s="1" t="s">
        <v>64</v>
      </c>
      <c r="S104" s="1" t="s">
        <v>63</v>
      </c>
      <c r="T104" s="1" t="s">
        <v>64</v>
      </c>
      <c r="U104" s="1" t="s">
        <v>63</v>
      </c>
      <c r="V104" s="1" t="s">
        <v>64</v>
      </c>
      <c r="X104" s="1" t="s">
        <v>6</v>
      </c>
      <c r="Y104" s="1" t="s">
        <v>63</v>
      </c>
      <c r="Z104" s="1" t="s">
        <v>64</v>
      </c>
      <c r="AA104" s="1" t="s">
        <v>63</v>
      </c>
      <c r="AB104" s="1" t="s">
        <v>64</v>
      </c>
      <c r="AC104" s="1" t="s">
        <v>63</v>
      </c>
      <c r="AD104" s="1" t="s">
        <v>64</v>
      </c>
      <c r="AE104" s="1" t="s">
        <v>63</v>
      </c>
      <c r="AF104" s="1" t="s">
        <v>64</v>
      </c>
      <c r="AG104" s="1" t="s">
        <v>63</v>
      </c>
      <c r="AH104" s="1" t="s">
        <v>64</v>
      </c>
      <c r="AI104" s="1" t="s">
        <v>63</v>
      </c>
      <c r="AJ104" s="1" t="s">
        <v>64</v>
      </c>
      <c r="AK104" s="1" t="s">
        <v>63</v>
      </c>
      <c r="AL104" s="1" t="s">
        <v>64</v>
      </c>
      <c r="AM104" s="1" t="s">
        <v>63</v>
      </c>
      <c r="AN104" s="1" t="s">
        <v>64</v>
      </c>
      <c r="AO104" s="1" t="s">
        <v>63</v>
      </c>
      <c r="AP104" s="1" t="s">
        <v>64</v>
      </c>
      <c r="AQ104" s="1" t="s">
        <v>63</v>
      </c>
      <c r="AR104" s="1" t="s">
        <v>64</v>
      </c>
      <c r="AU104" s="1" t="s">
        <v>6</v>
      </c>
      <c r="AV104" s="1" t="s">
        <v>63</v>
      </c>
      <c r="AW104" s="1" t="s">
        <v>64</v>
      </c>
      <c r="AX104" s="1" t="s">
        <v>63</v>
      </c>
      <c r="AY104" s="1" t="s">
        <v>64</v>
      </c>
      <c r="AZ104" s="1" t="s">
        <v>63</v>
      </c>
      <c r="BA104" s="1" t="s">
        <v>64</v>
      </c>
      <c r="BB104" s="1" t="s">
        <v>63</v>
      </c>
      <c r="BC104" s="1" t="s">
        <v>64</v>
      </c>
      <c r="BD104" s="1" t="s">
        <v>63</v>
      </c>
      <c r="BE104" s="1" t="s">
        <v>64</v>
      </c>
      <c r="BF104" s="1" t="s">
        <v>63</v>
      </c>
      <c r="BG104" s="1" t="s">
        <v>64</v>
      </c>
      <c r="BH104" s="1" t="s">
        <v>63</v>
      </c>
      <c r="BI104" s="1" t="s">
        <v>64</v>
      </c>
      <c r="BJ104" s="1" t="s">
        <v>63</v>
      </c>
      <c r="BK104" s="1" t="s">
        <v>64</v>
      </c>
      <c r="BL104" s="1" t="s">
        <v>63</v>
      </c>
      <c r="BM104" s="1" t="s">
        <v>64</v>
      </c>
      <c r="BN104" s="1" t="s">
        <v>63</v>
      </c>
      <c r="BO104" s="1" t="s">
        <v>64</v>
      </c>
      <c r="BR104" s="1" t="s">
        <v>6</v>
      </c>
      <c r="BS104" s="1" t="s">
        <v>63</v>
      </c>
      <c r="BT104" s="1" t="s">
        <v>64</v>
      </c>
      <c r="BU104" s="1" t="s">
        <v>63</v>
      </c>
      <c r="BV104" s="1" t="s">
        <v>64</v>
      </c>
      <c r="BW104" s="1" t="s">
        <v>63</v>
      </c>
      <c r="BX104" s="1" t="s">
        <v>64</v>
      </c>
      <c r="BY104" s="1" t="s">
        <v>63</v>
      </c>
      <c r="BZ104" s="1" t="s">
        <v>64</v>
      </c>
      <c r="CA104" s="1" t="s">
        <v>63</v>
      </c>
      <c r="CB104" s="1" t="s">
        <v>64</v>
      </c>
      <c r="CC104" s="1" t="s">
        <v>63</v>
      </c>
      <c r="CD104" s="1" t="s">
        <v>64</v>
      </c>
      <c r="CE104" s="1" t="s">
        <v>63</v>
      </c>
      <c r="CF104" s="1" t="s">
        <v>64</v>
      </c>
      <c r="CG104" s="1" t="s">
        <v>63</v>
      </c>
      <c r="CH104" s="1" t="s">
        <v>64</v>
      </c>
      <c r="CI104" s="1" t="s">
        <v>63</v>
      </c>
      <c r="CJ104" s="1" t="s">
        <v>64</v>
      </c>
      <c r="CK104" s="1" t="s">
        <v>63</v>
      </c>
      <c r="CL104" s="1" t="s">
        <v>64</v>
      </c>
    </row>
    <row r="105" spans="2:90" x14ac:dyDescent="0.3">
      <c r="B105" s="1" t="s">
        <v>65</v>
      </c>
      <c r="C105" s="1" t="s">
        <v>53</v>
      </c>
      <c r="D105" s="1" t="s">
        <v>53</v>
      </c>
      <c r="E105" s="1" t="s">
        <v>54</v>
      </c>
      <c r="F105" s="1" t="s">
        <v>54</v>
      </c>
      <c r="G105" s="1" t="s">
        <v>55</v>
      </c>
      <c r="H105" s="1" t="s">
        <v>55</v>
      </c>
      <c r="I105" s="1" t="s">
        <v>56</v>
      </c>
      <c r="J105" s="1" t="s">
        <v>56</v>
      </c>
      <c r="K105" s="1" t="s">
        <v>57</v>
      </c>
      <c r="L105" s="1" t="s">
        <v>57</v>
      </c>
      <c r="M105" s="1" t="s">
        <v>58</v>
      </c>
      <c r="N105" s="1" t="s">
        <v>58</v>
      </c>
      <c r="O105" s="1" t="s">
        <v>59</v>
      </c>
      <c r="P105" s="1" t="s">
        <v>59</v>
      </c>
      <c r="Q105" s="1" t="s">
        <v>60</v>
      </c>
      <c r="R105" s="1" t="s">
        <v>60</v>
      </c>
      <c r="S105" s="1" t="s">
        <v>61</v>
      </c>
      <c r="T105" s="1" t="s">
        <v>61</v>
      </c>
      <c r="U105" s="1" t="s">
        <v>62</v>
      </c>
      <c r="V105" s="1" t="s">
        <v>62</v>
      </c>
      <c r="X105" s="1" t="s">
        <v>65</v>
      </c>
      <c r="Y105" s="1" t="s">
        <v>53</v>
      </c>
      <c r="Z105" s="1" t="s">
        <v>53</v>
      </c>
      <c r="AA105" s="1" t="s">
        <v>54</v>
      </c>
      <c r="AB105" s="1" t="s">
        <v>54</v>
      </c>
      <c r="AC105" s="1" t="s">
        <v>55</v>
      </c>
      <c r="AD105" s="1" t="s">
        <v>55</v>
      </c>
      <c r="AE105" s="1" t="s">
        <v>56</v>
      </c>
      <c r="AF105" s="1" t="s">
        <v>56</v>
      </c>
      <c r="AG105" s="1" t="s">
        <v>57</v>
      </c>
      <c r="AH105" s="1" t="s">
        <v>57</v>
      </c>
      <c r="AI105" s="1" t="s">
        <v>58</v>
      </c>
      <c r="AJ105" s="1" t="s">
        <v>58</v>
      </c>
      <c r="AK105" s="1" t="s">
        <v>59</v>
      </c>
      <c r="AL105" s="1" t="s">
        <v>59</v>
      </c>
      <c r="AM105" s="1" t="s">
        <v>60</v>
      </c>
      <c r="AN105" s="1" t="s">
        <v>60</v>
      </c>
      <c r="AO105" s="1" t="s">
        <v>61</v>
      </c>
      <c r="AP105" s="1" t="s">
        <v>61</v>
      </c>
      <c r="AQ105" s="1" t="s">
        <v>62</v>
      </c>
      <c r="AR105" s="1" t="s">
        <v>62</v>
      </c>
      <c r="AU105" s="1" t="s">
        <v>65</v>
      </c>
      <c r="AV105" s="1" t="s">
        <v>53</v>
      </c>
      <c r="AW105" s="1" t="s">
        <v>53</v>
      </c>
      <c r="AX105" s="1" t="s">
        <v>54</v>
      </c>
      <c r="AY105" s="1" t="s">
        <v>54</v>
      </c>
      <c r="AZ105" s="1" t="s">
        <v>55</v>
      </c>
      <c r="BA105" s="1" t="s">
        <v>55</v>
      </c>
      <c r="BB105" s="1" t="s">
        <v>56</v>
      </c>
      <c r="BC105" s="1" t="s">
        <v>56</v>
      </c>
      <c r="BD105" s="1" t="s">
        <v>57</v>
      </c>
      <c r="BE105" s="1" t="s">
        <v>57</v>
      </c>
      <c r="BF105" s="1" t="s">
        <v>58</v>
      </c>
      <c r="BG105" s="1" t="s">
        <v>58</v>
      </c>
      <c r="BH105" s="1" t="s">
        <v>59</v>
      </c>
      <c r="BI105" s="1" t="s">
        <v>59</v>
      </c>
      <c r="BJ105" s="1" t="s">
        <v>60</v>
      </c>
      <c r="BK105" s="1" t="s">
        <v>60</v>
      </c>
      <c r="BL105" s="1" t="s">
        <v>61</v>
      </c>
      <c r="BM105" s="1" t="s">
        <v>61</v>
      </c>
      <c r="BN105" s="1" t="s">
        <v>62</v>
      </c>
      <c r="BO105" s="1" t="s">
        <v>62</v>
      </c>
      <c r="BR105" s="1" t="s">
        <v>65</v>
      </c>
      <c r="BS105" s="1" t="s">
        <v>53</v>
      </c>
      <c r="BT105" s="1" t="s">
        <v>53</v>
      </c>
      <c r="BU105" s="1" t="s">
        <v>54</v>
      </c>
      <c r="BV105" s="1" t="s">
        <v>54</v>
      </c>
      <c r="BW105" s="1" t="s">
        <v>55</v>
      </c>
      <c r="BX105" s="1" t="s">
        <v>55</v>
      </c>
      <c r="BY105" s="1" t="s">
        <v>56</v>
      </c>
      <c r="BZ105" s="1" t="s">
        <v>56</v>
      </c>
      <c r="CA105" s="1" t="s">
        <v>57</v>
      </c>
      <c r="CB105" s="1" t="s">
        <v>57</v>
      </c>
      <c r="CC105" s="1" t="s">
        <v>58</v>
      </c>
      <c r="CD105" s="1" t="s">
        <v>58</v>
      </c>
      <c r="CE105" s="1" t="s">
        <v>59</v>
      </c>
      <c r="CF105" s="1" t="s">
        <v>59</v>
      </c>
      <c r="CG105" s="1" t="s">
        <v>60</v>
      </c>
      <c r="CH105" s="1" t="s">
        <v>60</v>
      </c>
      <c r="CI105" s="1" t="s">
        <v>61</v>
      </c>
      <c r="CJ105" s="1" t="s">
        <v>61</v>
      </c>
      <c r="CK105" s="1" t="s">
        <v>62</v>
      </c>
      <c r="CL105" s="1" t="s">
        <v>62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66</v>
      </c>
      <c r="C107" s="2">
        <v>1.459119452948014E-2</v>
      </c>
      <c r="D107" s="2">
        <v>2.1842125158797479E-2</v>
      </c>
      <c r="E107" s="2">
        <v>2.739470267029654E-3</v>
      </c>
      <c r="F107" s="2">
        <v>4.3333587274696989E-3</v>
      </c>
      <c r="G107" s="2">
        <v>3.6731209332022878E-3</v>
      </c>
      <c r="H107" s="2">
        <v>5.3633431834433226E-3</v>
      </c>
      <c r="I107" s="2">
        <v>1.8643398732613541E-2</v>
      </c>
      <c r="J107" s="2">
        <v>9.3358946365679537E-3</v>
      </c>
      <c r="K107" s="2">
        <v>2.3052327838630569E-2</v>
      </c>
      <c r="L107" s="2">
        <v>7.5639341803175964E-3</v>
      </c>
      <c r="M107" s="2">
        <v>2.2761407735530099E-2</v>
      </c>
      <c r="N107" s="2">
        <v>6.0912674754821598E-3</v>
      </c>
      <c r="O107" s="2">
        <v>2.2936907096902211E-2</v>
      </c>
      <c r="P107" s="2">
        <v>2.9062445774887501E-3</v>
      </c>
      <c r="Q107" s="2">
        <v>1.8721216910158361E-2</v>
      </c>
      <c r="R107" s="2">
        <v>7.3505985671556166E-3</v>
      </c>
      <c r="S107" s="2">
        <v>2.041519735681954E-3</v>
      </c>
      <c r="T107" s="2">
        <v>1.9696750509503279E-3</v>
      </c>
      <c r="U107" s="2">
        <v>7.1497120631132966E-3</v>
      </c>
      <c r="V107" s="2">
        <v>2.878827220341649E-3</v>
      </c>
      <c r="X107" s="1" t="s">
        <v>66</v>
      </c>
      <c r="Y107" s="2">
        <v>2710.41</v>
      </c>
      <c r="Z107" s="2">
        <v>2406.4499999999998</v>
      </c>
      <c r="AA107" s="2">
        <v>684.48</v>
      </c>
      <c r="AB107" s="2">
        <v>617.33000000000004</v>
      </c>
      <c r="AC107" s="2">
        <v>504.89</v>
      </c>
      <c r="AD107" s="2">
        <v>984.24</v>
      </c>
      <c r="AE107" s="2">
        <v>1746.49</v>
      </c>
      <c r="AF107" s="2">
        <v>906.77</v>
      </c>
      <c r="AG107" s="2">
        <v>2636.33</v>
      </c>
      <c r="AH107" s="2">
        <v>799.26</v>
      </c>
      <c r="AI107" s="2">
        <v>2727.6</v>
      </c>
      <c r="AJ107" s="2">
        <v>554.77</v>
      </c>
      <c r="AK107" s="2">
        <v>2532.2399999999998</v>
      </c>
      <c r="AL107" s="2">
        <v>216.77</v>
      </c>
      <c r="AM107" s="2">
        <v>1828.45</v>
      </c>
      <c r="AN107" s="2">
        <v>529.15</v>
      </c>
      <c r="AO107" s="2">
        <v>107.04</v>
      </c>
      <c r="AP107" s="2">
        <v>66.17</v>
      </c>
      <c r="AQ107" s="2">
        <v>269.31</v>
      </c>
      <c r="AR107" s="2">
        <v>65</v>
      </c>
      <c r="AU107" s="1" t="s">
        <v>66</v>
      </c>
      <c r="AV107" s="2">
        <v>9365.2900000000009</v>
      </c>
      <c r="AW107" s="2">
        <v>9323.4500000000007</v>
      </c>
      <c r="AX107" s="2">
        <v>10458.120000000001</v>
      </c>
      <c r="AY107" s="2">
        <v>9487.17</v>
      </c>
      <c r="AZ107" s="2">
        <v>7751.61</v>
      </c>
      <c r="BA107" s="2">
        <v>10065.959999999999</v>
      </c>
      <c r="BB107" s="2">
        <v>9783.2099999999991</v>
      </c>
      <c r="BC107" s="2">
        <v>9513.43</v>
      </c>
      <c r="BD107" s="2">
        <v>9844.67</v>
      </c>
      <c r="BE107" s="2">
        <v>9492.14</v>
      </c>
      <c r="BF107" s="2">
        <v>10108.299999999999</v>
      </c>
      <c r="BG107" s="2">
        <v>9691.1299999999992</v>
      </c>
      <c r="BH107" s="2">
        <v>9763.26</v>
      </c>
      <c r="BI107" s="2">
        <v>9492.23</v>
      </c>
      <c r="BJ107" s="2">
        <v>10082.75</v>
      </c>
      <c r="BK107" s="2">
        <v>9913.4500000000007</v>
      </c>
      <c r="BL107" s="2">
        <v>10316.66</v>
      </c>
      <c r="BM107" s="2">
        <v>6377.33</v>
      </c>
      <c r="BN107" s="2">
        <v>9508.99</v>
      </c>
      <c r="BO107" s="2">
        <v>6265.1</v>
      </c>
      <c r="BR107" s="1" t="s">
        <v>66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67</v>
      </c>
      <c r="C108" s="2">
        <v>2.1157540406984521E-2</v>
      </c>
      <c r="D108" s="2">
        <v>1.153220472578532E-2</v>
      </c>
      <c r="E108" s="2">
        <v>1.7998092546741201E-2</v>
      </c>
      <c r="F108" s="2">
        <v>1.273300734148786E-2</v>
      </c>
      <c r="G108" s="2">
        <v>1.841377338360644E-2</v>
      </c>
      <c r="H108" s="2">
        <v>1.39505310642441E-2</v>
      </c>
      <c r="I108" s="2">
        <v>4.2776617440192982E-2</v>
      </c>
      <c r="J108" s="2">
        <v>2.875730724291661E-2</v>
      </c>
      <c r="K108" s="2">
        <v>3.8188351163355727E-2</v>
      </c>
      <c r="L108" s="2">
        <v>1.9630572427266731E-2</v>
      </c>
      <c r="M108" s="2">
        <v>4.5880517468302233E-2</v>
      </c>
      <c r="N108" s="2">
        <v>2.2198405337173339E-2</v>
      </c>
      <c r="O108" s="2">
        <v>3.7084920132184479E-2</v>
      </c>
      <c r="P108" s="2">
        <v>2.920830917450272E-2</v>
      </c>
      <c r="Q108" s="2">
        <v>3.7018456951716329E-2</v>
      </c>
      <c r="R108" s="2">
        <v>3.0354061037190551E-2</v>
      </c>
      <c r="S108" s="2">
        <v>5.2414477504885627E-2</v>
      </c>
      <c r="T108" s="2">
        <v>2.956050922815541E-2</v>
      </c>
      <c r="U108" s="2">
        <v>6.3825052414007447E-2</v>
      </c>
      <c r="V108" s="2">
        <v>2.8606782216780341E-2</v>
      </c>
      <c r="X108" s="1" t="s">
        <v>67</v>
      </c>
      <c r="Y108" s="2">
        <v>923.99</v>
      </c>
      <c r="Z108" s="2">
        <v>536.16999999999996</v>
      </c>
      <c r="AA108" s="2">
        <v>1019.83</v>
      </c>
      <c r="AB108" s="2">
        <v>619.97</v>
      </c>
      <c r="AC108" s="2">
        <v>605.48</v>
      </c>
      <c r="AD108" s="2">
        <v>749.81</v>
      </c>
      <c r="AE108" s="2">
        <v>1090.45</v>
      </c>
      <c r="AF108" s="2">
        <v>630.11</v>
      </c>
      <c r="AG108" s="2">
        <v>1011.39</v>
      </c>
      <c r="AH108" s="2">
        <v>584.45000000000005</v>
      </c>
      <c r="AI108" s="2">
        <v>972.22</v>
      </c>
      <c r="AJ108" s="2">
        <v>588.91999999999996</v>
      </c>
      <c r="AK108" s="2">
        <v>787.06</v>
      </c>
      <c r="AL108" s="2">
        <v>661.16</v>
      </c>
      <c r="AM108" s="2">
        <v>755.3</v>
      </c>
      <c r="AN108" s="2">
        <v>685.23</v>
      </c>
      <c r="AO108" s="2">
        <v>746.73</v>
      </c>
      <c r="AP108" s="2">
        <v>507.62</v>
      </c>
      <c r="AQ108" s="2">
        <v>871.73</v>
      </c>
      <c r="AR108" s="2">
        <v>503.69</v>
      </c>
      <c r="AU108" s="1" t="s">
        <v>67</v>
      </c>
      <c r="AV108" s="2">
        <v>5593.51</v>
      </c>
      <c r="AW108" s="2">
        <v>3217.73</v>
      </c>
      <c r="AX108" s="2">
        <v>5756.47</v>
      </c>
      <c r="AY108" s="2">
        <v>3466.23</v>
      </c>
      <c r="AZ108" s="2">
        <v>3375.12</v>
      </c>
      <c r="BA108" s="2">
        <v>4186.6899999999996</v>
      </c>
      <c r="BB108" s="2">
        <v>6205.65</v>
      </c>
      <c r="BC108" s="2">
        <v>3525.29</v>
      </c>
      <c r="BD108" s="2">
        <v>6194.31</v>
      </c>
      <c r="BE108" s="2">
        <v>3515.85</v>
      </c>
      <c r="BF108" s="2">
        <v>6057.88</v>
      </c>
      <c r="BG108" s="2">
        <v>3555.68</v>
      </c>
      <c r="BH108" s="2">
        <v>4790.84</v>
      </c>
      <c r="BI108" s="2">
        <v>3994.94</v>
      </c>
      <c r="BJ108" s="2">
        <v>4606.3</v>
      </c>
      <c r="BK108" s="2">
        <v>4157.57</v>
      </c>
      <c r="BL108" s="2">
        <v>4537.67</v>
      </c>
      <c r="BM108" s="2">
        <v>3052.58</v>
      </c>
      <c r="BN108" s="2">
        <v>5396.47</v>
      </c>
      <c r="BO108" s="2">
        <v>3041.51</v>
      </c>
      <c r="BR108" s="1" t="s">
        <v>67</v>
      </c>
      <c r="BS108" s="2">
        <v>4.75</v>
      </c>
      <c r="BT108" s="2">
        <v>2.72</v>
      </c>
      <c r="BU108" s="2">
        <v>3.74</v>
      </c>
      <c r="BV108" s="2">
        <v>2.34</v>
      </c>
      <c r="BW108" s="2">
        <v>1.46</v>
      </c>
      <c r="BX108" s="2">
        <v>1.1499999999999999</v>
      </c>
      <c r="BY108" s="2">
        <v>5.53</v>
      </c>
      <c r="BZ108" s="2">
        <v>6.43</v>
      </c>
      <c r="CA108" s="2">
        <v>7.67</v>
      </c>
      <c r="CB108" s="2">
        <v>6.16</v>
      </c>
      <c r="CC108" s="2">
        <v>17.670000000000002</v>
      </c>
      <c r="CD108" s="2">
        <v>11.47</v>
      </c>
      <c r="CE108" s="2">
        <v>12.76</v>
      </c>
      <c r="CF108" s="2">
        <v>10.3</v>
      </c>
      <c r="CG108" s="2">
        <v>15.77</v>
      </c>
      <c r="CH108" s="2">
        <v>11.68</v>
      </c>
      <c r="CI108" s="2">
        <v>13.29</v>
      </c>
      <c r="CJ108" s="2">
        <v>8.6199999999999992</v>
      </c>
      <c r="CK108" s="2">
        <v>14.31</v>
      </c>
      <c r="CL108" s="2">
        <v>8.14</v>
      </c>
    </row>
    <row r="109" spans="2:90" x14ac:dyDescent="0.3">
      <c r="B109" s="1" t="s">
        <v>68</v>
      </c>
      <c r="C109" s="2">
        <v>0.33533707296469922</v>
      </c>
      <c r="D109" s="2">
        <v>3.697647868286022E-2</v>
      </c>
      <c r="E109" s="2">
        <v>0.36213028977304168</v>
      </c>
      <c r="F109" s="2">
        <v>3.2518267637841741E-2</v>
      </c>
      <c r="G109" s="2">
        <v>0.31723866164755471</v>
      </c>
      <c r="H109" s="2">
        <v>0.20193521675929099</v>
      </c>
      <c r="I109" s="2">
        <v>0.37605458276620618</v>
      </c>
      <c r="J109" s="2">
        <v>0.15442920875085139</v>
      </c>
      <c r="K109" s="2">
        <v>0.34449857601951739</v>
      </c>
      <c r="L109" s="2">
        <v>0.1250618536221601</v>
      </c>
      <c r="M109" s="2">
        <v>0.34328279851897769</v>
      </c>
      <c r="N109" s="2">
        <v>0.13554806001224459</v>
      </c>
      <c r="O109" s="2">
        <v>0.35252725822258479</v>
      </c>
      <c r="P109" s="2">
        <v>0.15537139016382659</v>
      </c>
      <c r="Q109" s="2">
        <v>0.37258241504109768</v>
      </c>
      <c r="R109" s="2">
        <v>0.1668684255120457</v>
      </c>
      <c r="S109" s="2">
        <v>0.26994176025517508</v>
      </c>
      <c r="T109" s="2">
        <v>0.18508629383658559</v>
      </c>
      <c r="U109" s="2">
        <v>0.1900850295193513</v>
      </c>
      <c r="V109" s="2">
        <v>0.18580242097815811</v>
      </c>
      <c r="X109" s="1" t="s">
        <v>68</v>
      </c>
      <c r="Y109" s="2">
        <v>4534.1400000000003</v>
      </c>
      <c r="Z109" s="2">
        <v>1307.45</v>
      </c>
      <c r="AA109" s="2">
        <v>4644.22</v>
      </c>
      <c r="AB109" s="2">
        <v>1386.73</v>
      </c>
      <c r="AC109" s="2">
        <v>4797.6000000000004</v>
      </c>
      <c r="AD109" s="2">
        <v>4176.32</v>
      </c>
      <c r="AE109" s="2">
        <v>5335.39</v>
      </c>
      <c r="AF109" s="2">
        <v>2374.6799999999998</v>
      </c>
      <c r="AG109" s="2">
        <v>5560.22</v>
      </c>
      <c r="AH109" s="2">
        <v>1943.87</v>
      </c>
      <c r="AI109" s="2">
        <v>5705.11</v>
      </c>
      <c r="AJ109" s="2">
        <v>1925.79</v>
      </c>
      <c r="AK109" s="2">
        <v>5204.53</v>
      </c>
      <c r="AL109" s="2">
        <v>2019.66</v>
      </c>
      <c r="AM109" s="2">
        <v>5041.83</v>
      </c>
      <c r="AN109" s="2">
        <v>1904.48</v>
      </c>
      <c r="AO109" s="2">
        <v>2464.5300000000002</v>
      </c>
      <c r="AP109" s="2">
        <v>1492.87</v>
      </c>
      <c r="AQ109" s="2">
        <v>1582.22</v>
      </c>
      <c r="AR109" s="2">
        <v>1381.93</v>
      </c>
      <c r="AU109" s="1" t="s">
        <v>68</v>
      </c>
      <c r="AV109" s="2">
        <v>16302.32</v>
      </c>
      <c r="AW109" s="2">
        <v>7846.45</v>
      </c>
      <c r="AX109" s="2">
        <v>18340.240000000002</v>
      </c>
      <c r="AY109" s="2">
        <v>7749.77</v>
      </c>
      <c r="AZ109" s="2">
        <v>10648.43</v>
      </c>
      <c r="BA109" s="2">
        <v>13164.4</v>
      </c>
      <c r="BB109" s="2">
        <v>15874.54</v>
      </c>
      <c r="BC109" s="2">
        <v>11468.31</v>
      </c>
      <c r="BD109" s="2">
        <v>16130.98</v>
      </c>
      <c r="BE109" s="2">
        <v>10861.07</v>
      </c>
      <c r="BF109" s="2">
        <v>16338.01</v>
      </c>
      <c r="BG109" s="2">
        <v>10677.44</v>
      </c>
      <c r="BH109" s="2">
        <v>14102</v>
      </c>
      <c r="BI109" s="2">
        <v>10888.05</v>
      </c>
      <c r="BJ109" s="2">
        <v>13384.54</v>
      </c>
      <c r="BK109" s="2">
        <v>11134.22</v>
      </c>
      <c r="BL109" s="2">
        <v>12439.05</v>
      </c>
      <c r="BM109" s="2">
        <v>8975.32</v>
      </c>
      <c r="BN109" s="2">
        <v>9542.83</v>
      </c>
      <c r="BO109" s="2">
        <v>8307.19</v>
      </c>
      <c r="BR109" s="1" t="s">
        <v>68</v>
      </c>
      <c r="BS109" s="2">
        <v>14.04</v>
      </c>
      <c r="BT109" s="2">
        <v>3.43</v>
      </c>
      <c r="BU109" s="2">
        <v>15.61</v>
      </c>
      <c r="BV109" s="2">
        <v>2.63</v>
      </c>
      <c r="BW109" s="2">
        <v>2.7</v>
      </c>
      <c r="BX109" s="2">
        <v>2.7</v>
      </c>
      <c r="BY109" s="2">
        <v>8.64</v>
      </c>
      <c r="BZ109" s="2">
        <v>8.64</v>
      </c>
      <c r="CA109" s="2">
        <v>10.8</v>
      </c>
      <c r="CB109" s="2">
        <v>10.8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20.52</v>
      </c>
      <c r="CH109" s="2">
        <v>20.52</v>
      </c>
      <c r="CI109" s="2">
        <v>18.36</v>
      </c>
      <c r="CJ109" s="2">
        <v>16.07</v>
      </c>
      <c r="CK109" s="2">
        <v>20.5</v>
      </c>
      <c r="CL109" s="2">
        <v>18.09</v>
      </c>
    </row>
    <row r="110" spans="2:90" x14ac:dyDescent="0.3">
      <c r="B110" s="1" t="s">
        <v>69</v>
      </c>
      <c r="C110" s="2">
        <v>6.2715619302269029E-2</v>
      </c>
      <c r="D110" s="2">
        <v>1.435894259692766E-2</v>
      </c>
      <c r="E110" s="2">
        <v>5.0939115201167798E-2</v>
      </c>
      <c r="F110" s="2">
        <v>1.14996700914318E-2</v>
      </c>
      <c r="G110" s="2">
        <v>7.3978951295277318E-2</v>
      </c>
      <c r="H110" s="2">
        <v>8.1534873104953345E-2</v>
      </c>
      <c r="I110" s="2">
        <v>9.4832086337625091E-2</v>
      </c>
      <c r="J110" s="2">
        <v>4.4382060859706203E-2</v>
      </c>
      <c r="K110" s="2">
        <v>7.6867142746215866E-2</v>
      </c>
      <c r="L110" s="2">
        <v>3.2587783020009538E-2</v>
      </c>
      <c r="M110" s="2">
        <v>7.5131904311587547E-2</v>
      </c>
      <c r="N110" s="2">
        <v>3.235916429532848E-2</v>
      </c>
      <c r="O110" s="2">
        <v>8.0310465622114191E-2</v>
      </c>
      <c r="P110" s="2">
        <v>3.6567619644158257E-2</v>
      </c>
      <c r="Q110" s="2">
        <v>6.6326148004374932E-2</v>
      </c>
      <c r="R110" s="2">
        <v>3.7239076040869297E-2</v>
      </c>
      <c r="S110" s="2">
        <v>4.7403439258097417E-2</v>
      </c>
      <c r="T110" s="2">
        <v>4.5708708785999162E-2</v>
      </c>
      <c r="U110" s="2">
        <v>4.7667690052556097E-2</v>
      </c>
      <c r="V110" s="2">
        <v>5.1254320622979653E-2</v>
      </c>
      <c r="X110" s="1" t="s">
        <v>69</v>
      </c>
      <c r="Y110" s="2">
        <v>800.04</v>
      </c>
      <c r="Z110" s="2">
        <v>460.11</v>
      </c>
      <c r="AA110" s="2">
        <v>1408.92</v>
      </c>
      <c r="AB110" s="2">
        <v>544.22</v>
      </c>
      <c r="AC110" s="2">
        <v>1097.02</v>
      </c>
      <c r="AD110" s="2">
        <v>927.88</v>
      </c>
      <c r="AE110" s="2">
        <v>1250.49</v>
      </c>
      <c r="AF110" s="2">
        <v>716</v>
      </c>
      <c r="AG110" s="2">
        <v>1170.0899999999999</v>
      </c>
      <c r="AH110" s="2">
        <v>618.33000000000004</v>
      </c>
      <c r="AI110" s="2">
        <v>1164.8800000000001</v>
      </c>
      <c r="AJ110" s="2">
        <v>584.54999999999995</v>
      </c>
      <c r="AK110" s="2">
        <v>1136.56</v>
      </c>
      <c r="AL110" s="2">
        <v>598.02</v>
      </c>
      <c r="AM110" s="2">
        <v>861.3</v>
      </c>
      <c r="AN110" s="2">
        <v>565.35</v>
      </c>
      <c r="AO110" s="2">
        <v>579.41999999999996</v>
      </c>
      <c r="AP110" s="2">
        <v>508.06</v>
      </c>
      <c r="AQ110" s="2">
        <v>511.3</v>
      </c>
      <c r="AR110" s="2">
        <v>480.16</v>
      </c>
      <c r="AU110" s="1" t="s">
        <v>69</v>
      </c>
      <c r="AV110" s="2">
        <v>4790.76</v>
      </c>
      <c r="AW110" s="2">
        <v>2598.59</v>
      </c>
      <c r="AX110" s="2">
        <v>5080.8</v>
      </c>
      <c r="AY110" s="2">
        <v>3039.48</v>
      </c>
      <c r="AZ110" s="2">
        <v>3497.84</v>
      </c>
      <c r="BA110" s="2">
        <v>5209.4399999999996</v>
      </c>
      <c r="BB110" s="2">
        <v>4690.72</v>
      </c>
      <c r="BC110" s="2">
        <v>4012.38</v>
      </c>
      <c r="BD110" s="2">
        <v>4697.18</v>
      </c>
      <c r="BE110" s="2">
        <v>3718.59</v>
      </c>
      <c r="BF110" s="2">
        <v>4684.59</v>
      </c>
      <c r="BG110" s="2">
        <v>3518.93</v>
      </c>
      <c r="BH110" s="2">
        <v>4521.47</v>
      </c>
      <c r="BI110" s="2">
        <v>3595.38</v>
      </c>
      <c r="BJ110" s="2">
        <v>4285.6000000000004</v>
      </c>
      <c r="BK110" s="2">
        <v>3402.45</v>
      </c>
      <c r="BL110" s="2">
        <v>3489.08</v>
      </c>
      <c r="BM110" s="2">
        <v>3044.84</v>
      </c>
      <c r="BN110" s="2">
        <v>3070</v>
      </c>
      <c r="BO110" s="2">
        <v>2878.14</v>
      </c>
      <c r="BR110" s="1" t="s">
        <v>69</v>
      </c>
      <c r="BS110" s="2">
        <v>14.04</v>
      </c>
      <c r="BT110" s="2">
        <v>3.6</v>
      </c>
      <c r="BU110" s="2">
        <v>7.02</v>
      </c>
      <c r="BV110" s="2">
        <v>2.27</v>
      </c>
      <c r="BW110" s="2">
        <v>2.7</v>
      </c>
      <c r="BX110" s="2">
        <v>5.05</v>
      </c>
      <c r="BY110" s="2">
        <v>8.64</v>
      </c>
      <c r="BZ110" s="2">
        <v>8.26</v>
      </c>
      <c r="CA110" s="2">
        <v>10.8</v>
      </c>
      <c r="CB110" s="2">
        <v>8.77</v>
      </c>
      <c r="CC110" s="2">
        <v>19.440000000000001</v>
      </c>
      <c r="CD110" s="2">
        <v>15.03</v>
      </c>
      <c r="CE110" s="2">
        <v>15.66</v>
      </c>
      <c r="CF110" s="2">
        <v>12.31</v>
      </c>
      <c r="CG110" s="2">
        <v>20.52</v>
      </c>
      <c r="CH110" s="2">
        <v>14.45</v>
      </c>
      <c r="CI110" s="2">
        <v>12.76</v>
      </c>
      <c r="CJ110" s="2">
        <v>11.63</v>
      </c>
      <c r="CK110" s="2">
        <v>14.91</v>
      </c>
      <c r="CL110" s="2">
        <v>13.8</v>
      </c>
    </row>
    <row r="111" spans="2:90" x14ac:dyDescent="0.3">
      <c r="B111" s="1" t="s">
        <v>70</v>
      </c>
      <c r="C111" s="2">
        <v>0.17111361660982749</v>
      </c>
      <c r="D111" s="2">
        <v>0.27005320440036179</v>
      </c>
      <c r="E111" s="2">
        <v>0.25601443149875108</v>
      </c>
      <c r="F111" s="2">
        <v>0.18443933405383819</v>
      </c>
      <c r="G111" s="2">
        <v>0.282493643266577</v>
      </c>
      <c r="H111" s="2">
        <v>0.22658551510615599</v>
      </c>
      <c r="I111" s="2">
        <v>0.1710634395201763</v>
      </c>
      <c r="J111" s="2">
        <v>0.30285509250713682</v>
      </c>
      <c r="K111" s="2">
        <v>0.28381358755413499</v>
      </c>
      <c r="L111" s="2">
        <v>0.28954899633586928</v>
      </c>
      <c r="M111" s="2">
        <v>0.2415586748922712</v>
      </c>
      <c r="N111" s="2">
        <v>0.23465936711066679</v>
      </c>
      <c r="O111" s="2">
        <v>0.2104180798772432</v>
      </c>
      <c r="P111" s="2">
        <v>0.2297701883753957</v>
      </c>
      <c r="Q111" s="2">
        <v>0.17305238947076459</v>
      </c>
      <c r="R111" s="2">
        <v>0.2140497382177862</v>
      </c>
      <c r="S111" s="2">
        <v>0.2267452143033338</v>
      </c>
      <c r="T111" s="2">
        <v>0.23642165246210861</v>
      </c>
      <c r="U111" s="2">
        <v>0.27195501375433051</v>
      </c>
      <c r="V111" s="2">
        <v>0.2671635333465146</v>
      </c>
      <c r="X111" s="1" t="s">
        <v>70</v>
      </c>
      <c r="Y111" s="2">
        <v>4469.55</v>
      </c>
      <c r="Z111" s="2">
        <v>4819.32</v>
      </c>
      <c r="AA111" s="2">
        <v>4619.71</v>
      </c>
      <c r="AB111" s="2">
        <v>5097.0200000000004</v>
      </c>
      <c r="AC111" s="2">
        <v>4520.29</v>
      </c>
      <c r="AD111" s="2">
        <v>5031.28</v>
      </c>
      <c r="AE111" s="2">
        <v>4038.43</v>
      </c>
      <c r="AF111" s="2">
        <v>4945.6400000000003</v>
      </c>
      <c r="AG111" s="2">
        <v>4602.03</v>
      </c>
      <c r="AH111" s="2">
        <v>4946.4399999999996</v>
      </c>
      <c r="AI111" s="2">
        <v>4031.91</v>
      </c>
      <c r="AJ111" s="2">
        <v>4021.32</v>
      </c>
      <c r="AK111" s="2">
        <v>3603.65</v>
      </c>
      <c r="AL111" s="2">
        <v>3947.17</v>
      </c>
      <c r="AM111" s="2">
        <v>3254.12</v>
      </c>
      <c r="AN111" s="2">
        <v>3360.83</v>
      </c>
      <c r="AO111" s="2">
        <v>2955.65</v>
      </c>
      <c r="AP111" s="2">
        <v>3197.11</v>
      </c>
      <c r="AQ111" s="2">
        <v>2992.79</v>
      </c>
      <c r="AR111" s="2">
        <v>3431.93</v>
      </c>
      <c r="AU111" s="1" t="s">
        <v>70</v>
      </c>
      <c r="AV111" s="2">
        <v>15621.11</v>
      </c>
      <c r="AW111" s="2">
        <v>20871.68</v>
      </c>
      <c r="AX111" s="2">
        <v>25961.46</v>
      </c>
      <c r="AY111" s="2">
        <v>28477.48</v>
      </c>
      <c r="AZ111" s="2">
        <v>15471.86</v>
      </c>
      <c r="BA111" s="2">
        <v>17904.71</v>
      </c>
      <c r="BB111" s="2">
        <v>22465.07</v>
      </c>
      <c r="BC111" s="2">
        <v>20608.86</v>
      </c>
      <c r="BD111" s="2">
        <v>23798.47</v>
      </c>
      <c r="BE111" s="2">
        <v>23682.06</v>
      </c>
      <c r="BF111" s="2">
        <v>23239.09</v>
      </c>
      <c r="BG111" s="2">
        <v>24353.18</v>
      </c>
      <c r="BH111" s="2">
        <v>21611.35</v>
      </c>
      <c r="BI111" s="2">
        <v>23755.33</v>
      </c>
      <c r="BJ111" s="2">
        <v>19470.88</v>
      </c>
      <c r="BK111" s="2">
        <v>20133.669999999998</v>
      </c>
      <c r="BL111" s="2">
        <v>17608.349999999999</v>
      </c>
      <c r="BM111" s="2">
        <v>19083.39</v>
      </c>
      <c r="BN111" s="2">
        <v>17855.21</v>
      </c>
      <c r="BO111" s="2">
        <v>20663.07</v>
      </c>
      <c r="BR111" s="1" t="s">
        <v>70</v>
      </c>
      <c r="BS111" s="2">
        <v>7.02</v>
      </c>
      <c r="BT111" s="2">
        <v>7.02</v>
      </c>
      <c r="BU111" s="2">
        <v>11.07</v>
      </c>
      <c r="BV111" s="2">
        <v>4.22</v>
      </c>
      <c r="BW111" s="2">
        <v>2.7</v>
      </c>
      <c r="BX111" s="2">
        <v>2.7</v>
      </c>
      <c r="BY111" s="2">
        <v>5.17</v>
      </c>
      <c r="BZ111" s="2">
        <v>8.64</v>
      </c>
      <c r="CA111" s="2">
        <v>10.8</v>
      </c>
      <c r="CB111" s="2">
        <v>10.8</v>
      </c>
      <c r="CC111" s="2">
        <v>19.440000000000001</v>
      </c>
      <c r="CD111" s="2">
        <v>18.28</v>
      </c>
      <c r="CE111" s="2">
        <v>14.1</v>
      </c>
      <c r="CF111" s="2">
        <v>13.25</v>
      </c>
      <c r="CG111" s="2">
        <v>15.19</v>
      </c>
      <c r="CH111" s="2">
        <v>15.51</v>
      </c>
      <c r="CI111" s="2">
        <v>12.39</v>
      </c>
      <c r="CJ111" s="2">
        <v>11.05</v>
      </c>
      <c r="CK111" s="2">
        <v>15.64</v>
      </c>
      <c r="CL111" s="2">
        <v>11.25</v>
      </c>
    </row>
    <row r="112" spans="2:90" x14ac:dyDescent="0.3">
      <c r="B112" s="1" t="s">
        <v>71</v>
      </c>
      <c r="C112" s="2">
        <v>4.335936181922477E-2</v>
      </c>
      <c r="D112" s="2">
        <v>6.5056838382183471E-2</v>
      </c>
      <c r="E112" s="2">
        <v>6.4929573417815703E-2</v>
      </c>
      <c r="F112" s="2">
        <v>0.1098119930049915</v>
      </c>
      <c r="G112" s="2">
        <v>6.4116150151116547E-2</v>
      </c>
      <c r="H112" s="2">
        <v>5.2024732193025759E-2</v>
      </c>
      <c r="I112" s="2">
        <v>3.5838173475685631E-2</v>
      </c>
      <c r="J112" s="2">
        <v>5.6809514048055669E-2</v>
      </c>
      <c r="K112" s="2">
        <v>2.8600967354903029E-2</v>
      </c>
      <c r="L112" s="2">
        <v>8.099032411657453E-2</v>
      </c>
      <c r="M112" s="2">
        <v>3.5497978983715588E-2</v>
      </c>
      <c r="N112" s="2">
        <v>8.8845213718525801E-2</v>
      </c>
      <c r="O112" s="2">
        <v>3.6751361283739167E-2</v>
      </c>
      <c r="P112" s="2">
        <v>7.8839659608761298E-2</v>
      </c>
      <c r="Q112" s="2">
        <v>3.9156003879182527E-2</v>
      </c>
      <c r="R112" s="2">
        <v>9.3200949213973011E-2</v>
      </c>
      <c r="S112" s="2">
        <v>5.3657670068897892E-2</v>
      </c>
      <c r="T112" s="2">
        <v>0.10901817112506081</v>
      </c>
      <c r="U112" s="2">
        <v>5.3389539935936071E-2</v>
      </c>
      <c r="V112" s="2">
        <v>5.3655973596259079E-2</v>
      </c>
      <c r="X112" s="1" t="s">
        <v>71</v>
      </c>
      <c r="Y112" s="2">
        <v>1227.01</v>
      </c>
      <c r="Z112" s="2">
        <v>1287.17</v>
      </c>
      <c r="AA112" s="2">
        <v>1350.71</v>
      </c>
      <c r="AB112" s="2">
        <v>1395.59</v>
      </c>
      <c r="AC112" s="2">
        <v>1099.4100000000001</v>
      </c>
      <c r="AD112" s="2">
        <v>1271.17</v>
      </c>
      <c r="AE112" s="2">
        <v>945.59</v>
      </c>
      <c r="AF112" s="2">
        <v>1038.5999999999999</v>
      </c>
      <c r="AG112" s="2">
        <v>885.46</v>
      </c>
      <c r="AH112" s="2">
        <v>1128.82</v>
      </c>
      <c r="AI112" s="2">
        <v>919.79</v>
      </c>
      <c r="AJ112" s="2">
        <v>1157.19</v>
      </c>
      <c r="AK112" s="2">
        <v>918.09</v>
      </c>
      <c r="AL112" s="2">
        <v>1146.3599999999999</v>
      </c>
      <c r="AM112" s="2">
        <v>896.6</v>
      </c>
      <c r="AN112" s="2">
        <v>1091.78</v>
      </c>
      <c r="AO112" s="2">
        <v>836.67</v>
      </c>
      <c r="AP112" s="2">
        <v>1095.0999999999999</v>
      </c>
      <c r="AQ112" s="2">
        <v>764.6</v>
      </c>
      <c r="AR112" s="2">
        <v>784.72</v>
      </c>
      <c r="AU112" s="1" t="s">
        <v>71</v>
      </c>
      <c r="AV112" s="2">
        <v>3796.34</v>
      </c>
      <c r="AW112" s="2">
        <v>4068.02</v>
      </c>
      <c r="AX112" s="2">
        <v>6247.41</v>
      </c>
      <c r="AY112" s="2">
        <v>6480.83</v>
      </c>
      <c r="AZ112" s="2">
        <v>3238.3</v>
      </c>
      <c r="BA112" s="2">
        <v>3951.62</v>
      </c>
      <c r="BB112" s="2">
        <v>4235.71</v>
      </c>
      <c r="BC112" s="2">
        <v>3278.29</v>
      </c>
      <c r="BD112" s="2">
        <v>4277.54</v>
      </c>
      <c r="BE112" s="2">
        <v>5592.36</v>
      </c>
      <c r="BF112" s="2">
        <v>4513.41</v>
      </c>
      <c r="BG112" s="2">
        <v>5964.54</v>
      </c>
      <c r="BH112" s="2">
        <v>4476.6899999999996</v>
      </c>
      <c r="BI112" s="2">
        <v>5758.14</v>
      </c>
      <c r="BJ112" s="2">
        <v>4393.43</v>
      </c>
      <c r="BK112" s="2">
        <v>5541.08</v>
      </c>
      <c r="BL112" s="2">
        <v>4067.42</v>
      </c>
      <c r="BM112" s="2">
        <v>5474.7</v>
      </c>
      <c r="BN112" s="2">
        <v>3711.35</v>
      </c>
      <c r="BO112" s="2">
        <v>3817.78</v>
      </c>
      <c r="BR112" s="1" t="s">
        <v>71</v>
      </c>
      <c r="BS112" s="2">
        <v>7.02</v>
      </c>
      <c r="BT112" s="2">
        <v>7.02</v>
      </c>
      <c r="BU112" s="2">
        <v>10.130000000000001</v>
      </c>
      <c r="BV112" s="2">
        <v>9.91</v>
      </c>
      <c r="BW112" s="2">
        <v>2.7</v>
      </c>
      <c r="BX112" s="2">
        <v>2.7</v>
      </c>
      <c r="BY112" s="2">
        <v>5.13</v>
      </c>
      <c r="BZ112" s="2">
        <v>8.64</v>
      </c>
      <c r="CA112" s="2">
        <v>6.34</v>
      </c>
      <c r="CB112" s="2">
        <v>14.77</v>
      </c>
      <c r="CC112" s="2">
        <v>13.67</v>
      </c>
      <c r="CD112" s="2">
        <v>26.92</v>
      </c>
      <c r="CE112" s="2">
        <v>10.76</v>
      </c>
      <c r="CF112" s="2">
        <v>17.850000000000001</v>
      </c>
      <c r="CG112" s="2">
        <v>13.98</v>
      </c>
      <c r="CH112" s="2">
        <v>23.58</v>
      </c>
      <c r="CI112" s="2">
        <v>11.56</v>
      </c>
      <c r="CJ112" s="2">
        <v>17.309999999999999</v>
      </c>
      <c r="CK112" s="2">
        <v>13.36</v>
      </c>
      <c r="CL112" s="2">
        <v>11.4</v>
      </c>
    </row>
    <row r="113" spans="2:90" x14ac:dyDescent="0.3">
      <c r="B113" s="1" t="s">
        <v>72</v>
      </c>
      <c r="C113" s="2">
        <v>0.31755171663507642</v>
      </c>
      <c r="D113" s="2">
        <v>0.49558360052600609</v>
      </c>
      <c r="E113" s="2">
        <v>0.2317023700376509</v>
      </c>
      <c r="F113" s="2">
        <v>0.61864764602812039</v>
      </c>
      <c r="G113" s="2">
        <v>0.22548135409439229</v>
      </c>
      <c r="H113" s="2">
        <v>0.39690218211405048</v>
      </c>
      <c r="I113" s="2">
        <v>0.24046027770915021</v>
      </c>
      <c r="J113" s="2">
        <v>0.28734968498505548</v>
      </c>
      <c r="K113" s="2">
        <v>0.15690574175982441</v>
      </c>
      <c r="L113" s="2">
        <v>0.33924108810615661</v>
      </c>
      <c r="M113" s="2">
        <v>0.16837216621473361</v>
      </c>
      <c r="N113" s="2">
        <v>0.36388557041670577</v>
      </c>
      <c r="O113" s="2">
        <v>0.18021955624551911</v>
      </c>
      <c r="P113" s="2">
        <v>0.35975032359135772</v>
      </c>
      <c r="Q113" s="2">
        <v>0.2198526251914257</v>
      </c>
      <c r="R113" s="2">
        <v>0.36597831137917203</v>
      </c>
      <c r="S113" s="2">
        <v>0.24972565987720111</v>
      </c>
      <c r="T113" s="2">
        <v>0.30095143765866039</v>
      </c>
      <c r="U113" s="2">
        <v>0.26013457413581142</v>
      </c>
      <c r="V113" s="2">
        <v>0.30446396880337512</v>
      </c>
      <c r="X113" s="1" t="s">
        <v>72</v>
      </c>
      <c r="Y113" s="2">
        <v>4752.3100000000004</v>
      </c>
      <c r="Z113" s="2">
        <v>4907.07</v>
      </c>
      <c r="AA113" s="2">
        <v>3964.1</v>
      </c>
      <c r="AB113" s="2">
        <v>5376.89</v>
      </c>
      <c r="AC113" s="2">
        <v>3993.92</v>
      </c>
      <c r="AD113" s="2">
        <v>4835.28</v>
      </c>
      <c r="AE113" s="2">
        <v>3815.91</v>
      </c>
      <c r="AF113" s="2">
        <v>5164.33</v>
      </c>
      <c r="AG113" s="2">
        <v>2880.08</v>
      </c>
      <c r="AH113" s="2">
        <v>6427.86</v>
      </c>
      <c r="AI113" s="2">
        <v>3159.76</v>
      </c>
      <c r="AJ113" s="2">
        <v>6483.11</v>
      </c>
      <c r="AK113" s="2">
        <v>3188.33</v>
      </c>
      <c r="AL113" s="2">
        <v>5820.83</v>
      </c>
      <c r="AM113" s="2">
        <v>3491.05</v>
      </c>
      <c r="AN113" s="2">
        <v>3206.32</v>
      </c>
      <c r="AO113" s="2">
        <v>2600.1999999999998</v>
      </c>
      <c r="AP113" s="2">
        <v>2779.26</v>
      </c>
      <c r="AQ113" s="2">
        <v>2432.2600000000002</v>
      </c>
      <c r="AR113" s="2">
        <v>2449.6</v>
      </c>
      <c r="AU113" s="1" t="s">
        <v>72</v>
      </c>
      <c r="AV113" s="2">
        <v>15573.65</v>
      </c>
      <c r="AW113" s="2">
        <v>16191.33</v>
      </c>
      <c r="AX113" s="2">
        <v>18444.54</v>
      </c>
      <c r="AY113" s="2">
        <v>20904.98</v>
      </c>
      <c r="AZ113" s="2">
        <v>10351.44</v>
      </c>
      <c r="BA113" s="2">
        <v>15595.57</v>
      </c>
      <c r="BB113" s="2">
        <v>14483.25</v>
      </c>
      <c r="BC113" s="2">
        <v>11174.81</v>
      </c>
      <c r="BD113" s="2">
        <v>13973.67</v>
      </c>
      <c r="BE113" s="2">
        <v>17443.990000000002</v>
      </c>
      <c r="BF113" s="2">
        <v>14327.83</v>
      </c>
      <c r="BG113" s="2">
        <v>17750.14</v>
      </c>
      <c r="BH113" s="2">
        <v>14334.62</v>
      </c>
      <c r="BI113" s="2">
        <v>17182.27</v>
      </c>
      <c r="BJ113" s="2">
        <v>14450.92</v>
      </c>
      <c r="BK113" s="2">
        <v>16361.83</v>
      </c>
      <c r="BL113" s="2">
        <v>12728.81</v>
      </c>
      <c r="BM113" s="2">
        <v>13676.55</v>
      </c>
      <c r="BN113" s="2">
        <v>11916.24</v>
      </c>
      <c r="BO113" s="2">
        <v>12015.61</v>
      </c>
      <c r="BR113" s="1" t="s">
        <v>72</v>
      </c>
      <c r="BS113" s="2">
        <v>14.04</v>
      </c>
      <c r="BT113" s="2">
        <v>14.04</v>
      </c>
      <c r="BU113" s="2">
        <v>12.52</v>
      </c>
      <c r="BV113" s="2">
        <v>14.5</v>
      </c>
      <c r="BW113" s="2">
        <v>2.7</v>
      </c>
      <c r="BX113" s="2">
        <v>5.4</v>
      </c>
      <c r="BY113" s="2">
        <v>8.64</v>
      </c>
      <c r="BZ113" s="2">
        <v>8.64</v>
      </c>
      <c r="CA113" s="2">
        <v>10.8</v>
      </c>
      <c r="CB113" s="2">
        <v>10.8</v>
      </c>
      <c r="CC113" s="2">
        <v>19.440000000000001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31.41</v>
      </c>
      <c r="CI113" s="2">
        <v>17.71</v>
      </c>
      <c r="CJ113" s="2">
        <v>18.239999999999998</v>
      </c>
      <c r="CK113" s="2">
        <v>21.08</v>
      </c>
      <c r="CL113" s="2">
        <v>20.329999999999998</v>
      </c>
    </row>
    <row r="114" spans="2:90" x14ac:dyDescent="0.3">
      <c r="B114" s="1" t="s">
        <v>73</v>
      </c>
      <c r="C114" s="2">
        <v>3.4173877732438337E-2</v>
      </c>
      <c r="D114" s="2">
        <v>8.4596605527077873E-2</v>
      </c>
      <c r="E114" s="2">
        <v>1.3546657257801929E-2</v>
      </c>
      <c r="F114" s="2">
        <v>2.6016723114818941E-2</v>
      </c>
      <c r="G114" s="2">
        <v>1.4604345228273599E-2</v>
      </c>
      <c r="H114" s="2">
        <v>2.1703606474835969E-2</v>
      </c>
      <c r="I114" s="2">
        <v>2.033142401834984E-2</v>
      </c>
      <c r="J114" s="2">
        <v>0.1160812369697099</v>
      </c>
      <c r="K114" s="2">
        <v>4.8073305563417851E-2</v>
      </c>
      <c r="L114" s="2">
        <v>0.1053754481916457</v>
      </c>
      <c r="M114" s="2">
        <v>6.7514551874882103E-2</v>
      </c>
      <c r="N114" s="2">
        <v>0.116412951633873</v>
      </c>
      <c r="O114" s="2">
        <v>7.9751451519712982E-2</v>
      </c>
      <c r="P114" s="2">
        <v>0.1075862648645089</v>
      </c>
      <c r="Q114" s="2">
        <v>7.3290744551279791E-2</v>
      </c>
      <c r="R114" s="2">
        <v>8.4958840031807564E-2</v>
      </c>
      <c r="S114" s="2">
        <v>9.8070258996727042E-2</v>
      </c>
      <c r="T114" s="2">
        <v>9.1283551852479675E-2</v>
      </c>
      <c r="U114" s="2">
        <v>0.10579338812489381</v>
      </c>
      <c r="V114" s="2">
        <v>0.10617417321559169</v>
      </c>
      <c r="X114" s="1" t="s">
        <v>73</v>
      </c>
      <c r="Y114" s="2">
        <v>1751.15</v>
      </c>
      <c r="Z114" s="2">
        <v>2280.75</v>
      </c>
      <c r="AA114" s="2">
        <v>1953.73</v>
      </c>
      <c r="AB114" s="2">
        <v>2071.9299999999998</v>
      </c>
      <c r="AC114" s="2">
        <v>363.47</v>
      </c>
      <c r="AD114" s="2">
        <v>2121.56</v>
      </c>
      <c r="AE114" s="2">
        <v>1110.6099999999999</v>
      </c>
      <c r="AF114" s="2">
        <v>2241.59</v>
      </c>
      <c r="AG114" s="2">
        <v>1518.74</v>
      </c>
      <c r="AH114" s="2">
        <v>2110.19</v>
      </c>
      <c r="AI114" s="2">
        <v>1538.52</v>
      </c>
      <c r="AJ114" s="2">
        <v>2160.73</v>
      </c>
      <c r="AK114" s="2">
        <v>1515.32</v>
      </c>
      <c r="AL114" s="2">
        <v>1960.65</v>
      </c>
      <c r="AM114" s="2">
        <v>1499.74</v>
      </c>
      <c r="AN114" s="2">
        <v>1589.67</v>
      </c>
      <c r="AO114" s="2">
        <v>1423.88</v>
      </c>
      <c r="AP114" s="2">
        <v>1449.27</v>
      </c>
      <c r="AQ114" s="2">
        <v>1449.08</v>
      </c>
      <c r="AR114" s="2">
        <v>1430.65</v>
      </c>
      <c r="AU114" s="1" t="s">
        <v>73</v>
      </c>
      <c r="AV114" s="2">
        <v>8351.0499999999993</v>
      </c>
      <c r="AW114" s="2">
        <v>10907.25</v>
      </c>
      <c r="AX114" s="2">
        <v>8671.07</v>
      </c>
      <c r="AY114" s="2">
        <v>9200.8700000000008</v>
      </c>
      <c r="AZ114" s="2">
        <v>6342.43</v>
      </c>
      <c r="BA114" s="2">
        <v>9395.74</v>
      </c>
      <c r="BB114" s="2">
        <v>6342.59</v>
      </c>
      <c r="BC114" s="2">
        <v>9377.93</v>
      </c>
      <c r="BD114" s="2">
        <v>6800.26</v>
      </c>
      <c r="BE114" s="2">
        <v>9793.82</v>
      </c>
      <c r="BF114" s="2">
        <v>6685.38</v>
      </c>
      <c r="BG114" s="2">
        <v>10127.780000000001</v>
      </c>
      <c r="BH114" s="2">
        <v>6578.98</v>
      </c>
      <c r="BI114" s="2">
        <v>9391.65</v>
      </c>
      <c r="BJ114" s="2">
        <v>6289.46</v>
      </c>
      <c r="BK114" s="2">
        <v>7107.93</v>
      </c>
      <c r="BL114" s="2">
        <v>5768.02</v>
      </c>
      <c r="BM114" s="2">
        <v>6000.93</v>
      </c>
      <c r="BN114" s="2">
        <v>5999.62</v>
      </c>
      <c r="BO114" s="2">
        <v>6234.35</v>
      </c>
      <c r="BR114" s="1" t="s">
        <v>73</v>
      </c>
      <c r="BS114" s="2">
        <v>4.04</v>
      </c>
      <c r="BT114" s="2">
        <v>5.39</v>
      </c>
      <c r="BU114" s="2">
        <v>1.5</v>
      </c>
      <c r="BV114" s="2">
        <v>1.58</v>
      </c>
      <c r="BW114" s="2">
        <v>1.38</v>
      </c>
      <c r="BX114" s="2">
        <v>0.7</v>
      </c>
      <c r="BY114" s="2">
        <v>2.2999999999999998</v>
      </c>
      <c r="BZ114" s="2">
        <v>8.64</v>
      </c>
      <c r="CA114" s="2">
        <v>6.03</v>
      </c>
      <c r="CB114" s="2">
        <v>10.8</v>
      </c>
      <c r="CC114" s="2">
        <v>15.46</v>
      </c>
      <c r="CD114" s="2">
        <v>19.440000000000001</v>
      </c>
      <c r="CE114" s="2">
        <v>13.93</v>
      </c>
      <c r="CF114" s="2">
        <v>14.08</v>
      </c>
      <c r="CG114" s="2">
        <v>15.55</v>
      </c>
      <c r="CH114" s="2">
        <v>14.54</v>
      </c>
      <c r="CI114" s="2">
        <v>12.37</v>
      </c>
      <c r="CJ114" s="2">
        <v>10.14</v>
      </c>
      <c r="CK114" s="2">
        <v>13.99</v>
      </c>
      <c r="CL114" s="2">
        <v>11.42</v>
      </c>
    </row>
    <row r="115" spans="2:90" x14ac:dyDescent="0.3">
      <c r="AS115">
        <f>SUM(Y107:AR114)</f>
        <v>336907.05000000016</v>
      </c>
      <c r="BP115">
        <f>SUM(AV107:BO114)</f>
        <v>1566604.36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5" t="s">
        <v>63</v>
      </c>
      <c r="Z118" s="5"/>
      <c r="AA118" s="5"/>
      <c r="AB118" s="5"/>
      <c r="AC118" s="5"/>
      <c r="AD118" s="5"/>
      <c r="AE118" s="5"/>
      <c r="AF118" s="5"/>
      <c r="AG118" s="5"/>
      <c r="AH118" s="5"/>
      <c r="AI118" s="5" t="s">
        <v>64</v>
      </c>
      <c r="AJ118" s="5"/>
      <c r="AK118" s="5"/>
      <c r="AL118" s="5"/>
      <c r="AM118" s="5"/>
      <c r="AN118" s="5"/>
      <c r="AO118" s="5"/>
      <c r="AP118" s="5"/>
      <c r="AQ118" s="5"/>
      <c r="AR118" s="5"/>
      <c r="AU118" s="1" t="s">
        <v>6</v>
      </c>
      <c r="AV118" s="5" t="s">
        <v>63</v>
      </c>
      <c r="AW118" s="5"/>
      <c r="AX118" s="5"/>
      <c r="AY118" s="5"/>
      <c r="AZ118" s="5"/>
      <c r="BA118" s="5"/>
      <c r="BB118" s="5"/>
      <c r="BC118" s="5"/>
      <c r="BD118" s="5"/>
      <c r="BE118" s="5"/>
      <c r="BF118" s="5" t="s">
        <v>64</v>
      </c>
      <c r="BG118" s="5"/>
      <c r="BH118" s="5"/>
      <c r="BI118" s="5"/>
      <c r="BJ118" s="5"/>
      <c r="BK118" s="5"/>
      <c r="BL118" s="5"/>
      <c r="BM118" s="5"/>
      <c r="BN118" s="5"/>
      <c r="BO118" s="5"/>
      <c r="BR118" s="1" t="s">
        <v>6</v>
      </c>
      <c r="BS118" s="1" t="s">
        <v>63</v>
      </c>
      <c r="BT118" s="1" t="s">
        <v>64</v>
      </c>
      <c r="BU118" s="1" t="s">
        <v>63</v>
      </c>
      <c r="BV118" s="1" t="s">
        <v>64</v>
      </c>
      <c r="BW118" s="1" t="s">
        <v>63</v>
      </c>
      <c r="BX118" s="1" t="s">
        <v>64</v>
      </c>
      <c r="BY118" s="1" t="s">
        <v>63</v>
      </c>
      <c r="BZ118" s="1" t="s">
        <v>64</v>
      </c>
      <c r="CA118" s="1" t="s">
        <v>63</v>
      </c>
      <c r="CB118" s="1" t="s">
        <v>64</v>
      </c>
      <c r="CC118" s="1" t="s">
        <v>63</v>
      </c>
      <c r="CD118" s="1" t="s">
        <v>64</v>
      </c>
      <c r="CE118" s="1" t="s">
        <v>63</v>
      </c>
      <c r="CF118" s="1" t="s">
        <v>64</v>
      </c>
      <c r="CG118" s="1" t="s">
        <v>63</v>
      </c>
      <c r="CH118" s="1" t="s">
        <v>64</v>
      </c>
      <c r="CI118" s="1" t="s">
        <v>63</v>
      </c>
      <c r="CJ118" s="1" t="s">
        <v>64</v>
      </c>
      <c r="CK118" s="1" t="s">
        <v>63</v>
      </c>
      <c r="CL118" s="1" t="s">
        <v>64</v>
      </c>
    </row>
    <row r="119" spans="2:90" x14ac:dyDescent="0.3">
      <c r="X119" s="1" t="s">
        <v>65</v>
      </c>
      <c r="Y119" s="1" t="s">
        <v>53</v>
      </c>
      <c r="Z119" s="1" t="s">
        <v>62</v>
      </c>
      <c r="AA119" s="1" t="s">
        <v>54</v>
      </c>
      <c r="AB119" s="1" t="s">
        <v>55</v>
      </c>
      <c r="AC119" s="1" t="s">
        <v>56</v>
      </c>
      <c r="AD119" s="1" t="s">
        <v>57</v>
      </c>
      <c r="AE119" s="1" t="s">
        <v>58</v>
      </c>
      <c r="AF119" s="1" t="s">
        <v>59</v>
      </c>
      <c r="AG119" s="1" t="s">
        <v>60</v>
      </c>
      <c r="AH119" s="1" t="s">
        <v>61</v>
      </c>
      <c r="AI119" s="1" t="s">
        <v>53</v>
      </c>
      <c r="AJ119" s="1" t="s">
        <v>62</v>
      </c>
      <c r="AK119" s="1" t="s">
        <v>54</v>
      </c>
      <c r="AL119" s="1" t="s">
        <v>55</v>
      </c>
      <c r="AM119" s="1" t="s">
        <v>56</v>
      </c>
      <c r="AN119" s="1" t="s">
        <v>57</v>
      </c>
      <c r="AO119" s="1" t="s">
        <v>58</v>
      </c>
      <c r="AP119" s="1" t="s">
        <v>59</v>
      </c>
      <c r="AQ119" s="1" t="s">
        <v>60</v>
      </c>
      <c r="AR119" s="1" t="s">
        <v>61</v>
      </c>
      <c r="AU119" s="1" t="s">
        <v>65</v>
      </c>
      <c r="AV119" s="1" t="s">
        <v>53</v>
      </c>
      <c r="AW119" s="1" t="s">
        <v>62</v>
      </c>
      <c r="AX119" s="1" t="s">
        <v>54</v>
      </c>
      <c r="AY119" s="1" t="s">
        <v>55</v>
      </c>
      <c r="AZ119" s="1" t="s">
        <v>56</v>
      </c>
      <c r="BA119" s="1" t="s">
        <v>57</v>
      </c>
      <c r="BB119" s="1" t="s">
        <v>58</v>
      </c>
      <c r="BC119" s="1" t="s">
        <v>59</v>
      </c>
      <c r="BD119" s="1" t="s">
        <v>60</v>
      </c>
      <c r="BE119" s="1" t="s">
        <v>61</v>
      </c>
      <c r="BF119" s="1" t="s">
        <v>53</v>
      </c>
      <c r="BG119" s="1" t="s">
        <v>62</v>
      </c>
      <c r="BH119" s="1" t="s">
        <v>54</v>
      </c>
      <c r="BI119" s="1" t="s">
        <v>55</v>
      </c>
      <c r="BJ119" s="1" t="s">
        <v>56</v>
      </c>
      <c r="BK119" s="1" t="s">
        <v>57</v>
      </c>
      <c r="BL119" s="1" t="s">
        <v>58</v>
      </c>
      <c r="BM119" s="1" t="s">
        <v>59</v>
      </c>
      <c r="BN119" s="1" t="s">
        <v>60</v>
      </c>
      <c r="BO119" s="1" t="s">
        <v>61</v>
      </c>
      <c r="BR119" s="1" t="s">
        <v>65</v>
      </c>
      <c r="BS119" s="1" t="s">
        <v>53</v>
      </c>
      <c r="BT119" s="1" t="s">
        <v>53</v>
      </c>
      <c r="BU119" s="1" t="s">
        <v>54</v>
      </c>
      <c r="BV119" s="1" t="s">
        <v>54</v>
      </c>
      <c r="BW119" s="1" t="s">
        <v>55</v>
      </c>
      <c r="BX119" s="1" t="s">
        <v>55</v>
      </c>
      <c r="BY119" s="1" t="s">
        <v>56</v>
      </c>
      <c r="BZ119" s="1" t="s">
        <v>56</v>
      </c>
      <c r="CA119" s="1" t="s">
        <v>57</v>
      </c>
      <c r="CB119" s="1" t="s">
        <v>57</v>
      </c>
      <c r="CC119" s="1" t="s">
        <v>58</v>
      </c>
      <c r="CD119" s="1" t="s">
        <v>58</v>
      </c>
      <c r="CE119" s="1" t="s">
        <v>59</v>
      </c>
      <c r="CF119" s="1" t="s">
        <v>59</v>
      </c>
      <c r="CG119" s="1" t="s">
        <v>60</v>
      </c>
      <c r="CH119" s="1" t="s">
        <v>60</v>
      </c>
      <c r="CI119" s="1" t="s">
        <v>61</v>
      </c>
      <c r="CJ119" s="1" t="s">
        <v>61</v>
      </c>
      <c r="CK119" s="1" t="s">
        <v>62</v>
      </c>
      <c r="CL119" s="1" t="s">
        <v>62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66</v>
      </c>
      <c r="Y121" s="2">
        <v>51.22</v>
      </c>
      <c r="Z121" s="2">
        <v>35.950000000000003</v>
      </c>
      <c r="AA121" s="2">
        <v>17.16</v>
      </c>
      <c r="AB121" s="2">
        <v>7.02</v>
      </c>
      <c r="AC121" s="2">
        <v>43.04</v>
      </c>
      <c r="AD121" s="2">
        <v>74.22</v>
      </c>
      <c r="AE121" s="2">
        <v>121.97</v>
      </c>
      <c r="AF121" s="2">
        <v>80.13</v>
      </c>
      <c r="AG121" s="2">
        <v>105.39</v>
      </c>
      <c r="AH121" s="2">
        <v>10.83</v>
      </c>
      <c r="AI121" s="2">
        <v>60.25</v>
      </c>
      <c r="AJ121" s="2">
        <v>12.87</v>
      </c>
      <c r="AK121" s="2">
        <v>17.07</v>
      </c>
      <c r="AL121" s="2">
        <v>12.24</v>
      </c>
      <c r="AM121" s="2">
        <v>44.68</v>
      </c>
      <c r="AN121" s="2">
        <v>29.01</v>
      </c>
      <c r="AO121" s="2">
        <v>45.56</v>
      </c>
      <c r="AP121" s="2">
        <v>14.5</v>
      </c>
      <c r="AQ121" s="2">
        <v>35.979999999999997</v>
      </c>
      <c r="AR121" s="2">
        <v>8.7200000000000006</v>
      </c>
      <c r="AU121" s="1" t="s">
        <v>66</v>
      </c>
      <c r="AV121" s="2">
        <v>364.65</v>
      </c>
      <c r="AW121" s="2">
        <v>1375.25</v>
      </c>
      <c r="AX121" s="2">
        <v>262.20999999999998</v>
      </c>
      <c r="AY121" s="2">
        <v>107.78</v>
      </c>
      <c r="AZ121" s="2">
        <v>393.76</v>
      </c>
      <c r="BA121" s="2">
        <v>564.17999999999995</v>
      </c>
      <c r="BB121" s="2">
        <v>966.67</v>
      </c>
      <c r="BC121" s="2">
        <v>955.17</v>
      </c>
      <c r="BD121" s="2">
        <v>950.63</v>
      </c>
      <c r="BE121" s="2">
        <v>1043.51</v>
      </c>
      <c r="BF121" s="2">
        <v>378.37</v>
      </c>
      <c r="BG121" s="2">
        <v>1240.83</v>
      </c>
      <c r="BH121" s="2">
        <v>262.3</v>
      </c>
      <c r="BI121" s="2">
        <v>169.06</v>
      </c>
      <c r="BJ121" s="2">
        <v>589.24</v>
      </c>
      <c r="BK121" s="2">
        <v>557.59</v>
      </c>
      <c r="BL121" s="2">
        <v>1043.08</v>
      </c>
      <c r="BM121" s="2">
        <v>793.44</v>
      </c>
      <c r="BN121" s="2">
        <v>988.12</v>
      </c>
      <c r="BO121" s="2">
        <v>840.94</v>
      </c>
      <c r="BR121" s="1" t="s">
        <v>66</v>
      </c>
      <c r="BS121" s="2">
        <v>130.87</v>
      </c>
      <c r="BT121" s="2">
        <v>130.87</v>
      </c>
      <c r="BU121" s="2">
        <v>131.53</v>
      </c>
      <c r="BV121" s="2">
        <v>131.68</v>
      </c>
      <c r="BW121" s="2">
        <v>131.66</v>
      </c>
      <c r="BX121" s="2">
        <v>130.86000000000001</v>
      </c>
      <c r="BY121" s="2">
        <v>180.16</v>
      </c>
      <c r="BZ121" s="2">
        <v>180.16</v>
      </c>
      <c r="CA121" s="2">
        <v>19395.38</v>
      </c>
      <c r="CB121" s="2">
        <v>19204.560000000001</v>
      </c>
      <c r="CC121" s="2">
        <v>19414.759999999998</v>
      </c>
      <c r="CD121" s="2">
        <v>19204.41</v>
      </c>
      <c r="CE121" s="2">
        <v>19411.22</v>
      </c>
      <c r="CF121" s="2">
        <v>19204.39</v>
      </c>
      <c r="CG121" s="2">
        <v>19225.099999999999</v>
      </c>
      <c r="CH121" s="2">
        <v>19204.400000000001</v>
      </c>
      <c r="CI121" s="2">
        <v>20148.560000000001</v>
      </c>
      <c r="CJ121" s="2">
        <v>95742.73</v>
      </c>
      <c r="CK121" s="2">
        <v>19204.39</v>
      </c>
      <c r="CL121" s="2">
        <v>70231.73</v>
      </c>
    </row>
    <row r="122" spans="2:90" x14ac:dyDescent="0.3">
      <c r="X122" s="1" t="s">
        <v>67</v>
      </c>
      <c r="Y122" s="2">
        <v>34.47</v>
      </c>
      <c r="Z122" s="2">
        <v>116.22</v>
      </c>
      <c r="AA122" s="2">
        <v>19.07</v>
      </c>
      <c r="AB122" s="2">
        <v>7.59</v>
      </c>
      <c r="AC122" s="2">
        <v>36.54</v>
      </c>
      <c r="AD122" s="2">
        <v>46.23</v>
      </c>
      <c r="AE122" s="2">
        <v>83.16</v>
      </c>
      <c r="AF122" s="2">
        <v>67.56</v>
      </c>
      <c r="AG122" s="2">
        <v>84.26</v>
      </c>
      <c r="AH122" s="2">
        <v>64.2</v>
      </c>
      <c r="AI122" s="2">
        <v>27.3</v>
      </c>
      <c r="AJ122" s="2">
        <v>93.26</v>
      </c>
      <c r="AK122" s="2">
        <v>21.2</v>
      </c>
      <c r="AL122" s="2">
        <v>13.82</v>
      </c>
      <c r="AM122" s="2">
        <v>48.91</v>
      </c>
      <c r="AN122" s="2">
        <v>56.6</v>
      </c>
      <c r="AO122" s="2">
        <v>112.64</v>
      </c>
      <c r="AP122" s="2">
        <v>75.040000000000006</v>
      </c>
      <c r="AQ122" s="2">
        <v>84.46</v>
      </c>
      <c r="AR122" s="2">
        <v>70.540000000000006</v>
      </c>
      <c r="AU122" s="1" t="s">
        <v>67</v>
      </c>
      <c r="AV122" s="2">
        <v>207.98</v>
      </c>
      <c r="AW122" s="2">
        <v>712.23</v>
      </c>
      <c r="AX122" s="2">
        <v>107.29</v>
      </c>
      <c r="AY122" s="2">
        <v>42.31</v>
      </c>
      <c r="AZ122" s="2">
        <v>206.82</v>
      </c>
      <c r="BA122" s="2">
        <v>281.37</v>
      </c>
      <c r="BB122" s="2">
        <v>511.56</v>
      </c>
      <c r="BC122" s="2">
        <v>408.62</v>
      </c>
      <c r="BD122" s="2">
        <v>510.06</v>
      </c>
      <c r="BE122" s="2">
        <v>387.66</v>
      </c>
      <c r="BF122" s="2">
        <v>163.66999999999999</v>
      </c>
      <c r="BG122" s="2">
        <v>561.49</v>
      </c>
      <c r="BH122" s="2">
        <v>118.42</v>
      </c>
      <c r="BI122" s="2">
        <v>77.13</v>
      </c>
      <c r="BJ122" s="2">
        <v>273.01</v>
      </c>
      <c r="BK122" s="2">
        <v>339.8</v>
      </c>
      <c r="BL122" s="2">
        <v>677.56</v>
      </c>
      <c r="BM122" s="2">
        <v>451.6</v>
      </c>
      <c r="BN122" s="2">
        <v>509.86</v>
      </c>
      <c r="BO122" s="2">
        <v>423.14</v>
      </c>
      <c r="BR122" s="1" t="s">
        <v>67</v>
      </c>
      <c r="BS122" s="2">
        <v>334.85</v>
      </c>
      <c r="BT122" s="2">
        <v>414.17</v>
      </c>
      <c r="BU122" s="2">
        <v>350.22</v>
      </c>
      <c r="BV122" s="2">
        <v>368.74</v>
      </c>
      <c r="BW122" s="2">
        <v>454.99</v>
      </c>
      <c r="BX122" s="2">
        <v>391.49</v>
      </c>
      <c r="BY122" s="2">
        <v>358.33</v>
      </c>
      <c r="BZ122" s="2">
        <v>439.01</v>
      </c>
      <c r="CA122" s="2">
        <v>466.75</v>
      </c>
      <c r="CB122" s="2">
        <v>1028.8599999999999</v>
      </c>
      <c r="CC122" s="2">
        <v>382.05</v>
      </c>
      <c r="CD122" s="2">
        <v>954.99</v>
      </c>
      <c r="CE122" s="2">
        <v>485.08</v>
      </c>
      <c r="CF122" s="2">
        <v>732.98</v>
      </c>
      <c r="CG122" s="2">
        <v>538.05999999999995</v>
      </c>
      <c r="CH122" s="2">
        <v>930.5</v>
      </c>
      <c r="CI122" s="2">
        <v>597.22</v>
      </c>
      <c r="CJ122" s="2">
        <v>1929.9</v>
      </c>
      <c r="CK122" s="2">
        <v>664.58</v>
      </c>
      <c r="CL122" s="2">
        <v>4372.78</v>
      </c>
    </row>
    <row r="123" spans="2:90" x14ac:dyDescent="0.3">
      <c r="X123" s="1" t="s">
        <v>68</v>
      </c>
      <c r="Y123" s="2">
        <v>231.42</v>
      </c>
      <c r="Z123" s="2">
        <v>371.67</v>
      </c>
      <c r="AA123" s="2">
        <v>175.72</v>
      </c>
      <c r="AB123" s="2">
        <v>109.3</v>
      </c>
      <c r="AC123" s="2">
        <v>335.25</v>
      </c>
      <c r="AD123" s="2">
        <v>518.92999999999995</v>
      </c>
      <c r="AE123" s="2">
        <v>901.06</v>
      </c>
      <c r="AF123" s="2">
        <v>768.9</v>
      </c>
      <c r="AG123" s="2">
        <v>944.63</v>
      </c>
      <c r="AH123" s="2">
        <v>388.84</v>
      </c>
      <c r="AI123" s="2">
        <v>77.099999999999994</v>
      </c>
      <c r="AJ123" s="2">
        <v>345.42</v>
      </c>
      <c r="AK123" s="2">
        <v>60.6</v>
      </c>
      <c r="AL123" s="2">
        <v>124.12</v>
      </c>
      <c r="AM123" s="2">
        <v>221.22</v>
      </c>
      <c r="AN123" s="2">
        <v>257.01</v>
      </c>
      <c r="AO123" s="2">
        <v>487.74</v>
      </c>
      <c r="AP123" s="2">
        <v>355.44</v>
      </c>
      <c r="AQ123" s="2">
        <v>381.64</v>
      </c>
      <c r="AR123" s="2">
        <v>357.84</v>
      </c>
      <c r="AU123" s="1" t="s">
        <v>68</v>
      </c>
      <c r="AV123" s="2">
        <v>826.92</v>
      </c>
      <c r="AW123" s="2">
        <v>2229.0700000000002</v>
      </c>
      <c r="AX123" s="2">
        <v>688.19</v>
      </c>
      <c r="AY123" s="2">
        <v>242.38</v>
      </c>
      <c r="AZ123" s="2">
        <v>993.17</v>
      </c>
      <c r="BA123" s="2">
        <v>1498.27</v>
      </c>
      <c r="BB123" s="2">
        <v>2557.63</v>
      </c>
      <c r="BC123" s="2">
        <v>2070.96</v>
      </c>
      <c r="BD123" s="2">
        <v>2489.2199999999998</v>
      </c>
      <c r="BE123" s="2">
        <v>1950.49</v>
      </c>
      <c r="BF123" s="2">
        <v>462.27</v>
      </c>
      <c r="BG123" s="2">
        <v>2067.75</v>
      </c>
      <c r="BH123" s="2">
        <v>338.37</v>
      </c>
      <c r="BI123" s="2">
        <v>390.86</v>
      </c>
      <c r="BJ123" s="2">
        <v>1065.29</v>
      </c>
      <c r="BK123" s="2">
        <v>1431.78</v>
      </c>
      <c r="BL123" s="2">
        <v>2690.29</v>
      </c>
      <c r="BM123" s="2">
        <v>1907.76</v>
      </c>
      <c r="BN123" s="2">
        <v>2217.61</v>
      </c>
      <c r="BO123" s="2">
        <v>2143.15</v>
      </c>
      <c r="BR123" s="1" t="s">
        <v>68</v>
      </c>
      <c r="BS123" s="2">
        <v>163.6</v>
      </c>
      <c r="BT123" s="2">
        <v>557.28</v>
      </c>
      <c r="BU123" s="2">
        <v>177.67</v>
      </c>
      <c r="BV123" s="2">
        <v>439.03</v>
      </c>
      <c r="BW123" s="2">
        <v>152.96</v>
      </c>
      <c r="BX123" s="2">
        <v>202.15</v>
      </c>
      <c r="BY123" s="2">
        <v>180.53</v>
      </c>
      <c r="BZ123" s="2">
        <v>472.76</v>
      </c>
      <c r="CA123" s="2">
        <v>176.78</v>
      </c>
      <c r="CB123" s="2">
        <v>824.5</v>
      </c>
      <c r="CC123" s="2">
        <v>173.02</v>
      </c>
      <c r="CD123" s="2">
        <v>813.64</v>
      </c>
      <c r="CE123" s="2">
        <v>173.49</v>
      </c>
      <c r="CF123" s="2">
        <v>764.02</v>
      </c>
      <c r="CG123" s="2">
        <v>175.42</v>
      </c>
      <c r="CH123" s="2">
        <v>928.43</v>
      </c>
      <c r="CI123" s="2">
        <v>610.98</v>
      </c>
      <c r="CJ123" s="2">
        <v>1573.79</v>
      </c>
      <c r="CK123" s="2">
        <v>1733.04</v>
      </c>
      <c r="CL123" s="2">
        <v>2791.99</v>
      </c>
    </row>
    <row r="124" spans="2:90" x14ac:dyDescent="0.3">
      <c r="X124" s="1" t="s">
        <v>69</v>
      </c>
      <c r="Y124" s="2">
        <v>46.3</v>
      </c>
      <c r="Z124" s="2">
        <v>123.51</v>
      </c>
      <c r="AA124" s="2">
        <v>49.6</v>
      </c>
      <c r="AB124" s="2">
        <v>23.4</v>
      </c>
      <c r="AC124" s="2">
        <v>97.17</v>
      </c>
      <c r="AD124" s="2">
        <v>110.16</v>
      </c>
      <c r="AE124" s="2">
        <v>209.92</v>
      </c>
      <c r="AF124" s="2">
        <v>176.69</v>
      </c>
      <c r="AG124" s="2">
        <v>178.66</v>
      </c>
      <c r="AH124" s="2">
        <v>101.64</v>
      </c>
      <c r="AI124" s="2">
        <v>24.17</v>
      </c>
      <c r="AJ124" s="2">
        <v>105.2</v>
      </c>
      <c r="AK124" s="2">
        <v>26.28</v>
      </c>
      <c r="AL124" s="2">
        <v>18.670000000000002</v>
      </c>
      <c r="AM124" s="2">
        <v>49.52</v>
      </c>
      <c r="AN124" s="2">
        <v>70.430000000000007</v>
      </c>
      <c r="AO124" s="2">
        <v>129.55000000000001</v>
      </c>
      <c r="AP124" s="2">
        <v>88.26</v>
      </c>
      <c r="AQ124" s="2">
        <v>118.68</v>
      </c>
      <c r="AR124" s="2">
        <v>88.18</v>
      </c>
      <c r="AU124" s="1" t="s">
        <v>69</v>
      </c>
      <c r="AV124" s="2">
        <v>275.67</v>
      </c>
      <c r="AW124" s="2">
        <v>738.69</v>
      </c>
      <c r="AX124" s="2">
        <v>178.29</v>
      </c>
      <c r="AY124" s="2">
        <v>74.540000000000006</v>
      </c>
      <c r="AZ124" s="2">
        <v>363.16</v>
      </c>
      <c r="BA124" s="2">
        <v>440.42</v>
      </c>
      <c r="BB124" s="2">
        <v>838.02</v>
      </c>
      <c r="BC124" s="2">
        <v>698.95</v>
      </c>
      <c r="BD124" s="2">
        <v>882.68</v>
      </c>
      <c r="BE124" s="2">
        <v>609.64</v>
      </c>
      <c r="BF124" s="2">
        <v>136.38</v>
      </c>
      <c r="BG124" s="2">
        <v>628.49</v>
      </c>
      <c r="BH124" s="2">
        <v>146.62</v>
      </c>
      <c r="BI124" s="2">
        <v>104.48</v>
      </c>
      <c r="BJ124" s="2">
        <v>276.55</v>
      </c>
      <c r="BK124" s="2">
        <v>422.33</v>
      </c>
      <c r="BL124" s="2">
        <v>776.38</v>
      </c>
      <c r="BM124" s="2">
        <v>528.57000000000005</v>
      </c>
      <c r="BN124" s="2">
        <v>711.24</v>
      </c>
      <c r="BO124" s="2">
        <v>526.88</v>
      </c>
      <c r="BR124" s="1" t="s">
        <v>69</v>
      </c>
      <c r="BS124" s="2">
        <v>208.36</v>
      </c>
      <c r="BT124" s="2">
        <v>468.57</v>
      </c>
      <c r="BU124" s="2">
        <v>177.56</v>
      </c>
      <c r="BV124" s="2">
        <v>364.79</v>
      </c>
      <c r="BW124" s="2">
        <v>178.25</v>
      </c>
      <c r="BX124" s="2">
        <v>208.49</v>
      </c>
      <c r="BY124" s="2">
        <v>191.17</v>
      </c>
      <c r="BZ124" s="2">
        <v>338.47</v>
      </c>
      <c r="CA124" s="2">
        <v>213.52</v>
      </c>
      <c r="CB124" s="2">
        <v>521.91</v>
      </c>
      <c r="CC124" s="2">
        <v>213.32</v>
      </c>
      <c r="CD124" s="2">
        <v>575.80999999999995</v>
      </c>
      <c r="CE124" s="2">
        <v>212.49</v>
      </c>
      <c r="CF124" s="2">
        <v>561.9</v>
      </c>
      <c r="CG124" s="2">
        <v>289.24</v>
      </c>
      <c r="CH124" s="2">
        <v>685.88</v>
      </c>
      <c r="CI124" s="2">
        <v>696.02</v>
      </c>
      <c r="CJ124" s="2">
        <v>909.13</v>
      </c>
      <c r="CK124" s="2">
        <v>960.46</v>
      </c>
      <c r="CL124" s="2">
        <v>1209.49</v>
      </c>
    </row>
    <row r="125" spans="2:90" x14ac:dyDescent="0.3">
      <c r="X125" s="1" t="s">
        <v>70</v>
      </c>
      <c r="Y125" s="2">
        <v>205.68</v>
      </c>
      <c r="Z125" s="2">
        <v>585.28</v>
      </c>
      <c r="AA125" s="2">
        <v>168.88</v>
      </c>
      <c r="AB125" s="2">
        <v>77.56</v>
      </c>
      <c r="AC125" s="2">
        <v>275.08999999999997</v>
      </c>
      <c r="AD125" s="2">
        <v>416.46</v>
      </c>
      <c r="AE125" s="2">
        <v>654.07000000000005</v>
      </c>
      <c r="AF125" s="2">
        <v>479.24</v>
      </c>
      <c r="AG125" s="2">
        <v>563.14</v>
      </c>
      <c r="AH125" s="2">
        <v>488.84</v>
      </c>
      <c r="AI125" s="2">
        <v>208.18</v>
      </c>
      <c r="AJ125" s="2">
        <v>564.87</v>
      </c>
      <c r="AK125" s="2">
        <v>193.62</v>
      </c>
      <c r="AL125" s="2">
        <v>77.36</v>
      </c>
      <c r="AM125" s="2">
        <v>329.85</v>
      </c>
      <c r="AN125" s="2">
        <v>390.65</v>
      </c>
      <c r="AO125" s="2">
        <v>557.99</v>
      </c>
      <c r="AP125" s="2">
        <v>421.38</v>
      </c>
      <c r="AQ125" s="2">
        <v>525.61</v>
      </c>
      <c r="AR125" s="2">
        <v>361.6</v>
      </c>
      <c r="AU125" s="1" t="s">
        <v>70</v>
      </c>
      <c r="AV125" s="2">
        <v>717.62</v>
      </c>
      <c r="AW125" s="2">
        <v>3473.72</v>
      </c>
      <c r="AX125" s="2">
        <v>942.5</v>
      </c>
      <c r="AY125" s="2">
        <v>265.27</v>
      </c>
      <c r="AZ125" s="2">
        <v>1525.71</v>
      </c>
      <c r="BA125" s="2">
        <v>2144.54</v>
      </c>
      <c r="BB125" s="2">
        <v>3741.53</v>
      </c>
      <c r="BC125" s="2">
        <v>2857.21</v>
      </c>
      <c r="BD125" s="2">
        <v>3350.86</v>
      </c>
      <c r="BE125" s="2">
        <v>2900.96</v>
      </c>
      <c r="BF125" s="2">
        <v>899.42</v>
      </c>
      <c r="BG125" s="2">
        <v>3381.63</v>
      </c>
      <c r="BH125" s="2">
        <v>1077.78</v>
      </c>
      <c r="BI125" s="2">
        <v>275.07</v>
      </c>
      <c r="BJ125" s="2">
        <v>1370.15</v>
      </c>
      <c r="BK125" s="2">
        <v>1862.35</v>
      </c>
      <c r="BL125" s="2">
        <v>3348.01</v>
      </c>
      <c r="BM125" s="2">
        <v>2519.2199999999998</v>
      </c>
      <c r="BN125" s="2">
        <v>3129.99</v>
      </c>
      <c r="BO125" s="2">
        <v>2149.3000000000002</v>
      </c>
      <c r="BR125" s="1" t="s">
        <v>70</v>
      </c>
      <c r="BS125" s="2">
        <v>198.12</v>
      </c>
      <c r="BT125" s="2">
        <v>218.96</v>
      </c>
      <c r="BU125" s="2">
        <v>227.17</v>
      </c>
      <c r="BV125" s="2">
        <v>328.24</v>
      </c>
      <c r="BW125" s="2">
        <v>206.26</v>
      </c>
      <c r="BX125" s="2">
        <v>202.71</v>
      </c>
      <c r="BY125" s="2">
        <v>425.77</v>
      </c>
      <c r="BZ125" s="2">
        <v>234.11</v>
      </c>
      <c r="CA125" s="2">
        <v>296.87</v>
      </c>
      <c r="CB125" s="2">
        <v>271.7</v>
      </c>
      <c r="CC125" s="2">
        <v>347.86</v>
      </c>
      <c r="CD125" s="2">
        <v>387.25</v>
      </c>
      <c r="CE125" s="2">
        <v>425.16</v>
      </c>
      <c r="CF125" s="2">
        <v>436.7</v>
      </c>
      <c r="CG125" s="2">
        <v>583.38</v>
      </c>
      <c r="CH125" s="2">
        <v>559.24</v>
      </c>
      <c r="CI125" s="2">
        <v>720.39</v>
      </c>
      <c r="CJ125" s="2">
        <v>854.5</v>
      </c>
      <c r="CK125" s="2">
        <v>776.72</v>
      </c>
      <c r="CL125" s="2">
        <v>1229.6300000000001</v>
      </c>
    </row>
    <row r="126" spans="2:90" x14ac:dyDescent="0.3">
      <c r="X126" s="1" t="s">
        <v>71</v>
      </c>
      <c r="Y126" s="2">
        <v>39.25</v>
      </c>
      <c r="Z126" s="2">
        <v>115.3</v>
      </c>
      <c r="AA126" s="2">
        <v>31.61</v>
      </c>
      <c r="AB126" s="2">
        <v>14.51</v>
      </c>
      <c r="AC126" s="2">
        <v>47.1</v>
      </c>
      <c r="AD126" s="2">
        <v>54.2</v>
      </c>
      <c r="AE126" s="2">
        <v>114.17</v>
      </c>
      <c r="AF126" s="2">
        <v>85.16</v>
      </c>
      <c r="AG126" s="2">
        <v>112.65</v>
      </c>
      <c r="AH126" s="2">
        <v>102.57</v>
      </c>
      <c r="AI126" s="2">
        <v>37.51</v>
      </c>
      <c r="AJ126" s="2">
        <v>95.86</v>
      </c>
      <c r="AK126" s="2">
        <v>36.82</v>
      </c>
      <c r="AL126" s="2">
        <v>11.86</v>
      </c>
      <c r="AM126" s="2">
        <v>38.58</v>
      </c>
      <c r="AN126" s="2">
        <v>60.99</v>
      </c>
      <c r="AO126" s="2">
        <v>111.49</v>
      </c>
      <c r="AP126" s="2">
        <v>76.3</v>
      </c>
      <c r="AQ126" s="2">
        <v>118.8</v>
      </c>
      <c r="AR126" s="2">
        <v>78.900000000000006</v>
      </c>
      <c r="AU126" s="1" t="s">
        <v>71</v>
      </c>
      <c r="AV126" s="2">
        <v>121.16</v>
      </c>
      <c r="AW126" s="2">
        <v>556.58000000000004</v>
      </c>
      <c r="AX126" s="2">
        <v>144.74</v>
      </c>
      <c r="AY126" s="2">
        <v>42.7</v>
      </c>
      <c r="AZ126" s="2">
        <v>210.34</v>
      </c>
      <c r="BA126" s="2">
        <v>261</v>
      </c>
      <c r="BB126" s="2">
        <v>556.15</v>
      </c>
      <c r="BC126" s="2">
        <v>412.86</v>
      </c>
      <c r="BD126" s="2">
        <v>548</v>
      </c>
      <c r="BE126" s="2">
        <v>495.97</v>
      </c>
      <c r="BF126" s="2">
        <v>118.26</v>
      </c>
      <c r="BG126" s="2">
        <v>463.94</v>
      </c>
      <c r="BH126" s="2">
        <v>169.23</v>
      </c>
      <c r="BI126" s="2">
        <v>36.82</v>
      </c>
      <c r="BJ126" s="2">
        <v>121.47</v>
      </c>
      <c r="BK126" s="2">
        <v>299.11</v>
      </c>
      <c r="BL126" s="2">
        <v>563.29999999999995</v>
      </c>
      <c r="BM126" s="2">
        <v>378.25</v>
      </c>
      <c r="BN126" s="2">
        <v>593.36</v>
      </c>
      <c r="BO126" s="2">
        <v>389.67</v>
      </c>
      <c r="BR126" s="1" t="s">
        <v>71</v>
      </c>
      <c r="BS126" s="2">
        <v>186.1</v>
      </c>
      <c r="BT126" s="2">
        <v>186.27</v>
      </c>
      <c r="BU126" s="2">
        <v>203.37</v>
      </c>
      <c r="BV126" s="2">
        <v>203.44</v>
      </c>
      <c r="BW126" s="2">
        <v>200.49</v>
      </c>
      <c r="BX126" s="2">
        <v>195.52</v>
      </c>
      <c r="BY126" s="2">
        <v>386.3</v>
      </c>
      <c r="BZ126" s="2">
        <v>228.73</v>
      </c>
      <c r="CA126" s="2">
        <v>612.26</v>
      </c>
      <c r="CB126" s="2">
        <v>244.92</v>
      </c>
      <c r="CC126" s="2">
        <v>466.34</v>
      </c>
      <c r="CD126" s="2">
        <v>245.36</v>
      </c>
      <c r="CE126" s="2">
        <v>479.35</v>
      </c>
      <c r="CF126" s="2">
        <v>274.93</v>
      </c>
      <c r="CG126" s="2">
        <v>494.57</v>
      </c>
      <c r="CH126" s="2">
        <v>278.02999999999997</v>
      </c>
      <c r="CI126" s="2">
        <v>572.36</v>
      </c>
      <c r="CJ126" s="2">
        <v>323.82</v>
      </c>
      <c r="CK126" s="2">
        <v>777.48</v>
      </c>
      <c r="CL126" s="2">
        <v>1041.18</v>
      </c>
    </row>
    <row r="127" spans="2:90" x14ac:dyDescent="0.3">
      <c r="X127" s="1" t="s">
        <v>72</v>
      </c>
      <c r="Y127" s="2">
        <v>115.57</v>
      </c>
      <c r="Z127" s="2">
        <v>251.01</v>
      </c>
      <c r="AA127" s="2">
        <v>77.05</v>
      </c>
      <c r="AB127" s="2">
        <v>41.82</v>
      </c>
      <c r="AC127" s="2">
        <v>138.26</v>
      </c>
      <c r="AD127" s="2">
        <v>139.1</v>
      </c>
      <c r="AE127" s="2">
        <v>275.23</v>
      </c>
      <c r="AF127" s="2">
        <v>200.73</v>
      </c>
      <c r="AG127" s="2">
        <v>302.17</v>
      </c>
      <c r="AH127" s="2">
        <v>224.92</v>
      </c>
      <c r="AI127" s="2">
        <v>137.24</v>
      </c>
      <c r="AJ127" s="2">
        <v>242.79</v>
      </c>
      <c r="AK127" s="2">
        <v>99.83</v>
      </c>
      <c r="AL127" s="2">
        <v>40.57</v>
      </c>
      <c r="AM127" s="2">
        <v>185.62</v>
      </c>
      <c r="AN127" s="2">
        <v>282.52</v>
      </c>
      <c r="AO127" s="2">
        <v>478.56</v>
      </c>
      <c r="AP127" s="2">
        <v>305.88</v>
      </c>
      <c r="AQ127" s="2">
        <v>281.11</v>
      </c>
      <c r="AR127" s="2">
        <v>173.3</v>
      </c>
      <c r="AU127" s="1" t="s">
        <v>72</v>
      </c>
      <c r="AV127" s="2">
        <v>376.34</v>
      </c>
      <c r="AW127" s="2">
        <v>1218.0899999999999</v>
      </c>
      <c r="AX127" s="2">
        <v>354.28</v>
      </c>
      <c r="AY127" s="2">
        <v>108.28</v>
      </c>
      <c r="AZ127" s="2">
        <v>522.62</v>
      </c>
      <c r="BA127" s="2">
        <v>671.06</v>
      </c>
      <c r="BB127" s="2">
        <v>1237.74</v>
      </c>
      <c r="BC127" s="2">
        <v>896.46</v>
      </c>
      <c r="BD127" s="2">
        <v>1239.81</v>
      </c>
      <c r="BE127" s="2">
        <v>1091.5999999999999</v>
      </c>
      <c r="BF127" s="2">
        <v>449.84</v>
      </c>
      <c r="BG127" s="2">
        <v>1179.77</v>
      </c>
      <c r="BH127" s="2">
        <v>384.27</v>
      </c>
      <c r="BI127" s="2">
        <v>130.5</v>
      </c>
      <c r="BJ127" s="2">
        <v>400.39</v>
      </c>
      <c r="BK127" s="2">
        <v>762.32</v>
      </c>
      <c r="BL127" s="2">
        <v>1296.56</v>
      </c>
      <c r="BM127" s="2">
        <v>895.59</v>
      </c>
      <c r="BN127" s="2">
        <v>1405.52</v>
      </c>
      <c r="BO127" s="2">
        <v>844.38</v>
      </c>
      <c r="BR127" s="1" t="s">
        <v>72</v>
      </c>
      <c r="BS127" s="2">
        <v>176.56</v>
      </c>
      <c r="BT127" s="2">
        <v>173.7</v>
      </c>
      <c r="BU127" s="2">
        <v>253.52</v>
      </c>
      <c r="BV127" s="2">
        <v>189.53</v>
      </c>
      <c r="BW127" s="2">
        <v>239.42</v>
      </c>
      <c r="BX127" s="2">
        <v>181.77</v>
      </c>
      <c r="BY127" s="2">
        <v>336.05</v>
      </c>
      <c r="BZ127" s="2">
        <v>188.62</v>
      </c>
      <c r="CA127" s="2">
        <v>633.73</v>
      </c>
      <c r="CB127" s="2">
        <v>189.32</v>
      </c>
      <c r="CC127" s="2">
        <v>536.25</v>
      </c>
      <c r="CD127" s="2">
        <v>189.63</v>
      </c>
      <c r="CE127" s="2">
        <v>531.03</v>
      </c>
      <c r="CF127" s="2">
        <v>213.61</v>
      </c>
      <c r="CG127" s="2">
        <v>441.11</v>
      </c>
      <c r="CH127" s="2">
        <v>362.66</v>
      </c>
      <c r="CI127" s="2">
        <v>743</v>
      </c>
      <c r="CJ127" s="2">
        <v>684.64</v>
      </c>
      <c r="CK127" s="2">
        <v>974.93</v>
      </c>
      <c r="CL127" s="2">
        <v>1050.5</v>
      </c>
    </row>
    <row r="128" spans="2:90" x14ac:dyDescent="0.3">
      <c r="X128" s="1" t="s">
        <v>73</v>
      </c>
      <c r="Y128" s="2">
        <v>42.62</v>
      </c>
      <c r="Z128" s="2">
        <v>107.87</v>
      </c>
      <c r="AA128" s="2">
        <v>20.170000000000002</v>
      </c>
      <c r="AB128" s="2">
        <v>2.72</v>
      </c>
      <c r="AC128" s="2">
        <v>26.17</v>
      </c>
      <c r="AD128" s="2">
        <v>52.62</v>
      </c>
      <c r="AE128" s="2">
        <v>69.86</v>
      </c>
      <c r="AF128" s="2">
        <v>60.87</v>
      </c>
      <c r="AG128" s="2">
        <v>65.55</v>
      </c>
      <c r="AH128" s="2">
        <v>84.54</v>
      </c>
      <c r="AI128" s="2">
        <v>32.56</v>
      </c>
      <c r="AJ128" s="2">
        <v>81.52</v>
      </c>
      <c r="AK128" s="2">
        <v>23.82</v>
      </c>
      <c r="AL128" s="2">
        <v>9.7799999999999994</v>
      </c>
      <c r="AM128" s="2">
        <v>34.03</v>
      </c>
      <c r="AN128" s="2">
        <v>30.17</v>
      </c>
      <c r="AO128" s="2">
        <v>62.15</v>
      </c>
      <c r="AP128" s="2">
        <v>63.77</v>
      </c>
      <c r="AQ128" s="2">
        <v>72.67</v>
      </c>
      <c r="AR128" s="2">
        <v>58.61</v>
      </c>
      <c r="AU128" s="1" t="s">
        <v>73</v>
      </c>
      <c r="AV128" s="2">
        <v>203.08</v>
      </c>
      <c r="AW128" s="2">
        <v>445.63</v>
      </c>
      <c r="AX128" s="2">
        <v>89.42</v>
      </c>
      <c r="AY128" s="2">
        <v>46.48</v>
      </c>
      <c r="AZ128" s="2">
        <v>149.03</v>
      </c>
      <c r="BA128" s="2">
        <v>235.38</v>
      </c>
      <c r="BB128" s="2">
        <v>302.74</v>
      </c>
      <c r="BC128" s="2">
        <v>263.64</v>
      </c>
      <c r="BD128" s="2">
        <v>274.17</v>
      </c>
      <c r="BE128" s="2">
        <v>341.82</v>
      </c>
      <c r="BF128" s="2">
        <v>155.41999999999999</v>
      </c>
      <c r="BG128" s="2">
        <v>354.53</v>
      </c>
      <c r="BH128" s="2">
        <v>105.66</v>
      </c>
      <c r="BI128" s="2">
        <v>43.32</v>
      </c>
      <c r="BJ128" s="2">
        <v>141.99</v>
      </c>
      <c r="BK128" s="2">
        <v>139.59</v>
      </c>
      <c r="BL128" s="2">
        <v>289.66000000000003</v>
      </c>
      <c r="BM128" s="2">
        <v>304.24</v>
      </c>
      <c r="BN128" s="2">
        <v>324.05</v>
      </c>
      <c r="BO128" s="2">
        <v>242.29</v>
      </c>
      <c r="BR128" s="1" t="s">
        <v>73</v>
      </c>
      <c r="BS128" s="2">
        <v>444.12</v>
      </c>
      <c r="BT128" s="2">
        <v>349.87</v>
      </c>
      <c r="BU128" s="2">
        <v>251.05</v>
      </c>
      <c r="BV128" s="2">
        <v>262.29000000000002</v>
      </c>
      <c r="BW128" s="2">
        <v>603.6</v>
      </c>
      <c r="BX128" s="2">
        <v>296.48</v>
      </c>
      <c r="BY128" s="2">
        <v>431.17</v>
      </c>
      <c r="BZ128" s="2">
        <v>318.58999999999997</v>
      </c>
      <c r="CA128" s="2">
        <v>1197.53</v>
      </c>
      <c r="CB128" s="2">
        <v>387.79</v>
      </c>
      <c r="CC128" s="2">
        <v>578.26</v>
      </c>
      <c r="CD128" s="2">
        <v>385.08</v>
      </c>
      <c r="CE128" s="2">
        <v>488.7</v>
      </c>
      <c r="CF128" s="2">
        <v>464.34</v>
      </c>
      <c r="CG128" s="2">
        <v>616.34</v>
      </c>
      <c r="CH128" s="2">
        <v>715.74</v>
      </c>
      <c r="CI128" s="2">
        <v>755.46</v>
      </c>
      <c r="CJ128" s="2">
        <v>1190.3499999999999</v>
      </c>
      <c r="CK128" s="2">
        <v>1059.6300000000001</v>
      </c>
      <c r="CL128" s="2">
        <v>1862.43</v>
      </c>
    </row>
    <row r="131" spans="24:68" x14ac:dyDescent="0.3">
      <c r="X131" t="s">
        <v>39</v>
      </c>
      <c r="AU131" t="s">
        <v>40</v>
      </c>
    </row>
    <row r="132" spans="24:68" x14ac:dyDescent="0.3">
      <c r="X132" s="1" t="s">
        <v>6</v>
      </c>
      <c r="Y132" s="1" t="s">
        <v>63</v>
      </c>
      <c r="Z132" s="1" t="s">
        <v>64</v>
      </c>
      <c r="AA132" s="1" t="s">
        <v>63</v>
      </c>
      <c r="AB132" s="1" t="s">
        <v>64</v>
      </c>
      <c r="AC132" s="1" t="s">
        <v>63</v>
      </c>
      <c r="AD132" s="1" t="s">
        <v>64</v>
      </c>
      <c r="AE132" s="1" t="s">
        <v>63</v>
      </c>
      <c r="AF132" s="1" t="s">
        <v>64</v>
      </c>
      <c r="AG132" s="1" t="s">
        <v>63</v>
      </c>
      <c r="AH132" s="1" t="s">
        <v>64</v>
      </c>
      <c r="AI132" s="1" t="s">
        <v>63</v>
      </c>
      <c r="AJ132" s="1" t="s">
        <v>64</v>
      </c>
      <c r="AK132" s="1" t="s">
        <v>63</v>
      </c>
      <c r="AL132" s="1" t="s">
        <v>64</v>
      </c>
      <c r="AM132" s="1" t="s">
        <v>63</v>
      </c>
      <c r="AN132" s="1" t="s">
        <v>64</v>
      </c>
      <c r="AO132" s="1" t="s">
        <v>63</v>
      </c>
      <c r="AP132" s="1" t="s">
        <v>64</v>
      </c>
      <c r="AQ132" s="1" t="s">
        <v>63</v>
      </c>
      <c r="AR132" s="1" t="s">
        <v>64</v>
      </c>
      <c r="AU132" s="1" t="s">
        <v>6</v>
      </c>
      <c r="AV132" s="1" t="s">
        <v>63</v>
      </c>
      <c r="AW132" s="1" t="s">
        <v>64</v>
      </c>
      <c r="AX132" s="1" t="s">
        <v>63</v>
      </c>
      <c r="AY132" s="1" t="s">
        <v>64</v>
      </c>
      <c r="AZ132" s="1" t="s">
        <v>63</v>
      </c>
      <c r="BA132" s="1" t="s">
        <v>64</v>
      </c>
      <c r="BB132" s="1" t="s">
        <v>63</v>
      </c>
      <c r="BC132" s="1" t="s">
        <v>64</v>
      </c>
      <c r="BD132" s="1" t="s">
        <v>63</v>
      </c>
      <c r="BE132" s="1" t="s">
        <v>64</v>
      </c>
      <c r="BF132" s="1" t="s">
        <v>63</v>
      </c>
      <c r="BG132" s="1" t="s">
        <v>64</v>
      </c>
      <c r="BH132" s="1" t="s">
        <v>63</v>
      </c>
      <c r="BI132" s="1" t="s">
        <v>64</v>
      </c>
      <c r="BJ132" s="1" t="s">
        <v>63</v>
      </c>
      <c r="BK132" s="1" t="s">
        <v>64</v>
      </c>
      <c r="BL132" s="1" t="s">
        <v>63</v>
      </c>
      <c r="BM132" s="1" t="s">
        <v>64</v>
      </c>
      <c r="BN132" s="1" t="s">
        <v>63</v>
      </c>
      <c r="BO132" s="1" t="s">
        <v>64</v>
      </c>
    </row>
    <row r="133" spans="24:68" x14ac:dyDescent="0.3">
      <c r="X133" s="1" t="s">
        <v>65</v>
      </c>
      <c r="Y133" s="1" t="s">
        <v>53</v>
      </c>
      <c r="Z133" s="1" t="s">
        <v>53</v>
      </c>
      <c r="AA133" s="1" t="s">
        <v>54</v>
      </c>
      <c r="AB133" s="1" t="s">
        <v>54</v>
      </c>
      <c r="AC133" s="1" t="s">
        <v>55</v>
      </c>
      <c r="AD133" s="1" t="s">
        <v>55</v>
      </c>
      <c r="AE133" s="1" t="s">
        <v>56</v>
      </c>
      <c r="AF133" s="1" t="s">
        <v>56</v>
      </c>
      <c r="AG133" s="1" t="s">
        <v>57</v>
      </c>
      <c r="AH133" s="1" t="s">
        <v>57</v>
      </c>
      <c r="AI133" s="1" t="s">
        <v>58</v>
      </c>
      <c r="AJ133" s="1" t="s">
        <v>58</v>
      </c>
      <c r="AK133" s="1" t="s">
        <v>59</v>
      </c>
      <c r="AL133" s="1" t="s">
        <v>59</v>
      </c>
      <c r="AM133" s="1" t="s">
        <v>60</v>
      </c>
      <c r="AN133" s="1" t="s">
        <v>60</v>
      </c>
      <c r="AO133" s="1" t="s">
        <v>61</v>
      </c>
      <c r="AP133" s="1" t="s">
        <v>61</v>
      </c>
      <c r="AQ133" s="1" t="s">
        <v>62</v>
      </c>
      <c r="AR133" s="1" t="s">
        <v>62</v>
      </c>
      <c r="AU133" s="1" t="s">
        <v>65</v>
      </c>
      <c r="AV133" s="1" t="s">
        <v>53</v>
      </c>
      <c r="AW133" s="1" t="s">
        <v>53</v>
      </c>
      <c r="AX133" s="1" t="s">
        <v>54</v>
      </c>
      <c r="AY133" s="1" t="s">
        <v>54</v>
      </c>
      <c r="AZ133" s="1" t="s">
        <v>55</v>
      </c>
      <c r="BA133" s="1" t="s">
        <v>55</v>
      </c>
      <c r="BB133" s="1" t="s">
        <v>56</v>
      </c>
      <c r="BC133" s="1" t="s">
        <v>56</v>
      </c>
      <c r="BD133" s="1" t="s">
        <v>57</v>
      </c>
      <c r="BE133" s="1" t="s">
        <v>57</v>
      </c>
      <c r="BF133" s="1" t="s">
        <v>58</v>
      </c>
      <c r="BG133" s="1" t="s">
        <v>58</v>
      </c>
      <c r="BH133" s="1" t="s">
        <v>59</v>
      </c>
      <c r="BI133" s="1" t="s">
        <v>59</v>
      </c>
      <c r="BJ133" s="1" t="s">
        <v>60</v>
      </c>
      <c r="BK133" s="1" t="s">
        <v>60</v>
      </c>
      <c r="BL133" s="1" t="s">
        <v>61</v>
      </c>
      <c r="BM133" s="1" t="s">
        <v>61</v>
      </c>
      <c r="BN133" s="1" t="s">
        <v>62</v>
      </c>
      <c r="BO133" s="1" t="s">
        <v>62</v>
      </c>
    </row>
    <row r="134" spans="24:68" x14ac:dyDescent="0.3">
      <c r="X134" s="1" t="s">
        <v>7</v>
      </c>
      <c r="AU134" s="1" t="s">
        <v>7</v>
      </c>
    </row>
    <row r="135" spans="24:68" x14ac:dyDescent="0.3">
      <c r="X135" s="1" t="s">
        <v>66</v>
      </c>
      <c r="Y135" s="2">
        <v>39.4</v>
      </c>
      <c r="Z135" s="2">
        <v>46.35</v>
      </c>
      <c r="AA135" s="2">
        <v>13.2</v>
      </c>
      <c r="AB135" s="2">
        <v>13.13</v>
      </c>
      <c r="AC135" s="2">
        <v>14.04</v>
      </c>
      <c r="AD135" s="2">
        <v>24.48</v>
      </c>
      <c r="AE135" s="2">
        <v>26.9</v>
      </c>
      <c r="AF135" s="2">
        <v>27.92</v>
      </c>
      <c r="AG135" s="2">
        <v>37.11</v>
      </c>
      <c r="AH135" s="2">
        <v>14.5</v>
      </c>
      <c r="AI135" s="2">
        <v>33.880000000000003</v>
      </c>
      <c r="AJ135" s="2">
        <v>12.66</v>
      </c>
      <c r="AK135" s="2">
        <v>27.63</v>
      </c>
      <c r="AL135" s="2">
        <v>5</v>
      </c>
      <c r="AM135" s="2">
        <v>27.74</v>
      </c>
      <c r="AN135" s="2">
        <v>9.4700000000000006</v>
      </c>
      <c r="AO135" s="2">
        <v>3.18</v>
      </c>
      <c r="AP135" s="2">
        <v>2.57</v>
      </c>
      <c r="AQ135" s="2">
        <v>7.99</v>
      </c>
      <c r="AR135" s="2">
        <v>2.86</v>
      </c>
      <c r="AU135" s="1" t="s">
        <v>66</v>
      </c>
      <c r="AV135" s="2">
        <v>280.5</v>
      </c>
      <c r="AW135" s="2">
        <v>291.05</v>
      </c>
      <c r="AX135" s="2">
        <v>201.7</v>
      </c>
      <c r="AY135" s="2">
        <v>201.77</v>
      </c>
      <c r="AZ135" s="2">
        <v>215.56</v>
      </c>
      <c r="BA135" s="2">
        <v>338.12</v>
      </c>
      <c r="BB135" s="2">
        <v>246.1</v>
      </c>
      <c r="BC135" s="2">
        <v>368.28</v>
      </c>
      <c r="BD135" s="2">
        <v>282.08999999999997</v>
      </c>
      <c r="BE135" s="2">
        <v>278.8</v>
      </c>
      <c r="BF135" s="2">
        <v>268.52</v>
      </c>
      <c r="BG135" s="2">
        <v>289.74</v>
      </c>
      <c r="BH135" s="2">
        <v>329.37</v>
      </c>
      <c r="BI135" s="2">
        <v>273.60000000000002</v>
      </c>
      <c r="BJ135" s="2">
        <v>250.16</v>
      </c>
      <c r="BK135" s="2">
        <v>260.02999999999997</v>
      </c>
      <c r="BL135" s="2">
        <v>306.92</v>
      </c>
      <c r="BM135" s="2">
        <v>247.33</v>
      </c>
      <c r="BN135" s="2">
        <v>305.61</v>
      </c>
      <c r="BO135" s="2">
        <v>275.74</v>
      </c>
    </row>
    <row r="136" spans="24:68" x14ac:dyDescent="0.3">
      <c r="X136" s="1" t="s">
        <v>67</v>
      </c>
      <c r="Y136" s="2">
        <v>26.51</v>
      </c>
      <c r="Z136" s="2">
        <v>21</v>
      </c>
      <c r="AA136" s="2">
        <v>14.67</v>
      </c>
      <c r="AB136" s="2">
        <v>16.309999999999999</v>
      </c>
      <c r="AC136" s="2">
        <v>15.19</v>
      </c>
      <c r="AD136" s="2">
        <v>27.65</v>
      </c>
      <c r="AE136" s="2">
        <v>22.84</v>
      </c>
      <c r="AF136" s="2">
        <v>30.57</v>
      </c>
      <c r="AG136" s="2">
        <v>23.12</v>
      </c>
      <c r="AH136" s="2">
        <v>28.3</v>
      </c>
      <c r="AI136" s="2">
        <v>23.1</v>
      </c>
      <c r="AJ136" s="2">
        <v>31.29</v>
      </c>
      <c r="AK136" s="2">
        <v>23.3</v>
      </c>
      <c r="AL136" s="2">
        <v>25.87</v>
      </c>
      <c r="AM136" s="2">
        <v>22.17</v>
      </c>
      <c r="AN136" s="2">
        <v>22.23</v>
      </c>
      <c r="AO136" s="2">
        <v>18.88</v>
      </c>
      <c r="AP136" s="2">
        <v>20.75</v>
      </c>
      <c r="AQ136" s="2">
        <v>25.83</v>
      </c>
      <c r="AR136" s="2">
        <v>20.72</v>
      </c>
      <c r="AU136" s="1" t="s">
        <v>67</v>
      </c>
      <c r="AV136" s="2">
        <v>159.99</v>
      </c>
      <c r="AW136" s="2">
        <v>125.9</v>
      </c>
      <c r="AX136" s="2">
        <v>82.53</v>
      </c>
      <c r="AY136" s="2">
        <v>91.09</v>
      </c>
      <c r="AZ136" s="2">
        <v>84.61</v>
      </c>
      <c r="BA136" s="2">
        <v>154.25</v>
      </c>
      <c r="BB136" s="2">
        <v>129.26</v>
      </c>
      <c r="BC136" s="2">
        <v>170.63</v>
      </c>
      <c r="BD136" s="2">
        <v>140.68</v>
      </c>
      <c r="BE136" s="2">
        <v>169.9</v>
      </c>
      <c r="BF136" s="2">
        <v>142.1</v>
      </c>
      <c r="BG136" s="2">
        <v>188.21</v>
      </c>
      <c r="BH136" s="2">
        <v>140.9</v>
      </c>
      <c r="BI136" s="2">
        <v>155.72999999999999</v>
      </c>
      <c r="BJ136" s="2">
        <v>134.22999999999999</v>
      </c>
      <c r="BK136" s="2">
        <v>134.16999999999999</v>
      </c>
      <c r="BL136" s="2">
        <v>114.02</v>
      </c>
      <c r="BM136" s="2">
        <v>124.45</v>
      </c>
      <c r="BN136" s="2">
        <v>158.27000000000001</v>
      </c>
      <c r="BO136" s="2">
        <v>124.78</v>
      </c>
    </row>
    <row r="137" spans="24:68" x14ac:dyDescent="0.3">
      <c r="X137" s="1" t="s">
        <v>68</v>
      </c>
      <c r="Y137" s="2">
        <v>178.02</v>
      </c>
      <c r="Z137" s="2">
        <v>59.31</v>
      </c>
      <c r="AA137" s="2">
        <v>135.16999999999999</v>
      </c>
      <c r="AB137" s="2">
        <v>46.62</v>
      </c>
      <c r="AC137" s="2">
        <v>218.6</v>
      </c>
      <c r="AD137" s="2">
        <v>248.24</v>
      </c>
      <c r="AE137" s="2">
        <v>209.53</v>
      </c>
      <c r="AF137" s="2">
        <v>138.26</v>
      </c>
      <c r="AG137" s="2">
        <v>259.45999999999998</v>
      </c>
      <c r="AH137" s="2">
        <v>128.51</v>
      </c>
      <c r="AI137" s="2">
        <v>250.29</v>
      </c>
      <c r="AJ137" s="2">
        <v>135.47999999999999</v>
      </c>
      <c r="AK137" s="2">
        <v>265.14</v>
      </c>
      <c r="AL137" s="2">
        <v>122.57</v>
      </c>
      <c r="AM137" s="2">
        <v>248.59</v>
      </c>
      <c r="AN137" s="2">
        <v>100.43</v>
      </c>
      <c r="AO137" s="2">
        <v>114.36</v>
      </c>
      <c r="AP137" s="2">
        <v>105.25</v>
      </c>
      <c r="AQ137" s="2">
        <v>82.59</v>
      </c>
      <c r="AR137" s="2">
        <v>76.760000000000005</v>
      </c>
      <c r="AU137" s="1" t="s">
        <v>68</v>
      </c>
      <c r="AV137" s="2">
        <v>636.1</v>
      </c>
      <c r="AW137" s="2">
        <v>355.59</v>
      </c>
      <c r="AX137" s="2">
        <v>529.38</v>
      </c>
      <c r="AY137" s="2">
        <v>260.27999999999997</v>
      </c>
      <c r="AZ137" s="2">
        <v>484.76</v>
      </c>
      <c r="BA137" s="2">
        <v>781.71</v>
      </c>
      <c r="BB137" s="2">
        <v>620.73</v>
      </c>
      <c r="BC137" s="2">
        <v>665.81</v>
      </c>
      <c r="BD137" s="2">
        <v>749.14</v>
      </c>
      <c r="BE137" s="2">
        <v>715.89</v>
      </c>
      <c r="BF137" s="2">
        <v>710.45</v>
      </c>
      <c r="BG137" s="2">
        <v>747.3</v>
      </c>
      <c r="BH137" s="2">
        <v>714.12</v>
      </c>
      <c r="BI137" s="2">
        <v>657.85</v>
      </c>
      <c r="BJ137" s="2">
        <v>655.05999999999995</v>
      </c>
      <c r="BK137" s="2">
        <v>583.58000000000004</v>
      </c>
      <c r="BL137" s="2">
        <v>573.66999999999996</v>
      </c>
      <c r="BM137" s="2">
        <v>630.34</v>
      </c>
      <c r="BN137" s="2">
        <v>495.35</v>
      </c>
      <c r="BO137" s="2">
        <v>459.5</v>
      </c>
    </row>
    <row r="138" spans="24:68" x14ac:dyDescent="0.3">
      <c r="X138" s="1" t="s">
        <v>69</v>
      </c>
      <c r="Y138" s="2">
        <v>35.619999999999997</v>
      </c>
      <c r="Z138" s="2">
        <v>18.59</v>
      </c>
      <c r="AA138" s="2">
        <v>38.159999999999997</v>
      </c>
      <c r="AB138" s="2">
        <v>20.21</v>
      </c>
      <c r="AC138" s="2">
        <v>46.79</v>
      </c>
      <c r="AD138" s="2">
        <v>37.340000000000003</v>
      </c>
      <c r="AE138" s="2">
        <v>60.73</v>
      </c>
      <c r="AF138" s="2">
        <v>30.95</v>
      </c>
      <c r="AG138" s="2">
        <v>55.08</v>
      </c>
      <c r="AH138" s="2">
        <v>35.21</v>
      </c>
      <c r="AI138" s="2">
        <v>58.31</v>
      </c>
      <c r="AJ138" s="2">
        <v>35.99</v>
      </c>
      <c r="AK138" s="2">
        <v>60.93</v>
      </c>
      <c r="AL138" s="2">
        <v>30.44</v>
      </c>
      <c r="AM138" s="2">
        <v>47.02</v>
      </c>
      <c r="AN138" s="2">
        <v>31.23</v>
      </c>
      <c r="AO138" s="2">
        <v>29.89</v>
      </c>
      <c r="AP138" s="2">
        <v>25.93</v>
      </c>
      <c r="AQ138" s="2">
        <v>27.45</v>
      </c>
      <c r="AR138" s="2">
        <v>23.38</v>
      </c>
      <c r="AU138" s="1" t="s">
        <v>69</v>
      </c>
      <c r="AV138" s="2">
        <v>212.06</v>
      </c>
      <c r="AW138" s="2">
        <v>104.91</v>
      </c>
      <c r="AX138" s="2">
        <v>137.15</v>
      </c>
      <c r="AY138" s="2">
        <v>112.79</v>
      </c>
      <c r="AZ138" s="2">
        <v>149.07</v>
      </c>
      <c r="BA138" s="2">
        <v>208.97</v>
      </c>
      <c r="BB138" s="2">
        <v>226.97</v>
      </c>
      <c r="BC138" s="2">
        <v>172.84</v>
      </c>
      <c r="BD138" s="2">
        <v>220.21</v>
      </c>
      <c r="BE138" s="2">
        <v>211.17</v>
      </c>
      <c r="BF138" s="2">
        <v>232.78</v>
      </c>
      <c r="BG138" s="2">
        <v>215.66</v>
      </c>
      <c r="BH138" s="2">
        <v>241.02</v>
      </c>
      <c r="BI138" s="2">
        <v>182.26</v>
      </c>
      <c r="BJ138" s="2">
        <v>232.28</v>
      </c>
      <c r="BK138" s="2">
        <v>187.17</v>
      </c>
      <c r="BL138" s="2">
        <v>179.31</v>
      </c>
      <c r="BM138" s="2">
        <v>154.97</v>
      </c>
      <c r="BN138" s="2">
        <v>164.15</v>
      </c>
      <c r="BO138" s="2">
        <v>139.66999999999999</v>
      </c>
    </row>
    <row r="139" spans="24:68" x14ac:dyDescent="0.3">
      <c r="X139" s="1" t="s">
        <v>70</v>
      </c>
      <c r="Y139" s="2">
        <v>158.21</v>
      </c>
      <c r="Z139" s="2">
        <v>160.13999999999999</v>
      </c>
      <c r="AA139" s="2">
        <v>129.91</v>
      </c>
      <c r="AB139" s="2">
        <v>148.94</v>
      </c>
      <c r="AC139" s="2">
        <v>155.12</v>
      </c>
      <c r="AD139" s="2">
        <v>154.72</v>
      </c>
      <c r="AE139" s="2">
        <v>171.93</v>
      </c>
      <c r="AF139" s="2">
        <v>206.16</v>
      </c>
      <c r="AG139" s="2">
        <v>208.23</v>
      </c>
      <c r="AH139" s="2">
        <v>195.32</v>
      </c>
      <c r="AI139" s="2">
        <v>181.69</v>
      </c>
      <c r="AJ139" s="2">
        <v>155</v>
      </c>
      <c r="AK139" s="2">
        <v>165.26</v>
      </c>
      <c r="AL139" s="2">
        <v>145.30000000000001</v>
      </c>
      <c r="AM139" s="2">
        <v>148.19</v>
      </c>
      <c r="AN139" s="2">
        <v>138.32</v>
      </c>
      <c r="AO139" s="2">
        <v>143.78</v>
      </c>
      <c r="AP139" s="2">
        <v>106.35</v>
      </c>
      <c r="AQ139" s="2">
        <v>130.06</v>
      </c>
      <c r="AR139" s="2">
        <v>125.53</v>
      </c>
      <c r="AU139" s="1" t="s">
        <v>70</v>
      </c>
      <c r="AV139" s="2">
        <v>552.01</v>
      </c>
      <c r="AW139" s="2">
        <v>691.86</v>
      </c>
      <c r="AX139" s="2">
        <v>725</v>
      </c>
      <c r="AY139" s="2">
        <v>829.06</v>
      </c>
      <c r="AZ139" s="2">
        <v>530.54</v>
      </c>
      <c r="BA139" s="2">
        <v>550.14</v>
      </c>
      <c r="BB139" s="2">
        <v>953.57</v>
      </c>
      <c r="BC139" s="2">
        <v>856.34</v>
      </c>
      <c r="BD139" s="2">
        <v>1072.27</v>
      </c>
      <c r="BE139" s="2">
        <v>931.18</v>
      </c>
      <c r="BF139" s="2">
        <v>1039.31</v>
      </c>
      <c r="BG139" s="2">
        <v>930</v>
      </c>
      <c r="BH139" s="2">
        <v>985.24</v>
      </c>
      <c r="BI139" s="2">
        <v>868.7</v>
      </c>
      <c r="BJ139" s="2">
        <v>881.81</v>
      </c>
      <c r="BK139" s="2">
        <v>823.68</v>
      </c>
      <c r="BL139" s="2">
        <v>853.22</v>
      </c>
      <c r="BM139" s="2">
        <v>632.15</v>
      </c>
      <c r="BN139" s="2">
        <v>771.94</v>
      </c>
      <c r="BO139" s="2">
        <v>751.47</v>
      </c>
    </row>
    <row r="140" spans="24:68" x14ac:dyDescent="0.3">
      <c r="X140" s="1" t="s">
        <v>71</v>
      </c>
      <c r="Y140" s="2">
        <v>30.19</v>
      </c>
      <c r="Z140" s="2">
        <v>28.85</v>
      </c>
      <c r="AA140" s="2">
        <v>24.31</v>
      </c>
      <c r="AB140" s="2">
        <v>28.32</v>
      </c>
      <c r="AC140" s="2">
        <v>29.01</v>
      </c>
      <c r="AD140" s="2">
        <v>23.71</v>
      </c>
      <c r="AE140" s="2">
        <v>29.44</v>
      </c>
      <c r="AF140" s="2">
        <v>24.11</v>
      </c>
      <c r="AG140" s="2">
        <v>27.1</v>
      </c>
      <c r="AH140" s="2">
        <v>30.49</v>
      </c>
      <c r="AI140" s="2">
        <v>31.71</v>
      </c>
      <c r="AJ140" s="2">
        <v>30.97</v>
      </c>
      <c r="AK140" s="2">
        <v>29.37</v>
      </c>
      <c r="AL140" s="2">
        <v>26.31</v>
      </c>
      <c r="AM140" s="2">
        <v>29.64</v>
      </c>
      <c r="AN140" s="2">
        <v>31.26</v>
      </c>
      <c r="AO140" s="2">
        <v>30.17</v>
      </c>
      <c r="AP140" s="2">
        <v>23.2</v>
      </c>
      <c r="AQ140" s="2">
        <v>25.62</v>
      </c>
      <c r="AR140" s="2">
        <v>21.3</v>
      </c>
      <c r="AU140" s="1" t="s">
        <v>71</v>
      </c>
      <c r="AV140" s="2">
        <v>93.2</v>
      </c>
      <c r="AW140" s="2">
        <v>90.97</v>
      </c>
      <c r="AX140" s="2">
        <v>111.34</v>
      </c>
      <c r="AY140" s="2">
        <v>130.18</v>
      </c>
      <c r="AZ140" s="2">
        <v>85.39</v>
      </c>
      <c r="BA140" s="2">
        <v>73.64</v>
      </c>
      <c r="BB140" s="2">
        <v>131.46</v>
      </c>
      <c r="BC140" s="2">
        <v>75.92</v>
      </c>
      <c r="BD140" s="2">
        <v>130.5</v>
      </c>
      <c r="BE140" s="2">
        <v>149.56</v>
      </c>
      <c r="BF140" s="2">
        <v>154.49</v>
      </c>
      <c r="BG140" s="2">
        <v>156.47</v>
      </c>
      <c r="BH140" s="2">
        <v>142.37</v>
      </c>
      <c r="BI140" s="2">
        <v>130.43</v>
      </c>
      <c r="BJ140" s="2">
        <v>144.21</v>
      </c>
      <c r="BK140" s="2">
        <v>156.15</v>
      </c>
      <c r="BL140" s="2">
        <v>145.87</v>
      </c>
      <c r="BM140" s="2">
        <v>114.61</v>
      </c>
      <c r="BN140" s="2">
        <v>123.69</v>
      </c>
      <c r="BO140" s="2">
        <v>103.1</v>
      </c>
    </row>
    <row r="141" spans="24:68" x14ac:dyDescent="0.3">
      <c r="X141" s="1" t="s">
        <v>72</v>
      </c>
      <c r="Y141" s="2">
        <v>88.9</v>
      </c>
      <c r="Z141" s="2">
        <v>105.57</v>
      </c>
      <c r="AA141" s="2">
        <v>59.27</v>
      </c>
      <c r="AB141" s="2">
        <v>76.790000000000006</v>
      </c>
      <c r="AC141" s="2">
        <v>83.63</v>
      </c>
      <c r="AD141" s="2">
        <v>81.150000000000006</v>
      </c>
      <c r="AE141" s="2">
        <v>86.41</v>
      </c>
      <c r="AF141" s="2">
        <v>116.01</v>
      </c>
      <c r="AG141" s="2">
        <v>69.55</v>
      </c>
      <c r="AH141" s="2">
        <v>141.26</v>
      </c>
      <c r="AI141" s="2">
        <v>76.45</v>
      </c>
      <c r="AJ141" s="2">
        <v>132.93</v>
      </c>
      <c r="AK141" s="2">
        <v>69.22</v>
      </c>
      <c r="AL141" s="2">
        <v>105.48</v>
      </c>
      <c r="AM141" s="2">
        <v>79.52</v>
      </c>
      <c r="AN141" s="2">
        <v>73.98</v>
      </c>
      <c r="AO141" s="2">
        <v>66.150000000000006</v>
      </c>
      <c r="AP141" s="2">
        <v>50.97</v>
      </c>
      <c r="AQ141" s="2">
        <v>55.78</v>
      </c>
      <c r="AR141" s="2">
        <v>53.95</v>
      </c>
      <c r="AU141" s="1" t="s">
        <v>72</v>
      </c>
      <c r="AV141" s="2">
        <v>289.49</v>
      </c>
      <c r="AW141" s="2">
        <v>346.03</v>
      </c>
      <c r="AX141" s="2">
        <v>272.52</v>
      </c>
      <c r="AY141" s="2">
        <v>295.58999999999997</v>
      </c>
      <c r="AZ141" s="2">
        <v>216.57</v>
      </c>
      <c r="BA141" s="2">
        <v>261.01</v>
      </c>
      <c r="BB141" s="2">
        <v>326.64</v>
      </c>
      <c r="BC141" s="2">
        <v>250.24</v>
      </c>
      <c r="BD141" s="2">
        <v>335.53</v>
      </c>
      <c r="BE141" s="2">
        <v>381.16</v>
      </c>
      <c r="BF141" s="2">
        <v>343.82</v>
      </c>
      <c r="BG141" s="2">
        <v>360.15</v>
      </c>
      <c r="BH141" s="2">
        <v>309.12</v>
      </c>
      <c r="BI141" s="2">
        <v>308.82</v>
      </c>
      <c r="BJ141" s="2">
        <v>326.27</v>
      </c>
      <c r="BK141" s="2">
        <v>369.87</v>
      </c>
      <c r="BL141" s="2">
        <v>321.06</v>
      </c>
      <c r="BM141" s="2">
        <v>248.35</v>
      </c>
      <c r="BN141" s="2">
        <v>270.69</v>
      </c>
      <c r="BO141" s="2">
        <v>262.17</v>
      </c>
    </row>
    <row r="142" spans="24:68" x14ac:dyDescent="0.3">
      <c r="X142" s="1" t="s">
        <v>73</v>
      </c>
      <c r="Y142" s="2">
        <v>32.79</v>
      </c>
      <c r="Z142" s="2">
        <v>25.05</v>
      </c>
      <c r="AA142" s="2">
        <v>15.51</v>
      </c>
      <c r="AB142" s="2">
        <v>18.32</v>
      </c>
      <c r="AC142" s="2">
        <v>5.44</v>
      </c>
      <c r="AD142" s="2">
        <v>19.57</v>
      </c>
      <c r="AE142" s="2">
        <v>16.36</v>
      </c>
      <c r="AF142" s="2">
        <v>21.27</v>
      </c>
      <c r="AG142" s="2">
        <v>26.31</v>
      </c>
      <c r="AH142" s="2">
        <v>15.08</v>
      </c>
      <c r="AI142" s="2">
        <v>19.41</v>
      </c>
      <c r="AJ142" s="2">
        <v>17.260000000000002</v>
      </c>
      <c r="AK142" s="2">
        <v>20.99</v>
      </c>
      <c r="AL142" s="2">
        <v>21.99</v>
      </c>
      <c r="AM142" s="2">
        <v>17.25</v>
      </c>
      <c r="AN142" s="2">
        <v>19.12</v>
      </c>
      <c r="AO142" s="2">
        <v>24.86</v>
      </c>
      <c r="AP142" s="2">
        <v>17.239999999999998</v>
      </c>
      <c r="AQ142" s="2">
        <v>23.97</v>
      </c>
      <c r="AR142" s="2">
        <v>18.12</v>
      </c>
      <c r="AU142" s="1" t="s">
        <v>73</v>
      </c>
      <c r="AV142" s="2">
        <v>156.21</v>
      </c>
      <c r="AW142" s="2">
        <v>119.55</v>
      </c>
      <c r="AX142" s="2">
        <v>68.790000000000006</v>
      </c>
      <c r="AY142" s="2">
        <v>81.28</v>
      </c>
      <c r="AZ142" s="2">
        <v>92.96</v>
      </c>
      <c r="BA142" s="2">
        <v>86.63</v>
      </c>
      <c r="BB142" s="2">
        <v>93.14</v>
      </c>
      <c r="BC142" s="2">
        <v>88.75</v>
      </c>
      <c r="BD142" s="2">
        <v>117.69</v>
      </c>
      <c r="BE142" s="2">
        <v>69.8</v>
      </c>
      <c r="BF142" s="2">
        <v>84.09</v>
      </c>
      <c r="BG142" s="2">
        <v>80.459999999999994</v>
      </c>
      <c r="BH142" s="2">
        <v>90.91</v>
      </c>
      <c r="BI142" s="2">
        <v>104.91</v>
      </c>
      <c r="BJ142" s="2">
        <v>72.150000000000006</v>
      </c>
      <c r="BK142" s="2">
        <v>85.28</v>
      </c>
      <c r="BL142" s="2">
        <v>100.54</v>
      </c>
      <c r="BM142" s="2">
        <v>71.260000000000005</v>
      </c>
      <c r="BN142" s="2">
        <v>99.03</v>
      </c>
      <c r="BO142" s="2">
        <v>78.78</v>
      </c>
    </row>
    <row r="143" spans="24:68" x14ac:dyDescent="0.3">
      <c r="AS143">
        <f>SUM(Y135:AR142)</f>
        <v>10474.86</v>
      </c>
      <c r="BP143">
        <f>SUM(AV135:BO142)</f>
        <v>50559.05999999999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5" t="s">
        <v>63</v>
      </c>
      <c r="Z146" s="5"/>
      <c r="AA146" s="5"/>
      <c r="AB146" s="5"/>
      <c r="AC146" s="5"/>
      <c r="AD146" s="5"/>
      <c r="AE146" s="5"/>
      <c r="AF146" s="5"/>
      <c r="AG146" s="5"/>
      <c r="AH146" s="5"/>
      <c r="AI146" s="5" t="s">
        <v>64</v>
      </c>
      <c r="AJ146" s="5"/>
      <c r="AK146" s="5"/>
      <c r="AL146" s="5"/>
      <c r="AM146" s="5"/>
      <c r="AN146" s="5"/>
      <c r="AO146" s="5"/>
      <c r="AP146" s="5"/>
      <c r="AQ146" s="5"/>
      <c r="AR146" s="5"/>
      <c r="AU146" s="1" t="s">
        <v>6</v>
      </c>
      <c r="AV146" s="5" t="s">
        <v>63</v>
      </c>
      <c r="AW146" s="5"/>
      <c r="AX146" s="5"/>
      <c r="AY146" s="5"/>
      <c r="AZ146" s="5"/>
      <c r="BA146" s="5"/>
      <c r="BB146" s="5"/>
      <c r="BC146" s="5"/>
      <c r="BD146" s="5"/>
      <c r="BE146" s="5"/>
      <c r="BF146" s="5" t="s">
        <v>64</v>
      </c>
      <c r="BG146" s="5"/>
      <c r="BH146" s="5"/>
      <c r="BI146" s="5"/>
      <c r="BJ146" s="5"/>
      <c r="BK146" s="5"/>
      <c r="BL146" s="5"/>
      <c r="BM146" s="5"/>
      <c r="BN146" s="5"/>
      <c r="BO146" s="5"/>
    </row>
    <row r="147" spans="24:67" x14ac:dyDescent="0.3">
      <c r="X147" s="1" t="s">
        <v>65</v>
      </c>
      <c r="Y147" s="1" t="s">
        <v>53</v>
      </c>
      <c r="Z147" s="1" t="s">
        <v>62</v>
      </c>
      <c r="AA147" s="1" t="s">
        <v>54</v>
      </c>
      <c r="AB147" s="1" t="s">
        <v>55</v>
      </c>
      <c r="AC147" s="1" t="s">
        <v>56</v>
      </c>
      <c r="AD147" s="1" t="s">
        <v>57</v>
      </c>
      <c r="AE147" s="1" t="s">
        <v>58</v>
      </c>
      <c r="AF147" s="1" t="s">
        <v>59</v>
      </c>
      <c r="AG147" s="1" t="s">
        <v>60</v>
      </c>
      <c r="AH147" s="1" t="s">
        <v>61</v>
      </c>
      <c r="AI147" s="1" t="s">
        <v>53</v>
      </c>
      <c r="AJ147" s="1" t="s">
        <v>62</v>
      </c>
      <c r="AK147" s="1" t="s">
        <v>54</v>
      </c>
      <c r="AL147" s="1" t="s">
        <v>55</v>
      </c>
      <c r="AM147" s="1" t="s">
        <v>56</v>
      </c>
      <c r="AN147" s="1" t="s">
        <v>57</v>
      </c>
      <c r="AO147" s="1" t="s">
        <v>58</v>
      </c>
      <c r="AP147" s="1" t="s">
        <v>59</v>
      </c>
      <c r="AQ147" s="1" t="s">
        <v>60</v>
      </c>
      <c r="AR147" s="1" t="s">
        <v>61</v>
      </c>
      <c r="AU147" s="1" t="s">
        <v>65</v>
      </c>
      <c r="AV147" s="1" t="s">
        <v>53</v>
      </c>
      <c r="AW147" s="1" t="s">
        <v>62</v>
      </c>
      <c r="AX147" s="1" t="s">
        <v>54</v>
      </c>
      <c r="AY147" s="1" t="s">
        <v>55</v>
      </c>
      <c r="AZ147" s="1" t="s">
        <v>56</v>
      </c>
      <c r="BA147" s="1" t="s">
        <v>57</v>
      </c>
      <c r="BB147" s="1" t="s">
        <v>58</v>
      </c>
      <c r="BC147" s="1" t="s">
        <v>59</v>
      </c>
      <c r="BD147" s="1" t="s">
        <v>60</v>
      </c>
      <c r="BE147" s="1" t="s">
        <v>61</v>
      </c>
      <c r="BF147" s="1" t="s">
        <v>53</v>
      </c>
      <c r="BG147" s="1" t="s">
        <v>62</v>
      </c>
      <c r="BH147" s="1" t="s">
        <v>54</v>
      </c>
      <c r="BI147" s="1" t="s">
        <v>55</v>
      </c>
      <c r="BJ147" s="1" t="s">
        <v>56</v>
      </c>
      <c r="BK147" s="1" t="s">
        <v>57</v>
      </c>
      <c r="BL147" s="1" t="s">
        <v>58</v>
      </c>
      <c r="BM147" s="1" t="s">
        <v>59</v>
      </c>
      <c r="BN147" s="1" t="s">
        <v>60</v>
      </c>
      <c r="BO147" s="1" t="s">
        <v>61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66</v>
      </c>
      <c r="Y149" s="2">
        <v>13.25</v>
      </c>
      <c r="Z149" s="2">
        <v>2.64</v>
      </c>
      <c r="AA149" s="2">
        <v>4.9800000000000004</v>
      </c>
      <c r="AB149" s="2">
        <v>1.63</v>
      </c>
      <c r="AC149" s="2">
        <v>25.54</v>
      </c>
      <c r="AD149" s="2">
        <v>30.78</v>
      </c>
      <c r="AE149" s="2">
        <v>29.8</v>
      </c>
      <c r="AF149" s="2">
        <v>18.45</v>
      </c>
      <c r="AG149" s="2">
        <v>19.149999999999999</v>
      </c>
      <c r="AH149" s="2">
        <v>1.2</v>
      </c>
      <c r="AI149" s="2">
        <v>23.95</v>
      </c>
      <c r="AJ149" s="2">
        <v>1.62</v>
      </c>
      <c r="AK149" s="2">
        <v>4.95</v>
      </c>
      <c r="AL149" s="2">
        <v>3.99</v>
      </c>
      <c r="AM149" s="2">
        <v>8.48</v>
      </c>
      <c r="AN149" s="2">
        <v>17.75</v>
      </c>
      <c r="AO149" s="2">
        <v>16.59</v>
      </c>
      <c r="AP149" s="2">
        <v>4.87</v>
      </c>
      <c r="AQ149" s="2">
        <v>6.76</v>
      </c>
      <c r="AR149" s="2">
        <v>2.1</v>
      </c>
      <c r="AU149" s="1" t="s">
        <v>66</v>
      </c>
      <c r="AV149" s="2">
        <v>98.68</v>
      </c>
      <c r="AW149" s="2">
        <v>113.91</v>
      </c>
      <c r="AX149" s="2">
        <v>76.010000000000005</v>
      </c>
      <c r="AY149" s="2">
        <v>24.97</v>
      </c>
      <c r="AZ149" s="2">
        <v>242.14</v>
      </c>
      <c r="BA149" s="2">
        <v>245.02</v>
      </c>
      <c r="BB149" s="2">
        <v>249.92</v>
      </c>
      <c r="BC149" s="2">
        <v>233.27</v>
      </c>
      <c r="BD149" s="2">
        <v>177.69</v>
      </c>
      <c r="BE149" s="2">
        <v>115.42</v>
      </c>
      <c r="BF149" s="2">
        <v>156.22999999999999</v>
      </c>
      <c r="BG149" s="2">
        <v>155.88</v>
      </c>
      <c r="BH149" s="2">
        <v>76.040000000000006</v>
      </c>
      <c r="BI149" s="2">
        <v>53.41</v>
      </c>
      <c r="BJ149" s="2">
        <v>118.08</v>
      </c>
      <c r="BK149" s="2">
        <v>344.85</v>
      </c>
      <c r="BL149" s="2">
        <v>386.61</v>
      </c>
      <c r="BM149" s="2">
        <v>273.24</v>
      </c>
      <c r="BN149" s="2">
        <v>190.08</v>
      </c>
      <c r="BO149" s="2">
        <v>202.58</v>
      </c>
    </row>
    <row r="150" spans="24:67" x14ac:dyDescent="0.3">
      <c r="X150" s="1" t="s">
        <v>67</v>
      </c>
      <c r="Y150" s="2">
        <v>18.04</v>
      </c>
      <c r="Z150" s="2">
        <v>36.130000000000003</v>
      </c>
      <c r="AA150" s="2">
        <v>12.8</v>
      </c>
      <c r="AB150" s="2">
        <v>2.98</v>
      </c>
      <c r="AC150" s="2">
        <v>17.52</v>
      </c>
      <c r="AD150" s="2">
        <v>19.82</v>
      </c>
      <c r="AE150" s="2">
        <v>27.95</v>
      </c>
      <c r="AF150" s="2">
        <v>23.54</v>
      </c>
      <c r="AG150" s="2">
        <v>32.119999999999997</v>
      </c>
      <c r="AH150" s="2">
        <v>23.19</v>
      </c>
      <c r="AI150" s="2">
        <v>12.15</v>
      </c>
      <c r="AJ150" s="2">
        <v>39.1</v>
      </c>
      <c r="AK150" s="2">
        <v>9.6</v>
      </c>
      <c r="AL150" s="2">
        <v>6.72</v>
      </c>
      <c r="AM150" s="2">
        <v>22.93</v>
      </c>
      <c r="AN150" s="2">
        <v>25.68</v>
      </c>
      <c r="AO150" s="2">
        <v>34.81</v>
      </c>
      <c r="AP150" s="2">
        <v>27.24</v>
      </c>
      <c r="AQ150" s="2">
        <v>30.2</v>
      </c>
      <c r="AR150" s="2">
        <v>29.3</v>
      </c>
      <c r="AU150" s="1" t="s">
        <v>67</v>
      </c>
      <c r="AV150" s="2">
        <v>108.84</v>
      </c>
      <c r="AW150" s="2">
        <v>221.27</v>
      </c>
      <c r="AX150" s="2">
        <v>71.959999999999994</v>
      </c>
      <c r="AY150" s="2">
        <v>16.57</v>
      </c>
      <c r="AZ150" s="2">
        <v>99.12</v>
      </c>
      <c r="BA150" s="2">
        <v>120.58</v>
      </c>
      <c r="BB150" s="2">
        <v>171.85</v>
      </c>
      <c r="BC150" s="2">
        <v>142.34</v>
      </c>
      <c r="BD150" s="2">
        <v>194.36</v>
      </c>
      <c r="BE150" s="2">
        <v>140.01</v>
      </c>
      <c r="BF150" s="2">
        <v>72.87</v>
      </c>
      <c r="BG150" s="2">
        <v>235.4</v>
      </c>
      <c r="BH150" s="2">
        <v>53.58</v>
      </c>
      <c r="BI150" s="2">
        <v>37.479999999999997</v>
      </c>
      <c r="BJ150" s="2">
        <v>127.95</v>
      </c>
      <c r="BK150" s="2">
        <v>154.12</v>
      </c>
      <c r="BL150" s="2">
        <v>209.27</v>
      </c>
      <c r="BM150" s="2">
        <v>163.87</v>
      </c>
      <c r="BN150" s="2">
        <v>182.22</v>
      </c>
      <c r="BO150" s="2">
        <v>175.72</v>
      </c>
    </row>
    <row r="151" spans="24:67" x14ac:dyDescent="0.3">
      <c r="X151" s="1" t="s">
        <v>68</v>
      </c>
      <c r="Y151" s="2">
        <v>57.29</v>
      </c>
      <c r="Z151" s="2">
        <v>111.03</v>
      </c>
      <c r="AA151" s="2">
        <v>45.07</v>
      </c>
      <c r="AB151" s="2">
        <v>20.329999999999998</v>
      </c>
      <c r="AC151" s="2">
        <v>112.75</v>
      </c>
      <c r="AD151" s="2">
        <v>136.97</v>
      </c>
      <c r="AE151" s="2">
        <v>233.77</v>
      </c>
      <c r="AF151" s="2">
        <v>209.32</v>
      </c>
      <c r="AG151" s="2">
        <v>267</v>
      </c>
      <c r="AH151" s="2">
        <v>98.25</v>
      </c>
      <c r="AI151" s="2">
        <v>26.87</v>
      </c>
      <c r="AJ151" s="2">
        <v>103.93</v>
      </c>
      <c r="AK151" s="2">
        <v>17.420000000000002</v>
      </c>
      <c r="AL151" s="2">
        <v>35.07</v>
      </c>
      <c r="AM151" s="2">
        <v>83.13</v>
      </c>
      <c r="AN151" s="2">
        <v>78.959999999999994</v>
      </c>
      <c r="AO151" s="2">
        <v>129.22999999999999</v>
      </c>
      <c r="AP151" s="2">
        <v>108.88</v>
      </c>
      <c r="AQ151" s="2">
        <v>116.87</v>
      </c>
      <c r="AR151" s="2">
        <v>102.49</v>
      </c>
      <c r="AU151" s="1" t="s">
        <v>68</v>
      </c>
      <c r="AV151" s="2">
        <v>204.59</v>
      </c>
      <c r="AW151" s="2">
        <v>665.39</v>
      </c>
      <c r="AX151" s="2">
        <v>176.4</v>
      </c>
      <c r="AY151" s="2">
        <v>45.08</v>
      </c>
      <c r="AZ151" s="2">
        <v>333.9</v>
      </c>
      <c r="BA151" s="2">
        <v>395.23</v>
      </c>
      <c r="BB151" s="2">
        <v>662.89</v>
      </c>
      <c r="BC151" s="2">
        <v>563.35</v>
      </c>
      <c r="BD151" s="2">
        <v>702.94</v>
      </c>
      <c r="BE151" s="2">
        <v>492.46</v>
      </c>
      <c r="BF151" s="2">
        <v>161.11000000000001</v>
      </c>
      <c r="BG151" s="2">
        <v>621.78</v>
      </c>
      <c r="BH151" s="2">
        <v>97.24</v>
      </c>
      <c r="BI151" s="2">
        <v>110.42</v>
      </c>
      <c r="BJ151" s="2">
        <v>400.15</v>
      </c>
      <c r="BK151" s="2">
        <v>439.65</v>
      </c>
      <c r="BL151" s="2">
        <v>712.11</v>
      </c>
      <c r="BM151" s="2">
        <v>584</v>
      </c>
      <c r="BN151" s="2">
        <v>678.58</v>
      </c>
      <c r="BO151" s="2">
        <v>613.39</v>
      </c>
    </row>
    <row r="152" spans="24:67" x14ac:dyDescent="0.3">
      <c r="X152" s="1" t="s">
        <v>69</v>
      </c>
      <c r="Y152" s="2">
        <v>12.86</v>
      </c>
      <c r="Z152" s="2">
        <v>48.94</v>
      </c>
      <c r="AA152" s="2">
        <v>17.3</v>
      </c>
      <c r="AB152" s="2">
        <v>5.91</v>
      </c>
      <c r="AC152" s="2">
        <v>41.05</v>
      </c>
      <c r="AD152" s="2">
        <v>51.34</v>
      </c>
      <c r="AE152" s="2">
        <v>84.82</v>
      </c>
      <c r="AF152" s="2">
        <v>74.34</v>
      </c>
      <c r="AG152" s="2">
        <v>81.03</v>
      </c>
      <c r="AH152" s="2">
        <v>46.07</v>
      </c>
      <c r="AI152" s="2">
        <v>9.43</v>
      </c>
      <c r="AJ152" s="2">
        <v>45.77</v>
      </c>
      <c r="AK152" s="2">
        <v>7.82</v>
      </c>
      <c r="AL152" s="2">
        <v>5.98</v>
      </c>
      <c r="AM152" s="2">
        <v>22.01</v>
      </c>
      <c r="AN152" s="2">
        <v>23.6</v>
      </c>
      <c r="AO152" s="2">
        <v>35.6</v>
      </c>
      <c r="AP152" s="2">
        <v>29.93</v>
      </c>
      <c r="AQ152" s="2">
        <v>48.6</v>
      </c>
      <c r="AR152" s="2">
        <v>31.79</v>
      </c>
      <c r="AU152" s="1" t="s">
        <v>69</v>
      </c>
      <c r="AV152" s="2">
        <v>76.510000000000005</v>
      </c>
      <c r="AW152" s="2">
        <v>292.61</v>
      </c>
      <c r="AX152" s="2">
        <v>62.19</v>
      </c>
      <c r="AY152" s="2">
        <v>18.829999999999998</v>
      </c>
      <c r="AZ152" s="2">
        <v>153.37</v>
      </c>
      <c r="BA152" s="2">
        <v>205.19</v>
      </c>
      <c r="BB152" s="2">
        <v>338.35</v>
      </c>
      <c r="BC152" s="2">
        <v>293.89</v>
      </c>
      <c r="BD152" s="2">
        <v>400.05</v>
      </c>
      <c r="BE152" s="2">
        <v>276.25</v>
      </c>
      <c r="BF152" s="2">
        <v>53.23</v>
      </c>
      <c r="BG152" s="2">
        <v>273.36</v>
      </c>
      <c r="BH152" s="2">
        <v>43.66</v>
      </c>
      <c r="BI152" s="2">
        <v>33.450000000000003</v>
      </c>
      <c r="BJ152" s="2">
        <v>122.86</v>
      </c>
      <c r="BK152" s="2">
        <v>141.46</v>
      </c>
      <c r="BL152" s="2">
        <v>213.2</v>
      </c>
      <c r="BM152" s="2">
        <v>179.16</v>
      </c>
      <c r="BN152" s="2">
        <v>291.12</v>
      </c>
      <c r="BO152" s="2">
        <v>189.89</v>
      </c>
    </row>
    <row r="153" spans="24:67" x14ac:dyDescent="0.3">
      <c r="X153" s="1" t="s">
        <v>70</v>
      </c>
      <c r="Y153" s="2">
        <v>56.16</v>
      </c>
      <c r="Z153" s="2">
        <v>205.78</v>
      </c>
      <c r="AA153" s="2">
        <v>41.31</v>
      </c>
      <c r="AB153" s="2">
        <v>19.77</v>
      </c>
      <c r="AC153" s="2">
        <v>102.92</v>
      </c>
      <c r="AD153" s="2">
        <v>140.22999999999999</v>
      </c>
      <c r="AE153" s="2">
        <v>185.21</v>
      </c>
      <c r="AF153" s="2">
        <v>152.96</v>
      </c>
      <c r="AG153" s="2">
        <v>196.92</v>
      </c>
      <c r="AH153" s="2">
        <v>175.11</v>
      </c>
      <c r="AI153" s="2">
        <v>64.88</v>
      </c>
      <c r="AJ153" s="2">
        <v>196.53</v>
      </c>
      <c r="AK153" s="2">
        <v>35.450000000000003</v>
      </c>
      <c r="AL153" s="2">
        <v>28.87</v>
      </c>
      <c r="AM153" s="2">
        <v>113.19</v>
      </c>
      <c r="AN153" s="2">
        <v>141.01</v>
      </c>
      <c r="AO153" s="2">
        <v>174.46</v>
      </c>
      <c r="AP153" s="2">
        <v>152.58000000000001</v>
      </c>
      <c r="AQ153" s="2">
        <v>193.23</v>
      </c>
      <c r="AR153" s="2">
        <v>147.66</v>
      </c>
      <c r="AU153" s="1" t="s">
        <v>70</v>
      </c>
      <c r="AV153" s="2">
        <v>195.91</v>
      </c>
      <c r="AW153" s="2">
        <v>1220.72</v>
      </c>
      <c r="AX153" s="2">
        <v>230.42</v>
      </c>
      <c r="AY153" s="2">
        <v>67.61</v>
      </c>
      <c r="AZ153" s="2">
        <v>570.67999999999995</v>
      </c>
      <c r="BA153" s="2">
        <v>721.77</v>
      </c>
      <c r="BB153" s="2">
        <v>1058.5899999999999</v>
      </c>
      <c r="BC153" s="2">
        <v>911.34</v>
      </c>
      <c r="BD153" s="2">
        <v>1171.08</v>
      </c>
      <c r="BE153" s="2">
        <v>1038.69</v>
      </c>
      <c r="BF153" s="2">
        <v>280.27</v>
      </c>
      <c r="BG153" s="2">
        <v>1175.97</v>
      </c>
      <c r="BH153" s="2">
        <v>197.25</v>
      </c>
      <c r="BI153" s="2">
        <v>102.63</v>
      </c>
      <c r="BJ153" s="2">
        <v>470.01</v>
      </c>
      <c r="BK153" s="2">
        <v>671.99</v>
      </c>
      <c r="BL153" s="2">
        <v>1045.94</v>
      </c>
      <c r="BM153" s="2">
        <v>911.72</v>
      </c>
      <c r="BN153" s="2">
        <v>1150.07</v>
      </c>
      <c r="BO153" s="2">
        <v>877.44</v>
      </c>
    </row>
    <row r="154" spans="24:67" x14ac:dyDescent="0.3">
      <c r="X154" s="1" t="s">
        <v>71</v>
      </c>
      <c r="Y154" s="2">
        <v>13.21</v>
      </c>
      <c r="Z154" s="2">
        <v>31.68</v>
      </c>
      <c r="AA154" s="2">
        <v>9.75</v>
      </c>
      <c r="AB154" s="2">
        <v>3.62</v>
      </c>
      <c r="AC154" s="2">
        <v>11.04</v>
      </c>
      <c r="AD154" s="2">
        <v>12.28</v>
      </c>
      <c r="AE154" s="2">
        <v>25.71</v>
      </c>
      <c r="AF154" s="2">
        <v>23.47</v>
      </c>
      <c r="AG154" s="2">
        <v>29.76</v>
      </c>
      <c r="AH154" s="2">
        <v>30.14</v>
      </c>
      <c r="AI154" s="2">
        <v>5.0599999999999996</v>
      </c>
      <c r="AJ154" s="2">
        <v>23.97</v>
      </c>
      <c r="AK154" s="2">
        <v>3.56</v>
      </c>
      <c r="AL154" s="2">
        <v>2.76</v>
      </c>
      <c r="AM154" s="2">
        <v>8.92</v>
      </c>
      <c r="AN154" s="2">
        <v>13.89</v>
      </c>
      <c r="AO154" s="2">
        <v>21.89</v>
      </c>
      <c r="AP154" s="2">
        <v>16.95</v>
      </c>
      <c r="AQ154" s="2">
        <v>28.36</v>
      </c>
      <c r="AR154" s="2">
        <v>14.78</v>
      </c>
      <c r="AU154" s="1" t="s">
        <v>71</v>
      </c>
      <c r="AV154" s="2">
        <v>40.78</v>
      </c>
      <c r="AW154" s="2">
        <v>152.83000000000001</v>
      </c>
      <c r="AX154" s="2">
        <v>44.65</v>
      </c>
      <c r="AY154" s="2">
        <v>10.67</v>
      </c>
      <c r="AZ154" s="2">
        <v>49.28</v>
      </c>
      <c r="BA154" s="2">
        <v>59.12</v>
      </c>
      <c r="BB154" s="2">
        <v>125.13</v>
      </c>
      <c r="BC154" s="2">
        <v>113.73</v>
      </c>
      <c r="BD154" s="2">
        <v>144.71</v>
      </c>
      <c r="BE154" s="2">
        <v>145.68</v>
      </c>
      <c r="BF154" s="2">
        <v>15.96</v>
      </c>
      <c r="BG154" s="2">
        <v>115.98</v>
      </c>
      <c r="BH154" s="2">
        <v>16.34</v>
      </c>
      <c r="BI154" s="2">
        <v>8.58</v>
      </c>
      <c r="BJ154" s="2">
        <v>28.09</v>
      </c>
      <c r="BK154" s="2">
        <v>68.08</v>
      </c>
      <c r="BL154" s="2">
        <v>110.44</v>
      </c>
      <c r="BM154" s="2">
        <v>83.99</v>
      </c>
      <c r="BN154" s="2">
        <v>141.51</v>
      </c>
      <c r="BO154" s="2">
        <v>72.95</v>
      </c>
    </row>
    <row r="155" spans="24:67" x14ac:dyDescent="0.3">
      <c r="X155" s="1" t="s">
        <v>72</v>
      </c>
      <c r="Y155" s="2">
        <v>25.31</v>
      </c>
      <c r="Z155" s="2">
        <v>60.58</v>
      </c>
      <c r="AA155" s="2">
        <v>15.45</v>
      </c>
      <c r="AB155" s="2">
        <v>9.0299999999999994</v>
      </c>
      <c r="AC155" s="2">
        <v>34.19</v>
      </c>
      <c r="AD155" s="2">
        <v>34.729999999999997</v>
      </c>
      <c r="AE155" s="2">
        <v>56.62</v>
      </c>
      <c r="AF155" s="2">
        <v>44.66</v>
      </c>
      <c r="AG155" s="2">
        <v>77.72</v>
      </c>
      <c r="AH155" s="2">
        <v>56.3</v>
      </c>
      <c r="AI155" s="2">
        <v>26.11</v>
      </c>
      <c r="AJ155" s="2">
        <v>46.25</v>
      </c>
      <c r="AK155" s="2">
        <v>20.62</v>
      </c>
      <c r="AL155" s="2">
        <v>10.92</v>
      </c>
      <c r="AM155" s="2">
        <v>36.549999999999997</v>
      </c>
      <c r="AN155" s="2">
        <v>53.89</v>
      </c>
      <c r="AO155" s="2">
        <v>93.01</v>
      </c>
      <c r="AP155" s="2">
        <v>74.44</v>
      </c>
      <c r="AQ155" s="2">
        <v>64.34</v>
      </c>
      <c r="AR155" s="2">
        <v>40.69</v>
      </c>
      <c r="AU155" s="1" t="s">
        <v>72</v>
      </c>
      <c r="AV155" s="2">
        <v>82.4</v>
      </c>
      <c r="AW155" s="2">
        <v>293.8</v>
      </c>
      <c r="AX155" s="2">
        <v>70.989999999999995</v>
      </c>
      <c r="AY155" s="2">
        <v>23.39</v>
      </c>
      <c r="AZ155" s="2">
        <v>129.21</v>
      </c>
      <c r="BA155" s="2">
        <v>167.5</v>
      </c>
      <c r="BB155" s="2">
        <v>254.52</v>
      </c>
      <c r="BC155" s="2">
        <v>199.36</v>
      </c>
      <c r="BD155" s="2">
        <v>318.72000000000003</v>
      </c>
      <c r="BE155" s="2">
        <v>273.10000000000002</v>
      </c>
      <c r="BF155" s="2">
        <v>85.57</v>
      </c>
      <c r="BG155" s="2">
        <v>224.64</v>
      </c>
      <c r="BH155" s="2">
        <v>79.33</v>
      </c>
      <c r="BI155" s="2">
        <v>35.130000000000003</v>
      </c>
      <c r="BJ155" s="2">
        <v>78.819999999999993</v>
      </c>
      <c r="BK155" s="2">
        <v>145.37</v>
      </c>
      <c r="BL155" s="2">
        <v>251.86</v>
      </c>
      <c r="BM155" s="2">
        <v>217.88</v>
      </c>
      <c r="BN155" s="2">
        <v>321.33999999999997</v>
      </c>
      <c r="BO155" s="2">
        <v>198.16</v>
      </c>
    </row>
    <row r="156" spans="24:67" x14ac:dyDescent="0.3">
      <c r="X156" s="1" t="s">
        <v>73</v>
      </c>
      <c r="Y156" s="2">
        <v>4.1900000000000004</v>
      </c>
      <c r="Z156" s="2">
        <v>13.16</v>
      </c>
      <c r="AA156" s="2">
        <v>2.73</v>
      </c>
      <c r="AB156" s="2">
        <v>0.34</v>
      </c>
      <c r="AC156" s="2">
        <v>8.11</v>
      </c>
      <c r="AD156" s="2">
        <v>8.11</v>
      </c>
      <c r="AE156" s="2">
        <v>17.420000000000002</v>
      </c>
      <c r="AF156" s="2">
        <v>14.2</v>
      </c>
      <c r="AG156" s="2">
        <v>11</v>
      </c>
      <c r="AH156" s="2">
        <v>5.0599999999999996</v>
      </c>
      <c r="AI156" s="2">
        <v>7.5</v>
      </c>
      <c r="AJ156" s="2">
        <v>15.65</v>
      </c>
      <c r="AK156" s="2">
        <v>3.66</v>
      </c>
      <c r="AL156" s="2">
        <v>1.41</v>
      </c>
      <c r="AM156" s="2">
        <v>5.33</v>
      </c>
      <c r="AN156" s="2">
        <v>10.87</v>
      </c>
      <c r="AO156" s="2">
        <v>13.33</v>
      </c>
      <c r="AP156" s="2">
        <v>7.54</v>
      </c>
      <c r="AQ156" s="2">
        <v>5.22</v>
      </c>
      <c r="AR156" s="2">
        <v>4.97</v>
      </c>
      <c r="AU156" s="1" t="s">
        <v>73</v>
      </c>
      <c r="AV156" s="2">
        <v>19.989999999999998</v>
      </c>
      <c r="AW156" s="2">
        <v>54.34</v>
      </c>
      <c r="AX156" s="2">
        <v>12.09</v>
      </c>
      <c r="AY156" s="2">
        <v>5.36</v>
      </c>
      <c r="AZ156" s="2">
        <v>46.13</v>
      </c>
      <c r="BA156" s="2">
        <v>36.29</v>
      </c>
      <c r="BB156" s="2">
        <v>75.459999999999994</v>
      </c>
      <c r="BC156" s="2">
        <v>61.49</v>
      </c>
      <c r="BD156" s="2">
        <v>46</v>
      </c>
      <c r="BE156" s="2">
        <v>20.440000000000001</v>
      </c>
      <c r="BF156" s="2">
        <v>35.79</v>
      </c>
      <c r="BG156" s="2">
        <v>68.05</v>
      </c>
      <c r="BH156" s="2">
        <v>16.23</v>
      </c>
      <c r="BI156" s="2">
        <v>6.24</v>
      </c>
      <c r="BJ156" s="2">
        <v>22.25</v>
      </c>
      <c r="BK156" s="2">
        <v>50.31</v>
      </c>
      <c r="BL156" s="2">
        <v>62.13</v>
      </c>
      <c r="BM156" s="2">
        <v>35.96</v>
      </c>
      <c r="BN156" s="2">
        <v>23.28</v>
      </c>
      <c r="BO156" s="2">
        <v>20.53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63</v>
      </c>
      <c r="Z160" s="1" t="s">
        <v>64</v>
      </c>
      <c r="AA160" s="1" t="s">
        <v>63</v>
      </c>
      <c r="AB160" s="1" t="s">
        <v>64</v>
      </c>
      <c r="AC160" s="1" t="s">
        <v>63</v>
      </c>
      <c r="AD160" s="1" t="s">
        <v>64</v>
      </c>
      <c r="AE160" s="1" t="s">
        <v>63</v>
      </c>
      <c r="AF160" s="1" t="s">
        <v>64</v>
      </c>
      <c r="AG160" s="1" t="s">
        <v>63</v>
      </c>
      <c r="AH160" s="1" t="s">
        <v>64</v>
      </c>
      <c r="AI160" s="1" t="s">
        <v>63</v>
      </c>
      <c r="AJ160" s="1" t="s">
        <v>64</v>
      </c>
      <c r="AK160" s="1" t="s">
        <v>63</v>
      </c>
      <c r="AL160" s="1" t="s">
        <v>64</v>
      </c>
      <c r="AM160" s="1" t="s">
        <v>63</v>
      </c>
      <c r="AN160" s="1" t="s">
        <v>64</v>
      </c>
      <c r="AO160" s="1" t="s">
        <v>63</v>
      </c>
      <c r="AP160" s="1" t="s">
        <v>64</v>
      </c>
      <c r="AQ160" s="1" t="s">
        <v>63</v>
      </c>
      <c r="AR160" s="1" t="s">
        <v>64</v>
      </c>
      <c r="AU160" s="1" t="s">
        <v>6</v>
      </c>
      <c r="AV160" s="1" t="s">
        <v>63</v>
      </c>
      <c r="AW160" s="1" t="s">
        <v>64</v>
      </c>
      <c r="AX160" s="1" t="s">
        <v>63</v>
      </c>
      <c r="AY160" s="1" t="s">
        <v>64</v>
      </c>
      <c r="AZ160" s="1" t="s">
        <v>63</v>
      </c>
      <c r="BA160" s="1" t="s">
        <v>64</v>
      </c>
      <c r="BB160" s="1" t="s">
        <v>63</v>
      </c>
      <c r="BC160" s="1" t="s">
        <v>64</v>
      </c>
      <c r="BD160" s="1" t="s">
        <v>63</v>
      </c>
      <c r="BE160" s="1" t="s">
        <v>64</v>
      </c>
      <c r="BF160" s="1" t="s">
        <v>63</v>
      </c>
      <c r="BG160" s="1" t="s">
        <v>64</v>
      </c>
      <c r="BH160" s="1" t="s">
        <v>63</v>
      </c>
      <c r="BI160" s="1" t="s">
        <v>64</v>
      </c>
      <c r="BJ160" s="1" t="s">
        <v>63</v>
      </c>
      <c r="BK160" s="1" t="s">
        <v>64</v>
      </c>
      <c r="BL160" s="1" t="s">
        <v>63</v>
      </c>
      <c r="BM160" s="1" t="s">
        <v>64</v>
      </c>
      <c r="BN160" s="1" t="s">
        <v>63</v>
      </c>
      <c r="BO160" s="1" t="s">
        <v>64</v>
      </c>
    </row>
    <row r="161" spans="24:68" x14ac:dyDescent="0.3">
      <c r="X161" s="1" t="s">
        <v>65</v>
      </c>
      <c r="Y161" s="1" t="s">
        <v>53</v>
      </c>
      <c r="Z161" s="1" t="s">
        <v>53</v>
      </c>
      <c r="AA161" s="1" t="s">
        <v>54</v>
      </c>
      <c r="AB161" s="1" t="s">
        <v>54</v>
      </c>
      <c r="AC161" s="1" t="s">
        <v>55</v>
      </c>
      <c r="AD161" s="1" t="s">
        <v>55</v>
      </c>
      <c r="AE161" s="1" t="s">
        <v>56</v>
      </c>
      <c r="AF161" s="1" t="s">
        <v>56</v>
      </c>
      <c r="AG161" s="1" t="s">
        <v>57</v>
      </c>
      <c r="AH161" s="1" t="s">
        <v>57</v>
      </c>
      <c r="AI161" s="1" t="s">
        <v>58</v>
      </c>
      <c r="AJ161" s="1" t="s">
        <v>58</v>
      </c>
      <c r="AK161" s="1" t="s">
        <v>59</v>
      </c>
      <c r="AL161" s="1" t="s">
        <v>59</v>
      </c>
      <c r="AM161" s="1" t="s">
        <v>60</v>
      </c>
      <c r="AN161" s="1" t="s">
        <v>60</v>
      </c>
      <c r="AO161" s="1" t="s">
        <v>61</v>
      </c>
      <c r="AP161" s="1" t="s">
        <v>61</v>
      </c>
      <c r="AQ161" s="1" t="s">
        <v>62</v>
      </c>
      <c r="AR161" s="1" t="s">
        <v>62</v>
      </c>
      <c r="AU161" s="1" t="s">
        <v>65</v>
      </c>
      <c r="AV161" s="1" t="s">
        <v>53</v>
      </c>
      <c r="AW161" s="1" t="s">
        <v>53</v>
      </c>
      <c r="AX161" s="1" t="s">
        <v>54</v>
      </c>
      <c r="AY161" s="1" t="s">
        <v>54</v>
      </c>
      <c r="AZ161" s="1" t="s">
        <v>55</v>
      </c>
      <c r="BA161" s="1" t="s">
        <v>55</v>
      </c>
      <c r="BB161" s="1" t="s">
        <v>56</v>
      </c>
      <c r="BC161" s="1" t="s">
        <v>56</v>
      </c>
      <c r="BD161" s="1" t="s">
        <v>57</v>
      </c>
      <c r="BE161" s="1" t="s">
        <v>57</v>
      </c>
      <c r="BF161" s="1" t="s">
        <v>58</v>
      </c>
      <c r="BG161" s="1" t="s">
        <v>58</v>
      </c>
      <c r="BH161" s="1" t="s">
        <v>59</v>
      </c>
      <c r="BI161" s="1" t="s">
        <v>59</v>
      </c>
      <c r="BJ161" s="1" t="s">
        <v>60</v>
      </c>
      <c r="BK161" s="1" t="s">
        <v>60</v>
      </c>
      <c r="BL161" s="1" t="s">
        <v>61</v>
      </c>
      <c r="BM161" s="1" t="s">
        <v>61</v>
      </c>
      <c r="BN161" s="1" t="s">
        <v>62</v>
      </c>
      <c r="BO161" s="1" t="s">
        <v>62</v>
      </c>
    </row>
    <row r="162" spans="24:68" x14ac:dyDescent="0.3">
      <c r="X162" s="1" t="s">
        <v>7</v>
      </c>
      <c r="AU162" s="1" t="s">
        <v>7</v>
      </c>
    </row>
    <row r="163" spans="24:68" x14ac:dyDescent="0.3">
      <c r="X163" s="1" t="s">
        <v>66</v>
      </c>
      <c r="Y163" s="2">
        <v>10.19</v>
      </c>
      <c r="Z163" s="2">
        <v>18.420000000000002</v>
      </c>
      <c r="AA163" s="2">
        <v>3.83</v>
      </c>
      <c r="AB163" s="2">
        <v>3.81</v>
      </c>
      <c r="AC163" s="2">
        <v>3.25</v>
      </c>
      <c r="AD163" s="2">
        <v>7.97</v>
      </c>
      <c r="AE163" s="2">
        <v>15.96</v>
      </c>
      <c r="AF163" s="2">
        <v>5.3</v>
      </c>
      <c r="AG163" s="2">
        <v>15.39</v>
      </c>
      <c r="AH163" s="2">
        <v>8.8699999999999992</v>
      </c>
      <c r="AI163" s="2">
        <v>8.2799999999999994</v>
      </c>
      <c r="AJ163" s="2">
        <v>4.6100000000000003</v>
      </c>
      <c r="AK163" s="2">
        <v>6.36</v>
      </c>
      <c r="AL163" s="2">
        <v>1.68</v>
      </c>
      <c r="AM163" s="2">
        <v>5.04</v>
      </c>
      <c r="AN163" s="2">
        <v>1.78</v>
      </c>
      <c r="AO163" s="2">
        <v>0.35</v>
      </c>
      <c r="AP163" s="2">
        <v>0.62</v>
      </c>
      <c r="AQ163" s="2">
        <v>0.59</v>
      </c>
      <c r="AR163" s="2">
        <v>0.36</v>
      </c>
      <c r="AU163" s="1" t="s">
        <v>66</v>
      </c>
      <c r="AV163" s="2">
        <v>75.91</v>
      </c>
      <c r="AW163" s="2">
        <v>120.18</v>
      </c>
      <c r="AX163" s="2">
        <v>58.47</v>
      </c>
      <c r="AY163" s="2">
        <v>58.49</v>
      </c>
      <c r="AZ163" s="2">
        <v>49.95</v>
      </c>
      <c r="BA163" s="2">
        <v>106.83</v>
      </c>
      <c r="BB163" s="2">
        <v>151.34</v>
      </c>
      <c r="BC163" s="2">
        <v>73.8</v>
      </c>
      <c r="BD163" s="2">
        <v>122.51</v>
      </c>
      <c r="BE163" s="2">
        <v>172.43</v>
      </c>
      <c r="BF163" s="2">
        <v>69.42</v>
      </c>
      <c r="BG163" s="2">
        <v>107.39</v>
      </c>
      <c r="BH163" s="2">
        <v>80.44</v>
      </c>
      <c r="BI163" s="2">
        <v>94.22</v>
      </c>
      <c r="BJ163" s="2">
        <v>46.76</v>
      </c>
      <c r="BK163" s="2">
        <v>50.02</v>
      </c>
      <c r="BL163" s="2">
        <v>33.950000000000003</v>
      </c>
      <c r="BM163" s="2">
        <v>59.58</v>
      </c>
      <c r="BN163" s="2">
        <v>25.31</v>
      </c>
      <c r="BO163" s="2">
        <v>34.64</v>
      </c>
    </row>
    <row r="164" spans="24:68" x14ac:dyDescent="0.3">
      <c r="X164" s="1" t="s">
        <v>67</v>
      </c>
      <c r="Y164" s="2">
        <v>13.88</v>
      </c>
      <c r="Z164" s="2">
        <v>9.35</v>
      </c>
      <c r="AA164" s="2">
        <v>9.84</v>
      </c>
      <c r="AB164" s="2">
        <v>7.38</v>
      </c>
      <c r="AC164" s="2">
        <v>5.95</v>
      </c>
      <c r="AD164" s="2">
        <v>13.44</v>
      </c>
      <c r="AE164" s="2">
        <v>10.95</v>
      </c>
      <c r="AF164" s="2">
        <v>14.33</v>
      </c>
      <c r="AG164" s="2">
        <v>9.91</v>
      </c>
      <c r="AH164" s="2">
        <v>12.84</v>
      </c>
      <c r="AI164" s="2">
        <v>7.76</v>
      </c>
      <c r="AJ164" s="2">
        <v>9.67</v>
      </c>
      <c r="AK164" s="2">
        <v>8.1199999999999992</v>
      </c>
      <c r="AL164" s="2">
        <v>9.39</v>
      </c>
      <c r="AM164" s="2">
        <v>8.4499999999999993</v>
      </c>
      <c r="AN164" s="2">
        <v>7.95</v>
      </c>
      <c r="AO164" s="2">
        <v>6.82</v>
      </c>
      <c r="AP164" s="2">
        <v>8.6199999999999992</v>
      </c>
      <c r="AQ164" s="2">
        <v>8.0299999999999994</v>
      </c>
      <c r="AR164" s="2">
        <v>8.69</v>
      </c>
      <c r="AU164" s="1" t="s">
        <v>67</v>
      </c>
      <c r="AV164" s="2">
        <v>83.72</v>
      </c>
      <c r="AW164" s="2">
        <v>56.05</v>
      </c>
      <c r="AX164" s="2">
        <v>55.36</v>
      </c>
      <c r="AY164" s="2">
        <v>41.22</v>
      </c>
      <c r="AZ164" s="2">
        <v>33.15</v>
      </c>
      <c r="BA164" s="2">
        <v>74.959999999999994</v>
      </c>
      <c r="BB164" s="2">
        <v>61.95</v>
      </c>
      <c r="BC164" s="2">
        <v>79.97</v>
      </c>
      <c r="BD164" s="2">
        <v>60.29</v>
      </c>
      <c r="BE164" s="2">
        <v>77.06</v>
      </c>
      <c r="BF164" s="2">
        <v>47.74</v>
      </c>
      <c r="BG164" s="2">
        <v>58.13</v>
      </c>
      <c r="BH164" s="2">
        <v>49.08</v>
      </c>
      <c r="BI164" s="2">
        <v>56.51</v>
      </c>
      <c r="BJ164" s="2">
        <v>51.15</v>
      </c>
      <c r="BK164" s="2">
        <v>47.95</v>
      </c>
      <c r="BL164" s="2">
        <v>41.18</v>
      </c>
      <c r="BM164" s="2">
        <v>51.68</v>
      </c>
      <c r="BN164" s="2">
        <v>49.17</v>
      </c>
      <c r="BO164" s="2">
        <v>52.31</v>
      </c>
    </row>
    <row r="165" spans="24:68" x14ac:dyDescent="0.3">
      <c r="X165" s="1" t="s">
        <v>68</v>
      </c>
      <c r="Y165" s="2">
        <v>44.07</v>
      </c>
      <c r="Z165" s="2">
        <v>20.67</v>
      </c>
      <c r="AA165" s="2">
        <v>34.67</v>
      </c>
      <c r="AB165" s="2">
        <v>13.4</v>
      </c>
      <c r="AC165" s="2">
        <v>40.659999999999997</v>
      </c>
      <c r="AD165" s="2">
        <v>70.14</v>
      </c>
      <c r="AE165" s="2">
        <v>70.47</v>
      </c>
      <c r="AF165" s="2">
        <v>51.95</v>
      </c>
      <c r="AG165" s="2">
        <v>68.48</v>
      </c>
      <c r="AH165" s="2">
        <v>39.479999999999997</v>
      </c>
      <c r="AI165" s="2">
        <v>64.94</v>
      </c>
      <c r="AJ165" s="2">
        <v>35.9</v>
      </c>
      <c r="AK165" s="2">
        <v>72.180000000000007</v>
      </c>
      <c r="AL165" s="2">
        <v>37.549999999999997</v>
      </c>
      <c r="AM165" s="2">
        <v>70.260000000000005</v>
      </c>
      <c r="AN165" s="2">
        <v>30.76</v>
      </c>
      <c r="AO165" s="2">
        <v>28.9</v>
      </c>
      <c r="AP165" s="2">
        <v>30.14</v>
      </c>
      <c r="AQ165" s="2">
        <v>24.67</v>
      </c>
      <c r="AR165" s="2">
        <v>23.1</v>
      </c>
      <c r="AU165" s="1" t="s">
        <v>68</v>
      </c>
      <c r="AV165" s="2">
        <v>157.38</v>
      </c>
      <c r="AW165" s="2">
        <v>123.93</v>
      </c>
      <c r="AX165" s="2">
        <v>135.69</v>
      </c>
      <c r="AY165" s="2">
        <v>74.8</v>
      </c>
      <c r="AZ165" s="2">
        <v>90.16</v>
      </c>
      <c r="BA165" s="2">
        <v>220.84</v>
      </c>
      <c r="BB165" s="2">
        <v>208.69</v>
      </c>
      <c r="BC165" s="2">
        <v>250.1</v>
      </c>
      <c r="BD165" s="2">
        <v>197.62</v>
      </c>
      <c r="BE165" s="2">
        <v>219.83</v>
      </c>
      <c r="BF165" s="2">
        <v>184.14</v>
      </c>
      <c r="BG165" s="2">
        <v>197.81</v>
      </c>
      <c r="BH165" s="2">
        <v>194.26</v>
      </c>
      <c r="BI165" s="2">
        <v>201.38</v>
      </c>
      <c r="BJ165" s="2">
        <v>184.98</v>
      </c>
      <c r="BK165" s="2">
        <v>178.57</v>
      </c>
      <c r="BL165" s="2">
        <v>144.84</v>
      </c>
      <c r="BM165" s="2">
        <v>180.41</v>
      </c>
      <c r="BN165" s="2">
        <v>147.87</v>
      </c>
      <c r="BO165" s="2">
        <v>138.16999999999999</v>
      </c>
    </row>
    <row r="166" spans="24:68" x14ac:dyDescent="0.3">
      <c r="X166" s="1" t="s">
        <v>69</v>
      </c>
      <c r="Y166" s="2">
        <v>9.89</v>
      </c>
      <c r="Z166" s="2">
        <v>7.26</v>
      </c>
      <c r="AA166" s="2">
        <v>13.31</v>
      </c>
      <c r="AB166" s="2">
        <v>6.02</v>
      </c>
      <c r="AC166" s="2">
        <v>11.82</v>
      </c>
      <c r="AD166" s="2">
        <v>11.96</v>
      </c>
      <c r="AE166" s="2">
        <v>25.66</v>
      </c>
      <c r="AF166" s="2">
        <v>13.76</v>
      </c>
      <c r="AG166" s="2">
        <v>25.67</v>
      </c>
      <c r="AH166" s="2">
        <v>11.8</v>
      </c>
      <c r="AI166" s="2">
        <v>23.56</v>
      </c>
      <c r="AJ166" s="2">
        <v>9.89</v>
      </c>
      <c r="AK166" s="2">
        <v>25.63</v>
      </c>
      <c r="AL166" s="2">
        <v>10.32</v>
      </c>
      <c r="AM166" s="2">
        <v>21.32</v>
      </c>
      <c r="AN166" s="2">
        <v>12.79</v>
      </c>
      <c r="AO166" s="2">
        <v>13.55</v>
      </c>
      <c r="AP166" s="2">
        <v>9.35</v>
      </c>
      <c r="AQ166" s="2">
        <v>10.88</v>
      </c>
      <c r="AR166" s="2">
        <v>10.17</v>
      </c>
      <c r="AU166" s="1" t="s">
        <v>69</v>
      </c>
      <c r="AV166" s="2">
        <v>58.85</v>
      </c>
      <c r="AW166" s="2">
        <v>40.94</v>
      </c>
      <c r="AX166" s="2">
        <v>47.84</v>
      </c>
      <c r="AY166" s="2">
        <v>33.58</v>
      </c>
      <c r="AZ166" s="2">
        <v>37.659999999999997</v>
      </c>
      <c r="BA166" s="2">
        <v>66.91</v>
      </c>
      <c r="BB166" s="2">
        <v>95.86</v>
      </c>
      <c r="BC166" s="2">
        <v>76.790000000000006</v>
      </c>
      <c r="BD166" s="2">
        <v>102.59</v>
      </c>
      <c r="BE166" s="2">
        <v>70.73</v>
      </c>
      <c r="BF166" s="2">
        <v>93.99</v>
      </c>
      <c r="BG166" s="2">
        <v>59.22</v>
      </c>
      <c r="BH166" s="2">
        <v>101.34</v>
      </c>
      <c r="BI166" s="2">
        <v>61.78</v>
      </c>
      <c r="BJ166" s="2">
        <v>105.28</v>
      </c>
      <c r="BK166" s="2">
        <v>76.61</v>
      </c>
      <c r="BL166" s="2">
        <v>81.25</v>
      </c>
      <c r="BM166" s="2">
        <v>55.85</v>
      </c>
      <c r="BN166" s="2">
        <v>65.02</v>
      </c>
      <c r="BO166" s="2">
        <v>60.75</v>
      </c>
    </row>
    <row r="167" spans="24:68" x14ac:dyDescent="0.3">
      <c r="X167" s="1" t="s">
        <v>70</v>
      </c>
      <c r="Y167" s="2">
        <v>43.2</v>
      </c>
      <c r="Z167" s="2">
        <v>49.91</v>
      </c>
      <c r="AA167" s="2">
        <v>31.77</v>
      </c>
      <c r="AB167" s="2">
        <v>27.27</v>
      </c>
      <c r="AC167" s="2">
        <v>39.53</v>
      </c>
      <c r="AD167" s="2">
        <v>57.73</v>
      </c>
      <c r="AE167" s="2">
        <v>64.33</v>
      </c>
      <c r="AF167" s="2">
        <v>70.739999999999995</v>
      </c>
      <c r="AG167" s="2">
        <v>70.11</v>
      </c>
      <c r="AH167" s="2">
        <v>70.5</v>
      </c>
      <c r="AI167" s="2">
        <v>51.45</v>
      </c>
      <c r="AJ167" s="2">
        <v>48.46</v>
      </c>
      <c r="AK167" s="2">
        <v>52.74</v>
      </c>
      <c r="AL167" s="2">
        <v>52.61</v>
      </c>
      <c r="AM167" s="2">
        <v>51.82</v>
      </c>
      <c r="AN167" s="2">
        <v>50.85</v>
      </c>
      <c r="AO167" s="2">
        <v>51.5</v>
      </c>
      <c r="AP167" s="2">
        <v>43.43</v>
      </c>
      <c r="AQ167" s="2">
        <v>45.73</v>
      </c>
      <c r="AR167" s="2">
        <v>43.67</v>
      </c>
      <c r="AU167" s="1" t="s">
        <v>70</v>
      </c>
      <c r="AV167" s="2">
        <v>150.69999999999999</v>
      </c>
      <c r="AW167" s="2">
        <v>215.59</v>
      </c>
      <c r="AX167" s="2">
        <v>177.25</v>
      </c>
      <c r="AY167" s="2">
        <v>151.72999999999999</v>
      </c>
      <c r="AZ167" s="2">
        <v>135.21</v>
      </c>
      <c r="BA167" s="2">
        <v>205.26</v>
      </c>
      <c r="BB167" s="2">
        <v>356.67</v>
      </c>
      <c r="BC167" s="2">
        <v>293.76</v>
      </c>
      <c r="BD167" s="2">
        <v>360.89</v>
      </c>
      <c r="BE167" s="2">
        <v>336</v>
      </c>
      <c r="BF167" s="2">
        <v>294.05</v>
      </c>
      <c r="BG167" s="2">
        <v>290.54000000000002</v>
      </c>
      <c r="BH167" s="2">
        <v>314.26</v>
      </c>
      <c r="BI167" s="2">
        <v>314.39</v>
      </c>
      <c r="BJ167" s="2">
        <v>308.18</v>
      </c>
      <c r="BK167" s="2">
        <v>302.64999999999998</v>
      </c>
      <c r="BL167" s="2">
        <v>305.5</v>
      </c>
      <c r="BM167" s="2">
        <v>258.07</v>
      </c>
      <c r="BN167" s="2">
        <v>271.27</v>
      </c>
      <c r="BO167" s="2">
        <v>261.33</v>
      </c>
    </row>
    <row r="168" spans="24:68" x14ac:dyDescent="0.3">
      <c r="X168" s="1" t="s">
        <v>71</v>
      </c>
      <c r="Y168" s="2">
        <v>10.16</v>
      </c>
      <c r="Z168" s="2">
        <v>3.89</v>
      </c>
      <c r="AA168" s="2">
        <v>7.5</v>
      </c>
      <c r="AB168" s="2">
        <v>2.74</v>
      </c>
      <c r="AC168" s="2">
        <v>7.25</v>
      </c>
      <c r="AD168" s="2">
        <v>5.53</v>
      </c>
      <c r="AE168" s="2">
        <v>6.9</v>
      </c>
      <c r="AF168" s="2">
        <v>5.58</v>
      </c>
      <c r="AG168" s="2">
        <v>6.14</v>
      </c>
      <c r="AH168" s="2">
        <v>6.95</v>
      </c>
      <c r="AI168" s="2">
        <v>7.14</v>
      </c>
      <c r="AJ168" s="2">
        <v>6.08</v>
      </c>
      <c r="AK168" s="2">
        <v>8.09</v>
      </c>
      <c r="AL168" s="2">
        <v>5.85</v>
      </c>
      <c r="AM168" s="2">
        <v>7.83</v>
      </c>
      <c r="AN168" s="2">
        <v>7.46</v>
      </c>
      <c r="AO168" s="2">
        <v>8.8699999999999992</v>
      </c>
      <c r="AP168" s="2">
        <v>4.3499999999999996</v>
      </c>
      <c r="AQ168" s="2">
        <v>7.04</v>
      </c>
      <c r="AR168" s="2">
        <v>5.33</v>
      </c>
      <c r="AU168" s="1" t="s">
        <v>71</v>
      </c>
      <c r="AV168" s="2">
        <v>31.37</v>
      </c>
      <c r="AW168" s="2">
        <v>12.27</v>
      </c>
      <c r="AX168" s="2">
        <v>34.340000000000003</v>
      </c>
      <c r="AY168" s="2">
        <v>12.57</v>
      </c>
      <c r="AZ168" s="2">
        <v>21.33</v>
      </c>
      <c r="BA168" s="2">
        <v>17.16</v>
      </c>
      <c r="BB168" s="2">
        <v>30.8</v>
      </c>
      <c r="BC168" s="2">
        <v>17.55</v>
      </c>
      <c r="BD168" s="2">
        <v>29.56</v>
      </c>
      <c r="BE168" s="2">
        <v>34.04</v>
      </c>
      <c r="BF168" s="2">
        <v>34.76</v>
      </c>
      <c r="BG168" s="2">
        <v>30.68</v>
      </c>
      <c r="BH168" s="2">
        <v>39.22</v>
      </c>
      <c r="BI168" s="2">
        <v>28.96</v>
      </c>
      <c r="BJ168" s="2">
        <v>38.08</v>
      </c>
      <c r="BK168" s="2">
        <v>37.24</v>
      </c>
      <c r="BL168" s="2">
        <v>42.85</v>
      </c>
      <c r="BM168" s="2">
        <v>21.46</v>
      </c>
      <c r="BN168" s="2">
        <v>33.96</v>
      </c>
      <c r="BO168" s="2">
        <v>25.77</v>
      </c>
    </row>
    <row r="169" spans="24:68" x14ac:dyDescent="0.3">
      <c r="X169" s="1" t="s">
        <v>72</v>
      </c>
      <c r="Y169" s="2">
        <v>19.47</v>
      </c>
      <c r="Z169" s="2">
        <v>20.09</v>
      </c>
      <c r="AA169" s="2">
        <v>11.88</v>
      </c>
      <c r="AB169" s="2">
        <v>15.86</v>
      </c>
      <c r="AC169" s="2">
        <v>18.07</v>
      </c>
      <c r="AD169" s="2">
        <v>21.84</v>
      </c>
      <c r="AE169" s="2">
        <v>21.37</v>
      </c>
      <c r="AF169" s="2">
        <v>22.84</v>
      </c>
      <c r="AG169" s="2">
        <v>17.37</v>
      </c>
      <c r="AH169" s="2">
        <v>26.95</v>
      </c>
      <c r="AI169" s="2">
        <v>15.73</v>
      </c>
      <c r="AJ169" s="2">
        <v>25.84</v>
      </c>
      <c r="AK169" s="2">
        <v>15.4</v>
      </c>
      <c r="AL169" s="2">
        <v>25.67</v>
      </c>
      <c r="AM169" s="2">
        <v>20.45</v>
      </c>
      <c r="AN169" s="2">
        <v>16.93</v>
      </c>
      <c r="AO169" s="2">
        <v>16.559999999999999</v>
      </c>
      <c r="AP169" s="2">
        <v>11.97</v>
      </c>
      <c r="AQ169" s="2">
        <v>13.46</v>
      </c>
      <c r="AR169" s="2">
        <v>10.28</v>
      </c>
      <c r="AU169" s="1" t="s">
        <v>72</v>
      </c>
      <c r="AV169" s="2">
        <v>63.39</v>
      </c>
      <c r="AW169" s="2">
        <v>65.819999999999993</v>
      </c>
      <c r="AX169" s="2">
        <v>54.61</v>
      </c>
      <c r="AY169" s="2">
        <v>61.02</v>
      </c>
      <c r="AZ169" s="2">
        <v>46.78</v>
      </c>
      <c r="BA169" s="2">
        <v>70.25</v>
      </c>
      <c r="BB169" s="2">
        <v>80.760000000000005</v>
      </c>
      <c r="BC169" s="2">
        <v>49.26</v>
      </c>
      <c r="BD169" s="2">
        <v>83.75</v>
      </c>
      <c r="BE169" s="2">
        <v>72.680000000000007</v>
      </c>
      <c r="BF169" s="2">
        <v>70.7</v>
      </c>
      <c r="BG169" s="2">
        <v>69.959999999999994</v>
      </c>
      <c r="BH169" s="2">
        <v>68.75</v>
      </c>
      <c r="BI169" s="2">
        <v>75.13</v>
      </c>
      <c r="BJ169" s="2">
        <v>83.87</v>
      </c>
      <c r="BK169" s="2">
        <v>84.56</v>
      </c>
      <c r="BL169" s="2">
        <v>80.319999999999993</v>
      </c>
      <c r="BM169" s="2">
        <v>58.28</v>
      </c>
      <c r="BN169" s="2">
        <v>65.290000000000006</v>
      </c>
      <c r="BO169" s="2">
        <v>49.92</v>
      </c>
    </row>
    <row r="170" spans="24:68" x14ac:dyDescent="0.3">
      <c r="X170" s="1" t="s">
        <v>73</v>
      </c>
      <c r="Y170" s="2">
        <v>3.23</v>
      </c>
      <c r="Z170" s="2">
        <v>5.77</v>
      </c>
      <c r="AA170" s="2">
        <v>2.1</v>
      </c>
      <c r="AB170" s="2">
        <v>2.81</v>
      </c>
      <c r="AC170" s="2">
        <v>0.67</v>
      </c>
      <c r="AD170" s="2">
        <v>2.82</v>
      </c>
      <c r="AE170" s="2">
        <v>5.07</v>
      </c>
      <c r="AF170" s="2">
        <v>3.33</v>
      </c>
      <c r="AG170" s="2">
        <v>4.0599999999999996</v>
      </c>
      <c r="AH170" s="2">
        <v>5.44</v>
      </c>
      <c r="AI170" s="2">
        <v>4.84</v>
      </c>
      <c r="AJ170" s="2">
        <v>3.7</v>
      </c>
      <c r="AK170" s="2">
        <v>4.9000000000000004</v>
      </c>
      <c r="AL170" s="2">
        <v>2.6</v>
      </c>
      <c r="AM170" s="2">
        <v>2.89</v>
      </c>
      <c r="AN170" s="2">
        <v>1.37</v>
      </c>
      <c r="AO170" s="2">
        <v>1.49</v>
      </c>
      <c r="AP170" s="2">
        <v>1.46</v>
      </c>
      <c r="AQ170" s="2">
        <v>2.92</v>
      </c>
      <c r="AR170" s="2">
        <v>3.48</v>
      </c>
      <c r="AU170" s="1" t="s">
        <v>73</v>
      </c>
      <c r="AV170" s="2">
        <v>15.37</v>
      </c>
      <c r="AW170" s="2">
        <v>27.53</v>
      </c>
      <c r="AX170" s="2">
        <v>9.3000000000000007</v>
      </c>
      <c r="AY170" s="2">
        <v>12.49</v>
      </c>
      <c r="AZ170" s="2">
        <v>10.73</v>
      </c>
      <c r="BA170" s="2">
        <v>12.48</v>
      </c>
      <c r="BB170" s="2">
        <v>28.83</v>
      </c>
      <c r="BC170" s="2">
        <v>13.91</v>
      </c>
      <c r="BD170" s="2">
        <v>18.14</v>
      </c>
      <c r="BE170" s="2">
        <v>25.15</v>
      </c>
      <c r="BF170" s="2">
        <v>20.96</v>
      </c>
      <c r="BG170" s="2">
        <v>17.260000000000002</v>
      </c>
      <c r="BH170" s="2">
        <v>21.2</v>
      </c>
      <c r="BI170" s="2">
        <v>12.4</v>
      </c>
      <c r="BJ170" s="2">
        <v>12.11</v>
      </c>
      <c r="BK170" s="2">
        <v>6.13</v>
      </c>
      <c r="BL170" s="2">
        <v>6.01</v>
      </c>
      <c r="BM170" s="2">
        <v>6.04</v>
      </c>
      <c r="BN170" s="2">
        <v>12.08</v>
      </c>
      <c r="BO170" s="2">
        <v>15.12</v>
      </c>
    </row>
    <row r="171" spans="24:68" x14ac:dyDescent="0.3">
      <c r="AS171">
        <f>SUM(Y163:AR170)</f>
        <v>3052.0399999999991</v>
      </c>
      <c r="BP171">
        <f>SUM(AV163:BO170)</f>
        <v>15080.189999999997</v>
      </c>
    </row>
    <row r="173" spans="24:68" x14ac:dyDescent="0.3">
      <c r="X173" t="s">
        <v>45</v>
      </c>
      <c r="AU173" t="s">
        <v>46</v>
      </c>
    </row>
    <row r="174" spans="24:68" x14ac:dyDescent="0.3">
      <c r="X174" s="1" t="s">
        <v>6</v>
      </c>
      <c r="Y174" s="5" t="s">
        <v>63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 t="s">
        <v>64</v>
      </c>
      <c r="AJ174" s="5"/>
      <c r="AK174" s="5"/>
      <c r="AL174" s="5"/>
      <c r="AM174" s="5"/>
      <c r="AN174" s="5"/>
      <c r="AO174" s="5"/>
      <c r="AP174" s="5"/>
      <c r="AQ174" s="5"/>
      <c r="AR174" s="5"/>
      <c r="AU174" s="1" t="s">
        <v>6</v>
      </c>
      <c r="AV174" s="5" t="s">
        <v>63</v>
      </c>
      <c r="AW174" s="5"/>
      <c r="AX174" s="5"/>
      <c r="AY174" s="5"/>
      <c r="AZ174" s="5"/>
      <c r="BA174" s="5"/>
      <c r="BB174" s="5"/>
      <c r="BC174" s="5"/>
      <c r="BD174" s="5"/>
      <c r="BE174" s="5"/>
      <c r="BF174" s="5" t="s">
        <v>64</v>
      </c>
      <c r="BG174" s="5"/>
      <c r="BH174" s="5"/>
      <c r="BI174" s="5"/>
      <c r="BJ174" s="5"/>
      <c r="BK174" s="5"/>
      <c r="BL174" s="5"/>
      <c r="BM174" s="5"/>
      <c r="BN174" s="5"/>
      <c r="BO174" s="5"/>
    </row>
    <row r="175" spans="24:68" x14ac:dyDescent="0.3">
      <c r="X175" s="1" t="s">
        <v>65</v>
      </c>
      <c r="Y175" s="1" t="s">
        <v>53</v>
      </c>
      <c r="Z175" s="1" t="s">
        <v>62</v>
      </c>
      <c r="AA175" s="1" t="s">
        <v>54</v>
      </c>
      <c r="AB175" s="1" t="s">
        <v>55</v>
      </c>
      <c r="AC175" s="1" t="s">
        <v>56</v>
      </c>
      <c r="AD175" s="1" t="s">
        <v>57</v>
      </c>
      <c r="AE175" s="1" t="s">
        <v>58</v>
      </c>
      <c r="AF175" s="1" t="s">
        <v>59</v>
      </c>
      <c r="AG175" s="1" t="s">
        <v>60</v>
      </c>
      <c r="AH175" s="1" t="s">
        <v>61</v>
      </c>
      <c r="AI175" s="1" t="s">
        <v>53</v>
      </c>
      <c r="AJ175" s="1" t="s">
        <v>62</v>
      </c>
      <c r="AK175" s="1" t="s">
        <v>54</v>
      </c>
      <c r="AL175" s="1" t="s">
        <v>55</v>
      </c>
      <c r="AM175" s="1" t="s">
        <v>56</v>
      </c>
      <c r="AN175" s="1" t="s">
        <v>57</v>
      </c>
      <c r="AO175" s="1" t="s">
        <v>58</v>
      </c>
      <c r="AP175" s="1" t="s">
        <v>59</v>
      </c>
      <c r="AQ175" s="1" t="s">
        <v>60</v>
      </c>
      <c r="AR175" s="1" t="s">
        <v>61</v>
      </c>
      <c r="AU175" s="1" t="s">
        <v>65</v>
      </c>
      <c r="AV175" s="1" t="s">
        <v>53</v>
      </c>
      <c r="AW175" s="1" t="s">
        <v>62</v>
      </c>
      <c r="AX175" s="1" t="s">
        <v>54</v>
      </c>
      <c r="AY175" s="1" t="s">
        <v>55</v>
      </c>
      <c r="AZ175" s="1" t="s">
        <v>56</v>
      </c>
      <c r="BA175" s="1" t="s">
        <v>57</v>
      </c>
      <c r="BB175" s="1" t="s">
        <v>58</v>
      </c>
      <c r="BC175" s="1" t="s">
        <v>59</v>
      </c>
      <c r="BD175" s="1" t="s">
        <v>60</v>
      </c>
      <c r="BE175" s="1" t="s">
        <v>61</v>
      </c>
      <c r="BF175" s="1" t="s">
        <v>53</v>
      </c>
      <c r="BG175" s="1" t="s">
        <v>62</v>
      </c>
      <c r="BH175" s="1" t="s">
        <v>54</v>
      </c>
      <c r="BI175" s="1" t="s">
        <v>55</v>
      </c>
      <c r="BJ175" s="1" t="s">
        <v>56</v>
      </c>
      <c r="BK175" s="1" t="s">
        <v>57</v>
      </c>
      <c r="BL175" s="1" t="s">
        <v>58</v>
      </c>
      <c r="BM175" s="1" t="s">
        <v>59</v>
      </c>
      <c r="BN175" s="1" t="s">
        <v>60</v>
      </c>
      <c r="BO175" s="1" t="s">
        <v>61</v>
      </c>
    </row>
    <row r="176" spans="24:68" x14ac:dyDescent="0.3">
      <c r="X176" s="1" t="s">
        <v>7</v>
      </c>
      <c r="AU176" s="1" t="s">
        <v>7</v>
      </c>
    </row>
    <row r="177" spans="24:67" x14ac:dyDescent="0.3">
      <c r="X177" s="1" t="s">
        <v>66</v>
      </c>
      <c r="Y177" s="2">
        <v>364.75</v>
      </c>
      <c r="Z177" s="2">
        <v>232.59</v>
      </c>
      <c r="AA177" s="2">
        <v>19.350000000000001</v>
      </c>
      <c r="AB177" s="2">
        <v>11.43</v>
      </c>
      <c r="AC177" s="2">
        <v>301.77</v>
      </c>
      <c r="AD177" s="2">
        <v>516.52</v>
      </c>
      <c r="AE177" s="2">
        <v>922.94</v>
      </c>
      <c r="AF177" s="2">
        <v>733.39</v>
      </c>
      <c r="AG177" s="2">
        <v>740.79</v>
      </c>
      <c r="AH177" s="2">
        <v>55.65</v>
      </c>
      <c r="AI177" s="2">
        <v>418.8</v>
      </c>
      <c r="AJ177" s="2">
        <v>90.12</v>
      </c>
      <c r="AK177" s="2">
        <v>19.739999999999998</v>
      </c>
      <c r="AL177" s="2">
        <v>23.78</v>
      </c>
      <c r="AM177" s="2">
        <v>201.31</v>
      </c>
      <c r="AN177" s="2">
        <v>202.54</v>
      </c>
      <c r="AO177" s="2">
        <v>295.24</v>
      </c>
      <c r="AP177" s="2">
        <v>112.81</v>
      </c>
      <c r="AQ177" s="2">
        <v>280.95</v>
      </c>
      <c r="AR177" s="2">
        <v>58.34</v>
      </c>
      <c r="AU177" s="1" t="s">
        <v>66</v>
      </c>
      <c r="AV177" s="2">
        <v>2421.67</v>
      </c>
      <c r="AW177" s="2">
        <v>8388.9599999999991</v>
      </c>
      <c r="AX177" s="2">
        <v>1260.1099999999999</v>
      </c>
      <c r="AY177" s="2">
        <v>748.77</v>
      </c>
      <c r="AZ177" s="2">
        <v>2571.0300000000002</v>
      </c>
      <c r="BA177" s="2">
        <v>3172.48</v>
      </c>
      <c r="BB177" s="2">
        <v>5850.82</v>
      </c>
      <c r="BC177" s="2">
        <v>4619.72</v>
      </c>
      <c r="BD177" s="2">
        <v>6422.59</v>
      </c>
      <c r="BE177" s="2">
        <v>5363.61</v>
      </c>
      <c r="BF177" s="2">
        <v>2390.37</v>
      </c>
      <c r="BG177" s="2">
        <v>8685.7800000000007</v>
      </c>
      <c r="BH177" s="2">
        <v>1295.21</v>
      </c>
      <c r="BI177" s="2">
        <v>798.37</v>
      </c>
      <c r="BJ177" s="2">
        <v>2714.05</v>
      </c>
      <c r="BK177" s="2">
        <v>3366.06</v>
      </c>
      <c r="BL177" s="2">
        <v>6105.56</v>
      </c>
      <c r="BM177" s="2">
        <v>5341.8</v>
      </c>
      <c r="BN177" s="2">
        <v>6685.59</v>
      </c>
      <c r="BO177" s="2">
        <v>5622.72</v>
      </c>
    </row>
    <row r="178" spans="24:67" x14ac:dyDescent="0.3">
      <c r="X178" s="1" t="s">
        <v>67</v>
      </c>
      <c r="Y178" s="2">
        <v>19.39</v>
      </c>
      <c r="Z178" s="2">
        <v>85.51</v>
      </c>
      <c r="AA178" s="2">
        <v>10.56</v>
      </c>
      <c r="AB178" s="2">
        <v>5.08</v>
      </c>
      <c r="AC178" s="2">
        <v>18.41</v>
      </c>
      <c r="AD178" s="2">
        <v>23.5</v>
      </c>
      <c r="AE178" s="2">
        <v>41.32</v>
      </c>
      <c r="AF178" s="2">
        <v>37.31</v>
      </c>
      <c r="AG178" s="2">
        <v>50.99</v>
      </c>
      <c r="AH178" s="2">
        <v>44.44</v>
      </c>
      <c r="AI178" s="2">
        <v>20.22</v>
      </c>
      <c r="AJ178" s="2">
        <v>74.72</v>
      </c>
      <c r="AK178" s="2">
        <v>12.8</v>
      </c>
      <c r="AL178" s="2">
        <v>6.13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51.87</v>
      </c>
      <c r="AR178" s="2">
        <v>48.58</v>
      </c>
      <c r="AU178" s="1" t="s">
        <v>67</v>
      </c>
      <c r="AV178" s="2">
        <v>393.23</v>
      </c>
      <c r="AW178" s="2">
        <v>1733.84</v>
      </c>
      <c r="AX178" s="2">
        <v>200.56</v>
      </c>
      <c r="AY178" s="2">
        <v>96.57</v>
      </c>
      <c r="AZ178" s="2">
        <v>349.75</v>
      </c>
      <c r="BA178" s="2">
        <v>476.5</v>
      </c>
      <c r="BB178" s="2">
        <v>837.8</v>
      </c>
      <c r="BC178" s="2">
        <v>756.42</v>
      </c>
      <c r="BD178" s="2">
        <v>1033.9100000000001</v>
      </c>
      <c r="BE178" s="2">
        <v>901.1</v>
      </c>
      <c r="BF178" s="2">
        <v>409.95</v>
      </c>
      <c r="BG178" s="2">
        <v>1515.13</v>
      </c>
      <c r="BH178" s="2">
        <v>243.17</v>
      </c>
      <c r="BI178" s="2">
        <v>116.37</v>
      </c>
      <c r="BJ178" s="2">
        <v>447.18</v>
      </c>
      <c r="BK178" s="2">
        <v>521.1</v>
      </c>
      <c r="BL178" s="2">
        <v>1023.75</v>
      </c>
      <c r="BM178" s="2">
        <v>818.33</v>
      </c>
      <c r="BN178" s="2">
        <v>1051.6500000000001</v>
      </c>
      <c r="BO178" s="2">
        <v>985.02</v>
      </c>
    </row>
    <row r="179" spans="24:67" x14ac:dyDescent="0.3">
      <c r="X179" s="1" t="s">
        <v>68</v>
      </c>
      <c r="Y179" s="2">
        <v>177.87</v>
      </c>
      <c r="Z179" s="2">
        <v>254.74</v>
      </c>
      <c r="AA179" s="2">
        <v>72.760000000000005</v>
      </c>
      <c r="AB179" s="2">
        <v>93.09</v>
      </c>
      <c r="AC179" s="2">
        <v>225.37</v>
      </c>
      <c r="AD179" s="2">
        <v>313.37</v>
      </c>
      <c r="AE179" s="2">
        <v>585.91</v>
      </c>
      <c r="AF179" s="2">
        <v>540.67999999999995</v>
      </c>
      <c r="AG179" s="2">
        <v>694.76</v>
      </c>
      <c r="AH179" s="2">
        <v>251.32</v>
      </c>
      <c r="AI179" s="2">
        <v>59.54</v>
      </c>
      <c r="AJ179" s="2">
        <v>249.79</v>
      </c>
      <c r="AK179" s="2">
        <v>29.17</v>
      </c>
      <c r="AL179" s="2">
        <v>56.17</v>
      </c>
      <c r="AM179" s="2">
        <v>119.61</v>
      </c>
      <c r="AN179" s="2">
        <v>129.04</v>
      </c>
      <c r="AO179" s="2">
        <v>246.49</v>
      </c>
      <c r="AP179" s="2">
        <v>217.15</v>
      </c>
      <c r="AQ179" s="2">
        <v>231.92</v>
      </c>
      <c r="AR179" s="2">
        <v>212.05</v>
      </c>
      <c r="AU179" s="1" t="s">
        <v>68</v>
      </c>
      <c r="AV179" s="2">
        <v>1958.45</v>
      </c>
      <c r="AW179" s="2">
        <v>5165.26</v>
      </c>
      <c r="AX179" s="2">
        <v>913.21</v>
      </c>
      <c r="AY179" s="2">
        <v>606.22</v>
      </c>
      <c r="AZ179" s="2">
        <v>2044.87</v>
      </c>
      <c r="BA179" s="2">
        <v>2686.03</v>
      </c>
      <c r="BB179" s="2">
        <v>4930.17</v>
      </c>
      <c r="BC179" s="2">
        <v>4279.41</v>
      </c>
      <c r="BD179" s="2">
        <v>5364.66</v>
      </c>
      <c r="BE179" s="2">
        <v>4138.1099999999997</v>
      </c>
      <c r="BF179" s="2">
        <v>1207.18</v>
      </c>
      <c r="BG179" s="2">
        <v>5064.8599999999997</v>
      </c>
      <c r="BH179" s="2">
        <v>554.27</v>
      </c>
      <c r="BI179" s="2">
        <v>546.36</v>
      </c>
      <c r="BJ179" s="2">
        <v>1915.84</v>
      </c>
      <c r="BK179" s="2">
        <v>2404.4499999999998</v>
      </c>
      <c r="BL179" s="2">
        <v>4547.08</v>
      </c>
      <c r="BM179" s="2">
        <v>3875.75</v>
      </c>
      <c r="BN179" s="2">
        <v>4555.68</v>
      </c>
      <c r="BO179" s="2">
        <v>4299.7299999999996</v>
      </c>
    </row>
    <row r="180" spans="24:67" x14ac:dyDescent="0.3">
      <c r="X180" s="1" t="s">
        <v>69</v>
      </c>
      <c r="Y180" s="2">
        <v>39.96</v>
      </c>
      <c r="Z180" s="2">
        <v>107.34</v>
      </c>
      <c r="AA180" s="2">
        <v>31.87</v>
      </c>
      <c r="AB180" s="2">
        <v>23.66</v>
      </c>
      <c r="AC180" s="2">
        <v>67.72</v>
      </c>
      <c r="AD180" s="2">
        <v>83.58</v>
      </c>
      <c r="AE180" s="2">
        <v>151.44</v>
      </c>
      <c r="AF180" s="2">
        <v>131.44</v>
      </c>
      <c r="AG180" s="2">
        <v>124.49</v>
      </c>
      <c r="AH180" s="2">
        <v>73.94</v>
      </c>
      <c r="AI180" s="2">
        <v>28.63</v>
      </c>
      <c r="AJ180" s="2">
        <v>107.9</v>
      </c>
      <c r="AK180" s="2">
        <v>15.7</v>
      </c>
      <c r="AL180" s="2">
        <v>14.39</v>
      </c>
      <c r="AM180" s="2">
        <v>44.08</v>
      </c>
      <c r="AN180" s="2">
        <v>48.86</v>
      </c>
      <c r="AO180" s="2">
        <v>92.03</v>
      </c>
      <c r="AP180" s="2">
        <v>76.64</v>
      </c>
      <c r="AQ180" s="2">
        <v>90.21</v>
      </c>
      <c r="AR180" s="2">
        <v>88.88</v>
      </c>
      <c r="AU180" s="1" t="s">
        <v>69</v>
      </c>
      <c r="AV180" s="2">
        <v>809.72</v>
      </c>
      <c r="AW180" s="2">
        <v>2176.41</v>
      </c>
      <c r="AX180" s="2">
        <v>361.64</v>
      </c>
      <c r="AY180" s="2">
        <v>233.28</v>
      </c>
      <c r="AZ180" s="2">
        <v>805.28</v>
      </c>
      <c r="BA180" s="2">
        <v>1050.1600000000001</v>
      </c>
      <c r="BB180" s="2">
        <v>1903.12</v>
      </c>
      <c r="BC180" s="2">
        <v>1633.15</v>
      </c>
      <c r="BD180" s="2">
        <v>2016.81</v>
      </c>
      <c r="BE180" s="2">
        <v>1499.24</v>
      </c>
      <c r="BF180" s="2">
        <v>541.29</v>
      </c>
      <c r="BG180" s="2">
        <v>2187.71</v>
      </c>
      <c r="BH180" s="2">
        <v>298.38</v>
      </c>
      <c r="BI180" s="2">
        <v>273.32</v>
      </c>
      <c r="BJ180" s="2">
        <v>837.45</v>
      </c>
      <c r="BK180" s="2">
        <v>990.68</v>
      </c>
      <c r="BL180" s="2">
        <v>1866.02</v>
      </c>
      <c r="BM180" s="2">
        <v>1554.03</v>
      </c>
      <c r="BN180" s="2">
        <v>1829.17</v>
      </c>
      <c r="BO180" s="2">
        <v>1802.2</v>
      </c>
    </row>
    <row r="181" spans="24:67" x14ac:dyDescent="0.3">
      <c r="X181" s="1" t="s">
        <v>70</v>
      </c>
      <c r="Y181" s="2">
        <v>224.89</v>
      </c>
      <c r="Z181" s="2">
        <v>509.09</v>
      </c>
      <c r="AA181" s="2">
        <v>79.040000000000006</v>
      </c>
      <c r="AB181" s="2">
        <v>72.94</v>
      </c>
      <c r="AC181" s="2">
        <v>159.44</v>
      </c>
      <c r="AD181" s="2">
        <v>245.09</v>
      </c>
      <c r="AE181" s="2">
        <v>385.89</v>
      </c>
      <c r="AF181" s="2">
        <v>301.77</v>
      </c>
      <c r="AG181" s="2">
        <v>386.76</v>
      </c>
      <c r="AH181" s="2">
        <v>342.21</v>
      </c>
      <c r="AI181" s="2">
        <v>226.8</v>
      </c>
      <c r="AJ181" s="2">
        <v>544.61</v>
      </c>
      <c r="AK181" s="2">
        <v>86.42</v>
      </c>
      <c r="AL181" s="2">
        <v>69.400000000000006</v>
      </c>
      <c r="AM181" s="2">
        <v>234.49</v>
      </c>
      <c r="AN181" s="2">
        <v>276.88</v>
      </c>
      <c r="AO181" s="2">
        <v>381.8</v>
      </c>
      <c r="AP181" s="2">
        <v>307.77</v>
      </c>
      <c r="AQ181" s="2">
        <v>377.92</v>
      </c>
      <c r="AR181" s="2">
        <v>336.3</v>
      </c>
      <c r="AU181" s="1" t="s">
        <v>70</v>
      </c>
      <c r="AV181" s="2">
        <v>2432.83</v>
      </c>
      <c r="AW181" s="2">
        <v>10322.41</v>
      </c>
      <c r="AX181" s="2">
        <v>1501.75</v>
      </c>
      <c r="AY181" s="2">
        <v>790.43</v>
      </c>
      <c r="AZ181" s="2">
        <v>3029.36</v>
      </c>
      <c r="BA181" s="2">
        <v>4211.91</v>
      </c>
      <c r="BB181" s="2">
        <v>7537.71</v>
      </c>
      <c r="BC181" s="2">
        <v>6118.83</v>
      </c>
      <c r="BD181" s="2">
        <v>7842.14</v>
      </c>
      <c r="BE181" s="2">
        <v>6938.89</v>
      </c>
      <c r="BF181" s="2">
        <v>3160.35</v>
      </c>
      <c r="BG181" s="2">
        <v>11042.89</v>
      </c>
      <c r="BH181" s="2">
        <v>1641.93</v>
      </c>
      <c r="BI181" s="2">
        <v>787</v>
      </c>
      <c r="BJ181" s="2">
        <v>3195.11</v>
      </c>
      <c r="BK181" s="2">
        <v>4340.12</v>
      </c>
      <c r="BL181" s="2">
        <v>7741.6</v>
      </c>
      <c r="BM181" s="2">
        <v>6240.43</v>
      </c>
      <c r="BN181" s="2">
        <v>7662.88</v>
      </c>
      <c r="BO181" s="2">
        <v>6819</v>
      </c>
    </row>
    <row r="182" spans="24:67" x14ac:dyDescent="0.3">
      <c r="X182" s="1" t="s">
        <v>71</v>
      </c>
      <c r="Y182" s="2">
        <v>45.4</v>
      </c>
      <c r="Z182" s="2">
        <v>82.87</v>
      </c>
      <c r="AA182" s="2">
        <v>15.91</v>
      </c>
      <c r="AB182" s="2">
        <v>13</v>
      </c>
      <c r="AC182" s="2">
        <v>21.82</v>
      </c>
      <c r="AD182" s="2">
        <v>27.43</v>
      </c>
      <c r="AE182" s="2">
        <v>56.33</v>
      </c>
      <c r="AF182" s="2">
        <v>45.96</v>
      </c>
      <c r="AG182" s="2">
        <v>61.64</v>
      </c>
      <c r="AH182" s="2">
        <v>59.8</v>
      </c>
      <c r="AI182" s="2">
        <v>41.15</v>
      </c>
      <c r="AJ182" s="2">
        <v>53.68</v>
      </c>
      <c r="AK182" s="2">
        <v>10.3</v>
      </c>
      <c r="AL182" s="2">
        <v>11.84</v>
      </c>
      <c r="AM182" s="2">
        <v>33.9</v>
      </c>
      <c r="AN182" s="2">
        <v>37.71</v>
      </c>
      <c r="AO182" s="2">
        <v>58.42</v>
      </c>
      <c r="AP182" s="2">
        <v>42.9</v>
      </c>
      <c r="AQ182" s="2">
        <v>63.17</v>
      </c>
      <c r="AR182" s="2">
        <v>48.18</v>
      </c>
      <c r="AU182" s="1" t="s">
        <v>71</v>
      </c>
      <c r="AV182" s="2">
        <v>541.13</v>
      </c>
      <c r="AW182" s="2">
        <v>1680.33</v>
      </c>
      <c r="AX182" s="2">
        <v>302.25</v>
      </c>
      <c r="AY182" s="2">
        <v>150.94</v>
      </c>
      <c r="AZ182" s="2">
        <v>414.66</v>
      </c>
      <c r="BA182" s="2">
        <v>556.16999999999996</v>
      </c>
      <c r="BB182" s="2">
        <v>1142.1099999999999</v>
      </c>
      <c r="BC182" s="2">
        <v>931.81</v>
      </c>
      <c r="BD182" s="2">
        <v>1249.77</v>
      </c>
      <c r="BE182" s="2">
        <v>1212.45</v>
      </c>
      <c r="BF182" s="2">
        <v>503.19</v>
      </c>
      <c r="BG182" s="2">
        <v>1088.42</v>
      </c>
      <c r="BH182" s="2">
        <v>195.75</v>
      </c>
      <c r="BI182" s="2">
        <v>146.57</v>
      </c>
      <c r="BJ182" s="2">
        <v>426.95</v>
      </c>
      <c r="BK182" s="2">
        <v>764.64</v>
      </c>
      <c r="BL182" s="2">
        <v>1184.47</v>
      </c>
      <c r="BM182" s="2">
        <v>869.96</v>
      </c>
      <c r="BN182" s="2">
        <v>1280.96</v>
      </c>
      <c r="BO182" s="2">
        <v>977.03</v>
      </c>
    </row>
    <row r="183" spans="24:67" x14ac:dyDescent="0.3">
      <c r="X183" s="1" t="s">
        <v>72</v>
      </c>
      <c r="Y183" s="2">
        <v>140.06</v>
      </c>
      <c r="Z183" s="2">
        <v>270.7</v>
      </c>
      <c r="AA183" s="2">
        <v>46.08</v>
      </c>
      <c r="AB183" s="2">
        <v>42.15</v>
      </c>
      <c r="AC183" s="2">
        <v>100.56</v>
      </c>
      <c r="AD183" s="2">
        <v>96.94</v>
      </c>
      <c r="AE183" s="2">
        <v>197.77</v>
      </c>
      <c r="AF183" s="2">
        <v>166.96</v>
      </c>
      <c r="AG183" s="2">
        <v>273.47000000000003</v>
      </c>
      <c r="AH183" s="2">
        <v>205.99</v>
      </c>
      <c r="AI183" s="2">
        <v>155.41</v>
      </c>
      <c r="AJ183" s="2">
        <v>241.15</v>
      </c>
      <c r="AK183" s="2">
        <v>54.67</v>
      </c>
      <c r="AL183" s="2">
        <v>47.97</v>
      </c>
      <c r="AM183" s="2">
        <v>199.56</v>
      </c>
      <c r="AN183" s="2">
        <v>266.45</v>
      </c>
      <c r="AO183" s="2">
        <v>451.2</v>
      </c>
      <c r="AP183" s="2">
        <v>326.42</v>
      </c>
      <c r="AQ183" s="2">
        <v>231</v>
      </c>
      <c r="AR183" s="2">
        <v>183.6</v>
      </c>
      <c r="AU183" s="1" t="s">
        <v>72</v>
      </c>
      <c r="AV183" s="2">
        <v>1784.74</v>
      </c>
      <c r="AW183" s="2">
        <v>5488.92</v>
      </c>
      <c r="AX183" s="2">
        <v>875.6</v>
      </c>
      <c r="AY183" s="2">
        <v>420.17</v>
      </c>
      <c r="AZ183" s="2">
        <v>1580.79</v>
      </c>
      <c r="BA183" s="2">
        <v>1965.61</v>
      </c>
      <c r="BB183" s="2">
        <v>3747.35</v>
      </c>
      <c r="BC183" s="2">
        <v>3134.42</v>
      </c>
      <c r="BD183" s="2">
        <v>4631.74</v>
      </c>
      <c r="BE183" s="2">
        <v>4176.72</v>
      </c>
      <c r="BF183" s="2">
        <v>1997.1</v>
      </c>
      <c r="BG183" s="2">
        <v>4889.6099999999997</v>
      </c>
      <c r="BH183" s="2">
        <v>878.78</v>
      </c>
      <c r="BI183" s="2">
        <v>620.02</v>
      </c>
      <c r="BJ183" s="2">
        <v>1606.21</v>
      </c>
      <c r="BK183" s="2">
        <v>2702.32</v>
      </c>
      <c r="BL183" s="2">
        <v>4605.92</v>
      </c>
      <c r="BM183" s="2">
        <v>3656.44</v>
      </c>
      <c r="BN183" s="2">
        <v>4683.82</v>
      </c>
      <c r="BO183" s="2">
        <v>3722.77</v>
      </c>
    </row>
    <row r="184" spans="24:67" x14ac:dyDescent="0.3">
      <c r="X184" s="1" t="s">
        <v>73</v>
      </c>
      <c r="Y184" s="2">
        <v>59.98</v>
      </c>
      <c r="Z184" s="2">
        <v>222.61</v>
      </c>
      <c r="AA184" s="2">
        <v>27.18</v>
      </c>
      <c r="AB184" s="2">
        <v>16.86</v>
      </c>
      <c r="AC184" s="2">
        <v>64.27</v>
      </c>
      <c r="AD184" s="2">
        <v>85.25</v>
      </c>
      <c r="AE184" s="2">
        <v>162.05000000000001</v>
      </c>
      <c r="AF184" s="2">
        <v>132.34</v>
      </c>
      <c r="AG184" s="2">
        <v>178.64</v>
      </c>
      <c r="AH184" s="2">
        <v>163.51</v>
      </c>
      <c r="AI184" s="2">
        <v>64.28</v>
      </c>
      <c r="AJ184" s="2">
        <v>242.99</v>
      </c>
      <c r="AK184" s="2">
        <v>29.17</v>
      </c>
      <c r="AL184" s="2">
        <v>18.850000000000001</v>
      </c>
      <c r="AM184" s="2">
        <v>66.72</v>
      </c>
      <c r="AN184" s="2">
        <v>77.52</v>
      </c>
      <c r="AO184" s="2">
        <v>145.79</v>
      </c>
      <c r="AP184" s="2">
        <v>122.06</v>
      </c>
      <c r="AQ184" s="2">
        <v>166.49</v>
      </c>
      <c r="AR184" s="2">
        <v>155.96</v>
      </c>
      <c r="AU184" s="1" t="s">
        <v>73</v>
      </c>
      <c r="AV184" s="2">
        <v>1216.0999999999999</v>
      </c>
      <c r="AW184" s="2">
        <v>3790.94</v>
      </c>
      <c r="AX184" s="2">
        <v>516.48</v>
      </c>
      <c r="AY184" s="2">
        <v>320.33999999999997</v>
      </c>
      <c r="AZ184" s="2">
        <v>1221.17</v>
      </c>
      <c r="BA184" s="2">
        <v>1598.95</v>
      </c>
      <c r="BB184" s="2">
        <v>2927.83</v>
      </c>
      <c r="BC184" s="2">
        <v>2388.92</v>
      </c>
      <c r="BD184" s="2">
        <v>3089.74</v>
      </c>
      <c r="BE184" s="2">
        <v>2710.85</v>
      </c>
      <c r="BF184" s="2">
        <v>1303.45</v>
      </c>
      <c r="BG184" s="2">
        <v>4409.1099999999997</v>
      </c>
      <c r="BH184" s="2">
        <v>554.27</v>
      </c>
      <c r="BI184" s="2">
        <v>358.1</v>
      </c>
      <c r="BJ184" s="2">
        <v>1182.94</v>
      </c>
      <c r="BK184" s="2">
        <v>1517.59</v>
      </c>
      <c r="BL184" s="2">
        <v>2884.9</v>
      </c>
      <c r="BM184" s="2">
        <v>2474.89</v>
      </c>
      <c r="BN184" s="2">
        <v>3115.57</v>
      </c>
      <c r="BO184" s="2">
        <v>2656.18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63</v>
      </c>
      <c r="Z188" s="1" t="s">
        <v>64</v>
      </c>
      <c r="AA188" s="1" t="s">
        <v>63</v>
      </c>
      <c r="AB188" s="1" t="s">
        <v>64</v>
      </c>
      <c r="AC188" s="1" t="s">
        <v>63</v>
      </c>
      <c r="AD188" s="1" t="s">
        <v>64</v>
      </c>
      <c r="AE188" s="1" t="s">
        <v>63</v>
      </c>
      <c r="AF188" s="1" t="s">
        <v>64</v>
      </c>
      <c r="AG188" s="1" t="s">
        <v>63</v>
      </c>
      <c r="AH188" s="1" t="s">
        <v>64</v>
      </c>
      <c r="AI188" s="1" t="s">
        <v>63</v>
      </c>
      <c r="AJ188" s="1" t="s">
        <v>64</v>
      </c>
      <c r="AK188" s="1" t="s">
        <v>63</v>
      </c>
      <c r="AL188" s="1" t="s">
        <v>64</v>
      </c>
      <c r="AM188" s="1" t="s">
        <v>63</v>
      </c>
      <c r="AN188" s="1" t="s">
        <v>64</v>
      </c>
      <c r="AO188" s="1" t="s">
        <v>63</v>
      </c>
      <c r="AP188" s="1" t="s">
        <v>64</v>
      </c>
      <c r="AQ188" s="1" t="s">
        <v>63</v>
      </c>
      <c r="AR188" s="1" t="s">
        <v>64</v>
      </c>
      <c r="AU188" s="1" t="s">
        <v>6</v>
      </c>
      <c r="AV188" s="1" t="s">
        <v>63</v>
      </c>
      <c r="AW188" s="1" t="s">
        <v>64</v>
      </c>
      <c r="AX188" s="1" t="s">
        <v>63</v>
      </c>
      <c r="AY188" s="1" t="s">
        <v>64</v>
      </c>
      <c r="AZ188" s="1" t="s">
        <v>63</v>
      </c>
      <c r="BA188" s="1" t="s">
        <v>64</v>
      </c>
      <c r="BB188" s="1" t="s">
        <v>63</v>
      </c>
      <c r="BC188" s="1" t="s">
        <v>64</v>
      </c>
      <c r="BD188" s="1" t="s">
        <v>63</v>
      </c>
      <c r="BE188" s="1" t="s">
        <v>64</v>
      </c>
      <c r="BF188" s="1" t="s">
        <v>63</v>
      </c>
      <c r="BG188" s="1" t="s">
        <v>64</v>
      </c>
      <c r="BH188" s="1" t="s">
        <v>63</v>
      </c>
      <c r="BI188" s="1" t="s">
        <v>64</v>
      </c>
      <c r="BJ188" s="1" t="s">
        <v>63</v>
      </c>
      <c r="BK188" s="1" t="s">
        <v>64</v>
      </c>
      <c r="BL188" s="1" t="s">
        <v>63</v>
      </c>
      <c r="BM188" s="1" t="s">
        <v>64</v>
      </c>
      <c r="BN188" s="1" t="s">
        <v>63</v>
      </c>
      <c r="BO188" s="1" t="s">
        <v>64</v>
      </c>
    </row>
    <row r="189" spans="24:67" x14ac:dyDescent="0.3">
      <c r="X189" s="1" t="s">
        <v>65</v>
      </c>
      <c r="Y189" s="1" t="s">
        <v>53</v>
      </c>
      <c r="Z189" s="1" t="s">
        <v>53</v>
      </c>
      <c r="AA189" s="1" t="s">
        <v>54</v>
      </c>
      <c r="AB189" s="1" t="s">
        <v>54</v>
      </c>
      <c r="AC189" s="1" t="s">
        <v>55</v>
      </c>
      <c r="AD189" s="1" t="s">
        <v>55</v>
      </c>
      <c r="AE189" s="1" t="s">
        <v>56</v>
      </c>
      <c r="AF189" s="1" t="s">
        <v>56</v>
      </c>
      <c r="AG189" s="1" t="s">
        <v>57</v>
      </c>
      <c r="AH189" s="1" t="s">
        <v>57</v>
      </c>
      <c r="AI189" s="1" t="s">
        <v>58</v>
      </c>
      <c r="AJ189" s="1" t="s">
        <v>58</v>
      </c>
      <c r="AK189" s="1" t="s">
        <v>59</v>
      </c>
      <c r="AL189" s="1" t="s">
        <v>59</v>
      </c>
      <c r="AM189" s="1" t="s">
        <v>60</v>
      </c>
      <c r="AN189" s="1" t="s">
        <v>60</v>
      </c>
      <c r="AO189" s="1" t="s">
        <v>61</v>
      </c>
      <c r="AP189" s="1" t="s">
        <v>61</v>
      </c>
      <c r="AQ189" s="1" t="s">
        <v>62</v>
      </c>
      <c r="AR189" s="1" t="s">
        <v>62</v>
      </c>
      <c r="AU189" s="1" t="s">
        <v>65</v>
      </c>
      <c r="AV189" s="1" t="s">
        <v>53</v>
      </c>
      <c r="AW189" s="1" t="s">
        <v>53</v>
      </c>
      <c r="AX189" s="1" t="s">
        <v>54</v>
      </c>
      <c r="AY189" s="1" t="s">
        <v>54</v>
      </c>
      <c r="AZ189" s="1" t="s">
        <v>55</v>
      </c>
      <c r="BA189" s="1" t="s">
        <v>55</v>
      </c>
      <c r="BB189" s="1" t="s">
        <v>56</v>
      </c>
      <c r="BC189" s="1" t="s">
        <v>56</v>
      </c>
      <c r="BD189" s="1" t="s">
        <v>57</v>
      </c>
      <c r="BE189" s="1" t="s">
        <v>57</v>
      </c>
      <c r="BF189" s="1" t="s">
        <v>58</v>
      </c>
      <c r="BG189" s="1" t="s">
        <v>58</v>
      </c>
      <c r="BH189" s="1" t="s">
        <v>59</v>
      </c>
      <c r="BI189" s="1" t="s">
        <v>59</v>
      </c>
      <c r="BJ189" s="1" t="s">
        <v>60</v>
      </c>
      <c r="BK189" s="1" t="s">
        <v>60</v>
      </c>
      <c r="BL189" s="1" t="s">
        <v>61</v>
      </c>
      <c r="BM189" s="1" t="s">
        <v>61</v>
      </c>
      <c r="BN189" s="1" t="s">
        <v>62</v>
      </c>
      <c r="BO189" s="1" t="s">
        <v>62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66</v>
      </c>
      <c r="Y191" s="2">
        <v>280.58</v>
      </c>
      <c r="Z191" s="2">
        <v>322.14999999999998</v>
      </c>
      <c r="AA191" s="2">
        <v>14.88</v>
      </c>
      <c r="AB191" s="2">
        <v>15.19</v>
      </c>
      <c r="AC191" s="2">
        <v>22.86</v>
      </c>
      <c r="AD191" s="2">
        <v>47.57</v>
      </c>
      <c r="AE191" s="2">
        <v>188.6</v>
      </c>
      <c r="AF191" s="2">
        <v>125.82</v>
      </c>
      <c r="AG191" s="2">
        <v>258.26</v>
      </c>
      <c r="AH191" s="2">
        <v>101.27</v>
      </c>
      <c r="AI191" s="2">
        <v>256.37</v>
      </c>
      <c r="AJ191" s="2">
        <v>82.01</v>
      </c>
      <c r="AK191" s="2">
        <v>252.89</v>
      </c>
      <c r="AL191" s="2">
        <v>38.9</v>
      </c>
      <c r="AM191" s="2">
        <v>194.94</v>
      </c>
      <c r="AN191" s="2">
        <v>73.930000000000007</v>
      </c>
      <c r="AO191" s="2">
        <v>16.37</v>
      </c>
      <c r="AP191" s="2">
        <v>17.16</v>
      </c>
      <c r="AQ191" s="2">
        <v>51.69</v>
      </c>
      <c r="AR191" s="2">
        <v>20.03</v>
      </c>
      <c r="AU191" s="1" t="s">
        <v>66</v>
      </c>
      <c r="AV191" s="2">
        <v>1862.82</v>
      </c>
      <c r="AW191" s="2">
        <v>1838.75</v>
      </c>
      <c r="AX191" s="2">
        <v>969.32</v>
      </c>
      <c r="AY191" s="2">
        <v>996.31</v>
      </c>
      <c r="AZ191" s="2">
        <v>1497.54</v>
      </c>
      <c r="BA191" s="2">
        <v>1596.73</v>
      </c>
      <c r="BB191" s="2">
        <v>1606.9</v>
      </c>
      <c r="BC191" s="2">
        <v>1696.28</v>
      </c>
      <c r="BD191" s="2">
        <v>1586.24</v>
      </c>
      <c r="BE191" s="2">
        <v>1683.03</v>
      </c>
      <c r="BF191" s="2">
        <v>1625.23</v>
      </c>
      <c r="BG191" s="2">
        <v>1695.99</v>
      </c>
      <c r="BH191" s="2">
        <v>1593.01</v>
      </c>
      <c r="BI191" s="2">
        <v>1842</v>
      </c>
      <c r="BJ191" s="2">
        <v>1690.16</v>
      </c>
      <c r="BK191" s="2">
        <v>1759.37</v>
      </c>
      <c r="BL191" s="2">
        <v>1577.53</v>
      </c>
      <c r="BM191" s="2">
        <v>1653.74</v>
      </c>
      <c r="BN191" s="2">
        <v>1864.21</v>
      </c>
      <c r="BO191" s="2">
        <v>1930.17</v>
      </c>
    </row>
    <row r="192" spans="24:67" x14ac:dyDescent="0.3">
      <c r="X192" s="1" t="s">
        <v>67</v>
      </c>
      <c r="Y192" s="2">
        <v>14.92</v>
      </c>
      <c r="Z192" s="2">
        <v>15.55</v>
      </c>
      <c r="AA192" s="2">
        <v>8.1199999999999992</v>
      </c>
      <c r="AB192" s="2">
        <v>9.85</v>
      </c>
      <c r="AC192" s="2">
        <v>10.17</v>
      </c>
      <c r="AD192" s="2">
        <v>12.25</v>
      </c>
      <c r="AE192" s="2">
        <v>11.51</v>
      </c>
      <c r="AF192" s="2">
        <v>14.71</v>
      </c>
      <c r="AG192" s="2">
        <v>11.75</v>
      </c>
      <c r="AH192" s="2">
        <v>12.85</v>
      </c>
      <c r="AI192" s="2">
        <v>11.48</v>
      </c>
      <c r="AJ192" s="2">
        <v>14.02</v>
      </c>
      <c r="AK192" s="2">
        <v>12.86</v>
      </c>
      <c r="AL192" s="2">
        <v>13.92</v>
      </c>
      <c r="AM192" s="2">
        <v>13.42</v>
      </c>
      <c r="AN192" s="2">
        <v>13.65</v>
      </c>
      <c r="AO192" s="2">
        <v>13.07</v>
      </c>
      <c r="AP192" s="2">
        <v>14.29</v>
      </c>
      <c r="AQ192" s="2">
        <v>19</v>
      </c>
      <c r="AR192" s="2">
        <v>16.61</v>
      </c>
      <c r="AU192" s="1" t="s">
        <v>67</v>
      </c>
      <c r="AV192" s="2">
        <v>302.48</v>
      </c>
      <c r="AW192" s="2">
        <v>315.35000000000002</v>
      </c>
      <c r="AX192" s="2">
        <v>154.28</v>
      </c>
      <c r="AY192" s="2">
        <v>187.05</v>
      </c>
      <c r="AZ192" s="2">
        <v>193.13</v>
      </c>
      <c r="BA192" s="2">
        <v>232.75</v>
      </c>
      <c r="BB192" s="2">
        <v>218.59</v>
      </c>
      <c r="BC192" s="2">
        <v>279.49</v>
      </c>
      <c r="BD192" s="2">
        <v>238.25</v>
      </c>
      <c r="BE192" s="2">
        <v>260.55</v>
      </c>
      <c r="BF192" s="2">
        <v>232.72</v>
      </c>
      <c r="BG192" s="2">
        <v>284.38</v>
      </c>
      <c r="BH192" s="2">
        <v>260.83999999999997</v>
      </c>
      <c r="BI192" s="2">
        <v>282.18</v>
      </c>
      <c r="BJ192" s="2">
        <v>272.08</v>
      </c>
      <c r="BK192" s="2">
        <v>276.75</v>
      </c>
      <c r="BL192" s="2">
        <v>265.02999999999997</v>
      </c>
      <c r="BM192" s="2">
        <v>289.70999999999998</v>
      </c>
      <c r="BN192" s="2">
        <v>385.3</v>
      </c>
      <c r="BO192" s="2">
        <v>336.69</v>
      </c>
    </row>
    <row r="193" spans="24:68" x14ac:dyDescent="0.3">
      <c r="X193" s="1" t="s">
        <v>68</v>
      </c>
      <c r="Y193" s="2">
        <v>136.83000000000001</v>
      </c>
      <c r="Z193" s="2">
        <v>45.8</v>
      </c>
      <c r="AA193" s="2">
        <v>55.97</v>
      </c>
      <c r="AB193" s="2">
        <v>22.44</v>
      </c>
      <c r="AC193" s="2">
        <v>186.19</v>
      </c>
      <c r="AD193" s="2">
        <v>112.35</v>
      </c>
      <c r="AE193" s="2">
        <v>140.85</v>
      </c>
      <c r="AF193" s="2">
        <v>74.75</v>
      </c>
      <c r="AG193" s="2">
        <v>156.68</v>
      </c>
      <c r="AH193" s="2">
        <v>64.52</v>
      </c>
      <c r="AI193" s="2">
        <v>162.75</v>
      </c>
      <c r="AJ193" s="2">
        <v>68.47</v>
      </c>
      <c r="AK193" s="2">
        <v>186.44</v>
      </c>
      <c r="AL193" s="2">
        <v>74.88</v>
      </c>
      <c r="AM193" s="2">
        <v>182.83</v>
      </c>
      <c r="AN193" s="2">
        <v>61.03</v>
      </c>
      <c r="AO193" s="2">
        <v>73.92</v>
      </c>
      <c r="AP193" s="2">
        <v>62.37</v>
      </c>
      <c r="AQ193" s="2">
        <v>56.61</v>
      </c>
      <c r="AR193" s="2">
        <v>55.51</v>
      </c>
      <c r="AU193" s="1" t="s">
        <v>68</v>
      </c>
      <c r="AV193" s="2">
        <v>1506.5</v>
      </c>
      <c r="AW193" s="2">
        <v>928.6</v>
      </c>
      <c r="AX193" s="2">
        <v>702.47</v>
      </c>
      <c r="AY193" s="2">
        <v>426.36</v>
      </c>
      <c r="AZ193" s="2">
        <v>1212.43</v>
      </c>
      <c r="BA193" s="2">
        <v>1092.71</v>
      </c>
      <c r="BB193" s="2">
        <v>1278.04</v>
      </c>
      <c r="BC193" s="2">
        <v>1197.4000000000001</v>
      </c>
      <c r="BD193" s="2">
        <v>1343.02</v>
      </c>
      <c r="BE193" s="2">
        <v>1202.23</v>
      </c>
      <c r="BF193" s="2">
        <v>1369.49</v>
      </c>
      <c r="BG193" s="2">
        <v>1263.08</v>
      </c>
      <c r="BH193" s="2">
        <v>1475.66</v>
      </c>
      <c r="BI193" s="2">
        <v>1336.47</v>
      </c>
      <c r="BJ193" s="2">
        <v>1411.75</v>
      </c>
      <c r="BK193" s="2">
        <v>1198.8599999999999</v>
      </c>
      <c r="BL193" s="2">
        <v>1217.0899999999999</v>
      </c>
      <c r="BM193" s="2">
        <v>1264.6300000000001</v>
      </c>
      <c r="BN193" s="2">
        <v>1147.8399999999999</v>
      </c>
      <c r="BO193" s="2">
        <v>1125.53</v>
      </c>
    </row>
    <row r="194" spans="24:68" x14ac:dyDescent="0.3">
      <c r="X194" s="1" t="s">
        <v>69</v>
      </c>
      <c r="Y194" s="2">
        <v>30.74</v>
      </c>
      <c r="Z194" s="2">
        <v>22.03</v>
      </c>
      <c r="AA194" s="2">
        <v>24.51</v>
      </c>
      <c r="AB194" s="2">
        <v>12.08</v>
      </c>
      <c r="AC194" s="2">
        <v>47.32</v>
      </c>
      <c r="AD194" s="2">
        <v>28.77</v>
      </c>
      <c r="AE194" s="2">
        <v>42.33</v>
      </c>
      <c r="AF194" s="2">
        <v>27.55</v>
      </c>
      <c r="AG194" s="2">
        <v>41.79</v>
      </c>
      <c r="AH194" s="2">
        <v>24.43</v>
      </c>
      <c r="AI194" s="2">
        <v>42.07</v>
      </c>
      <c r="AJ194" s="2">
        <v>25.56</v>
      </c>
      <c r="AK194" s="2">
        <v>45.33</v>
      </c>
      <c r="AL194" s="2">
        <v>26.43</v>
      </c>
      <c r="AM194" s="2">
        <v>32.76</v>
      </c>
      <c r="AN194" s="2">
        <v>23.74</v>
      </c>
      <c r="AO194" s="2">
        <v>21.75</v>
      </c>
      <c r="AP194" s="2">
        <v>26.14</v>
      </c>
      <c r="AQ194" s="2">
        <v>23.85</v>
      </c>
      <c r="AR194" s="2">
        <v>23.98</v>
      </c>
      <c r="AU194" s="1" t="s">
        <v>69</v>
      </c>
      <c r="AV194" s="2">
        <v>622.86</v>
      </c>
      <c r="AW194" s="2">
        <v>416.37</v>
      </c>
      <c r="AX194" s="2">
        <v>278.19</v>
      </c>
      <c r="AY194" s="2">
        <v>229.52</v>
      </c>
      <c r="AZ194" s="2">
        <v>466.56</v>
      </c>
      <c r="BA194" s="2">
        <v>546.64</v>
      </c>
      <c r="BB194" s="2">
        <v>503.3</v>
      </c>
      <c r="BC194" s="2">
        <v>523.41</v>
      </c>
      <c r="BD194" s="2">
        <v>525.08000000000004</v>
      </c>
      <c r="BE194" s="2">
        <v>495.34</v>
      </c>
      <c r="BF194" s="2">
        <v>528.65</v>
      </c>
      <c r="BG194" s="2">
        <v>518.34</v>
      </c>
      <c r="BH194" s="2">
        <v>563.16</v>
      </c>
      <c r="BI194" s="2">
        <v>535.87</v>
      </c>
      <c r="BJ194" s="2">
        <v>530.74</v>
      </c>
      <c r="BK194" s="2">
        <v>481.36</v>
      </c>
      <c r="BL194" s="2">
        <v>440.95</v>
      </c>
      <c r="BM194" s="2">
        <v>530.05999999999995</v>
      </c>
      <c r="BN194" s="2">
        <v>483.65</v>
      </c>
      <c r="BO194" s="2">
        <v>486.16</v>
      </c>
    </row>
    <row r="195" spans="24:68" x14ac:dyDescent="0.3">
      <c r="X195" s="1" t="s">
        <v>70</v>
      </c>
      <c r="Y195" s="2">
        <v>172.99</v>
      </c>
      <c r="Z195" s="2">
        <v>174.47</v>
      </c>
      <c r="AA195" s="2">
        <v>60.8</v>
      </c>
      <c r="AB195" s="2">
        <v>66.48</v>
      </c>
      <c r="AC195" s="2">
        <v>145.87</v>
      </c>
      <c r="AD195" s="2">
        <v>138.81</v>
      </c>
      <c r="AE195" s="2">
        <v>99.65</v>
      </c>
      <c r="AF195" s="2">
        <v>146.56</v>
      </c>
      <c r="AG195" s="2">
        <v>122.54</v>
      </c>
      <c r="AH195" s="2">
        <v>138.44</v>
      </c>
      <c r="AI195" s="2">
        <v>107.19</v>
      </c>
      <c r="AJ195" s="2">
        <v>106.06</v>
      </c>
      <c r="AK195" s="2">
        <v>104.06</v>
      </c>
      <c r="AL195" s="2">
        <v>106.13</v>
      </c>
      <c r="AM195" s="2">
        <v>101.78</v>
      </c>
      <c r="AN195" s="2">
        <v>99.45</v>
      </c>
      <c r="AO195" s="2">
        <v>100.65</v>
      </c>
      <c r="AP195" s="2">
        <v>98.91</v>
      </c>
      <c r="AQ195" s="2">
        <v>113.13</v>
      </c>
      <c r="AR195" s="2">
        <v>121.03</v>
      </c>
      <c r="AU195" s="1" t="s">
        <v>70</v>
      </c>
      <c r="AV195" s="2">
        <v>1871.41</v>
      </c>
      <c r="AW195" s="2">
        <v>2431.0300000000002</v>
      </c>
      <c r="AX195" s="2">
        <v>1155.19</v>
      </c>
      <c r="AY195" s="2">
        <v>1263.02</v>
      </c>
      <c r="AZ195" s="2">
        <v>1580.86</v>
      </c>
      <c r="BA195" s="2">
        <v>1574</v>
      </c>
      <c r="BB195" s="2">
        <v>1893.35</v>
      </c>
      <c r="BC195" s="2">
        <v>1996.94</v>
      </c>
      <c r="BD195" s="2">
        <v>2105.96</v>
      </c>
      <c r="BE195" s="2">
        <v>2170.06</v>
      </c>
      <c r="BF195" s="2">
        <v>2093.81</v>
      </c>
      <c r="BG195" s="2">
        <v>2150.44</v>
      </c>
      <c r="BH195" s="2">
        <v>2109.94</v>
      </c>
      <c r="BI195" s="2">
        <v>2151.87</v>
      </c>
      <c r="BJ195" s="2">
        <v>2063.7199999999998</v>
      </c>
      <c r="BK195" s="2">
        <v>2016.55</v>
      </c>
      <c r="BL195" s="2">
        <v>2040.85</v>
      </c>
      <c r="BM195" s="2">
        <v>2005.59</v>
      </c>
      <c r="BN195" s="2">
        <v>2293.87</v>
      </c>
      <c r="BO195" s="2">
        <v>2453.9699999999998</v>
      </c>
    </row>
    <row r="196" spans="24:68" x14ac:dyDescent="0.3">
      <c r="X196" s="1" t="s">
        <v>71</v>
      </c>
      <c r="Y196" s="2">
        <v>34.92</v>
      </c>
      <c r="Z196" s="2">
        <v>31.66</v>
      </c>
      <c r="AA196" s="2">
        <v>12.24</v>
      </c>
      <c r="AB196" s="2">
        <v>7.93</v>
      </c>
      <c r="AC196" s="2">
        <v>26</v>
      </c>
      <c r="AD196" s="2">
        <v>23.68</v>
      </c>
      <c r="AE196" s="2">
        <v>13.64</v>
      </c>
      <c r="AF196" s="2">
        <v>21.18</v>
      </c>
      <c r="AG196" s="2">
        <v>13.71</v>
      </c>
      <c r="AH196" s="2">
        <v>18.86</v>
      </c>
      <c r="AI196" s="2">
        <v>15.65</v>
      </c>
      <c r="AJ196" s="2">
        <v>16.23</v>
      </c>
      <c r="AK196" s="2">
        <v>15.85</v>
      </c>
      <c r="AL196" s="2">
        <v>14.79</v>
      </c>
      <c r="AM196" s="2">
        <v>16.22</v>
      </c>
      <c r="AN196" s="2">
        <v>16.62</v>
      </c>
      <c r="AO196" s="2">
        <v>17.59</v>
      </c>
      <c r="AP196" s="2">
        <v>14.17</v>
      </c>
      <c r="AQ196" s="2">
        <v>18.420000000000002</v>
      </c>
      <c r="AR196" s="2">
        <v>11.93</v>
      </c>
      <c r="AU196" s="1" t="s">
        <v>71</v>
      </c>
      <c r="AV196" s="2">
        <v>416.26</v>
      </c>
      <c r="AW196" s="2">
        <v>387.07</v>
      </c>
      <c r="AX196" s="2">
        <v>232.5</v>
      </c>
      <c r="AY196" s="2">
        <v>150.58000000000001</v>
      </c>
      <c r="AZ196" s="2">
        <v>301.88</v>
      </c>
      <c r="BA196" s="2">
        <v>293.14</v>
      </c>
      <c r="BB196" s="2">
        <v>259.16000000000003</v>
      </c>
      <c r="BC196" s="2">
        <v>266.83999999999997</v>
      </c>
      <c r="BD196" s="2">
        <v>278.08999999999997</v>
      </c>
      <c r="BE196" s="2">
        <v>382.32</v>
      </c>
      <c r="BF196" s="2">
        <v>317.25</v>
      </c>
      <c r="BG196" s="2">
        <v>329.02</v>
      </c>
      <c r="BH196" s="2">
        <v>321.31</v>
      </c>
      <c r="BI196" s="2">
        <v>299.99</v>
      </c>
      <c r="BJ196" s="2">
        <v>328.89</v>
      </c>
      <c r="BK196" s="2">
        <v>337.09</v>
      </c>
      <c r="BL196" s="2">
        <v>356.6</v>
      </c>
      <c r="BM196" s="2">
        <v>287.36</v>
      </c>
      <c r="BN196" s="2">
        <v>373.41</v>
      </c>
      <c r="BO196" s="2">
        <v>241.87</v>
      </c>
    </row>
    <row r="197" spans="24:68" x14ac:dyDescent="0.3">
      <c r="X197" s="1" t="s">
        <v>72</v>
      </c>
      <c r="Y197" s="2">
        <v>107.73</v>
      </c>
      <c r="Z197" s="2">
        <v>119.54</v>
      </c>
      <c r="AA197" s="2">
        <v>35.450000000000003</v>
      </c>
      <c r="AB197" s="2">
        <v>42.06</v>
      </c>
      <c r="AC197" s="2">
        <v>84.3</v>
      </c>
      <c r="AD197" s="2">
        <v>95.93</v>
      </c>
      <c r="AE197" s="2">
        <v>62.85</v>
      </c>
      <c r="AF197" s="2">
        <v>124.73</v>
      </c>
      <c r="AG197" s="2">
        <v>48.47</v>
      </c>
      <c r="AH197" s="2">
        <v>133.22</v>
      </c>
      <c r="AI197" s="2">
        <v>54.94</v>
      </c>
      <c r="AJ197" s="2">
        <v>125.33</v>
      </c>
      <c r="AK197" s="2">
        <v>57.57</v>
      </c>
      <c r="AL197" s="2">
        <v>112.56</v>
      </c>
      <c r="AM197" s="2">
        <v>71.97</v>
      </c>
      <c r="AN197" s="2">
        <v>60.79</v>
      </c>
      <c r="AO197" s="2">
        <v>60.58</v>
      </c>
      <c r="AP197" s="2">
        <v>54</v>
      </c>
      <c r="AQ197" s="2">
        <v>60.16</v>
      </c>
      <c r="AR197" s="2">
        <v>53.59</v>
      </c>
      <c r="AU197" s="1" t="s">
        <v>72</v>
      </c>
      <c r="AV197" s="2">
        <v>1372.88</v>
      </c>
      <c r="AW197" s="2">
        <v>1536.23</v>
      </c>
      <c r="AX197" s="2">
        <v>673.54</v>
      </c>
      <c r="AY197" s="2">
        <v>675.98</v>
      </c>
      <c r="AZ197" s="2">
        <v>840.33</v>
      </c>
      <c r="BA197" s="2">
        <v>1240.05</v>
      </c>
      <c r="BB197" s="2">
        <v>987.99</v>
      </c>
      <c r="BC197" s="2">
        <v>1003.88</v>
      </c>
      <c r="BD197" s="2">
        <v>982.81</v>
      </c>
      <c r="BE197" s="2">
        <v>1351.16</v>
      </c>
      <c r="BF197" s="2">
        <v>1040.93</v>
      </c>
      <c r="BG197" s="2">
        <v>1279.42</v>
      </c>
      <c r="BH197" s="2">
        <v>1080.83</v>
      </c>
      <c r="BI197" s="2">
        <v>1260.8399999999999</v>
      </c>
      <c r="BJ197" s="2">
        <v>1218.8800000000001</v>
      </c>
      <c r="BK197" s="2">
        <v>1232.5899999999999</v>
      </c>
      <c r="BL197" s="2">
        <v>1228.45</v>
      </c>
      <c r="BM197" s="2">
        <v>1094.93</v>
      </c>
      <c r="BN197" s="2">
        <v>1219.76</v>
      </c>
      <c r="BO197" s="2">
        <v>1086.58</v>
      </c>
    </row>
    <row r="198" spans="24:68" x14ac:dyDescent="0.3">
      <c r="X198" s="1" t="s">
        <v>73</v>
      </c>
      <c r="Y198" s="2">
        <v>46.14</v>
      </c>
      <c r="Z198" s="2">
        <v>49.45</v>
      </c>
      <c r="AA198" s="2">
        <v>20.91</v>
      </c>
      <c r="AB198" s="2">
        <v>22.44</v>
      </c>
      <c r="AC198" s="2">
        <v>33.72</v>
      </c>
      <c r="AD198" s="2">
        <v>37.700000000000003</v>
      </c>
      <c r="AE198" s="2">
        <v>40.17</v>
      </c>
      <c r="AF198" s="2">
        <v>41.7</v>
      </c>
      <c r="AG198" s="2">
        <v>42.62</v>
      </c>
      <c r="AH198" s="2">
        <v>38.76</v>
      </c>
      <c r="AI198" s="2">
        <v>45.01</v>
      </c>
      <c r="AJ198" s="2">
        <v>40.5</v>
      </c>
      <c r="AK198" s="2">
        <v>45.64</v>
      </c>
      <c r="AL198" s="2">
        <v>42.09</v>
      </c>
      <c r="AM198" s="2">
        <v>47.01</v>
      </c>
      <c r="AN198" s="2">
        <v>43.81</v>
      </c>
      <c r="AO198" s="2">
        <v>48.09</v>
      </c>
      <c r="AP198" s="2">
        <v>45.87</v>
      </c>
      <c r="AQ198" s="2">
        <v>49.47</v>
      </c>
      <c r="AR198" s="2">
        <v>54</v>
      </c>
      <c r="AU198" s="1" t="s">
        <v>73</v>
      </c>
      <c r="AV198" s="2">
        <v>935.46</v>
      </c>
      <c r="AW198" s="2">
        <v>1002.65</v>
      </c>
      <c r="AX198" s="2">
        <v>397.29</v>
      </c>
      <c r="AY198" s="2">
        <v>426.36</v>
      </c>
      <c r="AZ198" s="2">
        <v>640.67999999999995</v>
      </c>
      <c r="BA198" s="2">
        <v>716.2</v>
      </c>
      <c r="BB198" s="2">
        <v>763.23</v>
      </c>
      <c r="BC198" s="2">
        <v>739.34</v>
      </c>
      <c r="BD198" s="2">
        <v>799.48</v>
      </c>
      <c r="BE198" s="2">
        <v>758.79</v>
      </c>
      <c r="BF198" s="2">
        <v>813.29</v>
      </c>
      <c r="BG198" s="2">
        <v>801.36</v>
      </c>
      <c r="BH198" s="2">
        <v>823.76</v>
      </c>
      <c r="BI198" s="2">
        <v>853.41</v>
      </c>
      <c r="BJ198" s="2">
        <v>813.09</v>
      </c>
      <c r="BK198" s="2">
        <v>819.89</v>
      </c>
      <c r="BL198" s="2">
        <v>797.31</v>
      </c>
      <c r="BM198" s="2">
        <v>781.23</v>
      </c>
      <c r="BN198" s="2">
        <v>842.43</v>
      </c>
      <c r="BO198" s="2">
        <v>979.8</v>
      </c>
    </row>
    <row r="199" spans="24:68" x14ac:dyDescent="0.3">
      <c r="AS199">
        <f>SUM(Y191:AR198)</f>
        <v>10306.98</v>
      </c>
      <c r="BP199">
        <f>SUM(AV191:BO198)</f>
        <v>154735.47000000006</v>
      </c>
    </row>
    <row r="201" spans="24:68" x14ac:dyDescent="0.3">
      <c r="X201" t="s">
        <v>49</v>
      </c>
      <c r="AU201" t="s">
        <v>50</v>
      </c>
    </row>
    <row r="202" spans="24:68" x14ac:dyDescent="0.3">
      <c r="X202" s="1" t="s">
        <v>6</v>
      </c>
      <c r="Y202" s="1" t="s">
        <v>63</v>
      </c>
      <c r="Z202" s="1" t="s">
        <v>64</v>
      </c>
      <c r="AA202" s="1" t="s">
        <v>63</v>
      </c>
      <c r="AB202" s="1" t="s">
        <v>64</v>
      </c>
      <c r="AC202" s="1" t="s">
        <v>63</v>
      </c>
      <c r="AD202" s="1" t="s">
        <v>64</v>
      </c>
      <c r="AE202" s="1" t="s">
        <v>63</v>
      </c>
      <c r="AF202" s="1" t="s">
        <v>64</v>
      </c>
      <c r="AG202" s="1" t="s">
        <v>63</v>
      </c>
      <c r="AH202" s="1" t="s">
        <v>64</v>
      </c>
      <c r="AI202" s="1" t="s">
        <v>63</v>
      </c>
      <c r="AJ202" s="1" t="s">
        <v>64</v>
      </c>
      <c r="AK202" s="1" t="s">
        <v>63</v>
      </c>
      <c r="AL202" s="1" t="s">
        <v>64</v>
      </c>
      <c r="AM202" s="1" t="s">
        <v>63</v>
      </c>
      <c r="AN202" s="1" t="s">
        <v>64</v>
      </c>
      <c r="AO202" s="1" t="s">
        <v>63</v>
      </c>
      <c r="AP202" s="1" t="s">
        <v>64</v>
      </c>
      <c r="AQ202" s="1" t="s">
        <v>63</v>
      </c>
      <c r="AR202" s="1" t="s">
        <v>64</v>
      </c>
      <c r="AU202" s="1" t="s">
        <v>6</v>
      </c>
      <c r="AV202" s="5" t="s">
        <v>63</v>
      </c>
      <c r="AW202" s="5"/>
      <c r="AX202" s="5"/>
      <c r="AY202" s="5"/>
      <c r="AZ202" s="5"/>
      <c r="BA202" s="5"/>
      <c r="BB202" s="5"/>
      <c r="BC202" s="5"/>
      <c r="BD202" s="5"/>
      <c r="BE202" s="5"/>
      <c r="BF202" s="5" t="s">
        <v>64</v>
      </c>
      <c r="BG202" s="5"/>
      <c r="BH202" s="5"/>
      <c r="BI202" s="5"/>
      <c r="BJ202" s="5"/>
      <c r="BK202" s="5"/>
      <c r="BL202" s="5"/>
      <c r="BM202" s="5"/>
      <c r="BN202" s="5"/>
      <c r="BO202" s="5"/>
    </row>
    <row r="203" spans="24:68" x14ac:dyDescent="0.3">
      <c r="X203" s="1" t="s">
        <v>65</v>
      </c>
      <c r="Y203" s="1" t="s">
        <v>53</v>
      </c>
      <c r="Z203" s="1" t="s">
        <v>53</v>
      </c>
      <c r="AA203" s="1" t="s">
        <v>54</v>
      </c>
      <c r="AB203" s="1" t="s">
        <v>54</v>
      </c>
      <c r="AC203" s="1" t="s">
        <v>55</v>
      </c>
      <c r="AD203" s="1" t="s">
        <v>55</v>
      </c>
      <c r="AE203" s="1" t="s">
        <v>56</v>
      </c>
      <c r="AF203" s="1" t="s">
        <v>56</v>
      </c>
      <c r="AG203" s="1" t="s">
        <v>57</v>
      </c>
      <c r="AH203" s="1" t="s">
        <v>57</v>
      </c>
      <c r="AI203" s="1" t="s">
        <v>58</v>
      </c>
      <c r="AJ203" s="1" t="s">
        <v>58</v>
      </c>
      <c r="AK203" s="1" t="s">
        <v>59</v>
      </c>
      <c r="AL203" s="1" t="s">
        <v>59</v>
      </c>
      <c r="AM203" s="1" t="s">
        <v>60</v>
      </c>
      <c r="AN203" s="1" t="s">
        <v>60</v>
      </c>
      <c r="AO203" s="1" t="s">
        <v>61</v>
      </c>
      <c r="AP203" s="1" t="s">
        <v>61</v>
      </c>
      <c r="AQ203" s="1" t="s">
        <v>62</v>
      </c>
      <c r="AR203" s="1" t="s">
        <v>62</v>
      </c>
      <c r="AU203" s="1" t="s">
        <v>65</v>
      </c>
      <c r="AV203" s="1" t="s">
        <v>53</v>
      </c>
      <c r="AW203" s="1" t="s">
        <v>62</v>
      </c>
      <c r="AX203" s="1" t="s">
        <v>54</v>
      </c>
      <c r="AY203" s="1" t="s">
        <v>55</v>
      </c>
      <c r="AZ203" s="1" t="s">
        <v>56</v>
      </c>
      <c r="BA203" s="1" t="s">
        <v>57</v>
      </c>
      <c r="BB203" s="1" t="s">
        <v>58</v>
      </c>
      <c r="BC203" s="1" t="s">
        <v>59</v>
      </c>
      <c r="BD203" s="1" t="s">
        <v>60</v>
      </c>
      <c r="BE203" s="1" t="s">
        <v>61</v>
      </c>
      <c r="BF203" s="1" t="s">
        <v>53</v>
      </c>
      <c r="BG203" s="1" t="s">
        <v>62</v>
      </c>
      <c r="BH203" s="1" t="s">
        <v>54</v>
      </c>
      <c r="BI203" s="1" t="s">
        <v>55</v>
      </c>
      <c r="BJ203" s="1" t="s">
        <v>56</v>
      </c>
      <c r="BK203" s="1" t="s">
        <v>57</v>
      </c>
      <c r="BL203" s="1" t="s">
        <v>58</v>
      </c>
      <c r="BM203" s="1" t="s">
        <v>59</v>
      </c>
      <c r="BN203" s="1" t="s">
        <v>60</v>
      </c>
      <c r="BO203" s="1" t="s">
        <v>61</v>
      </c>
    </row>
    <row r="204" spans="24:68" x14ac:dyDescent="0.3">
      <c r="X204" s="1" t="s">
        <v>7</v>
      </c>
      <c r="AU204" s="1" t="s">
        <v>7</v>
      </c>
    </row>
    <row r="205" spans="24:68" x14ac:dyDescent="0.3">
      <c r="X205" s="1" t="s">
        <v>66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66</v>
      </c>
      <c r="AV205" s="2">
        <v>336.7</v>
      </c>
      <c r="AW205" s="2">
        <v>1058.4000000000001</v>
      </c>
      <c r="AX205" s="2">
        <v>139.22999999999999</v>
      </c>
      <c r="AY205" s="2">
        <v>114.8</v>
      </c>
      <c r="AZ205" s="2">
        <v>535.36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314.86</v>
      </c>
      <c r="BG205" s="2">
        <v>822.15</v>
      </c>
      <c r="BH205" s="2">
        <v>128.31</v>
      </c>
      <c r="BI205" s="2">
        <v>101.5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8" x14ac:dyDescent="0.3">
      <c r="X206" s="1" t="s">
        <v>67</v>
      </c>
      <c r="Y206" s="2">
        <v>0.23</v>
      </c>
      <c r="Z206" s="2">
        <v>0.19</v>
      </c>
      <c r="AA206" s="2">
        <v>0.22</v>
      </c>
      <c r="AB206" s="2">
        <v>0.21</v>
      </c>
      <c r="AC206" s="2">
        <v>0.17</v>
      </c>
      <c r="AD206" s="2">
        <v>0.2</v>
      </c>
      <c r="AE206" s="2">
        <v>0.22</v>
      </c>
      <c r="AF206" s="2">
        <v>0.18</v>
      </c>
      <c r="AG206" s="2">
        <v>0.17</v>
      </c>
      <c r="AH206" s="2">
        <v>0.08</v>
      </c>
      <c r="AI206" s="2">
        <v>0.2</v>
      </c>
      <c r="AJ206" s="2">
        <v>0.08</v>
      </c>
      <c r="AK206" s="2">
        <v>0.16</v>
      </c>
      <c r="AL206" s="2">
        <v>0.11</v>
      </c>
      <c r="AM206" s="2">
        <v>0.14000000000000001</v>
      </c>
      <c r="AN206" s="2">
        <v>0.08</v>
      </c>
      <c r="AO206" s="2">
        <v>0.13</v>
      </c>
      <c r="AP206" s="2">
        <v>0.04</v>
      </c>
      <c r="AQ206" s="2">
        <v>0.12</v>
      </c>
      <c r="AR206" s="2">
        <v>0.02</v>
      </c>
      <c r="AU206" s="1" t="s">
        <v>67</v>
      </c>
      <c r="AV206" s="2">
        <v>19.239999999999998</v>
      </c>
      <c r="AW206" s="2">
        <v>72.900000000000006</v>
      </c>
      <c r="AX206" s="2">
        <v>6.63</v>
      </c>
      <c r="AY206" s="2">
        <v>5.7</v>
      </c>
      <c r="AZ206" s="2">
        <v>28.16</v>
      </c>
      <c r="BA206" s="2">
        <v>34.4</v>
      </c>
      <c r="BB206" s="2">
        <v>44.28</v>
      </c>
      <c r="BC206" s="2">
        <v>32.479999999999997</v>
      </c>
      <c r="BD206" s="2">
        <v>42.56</v>
      </c>
      <c r="BE206" s="2">
        <v>58.48</v>
      </c>
      <c r="BF206" s="2">
        <v>22.49</v>
      </c>
      <c r="BG206" s="2">
        <v>33.75</v>
      </c>
      <c r="BH206" s="2">
        <v>6.63</v>
      </c>
      <c r="BI206" s="2">
        <v>6.95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61.18</v>
      </c>
      <c r="BO206" s="2">
        <v>29.24</v>
      </c>
    </row>
    <row r="207" spans="24:68" x14ac:dyDescent="0.3">
      <c r="X207" s="1" t="s">
        <v>68</v>
      </c>
      <c r="Y207" s="2">
        <v>0.38</v>
      </c>
      <c r="Z207" s="2">
        <v>0.14000000000000001</v>
      </c>
      <c r="AA207" s="2">
        <v>0.38</v>
      </c>
      <c r="AB207" s="2">
        <v>0.18</v>
      </c>
      <c r="AC207" s="2">
        <v>0.34</v>
      </c>
      <c r="AD207" s="2">
        <v>0.3</v>
      </c>
      <c r="AE207" s="2">
        <v>0.33</v>
      </c>
      <c r="AF207" s="2">
        <v>0.15</v>
      </c>
      <c r="AG207" s="2">
        <v>0.32</v>
      </c>
      <c r="AH207" s="2">
        <v>0.09</v>
      </c>
      <c r="AI207" s="2">
        <v>0.33</v>
      </c>
      <c r="AJ207" s="2">
        <v>0.09</v>
      </c>
      <c r="AK207" s="2">
        <v>0.32</v>
      </c>
      <c r="AL207" s="2">
        <v>0.1</v>
      </c>
      <c r="AM207" s="2">
        <v>0.31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68</v>
      </c>
      <c r="AV207" s="2">
        <v>49.25</v>
      </c>
      <c r="AW207" s="2">
        <v>236.18</v>
      </c>
      <c r="AX207" s="2">
        <v>18.04</v>
      </c>
      <c r="AY207" s="2">
        <v>16.350000000000001</v>
      </c>
      <c r="AZ207" s="2">
        <v>54.27</v>
      </c>
      <c r="BA207" s="2">
        <v>140.4</v>
      </c>
      <c r="BB207" s="2">
        <v>252.82</v>
      </c>
      <c r="BC207" s="2">
        <v>241.51</v>
      </c>
      <c r="BD207" s="2">
        <v>256.05</v>
      </c>
      <c r="BE207" s="2">
        <v>239.15</v>
      </c>
      <c r="BF207" s="2">
        <v>47.97</v>
      </c>
      <c r="BG207" s="2">
        <v>236.03</v>
      </c>
      <c r="BH207" s="2">
        <v>24.96</v>
      </c>
      <c r="BI207" s="2">
        <v>20.8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8" x14ac:dyDescent="0.3">
      <c r="X208" s="1" t="s">
        <v>69</v>
      </c>
      <c r="Y208" s="2">
        <v>0.37</v>
      </c>
      <c r="Z208" s="2">
        <v>0.16</v>
      </c>
      <c r="AA208" s="2">
        <v>0.36</v>
      </c>
      <c r="AB208" s="2">
        <v>0.21</v>
      </c>
      <c r="AC208" s="2">
        <v>0.35</v>
      </c>
      <c r="AD208" s="2">
        <v>0.37</v>
      </c>
      <c r="AE208" s="2">
        <v>0.34</v>
      </c>
      <c r="AF208" s="2">
        <v>0.23</v>
      </c>
      <c r="AG208" s="2">
        <v>0.31</v>
      </c>
      <c r="AH208" s="2">
        <v>0.15</v>
      </c>
      <c r="AI208" s="2">
        <v>0.31</v>
      </c>
      <c r="AJ208" s="2">
        <v>0.13</v>
      </c>
      <c r="AK208" s="2">
        <v>0.31</v>
      </c>
      <c r="AL208" s="2">
        <v>0.14000000000000001</v>
      </c>
      <c r="AM208" s="2">
        <v>0.25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69</v>
      </c>
      <c r="AV208" s="2">
        <v>25.5</v>
      </c>
      <c r="AW208" s="2">
        <v>72.900000000000006</v>
      </c>
      <c r="AX208" s="2">
        <v>5.29</v>
      </c>
      <c r="AY208" s="2">
        <v>11.02</v>
      </c>
      <c r="AZ208" s="2">
        <v>39.61</v>
      </c>
      <c r="BA208" s="2">
        <v>67.64</v>
      </c>
      <c r="BB208" s="2">
        <v>110.96</v>
      </c>
      <c r="BC208" s="2">
        <v>106.12</v>
      </c>
      <c r="BD208" s="2">
        <v>99.18</v>
      </c>
      <c r="BE208" s="2">
        <v>79.56</v>
      </c>
      <c r="BF208" s="2">
        <v>17.68</v>
      </c>
      <c r="BG208" s="2">
        <v>84.17</v>
      </c>
      <c r="BH208" s="2">
        <v>11.57</v>
      </c>
      <c r="BI208" s="2">
        <v>6.82</v>
      </c>
      <c r="BJ208" s="2">
        <v>30.25</v>
      </c>
      <c r="BK208" s="2">
        <v>32.01</v>
      </c>
      <c r="BL208" s="2">
        <v>62.29</v>
      </c>
      <c r="BM208" s="2">
        <v>54.23</v>
      </c>
      <c r="BN208" s="2">
        <v>66.12</v>
      </c>
      <c r="BO208" s="2">
        <v>75.48</v>
      </c>
    </row>
    <row r="209" spans="24:67" x14ac:dyDescent="0.3">
      <c r="X209" s="1" t="s">
        <v>70</v>
      </c>
      <c r="Y209" s="2">
        <v>0.31</v>
      </c>
      <c r="Z209" s="2">
        <v>0.31</v>
      </c>
      <c r="AA209" s="2">
        <v>0.34</v>
      </c>
      <c r="AB209" s="2">
        <v>0.23</v>
      </c>
      <c r="AC209" s="2">
        <v>0.31</v>
      </c>
      <c r="AD209" s="2">
        <v>0.32</v>
      </c>
      <c r="AE209" s="2">
        <v>0.18</v>
      </c>
      <c r="AF209" s="2">
        <v>0.28999999999999998</v>
      </c>
      <c r="AG209" s="2">
        <v>0.24</v>
      </c>
      <c r="AH209" s="2">
        <v>0.26</v>
      </c>
      <c r="AI209" s="2">
        <v>0.22</v>
      </c>
      <c r="AJ209" s="2">
        <v>0.2</v>
      </c>
      <c r="AK209" s="2">
        <v>0.18</v>
      </c>
      <c r="AL209" s="2">
        <v>0.18</v>
      </c>
      <c r="AM209" s="2">
        <v>0.13</v>
      </c>
      <c r="AN209" s="2">
        <v>0.14000000000000001</v>
      </c>
      <c r="AO209" s="2">
        <v>0.11</v>
      </c>
      <c r="AP209" s="2">
        <v>0.09</v>
      </c>
      <c r="AQ209" s="2">
        <v>0.1</v>
      </c>
      <c r="AR209" s="2">
        <v>0.06</v>
      </c>
      <c r="AU209" s="1" t="s">
        <v>70</v>
      </c>
      <c r="AV209" s="2">
        <v>77.040000000000006</v>
      </c>
      <c r="AW209" s="2">
        <v>391.5</v>
      </c>
      <c r="AX209" s="2">
        <v>74.05</v>
      </c>
      <c r="AY209" s="2">
        <v>24.93</v>
      </c>
      <c r="AZ209" s="2">
        <v>100.8</v>
      </c>
      <c r="BA209" s="2">
        <v>185</v>
      </c>
      <c r="BB209" s="2">
        <v>311.39999999999998</v>
      </c>
      <c r="BC209" s="2">
        <v>252.3</v>
      </c>
      <c r="BD209" s="2">
        <v>305.89999999999998</v>
      </c>
      <c r="BE209" s="2">
        <v>292.39999999999998</v>
      </c>
      <c r="BF209" s="2">
        <v>79.95</v>
      </c>
      <c r="BG209" s="2">
        <v>364.5</v>
      </c>
      <c r="BH209" s="2">
        <v>74.75</v>
      </c>
      <c r="BI209" s="2">
        <v>22.41</v>
      </c>
      <c r="BJ209" s="2">
        <v>110.4</v>
      </c>
      <c r="BK209" s="2">
        <v>197</v>
      </c>
      <c r="BL209" s="2">
        <v>333</v>
      </c>
      <c r="BM209" s="2">
        <v>271.14999999999998</v>
      </c>
      <c r="BN209" s="2">
        <v>283.10000000000002</v>
      </c>
      <c r="BO209" s="2">
        <v>272</v>
      </c>
    </row>
    <row r="210" spans="24:67" x14ac:dyDescent="0.3">
      <c r="X210" s="1" t="s">
        <v>71</v>
      </c>
      <c r="Y210" s="2">
        <v>0.34</v>
      </c>
      <c r="Z210" s="2">
        <v>0.35</v>
      </c>
      <c r="AA210" s="2">
        <v>0.37</v>
      </c>
      <c r="AB210" s="2">
        <v>0.37</v>
      </c>
      <c r="AC210" s="2">
        <v>0.32</v>
      </c>
      <c r="AD210" s="2">
        <v>0.34</v>
      </c>
      <c r="AE210" s="2">
        <v>0.19</v>
      </c>
      <c r="AF210" s="2">
        <v>0.28999999999999998</v>
      </c>
      <c r="AG210" s="2">
        <v>0.12</v>
      </c>
      <c r="AH210" s="2">
        <v>0.31</v>
      </c>
      <c r="AI210" s="2">
        <v>0.16</v>
      </c>
      <c r="AJ210" s="2">
        <v>0.31</v>
      </c>
      <c r="AK210" s="2">
        <v>0.16</v>
      </c>
      <c r="AL210" s="2">
        <v>0.28000000000000003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0.1</v>
      </c>
      <c r="AR210" s="2">
        <v>7.0000000000000007E-2</v>
      </c>
      <c r="AU210" s="1" t="s">
        <v>71</v>
      </c>
      <c r="AV210" s="2">
        <v>15.23</v>
      </c>
      <c r="AW210" s="2">
        <v>67.05</v>
      </c>
      <c r="AX210" s="2">
        <v>6.57</v>
      </c>
      <c r="AY210" s="2">
        <v>4.4000000000000004</v>
      </c>
      <c r="AZ210" s="2">
        <v>16.16</v>
      </c>
      <c r="BA210" s="2">
        <v>24.6</v>
      </c>
      <c r="BB210" s="2">
        <v>44.28</v>
      </c>
      <c r="BC210" s="2">
        <v>32.49</v>
      </c>
      <c r="BD210" s="2">
        <v>66.14</v>
      </c>
      <c r="BE210" s="2">
        <v>62.92</v>
      </c>
      <c r="BF210" s="2">
        <v>8.41</v>
      </c>
      <c r="BG210" s="2">
        <v>50.4</v>
      </c>
      <c r="BH210" s="2">
        <v>2.89</v>
      </c>
      <c r="BI210" s="2">
        <v>3.77</v>
      </c>
      <c r="BJ210" s="2">
        <v>10.37</v>
      </c>
      <c r="BK210" s="2">
        <v>47.46</v>
      </c>
      <c r="BL210" s="2">
        <v>59.93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72</v>
      </c>
      <c r="Y211" s="2">
        <v>0.37</v>
      </c>
      <c r="Z211" s="2">
        <v>0.38</v>
      </c>
      <c r="AA211" s="2">
        <v>0.3</v>
      </c>
      <c r="AB211" s="2">
        <v>0.38</v>
      </c>
      <c r="AC211" s="2">
        <v>0.26</v>
      </c>
      <c r="AD211" s="2">
        <v>0.37</v>
      </c>
      <c r="AE211" s="2">
        <v>0.21</v>
      </c>
      <c r="AF211" s="2">
        <v>0.31</v>
      </c>
      <c r="AG211" s="2">
        <v>0.12</v>
      </c>
      <c r="AH211" s="2">
        <v>0.32</v>
      </c>
      <c r="AI211" s="2">
        <v>0.14000000000000001</v>
      </c>
      <c r="AJ211" s="2">
        <v>0.32</v>
      </c>
      <c r="AK211" s="2">
        <v>0.14000000000000001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72</v>
      </c>
      <c r="AV211" s="2">
        <v>65.61</v>
      </c>
      <c r="AW211" s="2">
        <v>135.78</v>
      </c>
      <c r="AX211" s="2">
        <v>26.98</v>
      </c>
      <c r="AY211" s="2">
        <v>15.4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93.19</v>
      </c>
      <c r="BG211" s="2">
        <v>236.87</v>
      </c>
      <c r="BH211" s="2">
        <v>39.82</v>
      </c>
      <c r="BI211" s="2">
        <v>34.97</v>
      </c>
      <c r="BJ211" s="2">
        <v>115.37</v>
      </c>
      <c r="BK211" s="2">
        <v>192.56</v>
      </c>
      <c r="BL211" s="2">
        <v>318.98</v>
      </c>
      <c r="BM211" s="2">
        <v>260.13</v>
      </c>
      <c r="BN211" s="2">
        <v>242.92</v>
      </c>
      <c r="BO211" s="2">
        <v>238.85</v>
      </c>
    </row>
    <row r="212" spans="24:67" x14ac:dyDescent="0.3">
      <c r="X212" s="1" t="s">
        <v>73</v>
      </c>
      <c r="Y212" s="2">
        <v>0.17</v>
      </c>
      <c r="Z212" s="2">
        <v>0.21</v>
      </c>
      <c r="AA212" s="2">
        <v>0.3</v>
      </c>
      <c r="AB212" s="2">
        <v>0.28000000000000003</v>
      </c>
      <c r="AC212" s="2">
        <v>0.18</v>
      </c>
      <c r="AD212" s="2">
        <v>0.25</v>
      </c>
      <c r="AE212" s="2">
        <v>0.19</v>
      </c>
      <c r="AF212" s="2">
        <v>0.23</v>
      </c>
      <c r="AG212" s="2">
        <v>0.06</v>
      </c>
      <c r="AH212" s="2">
        <v>0.19</v>
      </c>
      <c r="AI212" s="2">
        <v>0.12</v>
      </c>
      <c r="AJ212" s="2">
        <v>0.19</v>
      </c>
      <c r="AK212" s="2">
        <v>0.15</v>
      </c>
      <c r="AL212" s="2">
        <v>0.16</v>
      </c>
      <c r="AM212" s="2">
        <v>0.12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73</v>
      </c>
      <c r="AV212" s="2">
        <v>139.62</v>
      </c>
      <c r="AW212" s="2">
        <v>336.15</v>
      </c>
      <c r="AX212" s="2">
        <v>44.85</v>
      </c>
      <c r="AY212" s="2">
        <v>43.5</v>
      </c>
      <c r="AZ212" s="2">
        <v>192.96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49.92</v>
      </c>
      <c r="BI212" s="2">
        <v>37.950000000000003</v>
      </c>
      <c r="BJ212" s="2">
        <v>143.18</v>
      </c>
      <c r="BK212" s="2">
        <v>149.37</v>
      </c>
      <c r="BL212" s="2">
        <v>200.89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63</v>
      </c>
      <c r="Z216" s="1" t="s">
        <v>64</v>
      </c>
      <c r="AA216" s="1" t="s">
        <v>63</v>
      </c>
      <c r="AB216" s="1" t="s">
        <v>64</v>
      </c>
      <c r="AC216" s="1" t="s">
        <v>63</v>
      </c>
      <c r="AD216" s="1" t="s">
        <v>64</v>
      </c>
      <c r="AE216" s="1" t="s">
        <v>63</v>
      </c>
      <c r="AF216" s="1" t="s">
        <v>64</v>
      </c>
      <c r="AG216" s="1" t="s">
        <v>63</v>
      </c>
      <c r="AH216" s="1" t="s">
        <v>64</v>
      </c>
      <c r="AI216" s="1" t="s">
        <v>63</v>
      </c>
      <c r="AJ216" s="1" t="s">
        <v>64</v>
      </c>
      <c r="AK216" s="1" t="s">
        <v>63</v>
      </c>
      <c r="AL216" s="1" t="s">
        <v>64</v>
      </c>
      <c r="AM216" s="1" t="s">
        <v>63</v>
      </c>
      <c r="AN216" s="1" t="s">
        <v>64</v>
      </c>
      <c r="AO216" s="1" t="s">
        <v>63</v>
      </c>
      <c r="AP216" s="1" t="s">
        <v>64</v>
      </c>
      <c r="AQ216" s="1" t="s">
        <v>63</v>
      </c>
      <c r="AR216" s="1" t="s">
        <v>64</v>
      </c>
      <c r="AU216" s="1" t="s">
        <v>6</v>
      </c>
      <c r="AV216" s="1" t="s">
        <v>63</v>
      </c>
      <c r="AW216" s="1" t="s">
        <v>64</v>
      </c>
      <c r="AX216" s="1" t="s">
        <v>63</v>
      </c>
      <c r="AY216" s="1" t="s">
        <v>64</v>
      </c>
      <c r="AZ216" s="1" t="s">
        <v>63</v>
      </c>
      <c r="BA216" s="1" t="s">
        <v>64</v>
      </c>
      <c r="BB216" s="1" t="s">
        <v>63</v>
      </c>
      <c r="BC216" s="1" t="s">
        <v>64</v>
      </c>
      <c r="BD216" s="1" t="s">
        <v>63</v>
      </c>
      <c r="BE216" s="1" t="s">
        <v>64</v>
      </c>
      <c r="BF216" s="1" t="s">
        <v>63</v>
      </c>
      <c r="BG216" s="1" t="s">
        <v>64</v>
      </c>
      <c r="BH216" s="1" t="s">
        <v>63</v>
      </c>
      <c r="BI216" s="1" t="s">
        <v>64</v>
      </c>
      <c r="BJ216" s="1" t="s">
        <v>63</v>
      </c>
      <c r="BK216" s="1" t="s">
        <v>64</v>
      </c>
      <c r="BL216" s="1" t="s">
        <v>63</v>
      </c>
      <c r="BM216" s="1" t="s">
        <v>64</v>
      </c>
      <c r="BN216" s="1" t="s">
        <v>63</v>
      </c>
      <c r="BO216" s="1" t="s">
        <v>64</v>
      </c>
    </row>
    <row r="217" spans="24:67" x14ac:dyDescent="0.3">
      <c r="X217" s="1" t="s">
        <v>65</v>
      </c>
      <c r="Y217" s="1" t="s">
        <v>53</v>
      </c>
      <c r="Z217" s="1" t="s">
        <v>53</v>
      </c>
      <c r="AA217" s="1" t="s">
        <v>54</v>
      </c>
      <c r="AB217" s="1" t="s">
        <v>54</v>
      </c>
      <c r="AC217" s="1" t="s">
        <v>55</v>
      </c>
      <c r="AD217" s="1" t="s">
        <v>55</v>
      </c>
      <c r="AE217" s="1" t="s">
        <v>56</v>
      </c>
      <c r="AF217" s="1" t="s">
        <v>56</v>
      </c>
      <c r="AG217" s="1" t="s">
        <v>57</v>
      </c>
      <c r="AH217" s="1" t="s">
        <v>57</v>
      </c>
      <c r="AI217" s="1" t="s">
        <v>58</v>
      </c>
      <c r="AJ217" s="1" t="s">
        <v>58</v>
      </c>
      <c r="AK217" s="1" t="s">
        <v>59</v>
      </c>
      <c r="AL217" s="1" t="s">
        <v>59</v>
      </c>
      <c r="AM217" s="1" t="s">
        <v>60</v>
      </c>
      <c r="AN217" s="1" t="s">
        <v>60</v>
      </c>
      <c r="AO217" s="1" t="s">
        <v>61</v>
      </c>
      <c r="AP217" s="1" t="s">
        <v>61</v>
      </c>
      <c r="AQ217" s="1" t="s">
        <v>62</v>
      </c>
      <c r="AR217" s="1" t="s">
        <v>62</v>
      </c>
      <c r="AU217" s="1" t="s">
        <v>65</v>
      </c>
      <c r="AV217" s="1" t="s">
        <v>53</v>
      </c>
      <c r="AW217" s="1" t="s">
        <v>53</v>
      </c>
      <c r="AX217" s="1" t="s">
        <v>54</v>
      </c>
      <c r="AY217" s="1" t="s">
        <v>54</v>
      </c>
      <c r="AZ217" s="1" t="s">
        <v>55</v>
      </c>
      <c r="BA217" s="1" t="s">
        <v>55</v>
      </c>
      <c r="BB217" s="1" t="s">
        <v>56</v>
      </c>
      <c r="BC217" s="1" t="s">
        <v>56</v>
      </c>
      <c r="BD217" s="1" t="s">
        <v>57</v>
      </c>
      <c r="BE217" s="1" t="s">
        <v>57</v>
      </c>
      <c r="BF217" s="1" t="s">
        <v>58</v>
      </c>
      <c r="BG217" s="1" t="s">
        <v>58</v>
      </c>
      <c r="BH217" s="1" t="s">
        <v>59</v>
      </c>
      <c r="BI217" s="1" t="s">
        <v>59</v>
      </c>
      <c r="BJ217" s="1" t="s">
        <v>60</v>
      </c>
      <c r="BK217" s="1" t="s">
        <v>60</v>
      </c>
      <c r="BL217" s="1" t="s">
        <v>61</v>
      </c>
      <c r="BM217" s="1" t="s">
        <v>61</v>
      </c>
      <c r="BN217" s="1" t="s">
        <v>62</v>
      </c>
      <c r="BO217" s="1" t="s">
        <v>62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66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66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67</v>
      </c>
      <c r="Y220" s="2">
        <v>0.12</v>
      </c>
      <c r="Z220" s="2">
        <v>0.01</v>
      </c>
      <c r="AA220" s="2">
        <v>7.0000000000000007E-2</v>
      </c>
      <c r="AB220" s="2">
        <v>0.01</v>
      </c>
      <c r="AC220" s="2">
        <v>0.01</v>
      </c>
      <c r="AD220" s="2">
        <v>0.01</v>
      </c>
      <c r="AE220" s="2">
        <v>0.14000000000000001</v>
      </c>
      <c r="AF220" s="2">
        <v>0.13</v>
      </c>
      <c r="AG220" s="2">
        <v>0.23</v>
      </c>
      <c r="AH220" s="2">
        <v>0.08</v>
      </c>
      <c r="AI220" s="2">
        <v>0.65</v>
      </c>
      <c r="AJ220" s="2">
        <v>0.17</v>
      </c>
      <c r="AK220" s="2">
        <v>0.37</v>
      </c>
      <c r="AL220" s="2">
        <v>0.2</v>
      </c>
      <c r="AM220" s="2">
        <v>0.41</v>
      </c>
      <c r="AN220" s="2">
        <v>0.18</v>
      </c>
      <c r="AO220" s="2">
        <v>0.31</v>
      </c>
      <c r="AP220" s="2">
        <v>0.06</v>
      </c>
      <c r="AQ220" s="2">
        <v>0.3</v>
      </c>
      <c r="AR220" s="2">
        <v>0.03</v>
      </c>
      <c r="AU220" s="1" t="s">
        <v>67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68</v>
      </c>
      <c r="Y221" s="2">
        <v>1.1399999999999999</v>
      </c>
      <c r="Z221" s="2">
        <v>0</v>
      </c>
      <c r="AA221" s="2">
        <v>1.1599999999999999</v>
      </c>
      <c r="AB221" s="2">
        <v>0</v>
      </c>
      <c r="AC221" s="2">
        <v>0.23</v>
      </c>
      <c r="AD221" s="2">
        <v>0.16</v>
      </c>
      <c r="AE221" s="2">
        <v>0.67</v>
      </c>
      <c r="AF221" s="2">
        <v>0.18</v>
      </c>
      <c r="AG221" s="2">
        <v>0.98</v>
      </c>
      <c r="AH221" s="2">
        <v>0.18</v>
      </c>
      <c r="AI221" s="2">
        <v>1.83</v>
      </c>
      <c r="AJ221" s="2">
        <v>0.33</v>
      </c>
      <c r="AK221" s="2">
        <v>1.41</v>
      </c>
      <c r="AL221" s="2">
        <v>0.28999999999999998</v>
      </c>
      <c r="AM221" s="2">
        <v>1.79</v>
      </c>
      <c r="AN221" s="2">
        <v>0.31</v>
      </c>
      <c r="AO221" s="2">
        <v>0.42</v>
      </c>
      <c r="AP221" s="2">
        <v>0.14000000000000001</v>
      </c>
      <c r="AQ221" s="2">
        <v>0.17</v>
      </c>
      <c r="AR221" s="2">
        <v>0.09</v>
      </c>
      <c r="AU221" s="1" t="s">
        <v>68</v>
      </c>
      <c r="AV221" s="2">
        <v>37.89</v>
      </c>
      <c r="AW221" s="2">
        <v>36.9</v>
      </c>
      <c r="AX221" s="2">
        <v>13.88</v>
      </c>
      <c r="AY221" s="2">
        <v>19.2</v>
      </c>
      <c r="AZ221" s="2">
        <v>32.71</v>
      </c>
      <c r="BA221" s="2">
        <v>41.6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70.23</v>
      </c>
      <c r="BG221" s="2">
        <v>96.55</v>
      </c>
      <c r="BH221" s="2">
        <v>83.28</v>
      </c>
      <c r="BI221" s="2">
        <v>100.85</v>
      </c>
      <c r="BJ221" s="2">
        <v>67.38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69</v>
      </c>
      <c r="Y222" s="2">
        <v>0.86</v>
      </c>
      <c r="Z222" s="2">
        <v>0.02</v>
      </c>
      <c r="AA222" s="2">
        <v>0.48</v>
      </c>
      <c r="AB222" s="2">
        <v>0</v>
      </c>
      <c r="AC222" s="2">
        <v>0.18</v>
      </c>
      <c r="AD222" s="2">
        <v>0.31</v>
      </c>
      <c r="AE222" s="2">
        <v>0.56999999999999995</v>
      </c>
      <c r="AF222" s="2">
        <v>0.27</v>
      </c>
      <c r="AG222" s="2">
        <v>0.72</v>
      </c>
      <c r="AH222" s="2">
        <v>0.24</v>
      </c>
      <c r="AI222" s="2">
        <v>1.29</v>
      </c>
      <c r="AJ222" s="2">
        <v>0.37</v>
      </c>
      <c r="AK222" s="2">
        <v>1.04</v>
      </c>
      <c r="AL222" s="2">
        <v>0.31</v>
      </c>
      <c r="AM222" s="2">
        <v>1</v>
      </c>
      <c r="AN222" s="2">
        <v>0.3</v>
      </c>
      <c r="AO222" s="2">
        <v>0.26</v>
      </c>
      <c r="AP222" s="2">
        <v>0.18</v>
      </c>
      <c r="AQ222" s="2">
        <v>0.22</v>
      </c>
      <c r="AR222" s="2">
        <v>0.16</v>
      </c>
      <c r="AU222" s="1" t="s">
        <v>69</v>
      </c>
      <c r="AV222" s="2">
        <v>19.62</v>
      </c>
      <c r="AW222" s="2">
        <v>13.6</v>
      </c>
      <c r="AX222" s="2">
        <v>4.07</v>
      </c>
      <c r="AY222" s="2">
        <v>8.9</v>
      </c>
      <c r="AZ222" s="2">
        <v>22.04</v>
      </c>
      <c r="BA222" s="2">
        <v>13.65</v>
      </c>
      <c r="BB222" s="2">
        <v>24.76</v>
      </c>
      <c r="BC222" s="2">
        <v>18.91</v>
      </c>
      <c r="BD222" s="2">
        <v>33.82</v>
      </c>
      <c r="BE222" s="2">
        <v>16.010000000000002</v>
      </c>
      <c r="BF222" s="2">
        <v>30.82</v>
      </c>
      <c r="BG222" s="2">
        <v>17.3</v>
      </c>
      <c r="BH222" s="2">
        <v>36.590000000000003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70</v>
      </c>
      <c r="Y223" s="2">
        <v>0.41</v>
      </c>
      <c r="Z223" s="2">
        <v>0.37</v>
      </c>
      <c r="AA223" s="2">
        <v>0.6</v>
      </c>
      <c r="AB223" s="2">
        <v>0.1</v>
      </c>
      <c r="AC223" s="2">
        <v>0.15</v>
      </c>
      <c r="AD223" s="2">
        <v>0.16</v>
      </c>
      <c r="AE223" s="2">
        <v>0.1</v>
      </c>
      <c r="AF223" s="2">
        <v>0.44</v>
      </c>
      <c r="AG223" s="2">
        <v>0.51</v>
      </c>
      <c r="AH223" s="2">
        <v>0.56000000000000005</v>
      </c>
      <c r="AI223" s="2">
        <v>0.78</v>
      </c>
      <c r="AJ223" s="2">
        <v>0.66</v>
      </c>
      <c r="AK223" s="2">
        <v>0.46</v>
      </c>
      <c r="AL223" s="2">
        <v>0.43</v>
      </c>
      <c r="AM223" s="2">
        <v>0.36</v>
      </c>
      <c r="AN223" s="2">
        <v>0.39</v>
      </c>
      <c r="AO223" s="2">
        <v>0.24</v>
      </c>
      <c r="AP223" s="2">
        <v>0.18</v>
      </c>
      <c r="AQ223" s="2">
        <v>0.28000000000000003</v>
      </c>
      <c r="AR223" s="2">
        <v>0.13</v>
      </c>
      <c r="AU223" s="1" t="s">
        <v>70</v>
      </c>
      <c r="AV223" s="2">
        <v>59.26</v>
      </c>
      <c r="AW223" s="2">
        <v>61.5</v>
      </c>
      <c r="AX223" s="2">
        <v>56.96</v>
      </c>
      <c r="AY223" s="2">
        <v>57.5</v>
      </c>
      <c r="AZ223" s="2">
        <v>49.86</v>
      </c>
      <c r="BA223" s="2">
        <v>44.82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71</v>
      </c>
      <c r="Y224" s="2">
        <v>0.45</v>
      </c>
      <c r="Z224" s="2">
        <v>0.45</v>
      </c>
      <c r="AA224" s="2">
        <v>0.62</v>
      </c>
      <c r="AB224" s="2">
        <v>0.61</v>
      </c>
      <c r="AC224" s="2">
        <v>0.16</v>
      </c>
      <c r="AD224" s="2">
        <v>0.16</v>
      </c>
      <c r="AE224" s="2">
        <v>0.11</v>
      </c>
      <c r="AF224" s="2">
        <v>0.46</v>
      </c>
      <c r="AG224" s="2">
        <v>0.15</v>
      </c>
      <c r="AH224" s="2">
        <v>0.85</v>
      </c>
      <c r="AI224" s="2">
        <v>0.41</v>
      </c>
      <c r="AJ224" s="2">
        <v>1.54</v>
      </c>
      <c r="AK224" s="2">
        <v>0.32</v>
      </c>
      <c r="AL224" s="2">
        <v>0.91</v>
      </c>
      <c r="AM224" s="2">
        <v>0.4</v>
      </c>
      <c r="AN224" s="2">
        <v>1.19</v>
      </c>
      <c r="AO224" s="2">
        <v>0.28000000000000003</v>
      </c>
      <c r="AP224" s="2">
        <v>0.75</v>
      </c>
      <c r="AQ224" s="2">
        <v>0.24</v>
      </c>
      <c r="AR224" s="2">
        <v>0.15</v>
      </c>
      <c r="AU224" s="1" t="s">
        <v>71</v>
      </c>
      <c r="AV224" s="2">
        <v>11.72</v>
      </c>
      <c r="AW224" s="2">
        <v>6.47</v>
      </c>
      <c r="AX224" s="2">
        <v>5.0599999999999996</v>
      </c>
      <c r="AY224" s="2">
        <v>2.2200000000000002</v>
      </c>
      <c r="AZ224" s="2">
        <v>8.8000000000000007</v>
      </c>
      <c r="BA224" s="2">
        <v>7.54</v>
      </c>
      <c r="BB224" s="2">
        <v>10.1</v>
      </c>
      <c r="BC224" s="2">
        <v>6.48</v>
      </c>
      <c r="BD224" s="2">
        <v>12.3</v>
      </c>
      <c r="BE224" s="2">
        <v>23.73</v>
      </c>
      <c r="BF224" s="2">
        <v>12.3</v>
      </c>
      <c r="BG224" s="2">
        <v>16.649999999999999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8" x14ac:dyDescent="0.3">
      <c r="X225" s="1" t="s">
        <v>72</v>
      </c>
      <c r="Y225" s="2">
        <v>1.05</v>
      </c>
      <c r="Z225" s="2">
        <v>1.07</v>
      </c>
      <c r="AA225" s="2">
        <v>0.61</v>
      </c>
      <c r="AB225" s="2">
        <v>1.02</v>
      </c>
      <c r="AC225" s="2">
        <v>0.13</v>
      </c>
      <c r="AD225" s="2">
        <v>0.39</v>
      </c>
      <c r="AE225" s="2">
        <v>0.28999999999999998</v>
      </c>
      <c r="AF225" s="2">
        <v>0.6</v>
      </c>
      <c r="AG225" s="2">
        <v>0.24</v>
      </c>
      <c r="AH225" s="2">
        <v>0.97</v>
      </c>
      <c r="AI225" s="2">
        <v>0.51</v>
      </c>
      <c r="AJ225" s="2">
        <v>1.74</v>
      </c>
      <c r="AK225" s="2">
        <v>0.42</v>
      </c>
      <c r="AL225" s="2">
        <v>1.1499999999999999</v>
      </c>
      <c r="AM225" s="2">
        <v>0.66</v>
      </c>
      <c r="AN225" s="2">
        <v>1.22</v>
      </c>
      <c r="AO225" s="2">
        <v>0.33</v>
      </c>
      <c r="AP225" s="2">
        <v>0.37</v>
      </c>
      <c r="AQ225" s="2">
        <v>0.3</v>
      </c>
      <c r="AR225" s="2">
        <v>0.27</v>
      </c>
      <c r="AU225" s="1" t="s">
        <v>72</v>
      </c>
      <c r="AV225" s="2">
        <v>50.47</v>
      </c>
      <c r="AW225" s="2">
        <v>71.69</v>
      </c>
      <c r="AX225" s="2">
        <v>20.76</v>
      </c>
      <c r="AY225" s="2">
        <v>30.63</v>
      </c>
      <c r="AZ225" s="2">
        <v>30.8</v>
      </c>
      <c r="BA225" s="2">
        <v>69.95</v>
      </c>
      <c r="BB225" s="2">
        <v>49.11</v>
      </c>
      <c r="BC225" s="2">
        <v>72.099999999999994</v>
      </c>
      <c r="BD225" s="2">
        <v>56.35</v>
      </c>
      <c r="BE225" s="2">
        <v>96.28</v>
      </c>
      <c r="BF225" s="2">
        <v>59.95</v>
      </c>
      <c r="BG225" s="2">
        <v>88.61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8" x14ac:dyDescent="0.3">
      <c r="X226" s="1" t="s">
        <v>73</v>
      </c>
      <c r="Y226" s="2">
        <v>0.04</v>
      </c>
      <c r="Z226" s="2">
        <v>0.13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0.31</v>
      </c>
      <c r="AG226" s="2">
        <v>7.0000000000000007E-2</v>
      </c>
      <c r="AH226" s="2">
        <v>0.39</v>
      </c>
      <c r="AI226" s="2">
        <v>0.37</v>
      </c>
      <c r="AJ226" s="2">
        <v>0.71</v>
      </c>
      <c r="AK226" s="2">
        <v>0.4</v>
      </c>
      <c r="AL226" s="2">
        <v>0.42</v>
      </c>
      <c r="AM226" s="2">
        <v>0.35</v>
      </c>
      <c r="AN226" s="2">
        <v>0.28000000000000003</v>
      </c>
      <c r="AO226" s="2">
        <v>0.23</v>
      </c>
      <c r="AP226" s="2">
        <v>0.12</v>
      </c>
      <c r="AQ226" s="2">
        <v>0.18</v>
      </c>
      <c r="AR226" s="2">
        <v>0.09</v>
      </c>
      <c r="AU226" s="1" t="s">
        <v>73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89.49</v>
      </c>
      <c r="BD226" s="2">
        <v>140.4</v>
      </c>
      <c r="BE226" s="2">
        <v>74.680000000000007</v>
      </c>
      <c r="BF226" s="2">
        <v>99.9</v>
      </c>
      <c r="BG226" s="2">
        <v>55.8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  <row r="227" spans="24:68" x14ac:dyDescent="0.3">
      <c r="BP227">
        <f>SUM(AV219:BO226)</f>
        <v>11232.809999999998</v>
      </c>
    </row>
    <row r="229" spans="24:68" x14ac:dyDescent="0.3">
      <c r="X229" t="s">
        <v>74</v>
      </c>
    </row>
    <row r="230" spans="24:68" x14ac:dyDescent="0.3">
      <c r="X230" s="1" t="s">
        <v>6</v>
      </c>
      <c r="Y230" s="1" t="s">
        <v>63</v>
      </c>
      <c r="Z230" s="1" t="s">
        <v>64</v>
      </c>
      <c r="AA230" s="1" t="s">
        <v>63</v>
      </c>
      <c r="AB230" s="1" t="s">
        <v>64</v>
      </c>
      <c r="AC230" s="1" t="s">
        <v>63</v>
      </c>
      <c r="AD230" s="1" t="s">
        <v>64</v>
      </c>
      <c r="AE230" s="1" t="s">
        <v>63</v>
      </c>
      <c r="AF230" s="1" t="s">
        <v>64</v>
      </c>
      <c r="AG230" s="1" t="s">
        <v>63</v>
      </c>
      <c r="AH230" s="1" t="s">
        <v>64</v>
      </c>
      <c r="AI230" s="1" t="s">
        <v>63</v>
      </c>
      <c r="AJ230" s="1" t="s">
        <v>64</v>
      </c>
      <c r="AK230" s="1" t="s">
        <v>63</v>
      </c>
      <c r="AL230" s="1" t="s">
        <v>64</v>
      </c>
      <c r="AM230" s="1" t="s">
        <v>63</v>
      </c>
      <c r="AN230" s="1" t="s">
        <v>64</v>
      </c>
      <c r="AO230" s="1" t="s">
        <v>63</v>
      </c>
      <c r="AP230" s="1" t="s">
        <v>64</v>
      </c>
      <c r="AQ230" s="1" t="s">
        <v>63</v>
      </c>
      <c r="AR230" s="1" t="s">
        <v>64</v>
      </c>
    </row>
    <row r="231" spans="24:68" x14ac:dyDescent="0.3">
      <c r="X231" s="1" t="s">
        <v>65</v>
      </c>
      <c r="Y231" s="1" t="s">
        <v>53</v>
      </c>
      <c r="Z231" s="1" t="s">
        <v>53</v>
      </c>
      <c r="AA231" s="1" t="s">
        <v>54</v>
      </c>
      <c r="AB231" s="1" t="s">
        <v>54</v>
      </c>
      <c r="AC231" s="1" t="s">
        <v>55</v>
      </c>
      <c r="AD231" s="1" t="s">
        <v>55</v>
      </c>
      <c r="AE231" s="1" t="s">
        <v>56</v>
      </c>
      <c r="AF231" s="1" t="s">
        <v>56</v>
      </c>
      <c r="AG231" s="1" t="s">
        <v>57</v>
      </c>
      <c r="AH231" s="1" t="s">
        <v>57</v>
      </c>
      <c r="AI231" s="1" t="s">
        <v>58</v>
      </c>
      <c r="AJ231" s="1" t="s">
        <v>58</v>
      </c>
      <c r="AK231" s="1" t="s">
        <v>59</v>
      </c>
      <c r="AL231" s="1" t="s">
        <v>59</v>
      </c>
      <c r="AM231" s="1" t="s">
        <v>60</v>
      </c>
      <c r="AN231" s="1" t="s">
        <v>60</v>
      </c>
      <c r="AO231" s="1" t="s">
        <v>61</v>
      </c>
      <c r="AP231" s="1" t="s">
        <v>61</v>
      </c>
      <c r="AQ231" s="1" t="s">
        <v>62</v>
      </c>
      <c r="AR231" s="1" t="s">
        <v>62</v>
      </c>
    </row>
    <row r="232" spans="24:68" x14ac:dyDescent="0.3">
      <c r="X232" s="1" t="s">
        <v>7</v>
      </c>
      <c r="Y232">
        <v>1.3</v>
      </c>
      <c r="Z232">
        <v>1.3</v>
      </c>
      <c r="AA232">
        <v>1.3</v>
      </c>
      <c r="AB232">
        <v>1.3</v>
      </c>
      <c r="AC232">
        <v>0.5</v>
      </c>
      <c r="AD232">
        <v>0.5</v>
      </c>
      <c r="AE232">
        <v>1.6</v>
      </c>
      <c r="AF232">
        <v>1.6</v>
      </c>
      <c r="AG232">
        <v>2</v>
      </c>
      <c r="AH232">
        <v>2</v>
      </c>
      <c r="AI232">
        <v>3.6</v>
      </c>
      <c r="AJ232">
        <v>3.6</v>
      </c>
      <c r="AK232">
        <v>2.9</v>
      </c>
      <c r="AL232">
        <v>2.9</v>
      </c>
      <c r="AM232">
        <v>3.8</v>
      </c>
      <c r="AN232">
        <v>3.8</v>
      </c>
      <c r="AO232">
        <v>3.4</v>
      </c>
      <c r="AP232">
        <v>3.4</v>
      </c>
      <c r="AQ232">
        <v>4.5</v>
      </c>
      <c r="AR232">
        <v>4.5</v>
      </c>
    </row>
    <row r="233" spans="24:68" x14ac:dyDescent="0.3">
      <c r="X233" s="1" t="s">
        <v>66</v>
      </c>
      <c r="Y233" s="6">
        <f>Y191/(AV191+AV219)</f>
        <v>0.13223553364564383</v>
      </c>
      <c r="Z233" s="6">
        <f t="shared" ref="Z233:AR240" si="0">Z191/(AW191+AW219)</f>
        <v>0.1548091016122444</v>
      </c>
      <c r="AA233" s="6">
        <f t="shared" si="0"/>
        <v>1.3823600453354639E-2</v>
      </c>
      <c r="AB233" s="6">
        <f t="shared" si="0"/>
        <v>1.3872019433612479E-2</v>
      </c>
      <c r="AC233" s="6">
        <f t="shared" si="0"/>
        <v>1.3235753905300093E-2</v>
      </c>
      <c r="AD233" s="6">
        <f t="shared" si="0"/>
        <v>2.6431742539158653E-2</v>
      </c>
      <c r="AE233" s="6">
        <f t="shared" si="0"/>
        <v>9.7141385526654647E-2</v>
      </c>
      <c r="AF233" s="6">
        <f t="shared" si="0"/>
        <v>6.3328602059614048E-2</v>
      </c>
      <c r="AG233" s="6">
        <f t="shared" si="0"/>
        <v>0.13494335994649498</v>
      </c>
      <c r="AH233" s="6">
        <f t="shared" si="0"/>
        <v>5.1024572611891791E-2</v>
      </c>
      <c r="AI233" s="6">
        <f t="shared" si="0"/>
        <v>0.13545700955812809</v>
      </c>
      <c r="AJ233" s="6">
        <f t="shared" si="0"/>
        <v>4.1576890123650817E-2</v>
      </c>
      <c r="AK233" s="6">
        <f t="shared" si="0"/>
        <v>0.13086090110788559</v>
      </c>
      <c r="AL233" s="6">
        <f t="shared" si="0"/>
        <v>1.8809535322276486E-2</v>
      </c>
      <c r="AM233" s="6">
        <f t="shared" si="0"/>
        <v>0.10037278082135354</v>
      </c>
      <c r="AN233" s="6">
        <f t="shared" si="0"/>
        <v>3.7235516023913742E-2</v>
      </c>
      <c r="AO233" s="6">
        <f t="shared" si="0"/>
        <v>9.2192630221386226E-3</v>
      </c>
      <c r="AP233" s="6">
        <f t="shared" si="0"/>
        <v>9.2664593053395552E-3</v>
      </c>
      <c r="AQ233" s="6">
        <f t="shared" si="0"/>
        <v>2.462120309991855E-2</v>
      </c>
      <c r="AR233" s="6">
        <f t="shared" si="0"/>
        <v>9.4799964029968729E-3</v>
      </c>
    </row>
    <row r="234" spans="24:68" x14ac:dyDescent="0.3">
      <c r="X234" s="1" t="s">
        <v>67</v>
      </c>
      <c r="Y234" s="6">
        <f t="shared" ref="Y234:Y240" si="1">Y192/(AV192+AV220)</f>
        <v>4.7024710035300045E-2</v>
      </c>
      <c r="Z234" s="6">
        <f t="shared" si="0"/>
        <v>4.674582894934616E-2</v>
      </c>
      <c r="AA234" s="6">
        <f t="shared" si="0"/>
        <v>5.0947421257372318E-2</v>
      </c>
      <c r="AB234" s="6">
        <f t="shared" si="0"/>
        <v>5.1262034868592245E-2</v>
      </c>
      <c r="AC234" s="6">
        <f t="shared" si="0"/>
        <v>4.9723756906077346E-2</v>
      </c>
      <c r="AD234" s="6">
        <f t="shared" si="0"/>
        <v>4.9665517940401374E-2</v>
      </c>
      <c r="AE234" s="6">
        <f t="shared" si="0"/>
        <v>4.8731953088615096E-2</v>
      </c>
      <c r="AF234" s="6">
        <f t="shared" si="0"/>
        <v>4.9100437264261151E-2</v>
      </c>
      <c r="AG234" s="6">
        <f t="shared" si="0"/>
        <v>4.5997259737717754E-2</v>
      </c>
      <c r="AH234" s="6">
        <f t="shared" si="0"/>
        <v>4.3924115535805844E-2</v>
      </c>
      <c r="AI234" s="6">
        <f t="shared" si="0"/>
        <v>4.6853318096481918E-2</v>
      </c>
      <c r="AJ234" s="6">
        <f t="shared" si="0"/>
        <v>4.5184994198788193E-2</v>
      </c>
      <c r="AK234" s="6">
        <f t="shared" si="0"/>
        <v>4.7272459932362891E-2</v>
      </c>
      <c r="AL234" s="6">
        <f t="shared" si="0"/>
        <v>4.4790527060943428E-2</v>
      </c>
      <c r="AM234" s="6">
        <f t="shared" si="0"/>
        <v>4.7373623270262642E-2</v>
      </c>
      <c r="AN234" s="6">
        <f t="shared" si="0"/>
        <v>4.6610892948608498E-2</v>
      </c>
      <c r="AO234" s="6">
        <f t="shared" si="0"/>
        <v>4.6309747369167001E-2</v>
      </c>
      <c r="AP234" s="6">
        <f t="shared" si="0"/>
        <v>4.7903187958834768E-2</v>
      </c>
      <c r="AQ234" s="6">
        <f t="shared" si="0"/>
        <v>4.7322540473225407E-2</v>
      </c>
      <c r="AR234" s="6">
        <f t="shared" si="0"/>
        <v>4.8258229466283158E-2</v>
      </c>
    </row>
    <row r="235" spans="24:68" x14ac:dyDescent="0.3">
      <c r="X235" s="1" t="s">
        <v>68</v>
      </c>
      <c r="Y235" s="6">
        <f t="shared" si="1"/>
        <v>8.8598087270702355E-2</v>
      </c>
      <c r="Z235" s="6">
        <f t="shared" si="0"/>
        <v>4.7436561367167271E-2</v>
      </c>
      <c r="AA235" s="6">
        <f t="shared" si="0"/>
        <v>7.8132197947930471E-2</v>
      </c>
      <c r="AB235" s="6">
        <f t="shared" si="0"/>
        <v>5.0363587395636955E-2</v>
      </c>
      <c r="AC235" s="6">
        <f t="shared" si="0"/>
        <v>0.14953338580400596</v>
      </c>
      <c r="AD235" s="6">
        <f t="shared" si="0"/>
        <v>9.9046997734305434E-2</v>
      </c>
      <c r="AE235" s="6">
        <f t="shared" si="0"/>
        <v>0.10735845605048934</v>
      </c>
      <c r="AF235" s="6">
        <f t="shared" si="0"/>
        <v>5.9602120958418048E-2</v>
      </c>
      <c r="AG235" s="6">
        <f t="shared" si="0"/>
        <v>0.11086738087488147</v>
      </c>
      <c r="AH235" s="6">
        <f t="shared" si="0"/>
        <v>4.9827010997158028E-2</v>
      </c>
      <c r="AI235" s="6">
        <f t="shared" si="0"/>
        <v>0.11304281388047675</v>
      </c>
      <c r="AJ235" s="6">
        <f t="shared" si="0"/>
        <v>5.0359288924192613E-2</v>
      </c>
      <c r="AK235" s="6">
        <f t="shared" si="0"/>
        <v>0.11959408315906962</v>
      </c>
      <c r="AL235" s="6">
        <f t="shared" si="0"/>
        <v>5.2096958227812872E-2</v>
      </c>
      <c r="AM235" s="6">
        <f t="shared" si="0"/>
        <v>0.12360644432876082</v>
      </c>
      <c r="AN235" s="6">
        <f t="shared" si="0"/>
        <v>4.8344040367234109E-2</v>
      </c>
      <c r="AO235" s="6">
        <f t="shared" si="0"/>
        <v>5.7416713918426641E-2</v>
      </c>
      <c r="AP235" s="6">
        <f t="shared" si="0"/>
        <v>4.6722250938265493E-2</v>
      </c>
      <c r="AQ235" s="6">
        <f t="shared" si="0"/>
        <v>4.7162030441628554E-2</v>
      </c>
      <c r="AR235" s="6">
        <f t="shared" si="0"/>
        <v>4.7123041138219662E-2</v>
      </c>
    </row>
    <row r="236" spans="24:68" x14ac:dyDescent="0.3">
      <c r="X236" s="1" t="s">
        <v>69</v>
      </c>
      <c r="Y236" s="6">
        <f t="shared" si="1"/>
        <v>4.7845847341551485E-2</v>
      </c>
      <c r="Z236" s="6">
        <f t="shared" si="0"/>
        <v>5.1236132753447912E-2</v>
      </c>
      <c r="AA236" s="6">
        <f t="shared" si="0"/>
        <v>8.6834833132572814E-2</v>
      </c>
      <c r="AB236" s="6">
        <f t="shared" si="0"/>
        <v>5.0666890361546847E-2</v>
      </c>
      <c r="AC236" s="6">
        <f t="shared" si="0"/>
        <v>9.6848137535816614E-2</v>
      </c>
      <c r="AD236" s="6">
        <f t="shared" si="0"/>
        <v>5.1348408859697658E-2</v>
      </c>
      <c r="AE236" s="6">
        <f t="shared" si="0"/>
        <v>8.0161345301670253E-2</v>
      </c>
      <c r="AF236" s="6">
        <f t="shared" si="0"/>
        <v>5.0800265525888781E-2</v>
      </c>
      <c r="AG236" s="6">
        <f t="shared" si="0"/>
        <v>7.4771873322597951E-2</v>
      </c>
      <c r="AH236" s="6">
        <f t="shared" si="0"/>
        <v>4.777549623545517E-2</v>
      </c>
      <c r="AI236" s="6">
        <f t="shared" si="0"/>
        <v>7.5196167801669433E-2</v>
      </c>
      <c r="AJ236" s="6">
        <f t="shared" si="0"/>
        <v>4.7718616981554773E-2</v>
      </c>
      <c r="AK236" s="6">
        <f t="shared" si="0"/>
        <v>7.5581492288453525E-2</v>
      </c>
      <c r="AL236" s="6">
        <f t="shared" si="0"/>
        <v>4.7658546261067129E-2</v>
      </c>
      <c r="AM236" s="6">
        <f t="shared" si="0"/>
        <v>5.8831980461173758E-2</v>
      </c>
      <c r="AN236" s="6">
        <f t="shared" si="0"/>
        <v>4.7598043147004568E-2</v>
      </c>
      <c r="AO236" s="6">
        <f t="shared" si="0"/>
        <v>4.6839668353612578E-2</v>
      </c>
      <c r="AP236" s="6">
        <f t="shared" si="0"/>
        <v>4.7332778039329303E-2</v>
      </c>
      <c r="AQ236" s="6">
        <f t="shared" si="0"/>
        <v>4.7714314294288296E-2</v>
      </c>
      <c r="AR236" s="6">
        <f t="shared" si="0"/>
        <v>4.7497375562025872E-2</v>
      </c>
    </row>
    <row r="237" spans="24:68" x14ac:dyDescent="0.3">
      <c r="X237" s="1" t="s">
        <v>70</v>
      </c>
      <c r="Y237" s="6">
        <f t="shared" si="1"/>
        <v>8.9601019335256674E-2</v>
      </c>
      <c r="Z237" s="6">
        <f t="shared" si="0"/>
        <v>6.9997151488648074E-2</v>
      </c>
      <c r="AA237" s="6">
        <f t="shared" si="0"/>
        <v>5.0158808728292696E-2</v>
      </c>
      <c r="AB237" s="6">
        <f t="shared" si="0"/>
        <v>5.0343803956017327E-2</v>
      </c>
      <c r="AC237" s="6">
        <f t="shared" si="0"/>
        <v>8.9451285321821047E-2</v>
      </c>
      <c r="AD237" s="6">
        <f t="shared" si="0"/>
        <v>8.5747643345152641E-2</v>
      </c>
      <c r="AE237" s="6">
        <f t="shared" si="0"/>
        <v>5.0936693331970255E-2</v>
      </c>
      <c r="AF237" s="6">
        <f t="shared" si="0"/>
        <v>7.0941072828833357E-2</v>
      </c>
      <c r="AG237" s="6">
        <f t="shared" si="0"/>
        <v>5.5739017312118486E-2</v>
      </c>
      <c r="AH237" s="6">
        <f t="shared" si="0"/>
        <v>6.102549635010756E-2</v>
      </c>
      <c r="AI237" s="6">
        <f t="shared" si="0"/>
        <v>4.9162733739697567E-2</v>
      </c>
      <c r="AJ237" s="6">
        <f t="shared" si="0"/>
        <v>4.7286151212248211E-2</v>
      </c>
      <c r="AK237" s="6">
        <f t="shared" si="0"/>
        <v>4.736588163536555E-2</v>
      </c>
      <c r="AL237" s="6">
        <f t="shared" si="0"/>
        <v>4.726615212637561E-2</v>
      </c>
      <c r="AM237" s="6">
        <f t="shared" si="0"/>
        <v>4.7467144229603311E-2</v>
      </c>
      <c r="AN237" s="6">
        <f t="shared" si="0"/>
        <v>4.7559838358719304E-2</v>
      </c>
      <c r="AO237" s="6">
        <f t="shared" si="0"/>
        <v>4.7323506594259122E-2</v>
      </c>
      <c r="AP237" s="6">
        <f t="shared" si="0"/>
        <v>4.7425428775550317E-2</v>
      </c>
      <c r="AQ237" s="6">
        <f t="shared" si="0"/>
        <v>4.7516244062044549E-2</v>
      </c>
      <c r="AR237" s="6">
        <f t="shared" si="0"/>
        <v>4.7744154763172744E-2</v>
      </c>
    </row>
    <row r="238" spans="24:68" x14ac:dyDescent="0.3">
      <c r="X238" s="1" t="s">
        <v>71</v>
      </c>
      <c r="Y238" s="6">
        <f t="shared" si="1"/>
        <v>8.1592597784943224E-2</v>
      </c>
      <c r="Z238" s="6">
        <f t="shared" si="0"/>
        <v>8.0449255475936371E-2</v>
      </c>
      <c r="AA238" s="6">
        <f t="shared" si="0"/>
        <v>5.1523825559858565E-2</v>
      </c>
      <c r="AB238" s="6">
        <f t="shared" si="0"/>
        <v>5.1897905759162297E-2</v>
      </c>
      <c r="AC238" s="6">
        <f t="shared" si="0"/>
        <v>8.3687395390755759E-2</v>
      </c>
      <c r="AD238" s="6">
        <f t="shared" si="0"/>
        <v>7.8754822402554214E-2</v>
      </c>
      <c r="AE238" s="6">
        <f t="shared" si="0"/>
        <v>5.0657357201218146E-2</v>
      </c>
      <c r="AF238" s="6">
        <f t="shared" si="0"/>
        <v>7.7491584955363679E-2</v>
      </c>
      <c r="AG238" s="6">
        <f t="shared" si="0"/>
        <v>4.721236957195496E-2</v>
      </c>
      <c r="AH238" s="6">
        <f t="shared" si="0"/>
        <v>4.6447481837212166E-2</v>
      </c>
      <c r="AI238" s="6">
        <f t="shared" si="0"/>
        <v>4.7489000151722048E-2</v>
      </c>
      <c r="AJ238" s="6">
        <f t="shared" si="0"/>
        <v>4.6952295541990922E-2</v>
      </c>
      <c r="AK238" s="6">
        <f t="shared" si="0"/>
        <v>4.7667739316110791E-2</v>
      </c>
      <c r="AL238" s="6">
        <f t="shared" si="0"/>
        <v>4.6775672854928993E-2</v>
      </c>
      <c r="AM238" s="6">
        <f t="shared" si="0"/>
        <v>4.6838001732601789E-2</v>
      </c>
      <c r="AN238" s="6">
        <f t="shared" si="0"/>
        <v>4.7056824938418416E-2</v>
      </c>
      <c r="AO238" s="6">
        <f t="shared" si="0"/>
        <v>4.6894161556918154E-2</v>
      </c>
      <c r="AP238" s="6">
        <f t="shared" si="0"/>
        <v>4.7684748956790951E-2</v>
      </c>
      <c r="AQ238" s="6">
        <f t="shared" si="0"/>
        <v>4.743632664623626E-2</v>
      </c>
      <c r="AR238" s="6">
        <f t="shared" si="0"/>
        <v>4.7141107203540519E-2</v>
      </c>
    </row>
    <row r="239" spans="24:68" x14ac:dyDescent="0.3">
      <c r="X239" s="1" t="s">
        <v>72</v>
      </c>
      <c r="Y239" s="6">
        <f t="shared" si="1"/>
        <v>7.5687638318052475E-2</v>
      </c>
      <c r="Z239" s="6">
        <f t="shared" si="0"/>
        <v>7.4344494750982634E-2</v>
      </c>
      <c r="AA239" s="6">
        <f t="shared" si="0"/>
        <v>5.105862019300015E-2</v>
      </c>
      <c r="AB239" s="6">
        <f t="shared" si="0"/>
        <v>5.9523641046687711E-2</v>
      </c>
      <c r="AC239" s="6">
        <f t="shared" si="0"/>
        <v>9.6770860835925746E-2</v>
      </c>
      <c r="AD239" s="6">
        <f t="shared" si="0"/>
        <v>7.3229007633587792E-2</v>
      </c>
      <c r="AE239" s="6">
        <f t="shared" si="0"/>
        <v>6.0601677755279151E-2</v>
      </c>
      <c r="AF239" s="6">
        <f t="shared" si="0"/>
        <v>0.11592222903771446</v>
      </c>
      <c r="AG239" s="6">
        <f t="shared" si="0"/>
        <v>4.6643442780707499E-2</v>
      </c>
      <c r="AH239" s="6">
        <f t="shared" si="0"/>
        <v>9.2038357375780686E-2</v>
      </c>
      <c r="AI239" s="6">
        <f t="shared" si="0"/>
        <v>4.9905530121357455E-2</v>
      </c>
      <c r="AJ239" s="6">
        <f t="shared" si="0"/>
        <v>9.1613488008303906E-2</v>
      </c>
      <c r="AK239" s="6">
        <f t="shared" si="0"/>
        <v>5.025182650593997E-2</v>
      </c>
      <c r="AL239" s="6">
        <f t="shared" si="0"/>
        <v>8.334444000177707E-2</v>
      </c>
      <c r="AM239" s="6">
        <f t="shared" si="0"/>
        <v>5.6367481203007511E-2</v>
      </c>
      <c r="AN239" s="6">
        <f t="shared" si="0"/>
        <v>4.6887051491685434E-2</v>
      </c>
      <c r="AO239" s="6">
        <f t="shared" si="0"/>
        <v>4.7513725490196078E-2</v>
      </c>
      <c r="AP239" s="6">
        <f t="shared" si="0"/>
        <v>4.634477076503201E-2</v>
      </c>
      <c r="AQ239" s="6">
        <f t="shared" si="0"/>
        <v>4.8130695318937856E-2</v>
      </c>
      <c r="AR239" s="6">
        <f t="shared" si="0"/>
        <v>4.7040957848352383E-2</v>
      </c>
    </row>
    <row r="240" spans="24:68" x14ac:dyDescent="0.3">
      <c r="X240" s="1" t="s">
        <v>73</v>
      </c>
      <c r="Y240" s="6">
        <f t="shared" si="1"/>
        <v>4.4243714400782459E-2</v>
      </c>
      <c r="Z240" s="6">
        <f t="shared" si="0"/>
        <v>4.5456634646320729E-2</v>
      </c>
      <c r="AA240" s="6">
        <f t="shared" si="0"/>
        <v>4.8426318349197528E-2</v>
      </c>
      <c r="AB240" s="6">
        <f t="shared" si="0"/>
        <v>4.8282984766331014E-2</v>
      </c>
      <c r="AC240" s="6">
        <f t="shared" si="0"/>
        <v>4.6339050131926122E-2</v>
      </c>
      <c r="AD240" s="6">
        <f t="shared" si="0"/>
        <v>4.7595000631233432E-2</v>
      </c>
      <c r="AE240" s="6">
        <f t="shared" si="0"/>
        <v>4.5449916839211159E-2</v>
      </c>
      <c r="AF240" s="6">
        <f t="shared" si="0"/>
        <v>5.0311885428857547E-2</v>
      </c>
      <c r="AG240" s="6">
        <f t="shared" si="0"/>
        <v>4.5346214410350257E-2</v>
      </c>
      <c r="AH240" s="6">
        <f t="shared" si="0"/>
        <v>4.6504373282781619E-2</v>
      </c>
      <c r="AI240" s="6">
        <f t="shared" si="0"/>
        <v>4.9288756994710851E-2</v>
      </c>
      <c r="AJ240" s="6">
        <f t="shared" si="0"/>
        <v>4.7249055018899623E-2</v>
      </c>
      <c r="AK240" s="6">
        <f t="shared" si="0"/>
        <v>4.8390516985453158E-2</v>
      </c>
      <c r="AL240" s="6">
        <f t="shared" si="0"/>
        <v>4.5175000804971513E-2</v>
      </c>
      <c r="AM240" s="6">
        <f t="shared" si="0"/>
        <v>5.2089219825150412E-2</v>
      </c>
      <c r="AN240" s="6">
        <f t="shared" si="0"/>
        <v>4.9402902603773162E-2</v>
      </c>
      <c r="AO240" s="6">
        <f t="shared" si="0"/>
        <v>5.6649114747146345E-2</v>
      </c>
      <c r="AP240" s="6">
        <f t="shared" si="0"/>
        <v>5.2959717363444285E-2</v>
      </c>
      <c r="AQ240" s="6">
        <f t="shared" si="0"/>
        <v>5.3940008504792122E-2</v>
      </c>
      <c r="AR240" s="6">
        <f t="shared" si="0"/>
        <v>5.1209103840682786E-2</v>
      </c>
    </row>
    <row r="241" spans="24:45" x14ac:dyDescent="0.3">
      <c r="AS241" s="7">
        <f>AVERAGE(Y233:AR240)</f>
        <v>5.9090491103481427E-2</v>
      </c>
    </row>
    <row r="242" spans="24:45" x14ac:dyDescent="0.3">
      <c r="AS242" s="7"/>
    </row>
    <row r="243" spans="24:45" x14ac:dyDescent="0.3">
      <c r="AS243" s="7"/>
    </row>
    <row r="244" spans="24:45" x14ac:dyDescent="0.3">
      <c r="X244" t="s">
        <v>75</v>
      </c>
      <c r="AS244" s="7"/>
    </row>
    <row r="245" spans="24:45" x14ac:dyDescent="0.3">
      <c r="X245" s="1" t="s">
        <v>6</v>
      </c>
      <c r="Y245" s="1" t="s">
        <v>63</v>
      </c>
      <c r="Z245" s="1" t="s">
        <v>64</v>
      </c>
      <c r="AA245" s="1" t="s">
        <v>63</v>
      </c>
      <c r="AB245" s="1" t="s">
        <v>64</v>
      </c>
      <c r="AC245" s="1" t="s">
        <v>63</v>
      </c>
      <c r="AD245" s="1" t="s">
        <v>64</v>
      </c>
      <c r="AE245" s="1" t="s">
        <v>63</v>
      </c>
      <c r="AF245" s="1" t="s">
        <v>64</v>
      </c>
      <c r="AG245" s="1" t="s">
        <v>63</v>
      </c>
      <c r="AH245" s="1" t="s">
        <v>64</v>
      </c>
      <c r="AI245" s="1" t="s">
        <v>63</v>
      </c>
      <c r="AJ245" s="1" t="s">
        <v>64</v>
      </c>
      <c r="AK245" s="1" t="s">
        <v>63</v>
      </c>
      <c r="AL245" s="1" t="s">
        <v>64</v>
      </c>
      <c r="AM245" s="1" t="s">
        <v>63</v>
      </c>
      <c r="AN245" s="1" t="s">
        <v>64</v>
      </c>
      <c r="AO245" s="1" t="s">
        <v>63</v>
      </c>
      <c r="AP245" s="1" t="s">
        <v>64</v>
      </c>
      <c r="AQ245" s="1" t="s">
        <v>63</v>
      </c>
      <c r="AR245" s="1" t="s">
        <v>64</v>
      </c>
      <c r="AS245" s="7"/>
    </row>
    <row r="246" spans="24:45" x14ac:dyDescent="0.3">
      <c r="X246" s="1" t="s">
        <v>65</v>
      </c>
      <c r="Y246" s="1" t="s">
        <v>53</v>
      </c>
      <c r="Z246" s="1" t="s">
        <v>53</v>
      </c>
      <c r="AA246" s="1" t="s">
        <v>54</v>
      </c>
      <c r="AB246" s="1" t="s">
        <v>54</v>
      </c>
      <c r="AC246" s="1" t="s">
        <v>55</v>
      </c>
      <c r="AD246" s="1" t="s">
        <v>55</v>
      </c>
      <c r="AE246" s="1" t="s">
        <v>56</v>
      </c>
      <c r="AF246" s="1" t="s">
        <v>56</v>
      </c>
      <c r="AG246" s="1" t="s">
        <v>57</v>
      </c>
      <c r="AH246" s="1" t="s">
        <v>57</v>
      </c>
      <c r="AI246" s="1" t="s">
        <v>58</v>
      </c>
      <c r="AJ246" s="1" t="s">
        <v>58</v>
      </c>
      <c r="AK246" s="1" t="s">
        <v>59</v>
      </c>
      <c r="AL246" s="1" t="s">
        <v>59</v>
      </c>
      <c r="AM246" s="1" t="s">
        <v>60</v>
      </c>
      <c r="AN246" s="1" t="s">
        <v>60</v>
      </c>
      <c r="AO246" s="1" t="s">
        <v>61</v>
      </c>
      <c r="AP246" s="1" t="s">
        <v>61</v>
      </c>
      <c r="AQ246" s="1" t="s">
        <v>62</v>
      </c>
      <c r="AR246" s="1" t="s">
        <v>62</v>
      </c>
      <c r="AS246" s="7"/>
    </row>
    <row r="247" spans="24:45" x14ac:dyDescent="0.3">
      <c r="X247" s="1" t="s">
        <v>7</v>
      </c>
      <c r="Y247">
        <v>1.3</v>
      </c>
      <c r="Z247">
        <v>1.3</v>
      </c>
      <c r="AA247">
        <v>1.3</v>
      </c>
      <c r="AB247">
        <v>1.3</v>
      </c>
      <c r="AC247">
        <v>0.5</v>
      </c>
      <c r="AD247">
        <v>0.5</v>
      </c>
      <c r="AE247">
        <v>1.6</v>
      </c>
      <c r="AF247">
        <v>1.6</v>
      </c>
      <c r="AG247">
        <v>2</v>
      </c>
      <c r="AH247">
        <v>2</v>
      </c>
      <c r="AI247">
        <v>3.6</v>
      </c>
      <c r="AJ247">
        <v>3.6</v>
      </c>
      <c r="AK247">
        <v>2.9</v>
      </c>
      <c r="AL247">
        <v>2.9</v>
      </c>
      <c r="AM247">
        <v>3.8</v>
      </c>
      <c r="AN247">
        <v>3.8</v>
      </c>
      <c r="AO247">
        <v>3.4</v>
      </c>
      <c r="AP247">
        <v>3.4</v>
      </c>
      <c r="AQ247">
        <v>4.5</v>
      </c>
      <c r="AR247">
        <v>4.5</v>
      </c>
      <c r="AS247" s="7"/>
    </row>
    <row r="248" spans="24:45" x14ac:dyDescent="0.3">
      <c r="X248" s="1" t="s">
        <v>66</v>
      </c>
      <c r="Y248" s="6">
        <f>(Y163+Y135)/(Y163+Y135+AV135+AV163)</f>
        <v>0.12214285714285714</v>
      </c>
      <c r="Z248" s="6">
        <f t="shared" ref="Z248:AO255" si="2">(Z163+Z135)/(Z163+Z135+AW135+AW163)</f>
        <v>0.13607142857142857</v>
      </c>
      <c r="AA248" s="6">
        <f t="shared" si="2"/>
        <v>6.1435786435786441E-2</v>
      </c>
      <c r="AB248" s="6">
        <f t="shared" si="2"/>
        <v>6.1111111111111116E-2</v>
      </c>
      <c r="AC248" s="6">
        <f t="shared" si="2"/>
        <v>6.113861386138613E-2</v>
      </c>
      <c r="AD248" s="6">
        <f t="shared" si="2"/>
        <v>6.7972350230414758E-2</v>
      </c>
      <c r="AE248" s="6">
        <f t="shared" si="2"/>
        <v>9.7342720872132651E-2</v>
      </c>
      <c r="AF248" s="6">
        <f t="shared" si="2"/>
        <v>6.9892699347780349E-2</v>
      </c>
      <c r="AG248" s="6">
        <f t="shared" si="2"/>
        <v>0.11485451761102604</v>
      </c>
      <c r="AH248" s="6">
        <f t="shared" si="2"/>
        <v>4.924146649810366E-2</v>
      </c>
      <c r="AI248" s="6">
        <f t="shared" si="2"/>
        <v>0.11091817942646673</v>
      </c>
      <c r="AJ248" s="6">
        <f t="shared" si="2"/>
        <v>4.1674710424710423E-2</v>
      </c>
      <c r="AK248" s="6">
        <f t="shared" si="2"/>
        <v>7.6588553402433535E-2</v>
      </c>
      <c r="AL248" s="6">
        <f t="shared" si="2"/>
        <v>1.7837116154873163E-2</v>
      </c>
      <c r="AM248" s="6">
        <f t="shared" si="2"/>
        <v>9.94237185319988E-2</v>
      </c>
      <c r="AN248" s="6">
        <f t="shared" si="2"/>
        <v>3.5014005602240904E-2</v>
      </c>
      <c r="AO248" s="6">
        <f>(AO163+AO135)/(AO163+AO135+BL135+BL163)</f>
        <v>1.0249709639953544E-2</v>
      </c>
      <c r="AP248" s="6">
        <f t="shared" ref="AP248:AR255" si="3">(AP163+AP135)/(AP163+AP135+BM135+BM163)</f>
        <v>1.0287004192196065E-2</v>
      </c>
      <c r="AQ248" s="6">
        <f t="shared" si="3"/>
        <v>2.5272459499263624E-2</v>
      </c>
      <c r="AR248" s="6">
        <f t="shared" si="3"/>
        <v>1.0267857142857141E-2</v>
      </c>
      <c r="AS248" s="7"/>
    </row>
    <row r="249" spans="24:45" x14ac:dyDescent="0.3">
      <c r="X249" s="1" t="s">
        <v>67</v>
      </c>
      <c r="Y249" s="6">
        <f t="shared" ref="Y249:Y255" si="4">(Y164+Y136)/(Y164+Y136+AV136+AV164)</f>
        <v>0.14216825061598029</v>
      </c>
      <c r="Z249" s="6">
        <f t="shared" si="2"/>
        <v>0.14295807819123882</v>
      </c>
      <c r="AA249" s="6">
        <f t="shared" si="2"/>
        <v>0.15092364532019706</v>
      </c>
      <c r="AB249" s="6">
        <f t="shared" si="2"/>
        <v>0.15185897435897436</v>
      </c>
      <c r="AC249" s="6">
        <f t="shared" si="2"/>
        <v>0.15219582433405326</v>
      </c>
      <c r="AD249" s="6">
        <f t="shared" si="2"/>
        <v>0.15201627820939695</v>
      </c>
      <c r="AE249" s="6">
        <f t="shared" si="2"/>
        <v>0.15017777777777777</v>
      </c>
      <c r="AF249" s="6">
        <f t="shared" si="2"/>
        <v>0.15194585448392556</v>
      </c>
      <c r="AG249" s="6">
        <f t="shared" si="2"/>
        <v>0.14115384615384616</v>
      </c>
      <c r="AH249" s="6">
        <f t="shared" si="2"/>
        <v>0.14279763970843456</v>
      </c>
      <c r="AI249" s="6">
        <f t="shared" si="2"/>
        <v>0.13982782057091075</v>
      </c>
      <c r="AJ249" s="6">
        <f t="shared" si="2"/>
        <v>0.14256874347372084</v>
      </c>
      <c r="AK249" s="6">
        <f t="shared" si="2"/>
        <v>0.14191508581752488</v>
      </c>
      <c r="AL249" s="6">
        <f t="shared" si="2"/>
        <v>0.14246464646464649</v>
      </c>
      <c r="AM249" s="6">
        <f t="shared" si="2"/>
        <v>0.14175925925925925</v>
      </c>
      <c r="AN249" s="6">
        <f t="shared" si="2"/>
        <v>0.14215732454074423</v>
      </c>
      <c r="AO249" s="6">
        <f t="shared" si="2"/>
        <v>0.14206744057490325</v>
      </c>
      <c r="AP249" s="6">
        <f t="shared" si="3"/>
        <v>0.14291970802919707</v>
      </c>
      <c r="AQ249" s="6">
        <f t="shared" si="3"/>
        <v>0.14032324906755075</v>
      </c>
      <c r="AR249" s="6">
        <f t="shared" si="3"/>
        <v>0.14242130750605325</v>
      </c>
      <c r="AS249" s="7"/>
    </row>
    <row r="250" spans="24:45" x14ac:dyDescent="0.3">
      <c r="X250" s="1" t="s">
        <v>68</v>
      </c>
      <c r="Y250" s="6">
        <f t="shared" si="4"/>
        <v>0.21868507340705218</v>
      </c>
      <c r="Z250" s="6">
        <f t="shared" si="2"/>
        <v>0.1429490616621984</v>
      </c>
      <c r="AA250" s="6">
        <f t="shared" si="2"/>
        <v>0.20342312345043173</v>
      </c>
      <c r="AB250" s="6">
        <f t="shared" si="2"/>
        <v>0.1519109086307264</v>
      </c>
      <c r="AC250" s="6">
        <f t="shared" si="2"/>
        <v>0.31079623102927428</v>
      </c>
      <c r="AD250" s="6">
        <f t="shared" si="2"/>
        <v>0.24102715511041461</v>
      </c>
      <c r="AE250" s="6">
        <f t="shared" si="2"/>
        <v>0.25238412864379584</v>
      </c>
      <c r="AF250" s="6">
        <f t="shared" si="2"/>
        <v>0.17196145083716052</v>
      </c>
      <c r="AG250" s="6">
        <f t="shared" si="2"/>
        <v>0.25726837687298976</v>
      </c>
      <c r="AH250" s="6">
        <f t="shared" si="2"/>
        <v>0.1522048364153627</v>
      </c>
      <c r="AI250" s="6">
        <f t="shared" si="2"/>
        <v>0.26055942206278621</v>
      </c>
      <c r="AJ250" s="6">
        <f t="shared" si="2"/>
        <v>0.15349891176813046</v>
      </c>
      <c r="AK250" s="6">
        <f t="shared" si="2"/>
        <v>0.27078750903106685</v>
      </c>
      <c r="AL250" s="6">
        <f t="shared" si="2"/>
        <v>0.15708049247069211</v>
      </c>
      <c r="AM250" s="6">
        <f t="shared" si="2"/>
        <v>0.27513396439696614</v>
      </c>
      <c r="AN250" s="6">
        <f t="shared" si="2"/>
        <v>0.14685338169118142</v>
      </c>
      <c r="AO250" s="6">
        <f t="shared" si="2"/>
        <v>0.1662392517725147</v>
      </c>
      <c r="AP250" s="6">
        <f t="shared" si="3"/>
        <v>0.14309721605682033</v>
      </c>
      <c r="AQ250" s="6">
        <f t="shared" si="3"/>
        <v>0.14292186334079524</v>
      </c>
      <c r="AR250" s="6">
        <f t="shared" si="3"/>
        <v>0.14316230126302815</v>
      </c>
      <c r="AS250" s="7"/>
    </row>
    <row r="251" spans="24:45" x14ac:dyDescent="0.3">
      <c r="X251" s="1" t="s">
        <v>69</v>
      </c>
      <c r="Y251" s="6">
        <f t="shared" si="4"/>
        <v>0.14382782377852221</v>
      </c>
      <c r="Z251" s="6">
        <f t="shared" si="2"/>
        <v>0.15055329062317999</v>
      </c>
      <c r="AA251" s="6">
        <f t="shared" si="2"/>
        <v>0.21766895035101072</v>
      </c>
      <c r="AB251" s="6">
        <f t="shared" si="2"/>
        <v>0.15196987253765931</v>
      </c>
      <c r="AC251" s="6">
        <f t="shared" si="2"/>
        <v>0.23889296486508518</v>
      </c>
      <c r="AD251" s="6">
        <f t="shared" si="2"/>
        <v>0.15160833999630977</v>
      </c>
      <c r="AE251" s="6">
        <f t="shared" si="2"/>
        <v>0.21110893895704022</v>
      </c>
      <c r="AF251" s="6">
        <f t="shared" si="2"/>
        <v>0.15189916423184072</v>
      </c>
      <c r="AG251" s="6">
        <f t="shared" si="2"/>
        <v>0.20009912030727292</v>
      </c>
      <c r="AH251" s="6">
        <f t="shared" si="2"/>
        <v>0.14292663646590253</v>
      </c>
      <c r="AI251" s="6">
        <f t="shared" si="2"/>
        <v>0.20034749412685984</v>
      </c>
      <c r="AJ251" s="6">
        <f t="shared" si="2"/>
        <v>0.14303529118343936</v>
      </c>
      <c r="AK251" s="6">
        <f t="shared" si="2"/>
        <v>0.20180919518791379</v>
      </c>
      <c r="AL251" s="6">
        <f t="shared" si="2"/>
        <v>0.14311797752808994</v>
      </c>
      <c r="AM251" s="6">
        <f t="shared" si="2"/>
        <v>0.16836659275683669</v>
      </c>
      <c r="AN251" s="6">
        <f t="shared" si="2"/>
        <v>0.14301494476933072</v>
      </c>
      <c r="AO251" s="6">
        <f t="shared" si="2"/>
        <v>0.14289473684210527</v>
      </c>
      <c r="AP251" s="6">
        <f t="shared" si="3"/>
        <v>0.14335635920357578</v>
      </c>
      <c r="AQ251" s="6">
        <f t="shared" si="3"/>
        <v>0.14328971962616821</v>
      </c>
      <c r="AR251" s="6">
        <f t="shared" si="3"/>
        <v>0.14339445228020686</v>
      </c>
      <c r="AS251" s="7"/>
    </row>
    <row r="252" spans="24:45" x14ac:dyDescent="0.3">
      <c r="X252" s="1" t="s">
        <v>70</v>
      </c>
      <c r="Y252" s="6">
        <f t="shared" si="4"/>
        <v>0.22276910144671061</v>
      </c>
      <c r="Z252" s="6">
        <f t="shared" si="2"/>
        <v>0.18796420581655479</v>
      </c>
      <c r="AA252" s="6">
        <f t="shared" si="2"/>
        <v>0.15196488490784169</v>
      </c>
      <c r="AB252" s="6">
        <f t="shared" si="2"/>
        <v>0.15229904926534141</v>
      </c>
      <c r="AC252" s="6">
        <f t="shared" si="2"/>
        <v>0.22623198512319853</v>
      </c>
      <c r="AD252" s="6">
        <f t="shared" si="2"/>
        <v>0.2195071550343545</v>
      </c>
      <c r="AE252" s="6">
        <f t="shared" si="2"/>
        <v>0.15277077271257677</v>
      </c>
      <c r="AF252" s="6">
        <f t="shared" si="2"/>
        <v>0.19404344779257182</v>
      </c>
      <c r="AG252" s="6">
        <f t="shared" si="2"/>
        <v>0.16262927256792287</v>
      </c>
      <c r="AH252" s="6">
        <f t="shared" si="2"/>
        <v>0.17339856490541422</v>
      </c>
      <c r="AI252" s="6">
        <f t="shared" si="2"/>
        <v>0.14882859878710503</v>
      </c>
      <c r="AJ252" s="6">
        <f t="shared" si="2"/>
        <v>0.14287921348314608</v>
      </c>
      <c r="AK252" s="6">
        <f t="shared" si="2"/>
        <v>0.14365733113673806</v>
      </c>
      <c r="AL252" s="6">
        <f t="shared" si="2"/>
        <v>0.14330919623461261</v>
      </c>
      <c r="AM252" s="6">
        <f t="shared" si="2"/>
        <v>0.14389208633093525</v>
      </c>
      <c r="AN252" s="6">
        <f t="shared" si="2"/>
        <v>0.14380083618396047</v>
      </c>
      <c r="AO252" s="6">
        <f t="shared" si="2"/>
        <v>0.14422451994091581</v>
      </c>
      <c r="AP252" s="6">
        <f t="shared" si="3"/>
        <v>0.14401923076923076</v>
      </c>
      <c r="AQ252" s="6">
        <f t="shared" si="3"/>
        <v>0.14420836751435603</v>
      </c>
      <c r="AR252" s="6">
        <f t="shared" si="3"/>
        <v>0.14314720812182741</v>
      </c>
      <c r="AS252" s="7"/>
    </row>
    <row r="253" spans="24:45" x14ac:dyDescent="0.3">
      <c r="X253" s="1" t="s">
        <v>71</v>
      </c>
      <c r="Y253" s="6">
        <f t="shared" si="4"/>
        <v>0.24466407955372299</v>
      </c>
      <c r="Z253" s="6">
        <f t="shared" si="2"/>
        <v>0.24077070157376082</v>
      </c>
      <c r="AA253" s="6">
        <f t="shared" si="2"/>
        <v>0.17922136458392021</v>
      </c>
      <c r="AB253" s="6">
        <f t="shared" si="2"/>
        <v>0.17870088027156092</v>
      </c>
      <c r="AC253" s="6">
        <f t="shared" si="2"/>
        <v>0.25360190236396701</v>
      </c>
      <c r="AD253" s="6">
        <f t="shared" si="2"/>
        <v>0.24358547150949686</v>
      </c>
      <c r="AE253" s="6">
        <f t="shared" si="2"/>
        <v>0.18298086606243705</v>
      </c>
      <c r="AF253" s="6">
        <f t="shared" si="2"/>
        <v>0.24106852874309839</v>
      </c>
      <c r="AG253" s="6">
        <f t="shared" si="2"/>
        <v>0.17196068287635799</v>
      </c>
      <c r="AH253" s="6">
        <f t="shared" si="2"/>
        <v>0.16938110749185667</v>
      </c>
      <c r="AI253" s="6">
        <f t="shared" si="2"/>
        <v>0.1703200350723367</v>
      </c>
      <c r="AJ253" s="6">
        <f t="shared" si="2"/>
        <v>0.1652542372881356</v>
      </c>
      <c r="AK253" s="6">
        <f t="shared" si="2"/>
        <v>0.17101118466103629</v>
      </c>
      <c r="AL253" s="6">
        <f t="shared" si="2"/>
        <v>0.16789350039154266</v>
      </c>
      <c r="AM253" s="6">
        <f t="shared" si="2"/>
        <v>0.17050418638514744</v>
      </c>
      <c r="AN253" s="6">
        <f t="shared" si="2"/>
        <v>0.16681745724010166</v>
      </c>
      <c r="AO253" s="6">
        <f t="shared" si="2"/>
        <v>0.17140850017562348</v>
      </c>
      <c r="AP253" s="6">
        <f t="shared" si="3"/>
        <v>0.16837794890600169</v>
      </c>
      <c r="AQ253" s="6">
        <f t="shared" si="3"/>
        <v>0.17161473385528875</v>
      </c>
      <c r="AR253" s="6">
        <f t="shared" si="3"/>
        <v>0.17125401929260453</v>
      </c>
      <c r="AS253" s="7"/>
    </row>
    <row r="254" spans="24:45" x14ac:dyDescent="0.3">
      <c r="X254" s="1" t="s">
        <v>72</v>
      </c>
      <c r="Y254" s="6">
        <f t="shared" si="4"/>
        <v>0.23494850948509485</v>
      </c>
      <c r="Z254" s="6">
        <f t="shared" si="2"/>
        <v>0.23378169708470539</v>
      </c>
      <c r="AA254" s="6">
        <f t="shared" si="2"/>
        <v>0.1786431656121322</v>
      </c>
      <c r="AB254" s="6">
        <f t="shared" si="2"/>
        <v>0.20622801940969596</v>
      </c>
      <c r="AC254" s="6">
        <f t="shared" si="2"/>
        <v>0.2785919737022326</v>
      </c>
      <c r="AD254" s="6">
        <f t="shared" si="2"/>
        <v>0.23716753022452505</v>
      </c>
      <c r="AE254" s="6">
        <f t="shared" si="2"/>
        <v>0.20920843200434802</v>
      </c>
      <c r="AF254" s="6">
        <f t="shared" si="2"/>
        <v>0.31675601688148736</v>
      </c>
      <c r="AG254" s="6">
        <f t="shared" si="2"/>
        <v>0.17171078625049388</v>
      </c>
      <c r="AH254" s="6">
        <f t="shared" si="2"/>
        <v>0.27041234627441524</v>
      </c>
      <c r="AI254" s="6">
        <f t="shared" si="2"/>
        <v>0.18192224195776596</v>
      </c>
      <c r="AJ254" s="6">
        <f t="shared" si="2"/>
        <v>0.26961350360005437</v>
      </c>
      <c r="AK254" s="6">
        <f t="shared" si="2"/>
        <v>0.18296611818633918</v>
      </c>
      <c r="AL254" s="6">
        <f t="shared" si="2"/>
        <v>0.25461075519316639</v>
      </c>
      <c r="AM254" s="6">
        <f t="shared" si="2"/>
        <v>0.19597733822116797</v>
      </c>
      <c r="AN254" s="6">
        <f t="shared" si="2"/>
        <v>0.16670334103495069</v>
      </c>
      <c r="AO254" s="6">
        <f t="shared" si="2"/>
        <v>0.17085665888574442</v>
      </c>
      <c r="AP254" s="6">
        <f t="shared" si="3"/>
        <v>0.17030603133371217</v>
      </c>
      <c r="AQ254" s="6">
        <f t="shared" si="3"/>
        <v>0.17087014461280292</v>
      </c>
      <c r="AR254" s="6">
        <f t="shared" si="3"/>
        <v>0.17067920918367346</v>
      </c>
      <c r="AS254" s="7"/>
    </row>
    <row r="255" spans="24:45" x14ac:dyDescent="0.3">
      <c r="X255" s="1" t="s">
        <v>73</v>
      </c>
      <c r="Y255" s="6">
        <f t="shared" si="4"/>
        <v>0.17350674373795757</v>
      </c>
      <c r="Z255" s="6">
        <f t="shared" si="2"/>
        <v>0.17324339516582349</v>
      </c>
      <c r="AA255" s="6">
        <f t="shared" si="2"/>
        <v>0.18401253918495297</v>
      </c>
      <c r="AB255" s="6">
        <f t="shared" si="2"/>
        <v>0.18389904264577894</v>
      </c>
      <c r="AC255" s="6">
        <f t="shared" si="2"/>
        <v>5.5646630236794177E-2</v>
      </c>
      <c r="AD255" s="6">
        <f t="shared" si="2"/>
        <v>0.1842798353909465</v>
      </c>
      <c r="AE255" s="6">
        <f t="shared" si="2"/>
        <v>0.14944211994421203</v>
      </c>
      <c r="AF255" s="6">
        <f t="shared" si="2"/>
        <v>0.19330504479019334</v>
      </c>
      <c r="AG255" s="6">
        <f t="shared" si="2"/>
        <v>0.18273164861612515</v>
      </c>
      <c r="AH255" s="6">
        <f t="shared" si="2"/>
        <v>0.17770849571317224</v>
      </c>
      <c r="AI255" s="6">
        <f t="shared" si="2"/>
        <v>0.18754833720030933</v>
      </c>
      <c r="AJ255" s="6">
        <f t="shared" si="2"/>
        <v>0.17660936973373781</v>
      </c>
      <c r="AK255" s="6">
        <f t="shared" si="2"/>
        <v>0.18760869565217392</v>
      </c>
      <c r="AL255" s="6">
        <f t="shared" si="2"/>
        <v>0.17329105003523607</v>
      </c>
      <c r="AM255" s="6">
        <f t="shared" si="2"/>
        <v>0.192911877394636</v>
      </c>
      <c r="AN255" s="6">
        <f t="shared" si="2"/>
        <v>0.18310991957104558</v>
      </c>
      <c r="AO255" s="6">
        <f t="shared" si="2"/>
        <v>0.19826937547027837</v>
      </c>
      <c r="AP255" s="6">
        <f t="shared" si="3"/>
        <v>0.19479166666666664</v>
      </c>
      <c r="AQ255" s="6">
        <f t="shared" si="3"/>
        <v>0.19485507246376813</v>
      </c>
      <c r="AR255" s="6">
        <f t="shared" si="3"/>
        <v>0.18701298701298702</v>
      </c>
      <c r="AS255" s="7"/>
    </row>
    <row r="256" spans="24:45" x14ac:dyDescent="0.3">
      <c r="AS256" s="7">
        <f>AVERAGE(Y248:AR255)</f>
        <v>0.16476348892392317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Y233:AR24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47:AR25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2026-01-23T15:42:01Z</dcterms:created>
  <dcterms:modified xsi:type="dcterms:W3CDTF">2026-01-26T11:34:42Z</dcterms:modified>
</cp:coreProperties>
</file>