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3\vot4.5_toll8\"/>
    </mc:Choice>
  </mc:AlternateContent>
  <xr:revisionPtr revIDLastSave="0" documentId="13_ncr:1_{3C3BD47C-6283-4BC4-B64B-F23E49F665F9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1" i="2" l="1"/>
  <c r="W87" i="2"/>
  <c r="W45" i="2"/>
  <c r="W73" i="2" s="1"/>
  <c r="Y248" i="2"/>
  <c r="AS256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59" i="2" l="1"/>
</calcChain>
</file>

<file path=xl/sharedStrings.xml><?xml version="1.0" encoding="utf-8"?>
<sst xmlns="http://schemas.openxmlformats.org/spreadsheetml/2006/main" count="3096" uniqueCount="76">
  <si>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</si>
  <si>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</si>
  <si>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</si>
  <si>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</si>
  <si>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</si>
  <si>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</si>
  <si>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</si>
  <si>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</si>
  <si>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</si>
  <si>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</si>
  <si>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</si>
  <si>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</si>
  <si>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</si>
  <si>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</si>
  <si>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</si>
  <si>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</si>
  <si>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</si>
  <si>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</si>
  <si>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</si>
  <si>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</si>
  <si>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</si>
  <si>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</si>
  <si>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</si>
  <si>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</si>
  <si>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</si>
  <si>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</si>
  <si>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</si>
  <si>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</si>
  <si>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</si>
  <si>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</si>
  <si>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</si>
  <si>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</si>
  <si>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</si>
  <si>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</si>
  <si>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</si>
  <si>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</si>
  <si>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</si>
  <si>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</si>
  <si>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</si>
  <si>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</si>
  <si>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</si>
  <si>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</si>
  <si>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</si>
  <si>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</si>
  <si>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</si>
  <si>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</si>
  <si>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</si>
  <si>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</si>
  <si>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</si>
  <si>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</si>
  <si>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</si>
  <si>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</si>
  <si>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</si>
  <si>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</si>
  <si>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</si>
  <si>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</si>
  <si>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</si>
  <si>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</si>
  <si>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</si>
  <si>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</si>
  <si>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</si>
  <si>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</si>
  <si>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</si>
  <si>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</si>
  <si>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</si>
  <si>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</si>
  <si>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</si>
  <si>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</si>
  <si>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</si>
  <si>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</si>
  <si>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</si>
  <si>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</si>
  <si>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</si>
  <si>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</si>
  <si>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 Heavies</t>
  </si>
  <si>
    <t>Capture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</si>
</sst>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  <xf numFmtId="9" fontId="0" fillId="0" borderId="2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56"/>
  <sheetViews>
    <sheetView tabSelected="1" topLeftCell="P80" workbookViewId="0">
      <selection activeCell="W64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63</v>
      </c>
      <c r="D6" s="1" t="s">
        <v>64</v>
      </c>
      <c r="E6" s="1" t="s">
        <v>63</v>
      </c>
      <c r="F6" s="1" t="s">
        <v>64</v>
      </c>
      <c r="G6" s="1" t="s">
        <v>63</v>
      </c>
      <c r="H6" s="1" t="s">
        <v>64</v>
      </c>
      <c r="I6" s="1" t="s">
        <v>63</v>
      </c>
      <c r="J6" s="1" t="s">
        <v>64</v>
      </c>
      <c r="K6" s="1" t="s">
        <v>63</v>
      </c>
      <c r="L6" s="1" t="s">
        <v>64</v>
      </c>
      <c r="M6" s="1" t="s">
        <v>63</v>
      </c>
      <c r="N6" s="1" t="s">
        <v>64</v>
      </c>
      <c r="O6" s="1" t="s">
        <v>63</v>
      </c>
      <c r="P6" s="1" t="s">
        <v>64</v>
      </c>
      <c r="Q6" s="1" t="s">
        <v>63</v>
      </c>
      <c r="R6" s="1" t="s">
        <v>64</v>
      </c>
      <c r="S6" s="1" t="s">
        <v>63</v>
      </c>
      <c r="T6" s="1" t="s">
        <v>64</v>
      </c>
      <c r="U6" s="1" t="s">
        <v>63</v>
      </c>
      <c r="V6" s="1" t="s">
        <v>64</v>
      </c>
      <c r="X6" s="1" t="s">
        <v>6</v>
      </c>
      <c r="Y6" s="1" t="s">
        <v>63</v>
      </c>
      <c r="Z6" s="1" t="s">
        <v>64</v>
      </c>
      <c r="AA6" s="1" t="s">
        <v>63</v>
      </c>
      <c r="AB6" s="1" t="s">
        <v>64</v>
      </c>
      <c r="AC6" s="1" t="s">
        <v>63</v>
      </c>
      <c r="AD6" s="1" t="s">
        <v>64</v>
      </c>
      <c r="AE6" s="1" t="s">
        <v>63</v>
      </c>
      <c r="AF6" s="1" t="s">
        <v>64</v>
      </c>
      <c r="AG6" s="1" t="s">
        <v>63</v>
      </c>
      <c r="AH6" s="1" t="s">
        <v>64</v>
      </c>
      <c r="AI6" s="1" t="s">
        <v>63</v>
      </c>
      <c r="AJ6" s="1" t="s">
        <v>64</v>
      </c>
      <c r="AK6" s="1" t="s">
        <v>63</v>
      </c>
      <c r="AL6" s="1" t="s">
        <v>64</v>
      </c>
      <c r="AM6" s="1" t="s">
        <v>63</v>
      </c>
      <c r="AN6" s="1" t="s">
        <v>64</v>
      </c>
      <c r="AO6" s="1" t="s">
        <v>63</v>
      </c>
      <c r="AP6" s="1" t="s">
        <v>64</v>
      </c>
      <c r="AQ6" s="1" t="s">
        <v>63</v>
      </c>
      <c r="AR6" s="1" t="s">
        <v>64</v>
      </c>
      <c r="AU6" s="1" t="s">
        <v>6</v>
      </c>
      <c r="AV6" s="1" t="s">
        <v>63</v>
      </c>
      <c r="AW6" s="1" t="s">
        <v>64</v>
      </c>
      <c r="AX6" s="1" t="s">
        <v>63</v>
      </c>
      <c r="AY6" s="1" t="s">
        <v>64</v>
      </c>
      <c r="AZ6" s="1" t="s">
        <v>63</v>
      </c>
      <c r="BA6" s="1" t="s">
        <v>64</v>
      </c>
      <c r="BB6" s="1" t="s">
        <v>63</v>
      </c>
      <c r="BC6" s="1" t="s">
        <v>64</v>
      </c>
      <c r="BD6" s="1" t="s">
        <v>63</v>
      </c>
      <c r="BE6" s="1" t="s">
        <v>64</v>
      </c>
      <c r="BF6" s="1" t="s">
        <v>63</v>
      </c>
      <c r="BG6" s="1" t="s">
        <v>64</v>
      </c>
      <c r="BH6" s="1" t="s">
        <v>63</v>
      </c>
      <c r="BI6" s="1" t="s">
        <v>64</v>
      </c>
      <c r="BJ6" s="1" t="s">
        <v>63</v>
      </c>
      <c r="BK6" s="1" t="s">
        <v>64</v>
      </c>
      <c r="BL6" s="1" t="s">
        <v>63</v>
      </c>
      <c r="BM6" s="1" t="s">
        <v>64</v>
      </c>
      <c r="BN6" s="1" t="s">
        <v>63</v>
      </c>
      <c r="BO6" s="1" t="s">
        <v>64</v>
      </c>
      <c r="BR6" s="1" t="s">
        <v>6</v>
      </c>
      <c r="BS6" s="1" t="s">
        <v>63</v>
      </c>
      <c r="BT6" s="1" t="s">
        <v>64</v>
      </c>
      <c r="BU6" s="1" t="s">
        <v>63</v>
      </c>
      <c r="BV6" s="1" t="s">
        <v>64</v>
      </c>
      <c r="BW6" s="1" t="s">
        <v>63</v>
      </c>
      <c r="BX6" s="1" t="s">
        <v>64</v>
      </c>
      <c r="BY6" s="1" t="s">
        <v>63</v>
      </c>
      <c r="BZ6" s="1" t="s">
        <v>64</v>
      </c>
      <c r="CA6" s="1" t="s">
        <v>63</v>
      </c>
      <c r="CB6" s="1" t="s">
        <v>64</v>
      </c>
      <c r="CC6" s="1" t="s">
        <v>63</v>
      </c>
      <c r="CD6" s="1" t="s">
        <v>64</v>
      </c>
      <c r="CE6" s="1" t="s">
        <v>63</v>
      </c>
      <c r="CF6" s="1" t="s">
        <v>64</v>
      </c>
      <c r="CG6" s="1" t="s">
        <v>63</v>
      </c>
      <c r="CH6" s="1" t="s">
        <v>64</v>
      </c>
      <c r="CI6" s="1" t="s">
        <v>63</v>
      </c>
      <c r="CJ6" s="1" t="s">
        <v>64</v>
      </c>
      <c r="CK6" s="1" t="s">
        <v>63</v>
      </c>
      <c r="CL6" s="1" t="s">
        <v>64</v>
      </c>
    </row>
    <row r="7" spans="2:90" x14ac:dyDescent="0.3">
      <c r="B7" s="1" t="s">
        <v>65</v>
      </c>
      <c r="C7" s="1" t="s">
        <v>53</v>
      </c>
      <c r="D7" s="1" t="s">
        <v>53</v>
      </c>
      <c r="E7" s="1" t="s">
        <v>54</v>
      </c>
      <c r="F7" s="1" t="s">
        <v>54</v>
      </c>
      <c r="G7" s="1" t="s">
        <v>55</v>
      </c>
      <c r="H7" s="1" t="s">
        <v>55</v>
      </c>
      <c r="I7" s="1" t="s">
        <v>56</v>
      </c>
      <c r="J7" s="1" t="s">
        <v>56</v>
      </c>
      <c r="K7" s="1" t="s">
        <v>57</v>
      </c>
      <c r="L7" s="1" t="s">
        <v>57</v>
      </c>
      <c r="M7" s="1" t="s">
        <v>58</v>
      </c>
      <c r="N7" s="1" t="s">
        <v>58</v>
      </c>
      <c r="O7" s="1" t="s">
        <v>59</v>
      </c>
      <c r="P7" s="1" t="s">
        <v>59</v>
      </c>
      <c r="Q7" s="1" t="s">
        <v>60</v>
      </c>
      <c r="R7" s="1" t="s">
        <v>60</v>
      </c>
      <c r="S7" s="1" t="s">
        <v>61</v>
      </c>
      <c r="T7" s="1" t="s">
        <v>61</v>
      </c>
      <c r="U7" s="1" t="s">
        <v>62</v>
      </c>
      <c r="V7" s="1" t="s">
        <v>62</v>
      </c>
      <c r="X7" s="1" t="s">
        <v>65</v>
      </c>
      <c r="Y7" s="1" t="s">
        <v>53</v>
      </c>
      <c r="Z7" s="1" t="s">
        <v>53</v>
      </c>
      <c r="AA7" s="1" t="s">
        <v>54</v>
      </c>
      <c r="AB7" s="1" t="s">
        <v>54</v>
      </c>
      <c r="AC7" s="1" t="s">
        <v>55</v>
      </c>
      <c r="AD7" s="1" t="s">
        <v>55</v>
      </c>
      <c r="AE7" s="1" t="s">
        <v>56</v>
      </c>
      <c r="AF7" s="1" t="s">
        <v>56</v>
      </c>
      <c r="AG7" s="1" t="s">
        <v>57</v>
      </c>
      <c r="AH7" s="1" t="s">
        <v>57</v>
      </c>
      <c r="AI7" s="1" t="s">
        <v>58</v>
      </c>
      <c r="AJ7" s="1" t="s">
        <v>58</v>
      </c>
      <c r="AK7" s="1" t="s">
        <v>59</v>
      </c>
      <c r="AL7" s="1" t="s">
        <v>59</v>
      </c>
      <c r="AM7" s="1" t="s">
        <v>60</v>
      </c>
      <c r="AN7" s="1" t="s">
        <v>60</v>
      </c>
      <c r="AO7" s="1" t="s">
        <v>61</v>
      </c>
      <c r="AP7" s="1" t="s">
        <v>61</v>
      </c>
      <c r="AQ7" s="1" t="s">
        <v>62</v>
      </c>
      <c r="AR7" s="1" t="s">
        <v>62</v>
      </c>
      <c r="AU7" s="1" t="s">
        <v>65</v>
      </c>
      <c r="AV7" s="1" t="s">
        <v>53</v>
      </c>
      <c r="AW7" s="1" t="s">
        <v>53</v>
      </c>
      <c r="AX7" s="1" t="s">
        <v>54</v>
      </c>
      <c r="AY7" s="1" t="s">
        <v>54</v>
      </c>
      <c r="AZ7" s="1" t="s">
        <v>55</v>
      </c>
      <c r="BA7" s="1" t="s">
        <v>55</v>
      </c>
      <c r="BB7" s="1" t="s">
        <v>56</v>
      </c>
      <c r="BC7" s="1" t="s">
        <v>56</v>
      </c>
      <c r="BD7" s="1" t="s">
        <v>57</v>
      </c>
      <c r="BE7" s="1" t="s">
        <v>57</v>
      </c>
      <c r="BF7" s="1" t="s">
        <v>58</v>
      </c>
      <c r="BG7" s="1" t="s">
        <v>58</v>
      </c>
      <c r="BH7" s="1" t="s">
        <v>59</v>
      </c>
      <c r="BI7" s="1" t="s">
        <v>59</v>
      </c>
      <c r="BJ7" s="1" t="s">
        <v>60</v>
      </c>
      <c r="BK7" s="1" t="s">
        <v>60</v>
      </c>
      <c r="BL7" s="1" t="s">
        <v>61</v>
      </c>
      <c r="BM7" s="1" t="s">
        <v>61</v>
      </c>
      <c r="BN7" s="1" t="s">
        <v>62</v>
      </c>
      <c r="BO7" s="1" t="s">
        <v>62</v>
      </c>
      <c r="BR7" s="1" t="s">
        <v>65</v>
      </c>
      <c r="BS7" s="1" t="s">
        <v>53</v>
      </c>
      <c r="BT7" s="1" t="s">
        <v>53</v>
      </c>
      <c r="BU7" s="1" t="s">
        <v>54</v>
      </c>
      <c r="BV7" s="1" t="s">
        <v>54</v>
      </c>
      <c r="BW7" s="1" t="s">
        <v>55</v>
      </c>
      <c r="BX7" s="1" t="s">
        <v>55</v>
      </c>
      <c r="BY7" s="1" t="s">
        <v>56</v>
      </c>
      <c r="BZ7" s="1" t="s">
        <v>56</v>
      </c>
      <c r="CA7" s="1" t="s">
        <v>57</v>
      </c>
      <c r="CB7" s="1" t="s">
        <v>57</v>
      </c>
      <c r="CC7" s="1" t="s">
        <v>58</v>
      </c>
      <c r="CD7" s="1" t="s">
        <v>58</v>
      </c>
      <c r="CE7" s="1" t="s">
        <v>59</v>
      </c>
      <c r="CF7" s="1" t="s">
        <v>59</v>
      </c>
      <c r="CG7" s="1" t="s">
        <v>60</v>
      </c>
      <c r="CH7" s="1" t="s">
        <v>60</v>
      </c>
      <c r="CI7" s="1" t="s">
        <v>61</v>
      </c>
      <c r="CJ7" s="1" t="s">
        <v>61</v>
      </c>
      <c r="CK7" s="1" t="s">
        <v>62</v>
      </c>
      <c r="CL7" s="1" t="s">
        <v>62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66</v>
      </c>
      <c r="Y9" s="2">
        <v>4811.17</v>
      </c>
      <c r="Z9" s="2">
        <v>4637.3599999999997</v>
      </c>
      <c r="AA9" s="2">
        <v>994.97</v>
      </c>
      <c r="AB9" s="2">
        <v>909.53</v>
      </c>
      <c r="AC9" s="2">
        <v>302.11</v>
      </c>
      <c r="AD9" s="2">
        <v>614.55999999999995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3069.36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2025.45</v>
      </c>
      <c r="AR9" s="2">
        <v>606.33000000000004</v>
      </c>
      <c r="AU9" s="1" t="s">
        <v>66</v>
      </c>
      <c r="AV9" s="2">
        <v>21840</v>
      </c>
      <c r="AW9" s="2">
        <v>21840</v>
      </c>
      <c r="AX9" s="2">
        <v>18827.560000000001</v>
      </c>
      <c r="AY9" s="2">
        <v>17637.18</v>
      </c>
      <c r="AZ9" s="2">
        <v>6875.34</v>
      </c>
      <c r="BA9" s="2">
        <v>8397.59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75600</v>
      </c>
      <c r="BO9" s="2">
        <v>60906.87</v>
      </c>
      <c r="BR9" s="1" t="s">
        <v>66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67</v>
      </c>
      <c r="C10" s="2">
        <v>0.79</v>
      </c>
      <c r="D10" s="2">
        <v>0.47</v>
      </c>
      <c r="E10" s="2">
        <v>0.56999999999999995</v>
      </c>
      <c r="F10" s="2">
        <v>0.38</v>
      </c>
      <c r="G10" s="2">
        <v>0.68</v>
      </c>
      <c r="H10" s="2">
        <v>1.79</v>
      </c>
      <c r="I10" s="2">
        <v>0.7</v>
      </c>
      <c r="J10" s="2">
        <v>0.94</v>
      </c>
      <c r="K10" s="2">
        <v>0.82</v>
      </c>
      <c r="L10" s="2">
        <v>0.71</v>
      </c>
      <c r="M10" s="2">
        <v>1.1200000000000001</v>
      </c>
      <c r="N10" s="2">
        <v>0.75</v>
      </c>
      <c r="O10" s="2">
        <v>1.02</v>
      </c>
      <c r="P10" s="2">
        <v>0.83</v>
      </c>
      <c r="Q10" s="2">
        <v>0.97</v>
      </c>
      <c r="R10" s="2">
        <v>0.71</v>
      </c>
      <c r="S10" s="2">
        <v>0.91</v>
      </c>
      <c r="T10" s="2">
        <v>0.6</v>
      </c>
      <c r="U10" s="2">
        <v>0.71</v>
      </c>
      <c r="V10" s="2">
        <v>0.4</v>
      </c>
      <c r="X10" s="1" t="s">
        <v>67</v>
      </c>
      <c r="Y10" s="2">
        <v>1833.8</v>
      </c>
      <c r="Z10" s="2">
        <v>1131.43</v>
      </c>
      <c r="AA10" s="2">
        <v>1889.35</v>
      </c>
      <c r="AB10" s="2">
        <v>1217.8800000000001</v>
      </c>
      <c r="AC10" s="2">
        <v>455.03</v>
      </c>
      <c r="AD10" s="2">
        <v>179.14</v>
      </c>
      <c r="AE10" s="2">
        <v>2536.5700000000002</v>
      </c>
      <c r="AF10" s="2">
        <v>1672.66</v>
      </c>
      <c r="AG10" s="2">
        <v>2956.47</v>
      </c>
      <c r="AH10" s="2">
        <v>1930.81</v>
      </c>
      <c r="AI10" s="2">
        <v>5049.46</v>
      </c>
      <c r="AJ10" s="2">
        <v>3491.22</v>
      </c>
      <c r="AK10" s="2">
        <v>3432.85</v>
      </c>
      <c r="AL10" s="2">
        <v>3021.51</v>
      </c>
      <c r="AM10" s="2">
        <v>4325.1899999999996</v>
      </c>
      <c r="AN10" s="2">
        <v>3990.39</v>
      </c>
      <c r="AO10" s="2">
        <v>3773.34</v>
      </c>
      <c r="AP10" s="2">
        <v>2794.82</v>
      </c>
      <c r="AQ10" s="2">
        <v>5895.32</v>
      </c>
      <c r="AR10" s="2">
        <v>3704.11</v>
      </c>
      <c r="AU10" s="1" t="s">
        <v>67</v>
      </c>
      <c r="AV10" s="2">
        <v>9042.52</v>
      </c>
      <c r="AW10" s="2">
        <v>5934.59</v>
      </c>
      <c r="AX10" s="2">
        <v>8206.4500000000007</v>
      </c>
      <c r="AY10" s="2">
        <v>5490.38</v>
      </c>
      <c r="AZ10" s="2">
        <v>2065.67</v>
      </c>
      <c r="BA10" s="2">
        <v>3082.91</v>
      </c>
      <c r="BB10" s="2">
        <v>11406.15</v>
      </c>
      <c r="BC10" s="2">
        <v>7903.02</v>
      </c>
      <c r="BD10" s="2">
        <v>14462.13</v>
      </c>
      <c r="BE10" s="2">
        <v>9830.7900000000009</v>
      </c>
      <c r="BF10" s="2">
        <v>25412.66</v>
      </c>
      <c r="BG10" s="2">
        <v>18034.62</v>
      </c>
      <c r="BH10" s="2">
        <v>17147.87</v>
      </c>
      <c r="BI10" s="2">
        <v>15459.32</v>
      </c>
      <c r="BJ10" s="2">
        <v>21893.67</v>
      </c>
      <c r="BK10" s="2">
        <v>20326.57</v>
      </c>
      <c r="BL10" s="2">
        <v>19050.86</v>
      </c>
      <c r="BM10" s="2">
        <v>14594.48</v>
      </c>
      <c r="BN10" s="2">
        <v>31245.88</v>
      </c>
      <c r="BO10" s="2">
        <v>19907.84</v>
      </c>
      <c r="BR10" s="1" t="s">
        <v>67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68</v>
      </c>
      <c r="C11" s="2">
        <v>3.6</v>
      </c>
      <c r="D11" s="2">
        <v>0.6</v>
      </c>
      <c r="E11" s="2">
        <v>3.93</v>
      </c>
      <c r="F11" s="2">
        <v>0.42</v>
      </c>
      <c r="G11" s="2">
        <v>1.8</v>
      </c>
      <c r="H11" s="2">
        <v>1.8</v>
      </c>
      <c r="I11" s="2">
        <v>1.8</v>
      </c>
      <c r="J11" s="2">
        <v>1.49</v>
      </c>
      <c r="K11" s="2">
        <v>1.8</v>
      </c>
      <c r="L11" s="2">
        <v>1.39</v>
      </c>
      <c r="M11" s="2">
        <v>1.8</v>
      </c>
      <c r="N11" s="2">
        <v>1.43</v>
      </c>
      <c r="O11" s="2">
        <v>1.8</v>
      </c>
      <c r="P11" s="2">
        <v>1.46</v>
      </c>
      <c r="Q11" s="2">
        <v>1.8</v>
      </c>
      <c r="R11" s="2">
        <v>1.35</v>
      </c>
      <c r="S11" s="2">
        <v>1.59</v>
      </c>
      <c r="T11" s="2">
        <v>1.1499999999999999</v>
      </c>
      <c r="U11" s="2">
        <v>1.1000000000000001</v>
      </c>
      <c r="V11" s="2">
        <v>0.98</v>
      </c>
      <c r="X11" s="1" t="s">
        <v>68</v>
      </c>
      <c r="Y11" s="2">
        <v>7251.98</v>
      </c>
      <c r="Z11" s="2">
        <v>2819.87</v>
      </c>
      <c r="AA11" s="2">
        <v>6967.01</v>
      </c>
      <c r="AB11" s="2">
        <v>2762.57</v>
      </c>
      <c r="AC11" s="2">
        <v>3051.98</v>
      </c>
      <c r="AD11" s="2">
        <v>2723.08</v>
      </c>
      <c r="AE11" s="2">
        <v>10519.92</v>
      </c>
      <c r="AF11" s="2">
        <v>5706.98</v>
      </c>
      <c r="AG11" s="2">
        <v>13980.71</v>
      </c>
      <c r="AH11" s="2">
        <v>6334.77</v>
      </c>
      <c r="AI11" s="2">
        <v>25614.12</v>
      </c>
      <c r="AJ11" s="2">
        <v>11209.42</v>
      </c>
      <c r="AK11" s="2">
        <v>19564.66</v>
      </c>
      <c r="AL11" s="2">
        <v>9112.3700000000008</v>
      </c>
      <c r="AM11" s="2">
        <v>24764.95</v>
      </c>
      <c r="AN11" s="2">
        <v>11620.03</v>
      </c>
      <c r="AO11" s="2">
        <v>11441.66</v>
      </c>
      <c r="AP11" s="2">
        <v>9031.92</v>
      </c>
      <c r="AQ11" s="2">
        <v>11866.68</v>
      </c>
      <c r="AR11" s="2">
        <v>10587.46</v>
      </c>
      <c r="AU11" s="1" t="s">
        <v>68</v>
      </c>
      <c r="AV11" s="2">
        <v>30352.84</v>
      </c>
      <c r="AW11" s="2">
        <v>15206.32</v>
      </c>
      <c r="AX11" s="2">
        <v>29180.97</v>
      </c>
      <c r="AY11" s="2">
        <v>12480.97</v>
      </c>
      <c r="AZ11" s="2">
        <v>8069.31</v>
      </c>
      <c r="BA11" s="2">
        <v>9798.68</v>
      </c>
      <c r="BB11" s="2">
        <v>35714.730000000003</v>
      </c>
      <c r="BC11" s="2">
        <v>28129.9</v>
      </c>
      <c r="BD11" s="2">
        <v>46469.29</v>
      </c>
      <c r="BE11" s="2">
        <v>34053.699999999997</v>
      </c>
      <c r="BF11" s="2">
        <v>84113.88</v>
      </c>
      <c r="BG11" s="2">
        <v>61643.77</v>
      </c>
      <c r="BH11" s="2">
        <v>62446.68</v>
      </c>
      <c r="BI11" s="2">
        <v>50344.37</v>
      </c>
      <c r="BJ11" s="2">
        <v>77413.009999999995</v>
      </c>
      <c r="BK11" s="2">
        <v>63198.41</v>
      </c>
      <c r="BL11" s="2">
        <v>61906.37</v>
      </c>
      <c r="BM11" s="2">
        <v>50462.8</v>
      </c>
      <c r="BN11" s="2">
        <v>65296.09</v>
      </c>
      <c r="BO11" s="2">
        <v>59082.239999999998</v>
      </c>
      <c r="BR11" s="1" t="s">
        <v>68</v>
      </c>
      <c r="BS11" s="2">
        <v>37604.82</v>
      </c>
      <c r="BT11" s="2">
        <v>18026.189999999999</v>
      </c>
      <c r="BU11" s="2">
        <v>36147.980000000003</v>
      </c>
      <c r="BV11" s="2">
        <v>15243.54</v>
      </c>
      <c r="BW11" s="2">
        <v>11121.28</v>
      </c>
      <c r="BX11" s="2">
        <v>12521.76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69</v>
      </c>
      <c r="C12" s="2">
        <v>1.8</v>
      </c>
      <c r="D12" s="2">
        <v>0.72</v>
      </c>
      <c r="E12" s="2">
        <v>2.2599999999999998</v>
      </c>
      <c r="F12" s="2">
        <v>0.37</v>
      </c>
      <c r="G12" s="2">
        <v>1.8</v>
      </c>
      <c r="H12" s="2">
        <v>2.31</v>
      </c>
      <c r="I12" s="2">
        <v>1.8</v>
      </c>
      <c r="J12" s="2">
        <v>1.22</v>
      </c>
      <c r="K12" s="2">
        <v>1.8</v>
      </c>
      <c r="L12" s="2">
        <v>1.05</v>
      </c>
      <c r="M12" s="2">
        <v>1.8</v>
      </c>
      <c r="N12" s="2">
        <v>1.01</v>
      </c>
      <c r="O12" s="2">
        <v>1.8</v>
      </c>
      <c r="P12" s="2">
        <v>1.03</v>
      </c>
      <c r="Q12" s="2">
        <v>1.64</v>
      </c>
      <c r="R12" s="2">
        <v>0.92</v>
      </c>
      <c r="S12" s="2">
        <v>0.9</v>
      </c>
      <c r="T12" s="2">
        <v>0.84</v>
      </c>
      <c r="U12" s="2">
        <v>0.81</v>
      </c>
      <c r="V12" s="2">
        <v>0.75</v>
      </c>
      <c r="X12" s="1" t="s">
        <v>69</v>
      </c>
      <c r="Y12" s="2">
        <v>2112.46</v>
      </c>
      <c r="Z12" s="2">
        <v>954.17</v>
      </c>
      <c r="AA12" s="2">
        <v>1872.56</v>
      </c>
      <c r="AB12" s="2">
        <v>1110.77</v>
      </c>
      <c r="AC12" s="2">
        <v>701.4</v>
      </c>
      <c r="AD12" s="2">
        <v>747.52</v>
      </c>
      <c r="AE12" s="2">
        <v>2601.7600000000002</v>
      </c>
      <c r="AF12" s="2">
        <v>1908.71</v>
      </c>
      <c r="AG12" s="2">
        <v>3053.45</v>
      </c>
      <c r="AH12" s="2">
        <v>2130.7399999999998</v>
      </c>
      <c r="AI12" s="2">
        <v>5492.24</v>
      </c>
      <c r="AJ12" s="2">
        <v>3656.55</v>
      </c>
      <c r="AK12" s="2">
        <v>4408.67</v>
      </c>
      <c r="AL12" s="2">
        <v>2952.12</v>
      </c>
      <c r="AM12" s="2">
        <v>4679.93</v>
      </c>
      <c r="AN12" s="2">
        <v>3718.88</v>
      </c>
      <c r="AO12" s="2">
        <v>3365.2</v>
      </c>
      <c r="AP12" s="2">
        <v>2991.56</v>
      </c>
      <c r="AQ12" s="2">
        <v>3991.41</v>
      </c>
      <c r="AR12" s="2">
        <v>3731.67</v>
      </c>
      <c r="AU12" s="1" t="s">
        <v>69</v>
      </c>
      <c r="AV12" s="2">
        <v>9015.1299999999992</v>
      </c>
      <c r="AW12" s="2">
        <v>5454.57</v>
      </c>
      <c r="AX12" s="2">
        <v>8682.6299999999992</v>
      </c>
      <c r="AY12" s="2">
        <v>5198.13</v>
      </c>
      <c r="AZ12" s="2">
        <v>2767.95</v>
      </c>
      <c r="BA12" s="2">
        <v>3692.48</v>
      </c>
      <c r="BB12" s="2">
        <v>11606.24</v>
      </c>
      <c r="BC12" s="2">
        <v>9804.85</v>
      </c>
      <c r="BD12" s="2">
        <v>14706.55</v>
      </c>
      <c r="BE12" s="2">
        <v>11731.19</v>
      </c>
      <c r="BF12" s="2">
        <v>26475.759999999998</v>
      </c>
      <c r="BG12" s="2">
        <v>20641.25</v>
      </c>
      <c r="BH12" s="2">
        <v>21343.33</v>
      </c>
      <c r="BI12" s="2">
        <v>16741.2</v>
      </c>
      <c r="BJ12" s="2">
        <v>26226.99</v>
      </c>
      <c r="BK12" s="2">
        <v>20824.18</v>
      </c>
      <c r="BL12" s="2">
        <v>18526.72</v>
      </c>
      <c r="BM12" s="2">
        <v>17498.2</v>
      </c>
      <c r="BN12" s="2">
        <v>22805.64</v>
      </c>
      <c r="BO12" s="2">
        <v>21678.52</v>
      </c>
      <c r="BR12" s="1" t="s">
        <v>69</v>
      </c>
      <c r="BS12" s="2">
        <v>11127.59</v>
      </c>
      <c r="BT12" s="2">
        <v>6408.74</v>
      </c>
      <c r="BU12" s="2">
        <v>10555.19</v>
      </c>
      <c r="BV12" s="2">
        <v>6308.9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70</v>
      </c>
      <c r="C13" s="2">
        <v>1.8</v>
      </c>
      <c r="D13" s="2">
        <v>1.8</v>
      </c>
      <c r="E13" s="2">
        <v>1.8</v>
      </c>
      <c r="F13" s="2">
        <v>0.66</v>
      </c>
      <c r="G13" s="2">
        <v>1.8</v>
      </c>
      <c r="H13" s="2">
        <v>1.8</v>
      </c>
      <c r="I13" s="2">
        <v>0.7</v>
      </c>
      <c r="J13" s="2">
        <v>1.77</v>
      </c>
      <c r="K13" s="2">
        <v>1.49</v>
      </c>
      <c r="L13" s="2">
        <v>1.64</v>
      </c>
      <c r="M13" s="2">
        <v>1.35</v>
      </c>
      <c r="N13" s="2">
        <v>1.19</v>
      </c>
      <c r="O13" s="2">
        <v>1.1499999999999999</v>
      </c>
      <c r="P13" s="2">
        <v>1.06</v>
      </c>
      <c r="Q13" s="2">
        <v>0.95</v>
      </c>
      <c r="R13" s="2">
        <v>0.97</v>
      </c>
      <c r="S13" s="2">
        <v>0.87</v>
      </c>
      <c r="T13" s="2">
        <v>0.76</v>
      </c>
      <c r="U13" s="2">
        <v>0.83</v>
      </c>
      <c r="V13" s="2">
        <v>0.56000000000000005</v>
      </c>
      <c r="X13" s="1" t="s">
        <v>70</v>
      </c>
      <c r="Y13" s="2">
        <v>7204.55</v>
      </c>
      <c r="Z13" s="2">
        <v>7693.23</v>
      </c>
      <c r="AA13" s="2">
        <v>9276.34</v>
      </c>
      <c r="AB13" s="2">
        <v>9823.8799999999992</v>
      </c>
      <c r="AC13" s="2">
        <v>2749.85</v>
      </c>
      <c r="AD13" s="2">
        <v>3023.05</v>
      </c>
      <c r="AE13" s="2">
        <v>10419.870000000001</v>
      </c>
      <c r="AF13" s="2">
        <v>9989.81</v>
      </c>
      <c r="AG13" s="2">
        <v>13082.83</v>
      </c>
      <c r="AH13" s="2">
        <v>12980.31</v>
      </c>
      <c r="AI13" s="2">
        <v>22230.46</v>
      </c>
      <c r="AJ13" s="2">
        <v>22702.14</v>
      </c>
      <c r="AK13" s="2">
        <v>16967.53</v>
      </c>
      <c r="AL13" s="2">
        <v>18036.45</v>
      </c>
      <c r="AM13" s="2">
        <v>20210.09</v>
      </c>
      <c r="AN13" s="2">
        <v>20540.11</v>
      </c>
      <c r="AO13" s="2">
        <v>16741.84</v>
      </c>
      <c r="AP13" s="2">
        <v>17192.060000000001</v>
      </c>
      <c r="AQ13" s="2">
        <v>22139.439999999999</v>
      </c>
      <c r="AR13" s="2">
        <v>24681.56</v>
      </c>
      <c r="AU13" s="1" t="s">
        <v>70</v>
      </c>
      <c r="AV13" s="2">
        <v>30643.66</v>
      </c>
      <c r="AW13" s="2">
        <v>40464.620000000003</v>
      </c>
      <c r="AX13" s="2">
        <v>39593.050000000003</v>
      </c>
      <c r="AY13" s="2">
        <v>43744.57</v>
      </c>
      <c r="AZ13" s="2">
        <v>11201.71</v>
      </c>
      <c r="BA13" s="2">
        <v>12533.16</v>
      </c>
      <c r="BB13" s="2">
        <v>49277.73</v>
      </c>
      <c r="BC13" s="2">
        <v>48366.99</v>
      </c>
      <c r="BD13" s="2">
        <v>67913.17</v>
      </c>
      <c r="BE13" s="2">
        <v>67916.69</v>
      </c>
      <c r="BF13" s="2">
        <v>117568.34</v>
      </c>
      <c r="BG13" s="2">
        <v>120194.46</v>
      </c>
      <c r="BH13" s="2">
        <v>89376.92</v>
      </c>
      <c r="BI13" s="2">
        <v>94773.55</v>
      </c>
      <c r="BJ13" s="2">
        <v>107595.31</v>
      </c>
      <c r="BK13" s="2">
        <v>108707.39</v>
      </c>
      <c r="BL13" s="2">
        <v>89707.06</v>
      </c>
      <c r="BM13" s="2">
        <v>91451.54</v>
      </c>
      <c r="BN13" s="2">
        <v>121802.06</v>
      </c>
      <c r="BO13" s="2">
        <v>135558.94</v>
      </c>
      <c r="BR13" s="1" t="s">
        <v>70</v>
      </c>
      <c r="BS13" s="2">
        <v>37848.21</v>
      </c>
      <c r="BT13" s="2">
        <v>48157.85</v>
      </c>
      <c r="BU13" s="2">
        <v>48869.39</v>
      </c>
      <c r="BV13" s="2">
        <v>53568.45</v>
      </c>
      <c r="BW13" s="2">
        <v>13951.56</v>
      </c>
      <c r="BX13" s="2">
        <v>15556.21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71</v>
      </c>
      <c r="C14" s="2">
        <v>1.8</v>
      </c>
      <c r="D14" s="2">
        <v>1.8</v>
      </c>
      <c r="E14" s="2">
        <v>1.5</v>
      </c>
      <c r="F14" s="2">
        <v>1.44</v>
      </c>
      <c r="G14" s="2">
        <v>1.8</v>
      </c>
      <c r="H14" s="2">
        <v>1.78</v>
      </c>
      <c r="I14" s="2">
        <v>0.61</v>
      </c>
      <c r="J14" s="2">
        <v>1.78</v>
      </c>
      <c r="K14" s="2">
        <v>0.63</v>
      </c>
      <c r="L14" s="2">
        <v>1.55</v>
      </c>
      <c r="M14" s="2">
        <v>0.78</v>
      </c>
      <c r="N14" s="2">
        <v>1.64</v>
      </c>
      <c r="O14" s="2">
        <v>0.75</v>
      </c>
      <c r="P14" s="2">
        <v>1.28</v>
      </c>
      <c r="Q14" s="2">
        <v>0.76</v>
      </c>
      <c r="R14" s="2">
        <v>1.34</v>
      </c>
      <c r="S14" s="2">
        <v>0.71</v>
      </c>
      <c r="T14" s="2">
        <v>1.06</v>
      </c>
      <c r="U14" s="2">
        <v>0.63</v>
      </c>
      <c r="V14" s="2">
        <v>0.51</v>
      </c>
      <c r="X14" s="1" t="s">
        <v>71</v>
      </c>
      <c r="Y14" s="2">
        <v>1876.69</v>
      </c>
      <c r="Z14" s="2">
        <v>1913.75</v>
      </c>
      <c r="AA14" s="2">
        <v>2548.34</v>
      </c>
      <c r="AB14" s="2">
        <v>2602.16</v>
      </c>
      <c r="AC14" s="2">
        <v>639.6</v>
      </c>
      <c r="AD14" s="2">
        <v>716.03</v>
      </c>
      <c r="AE14" s="2">
        <v>2336.66</v>
      </c>
      <c r="AF14" s="2">
        <v>1908.15</v>
      </c>
      <c r="AG14" s="2">
        <v>2732.06</v>
      </c>
      <c r="AH14" s="2">
        <v>3408.32</v>
      </c>
      <c r="AI14" s="2">
        <v>5128.32</v>
      </c>
      <c r="AJ14" s="2">
        <v>6094.46</v>
      </c>
      <c r="AK14" s="2">
        <v>4128.71</v>
      </c>
      <c r="AL14" s="2">
        <v>4874.76</v>
      </c>
      <c r="AM14" s="2">
        <v>5282.41</v>
      </c>
      <c r="AN14" s="2">
        <v>6181.48</v>
      </c>
      <c r="AO14" s="2">
        <v>4510.57</v>
      </c>
      <c r="AP14" s="2">
        <v>5424.08</v>
      </c>
      <c r="AQ14" s="2">
        <v>5427.83</v>
      </c>
      <c r="AR14" s="2">
        <v>5359.18</v>
      </c>
      <c r="AU14" s="1" t="s">
        <v>71</v>
      </c>
      <c r="AV14" s="2">
        <v>7102.17</v>
      </c>
      <c r="AW14" s="2">
        <v>7236.63</v>
      </c>
      <c r="AX14" s="2">
        <v>8995.66</v>
      </c>
      <c r="AY14" s="2">
        <v>8941.84</v>
      </c>
      <c r="AZ14" s="2">
        <v>2248.77</v>
      </c>
      <c r="BA14" s="2">
        <v>2561.96</v>
      </c>
      <c r="BB14" s="2">
        <v>8264.6200000000008</v>
      </c>
      <c r="BC14" s="2">
        <v>7003.73</v>
      </c>
      <c r="BD14" s="2">
        <v>10578.34</v>
      </c>
      <c r="BE14" s="2">
        <v>13909.68</v>
      </c>
      <c r="BF14" s="2">
        <v>20622.84</v>
      </c>
      <c r="BG14" s="2">
        <v>25873.54</v>
      </c>
      <c r="BH14" s="2">
        <v>16452.55</v>
      </c>
      <c r="BI14" s="2">
        <v>19694.349999999999</v>
      </c>
      <c r="BJ14" s="2">
        <v>21457.69</v>
      </c>
      <c r="BK14" s="2">
        <v>25885.439999999999</v>
      </c>
      <c r="BL14" s="2">
        <v>18491.939999999999</v>
      </c>
      <c r="BM14" s="2">
        <v>21757.77</v>
      </c>
      <c r="BN14" s="2">
        <v>22773.86</v>
      </c>
      <c r="BO14" s="2">
        <v>21028.82</v>
      </c>
      <c r="BR14" s="1" t="s">
        <v>71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10601.28</v>
      </c>
      <c r="BZ14" s="2">
        <v>8911.8700000000008</v>
      </c>
      <c r="CA14" s="2">
        <v>13310.4</v>
      </c>
      <c r="CB14" s="2">
        <v>17318</v>
      </c>
      <c r="CC14" s="2">
        <v>25751.16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72</v>
      </c>
      <c r="C15" s="2">
        <v>3.6</v>
      </c>
      <c r="D15" s="2">
        <v>3.6</v>
      </c>
      <c r="E15" s="2">
        <v>1.8</v>
      </c>
      <c r="F15" s="2">
        <v>3.18</v>
      </c>
      <c r="G15" s="2">
        <v>1.8</v>
      </c>
      <c r="H15" s="2">
        <v>3.5</v>
      </c>
      <c r="I15" s="2">
        <v>1.38</v>
      </c>
      <c r="J15" s="2">
        <v>1.8</v>
      </c>
      <c r="K15" s="2">
        <v>1.1100000000000001</v>
      </c>
      <c r="L15" s="2">
        <v>1.8</v>
      </c>
      <c r="M15" s="2">
        <v>1.3</v>
      </c>
      <c r="N15" s="2">
        <v>1.8</v>
      </c>
      <c r="O15" s="2">
        <v>1.28</v>
      </c>
      <c r="P15" s="2">
        <v>1.8</v>
      </c>
      <c r="Q15" s="2">
        <v>1.5</v>
      </c>
      <c r="R15" s="2">
        <v>1.8</v>
      </c>
      <c r="S15" s="2">
        <v>1.1200000000000001</v>
      </c>
      <c r="T15" s="2">
        <v>1.1499999999999999</v>
      </c>
      <c r="U15" s="2">
        <v>1.02</v>
      </c>
      <c r="V15" s="2">
        <v>0.98</v>
      </c>
      <c r="X15" s="1" t="s">
        <v>72</v>
      </c>
      <c r="Y15" s="2">
        <v>6985.99</v>
      </c>
      <c r="Z15" s="2">
        <v>7297.48</v>
      </c>
      <c r="AA15" s="2">
        <v>7486.44</v>
      </c>
      <c r="AB15" s="2">
        <v>8067.97</v>
      </c>
      <c r="AC15" s="2">
        <v>2266.33</v>
      </c>
      <c r="AD15" s="2">
        <v>2740.97</v>
      </c>
      <c r="AE15" s="2">
        <v>7861.74</v>
      </c>
      <c r="AF15" s="2">
        <v>9493.43</v>
      </c>
      <c r="AG15" s="2">
        <v>8639.39</v>
      </c>
      <c r="AH15" s="2">
        <v>14626.18</v>
      </c>
      <c r="AI15" s="2">
        <v>15571.29</v>
      </c>
      <c r="AJ15" s="2">
        <v>26343.3</v>
      </c>
      <c r="AK15" s="2">
        <v>12670.06</v>
      </c>
      <c r="AL15" s="2">
        <v>18945.009999999998</v>
      </c>
      <c r="AM15" s="2">
        <v>16759.96</v>
      </c>
      <c r="AN15" s="2">
        <v>18078.21</v>
      </c>
      <c r="AO15" s="2">
        <v>13437.18</v>
      </c>
      <c r="AP15" s="2">
        <v>13880.86</v>
      </c>
      <c r="AQ15" s="2">
        <v>16490.759999999998</v>
      </c>
      <c r="AR15" s="2">
        <v>16423.849999999999</v>
      </c>
      <c r="AU15" s="1" t="s">
        <v>72</v>
      </c>
      <c r="AV15" s="2">
        <v>27207.86</v>
      </c>
      <c r="AW15" s="2">
        <v>28963.82</v>
      </c>
      <c r="AX15" s="2">
        <v>26044.07</v>
      </c>
      <c r="AY15" s="2">
        <v>30770.41</v>
      </c>
      <c r="AZ15" s="2">
        <v>6887.07</v>
      </c>
      <c r="BA15" s="2">
        <v>10234.719999999999</v>
      </c>
      <c r="BB15" s="2">
        <v>29169.53</v>
      </c>
      <c r="BC15" s="2">
        <v>24516.720000000001</v>
      </c>
      <c r="BD15" s="2">
        <v>34631.019999999997</v>
      </c>
      <c r="BE15" s="2">
        <v>46333.82</v>
      </c>
      <c r="BF15" s="2">
        <v>65339.18</v>
      </c>
      <c r="BG15" s="2">
        <v>83384.7</v>
      </c>
      <c r="BH15" s="2">
        <v>52638.01</v>
      </c>
      <c r="BI15" s="2">
        <v>64974.32</v>
      </c>
      <c r="BJ15" s="2">
        <v>72610.78</v>
      </c>
      <c r="BK15" s="2">
        <v>77970.89</v>
      </c>
      <c r="BL15" s="2">
        <v>57242.2</v>
      </c>
      <c r="BM15" s="2">
        <v>58274.13</v>
      </c>
      <c r="BN15" s="2">
        <v>71234.11</v>
      </c>
      <c r="BO15" s="2">
        <v>69852.81</v>
      </c>
      <c r="BR15" s="1" t="s">
        <v>72</v>
      </c>
      <c r="BS15" s="2">
        <v>34193.85</v>
      </c>
      <c r="BT15" s="2">
        <v>36261.300000000003</v>
      </c>
      <c r="BU15" s="2">
        <v>33530.51</v>
      </c>
      <c r="BV15" s="2">
        <v>38838.370000000003</v>
      </c>
      <c r="BW15" s="2">
        <v>9153.41</v>
      </c>
      <c r="BX15" s="2">
        <v>12975.7</v>
      </c>
      <c r="BY15" s="2">
        <v>37031.269999999997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73</v>
      </c>
      <c r="C16" s="2">
        <v>0.72</v>
      </c>
      <c r="D16" s="2">
        <v>0.93</v>
      </c>
      <c r="E16" s="2">
        <v>0.2</v>
      </c>
      <c r="F16" s="2">
        <v>0.2</v>
      </c>
      <c r="G16" s="2">
        <v>0.93</v>
      </c>
      <c r="H16" s="2">
        <v>0.24</v>
      </c>
      <c r="I16" s="2">
        <v>0.48</v>
      </c>
      <c r="J16" s="2">
        <v>1.29</v>
      </c>
      <c r="K16" s="2">
        <v>0.76</v>
      </c>
      <c r="L16" s="2">
        <v>1.26</v>
      </c>
      <c r="M16" s="2">
        <v>1.1200000000000001</v>
      </c>
      <c r="N16" s="2">
        <v>1.27</v>
      </c>
      <c r="O16" s="2">
        <v>1.26</v>
      </c>
      <c r="P16" s="2">
        <v>1.1200000000000001</v>
      </c>
      <c r="Q16" s="2">
        <v>1.1100000000000001</v>
      </c>
      <c r="R16" s="2">
        <v>0.97</v>
      </c>
      <c r="S16" s="2">
        <v>1.02</v>
      </c>
      <c r="T16" s="2">
        <v>0.81</v>
      </c>
      <c r="U16" s="2">
        <v>0.85</v>
      </c>
      <c r="V16" s="2">
        <v>0.66</v>
      </c>
      <c r="X16" s="1" t="s">
        <v>73</v>
      </c>
      <c r="Y16" s="2">
        <v>3452.2</v>
      </c>
      <c r="Z16" s="2">
        <v>4362.12</v>
      </c>
      <c r="AA16" s="2">
        <v>3521.6</v>
      </c>
      <c r="AB16" s="2">
        <v>3790.02</v>
      </c>
      <c r="AC16" s="2">
        <v>241.48</v>
      </c>
      <c r="AD16" s="2">
        <v>1541.05</v>
      </c>
      <c r="AE16" s="2">
        <v>2072.64</v>
      </c>
      <c r="AF16" s="2">
        <v>4946.8599999999997</v>
      </c>
      <c r="AG16" s="2">
        <v>4377.4399999999996</v>
      </c>
      <c r="AH16" s="2">
        <v>5927.21</v>
      </c>
      <c r="AI16" s="2">
        <v>7693.99</v>
      </c>
      <c r="AJ16" s="2">
        <v>10909.32</v>
      </c>
      <c r="AK16" s="2">
        <v>6137.34</v>
      </c>
      <c r="AL16" s="2">
        <v>8303.18</v>
      </c>
      <c r="AM16" s="2">
        <v>7677.15</v>
      </c>
      <c r="AN16" s="2">
        <v>8491.39</v>
      </c>
      <c r="AO16" s="2">
        <v>6464.56</v>
      </c>
      <c r="AP16" s="2">
        <v>6572.59</v>
      </c>
      <c r="AQ16" s="2">
        <v>8863.32</v>
      </c>
      <c r="AR16" s="2">
        <v>9106.34</v>
      </c>
      <c r="AU16" s="1" t="s">
        <v>73</v>
      </c>
      <c r="AV16" s="2">
        <v>14737.4</v>
      </c>
      <c r="AW16" s="2">
        <v>17911.560000000001</v>
      </c>
      <c r="AX16" s="2">
        <v>12429.4</v>
      </c>
      <c r="AY16" s="2">
        <v>13212.81</v>
      </c>
      <c r="AZ16" s="2">
        <v>4418.2700000000004</v>
      </c>
      <c r="BA16" s="2">
        <v>5644.55</v>
      </c>
      <c r="BB16" s="2">
        <v>14976</v>
      </c>
      <c r="BC16" s="2">
        <v>18433.71</v>
      </c>
      <c r="BD16" s="2">
        <v>19152.759999999998</v>
      </c>
      <c r="BE16" s="2">
        <v>23807.05</v>
      </c>
      <c r="BF16" s="2">
        <v>33657.050000000003</v>
      </c>
      <c r="BG16" s="2">
        <v>44305.88</v>
      </c>
      <c r="BH16" s="2">
        <v>27139.29</v>
      </c>
      <c r="BI16" s="2">
        <v>34325.08</v>
      </c>
      <c r="BJ16" s="2">
        <v>33936.269999999997</v>
      </c>
      <c r="BK16" s="2">
        <v>36443.99</v>
      </c>
      <c r="BL16" s="2">
        <v>28492.880000000001</v>
      </c>
      <c r="BM16" s="2">
        <v>29039.69</v>
      </c>
      <c r="BN16" s="2">
        <v>39567.93</v>
      </c>
      <c r="BO16" s="2">
        <v>41910.160000000003</v>
      </c>
      <c r="BR16" s="1" t="s">
        <v>73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63</v>
      </c>
      <c r="D20" s="1" t="s">
        <v>64</v>
      </c>
      <c r="E20" s="1" t="s">
        <v>63</v>
      </c>
      <c r="F20" s="1" t="s">
        <v>64</v>
      </c>
      <c r="G20" s="1" t="s">
        <v>63</v>
      </c>
      <c r="H20" s="1" t="s">
        <v>64</v>
      </c>
      <c r="I20" s="1" t="s">
        <v>63</v>
      </c>
      <c r="J20" s="1" t="s">
        <v>64</v>
      </c>
      <c r="K20" s="1" t="s">
        <v>63</v>
      </c>
      <c r="L20" s="1" t="s">
        <v>64</v>
      </c>
      <c r="M20" s="1" t="s">
        <v>63</v>
      </c>
      <c r="N20" s="1" t="s">
        <v>64</v>
      </c>
      <c r="O20" s="1" t="s">
        <v>63</v>
      </c>
      <c r="P20" s="1" t="s">
        <v>64</v>
      </c>
      <c r="Q20" s="1" t="s">
        <v>63</v>
      </c>
      <c r="R20" s="1" t="s">
        <v>64</v>
      </c>
      <c r="S20" s="1" t="s">
        <v>63</v>
      </c>
      <c r="T20" s="1" t="s">
        <v>64</v>
      </c>
      <c r="U20" s="1" t="s">
        <v>63</v>
      </c>
      <c r="V20" s="1" t="s">
        <v>64</v>
      </c>
      <c r="X20" s="1" t="s">
        <v>6</v>
      </c>
      <c r="Y20" s="1" t="s">
        <v>63</v>
      </c>
      <c r="Z20" s="1" t="s">
        <v>64</v>
      </c>
      <c r="AA20" s="1" t="s">
        <v>63</v>
      </c>
      <c r="AB20" s="1" t="s">
        <v>64</v>
      </c>
      <c r="AC20" s="1" t="s">
        <v>63</v>
      </c>
      <c r="AD20" s="1" t="s">
        <v>64</v>
      </c>
      <c r="AE20" s="1" t="s">
        <v>63</v>
      </c>
      <c r="AF20" s="1" t="s">
        <v>64</v>
      </c>
      <c r="AG20" s="1" t="s">
        <v>63</v>
      </c>
      <c r="AH20" s="1" t="s">
        <v>64</v>
      </c>
      <c r="AI20" s="1" t="s">
        <v>63</v>
      </c>
      <c r="AJ20" s="1" t="s">
        <v>64</v>
      </c>
      <c r="AK20" s="1" t="s">
        <v>63</v>
      </c>
      <c r="AL20" s="1" t="s">
        <v>64</v>
      </c>
      <c r="AM20" s="1" t="s">
        <v>63</v>
      </c>
      <c r="AN20" s="1" t="s">
        <v>64</v>
      </c>
      <c r="AO20" s="1" t="s">
        <v>63</v>
      </c>
      <c r="AP20" s="1" t="s">
        <v>64</v>
      </c>
      <c r="AQ20" s="1" t="s">
        <v>63</v>
      </c>
      <c r="AR20" s="1" t="s">
        <v>64</v>
      </c>
      <c r="AU20" s="1" t="s">
        <v>6</v>
      </c>
      <c r="AV20" s="1" t="s">
        <v>63</v>
      </c>
      <c r="AW20" s="1" t="s">
        <v>64</v>
      </c>
      <c r="AX20" s="1" t="s">
        <v>63</v>
      </c>
      <c r="AY20" s="1" t="s">
        <v>64</v>
      </c>
      <c r="AZ20" s="1" t="s">
        <v>63</v>
      </c>
      <c r="BA20" s="1" t="s">
        <v>64</v>
      </c>
      <c r="BB20" s="1" t="s">
        <v>63</v>
      </c>
      <c r="BC20" s="1" t="s">
        <v>64</v>
      </c>
      <c r="BD20" s="1" t="s">
        <v>63</v>
      </c>
      <c r="BE20" s="1" t="s">
        <v>64</v>
      </c>
      <c r="BF20" s="1" t="s">
        <v>63</v>
      </c>
      <c r="BG20" s="1" t="s">
        <v>64</v>
      </c>
      <c r="BH20" s="1" t="s">
        <v>63</v>
      </c>
      <c r="BI20" s="1" t="s">
        <v>64</v>
      </c>
      <c r="BJ20" s="1" t="s">
        <v>63</v>
      </c>
      <c r="BK20" s="1" t="s">
        <v>64</v>
      </c>
      <c r="BL20" s="1" t="s">
        <v>63</v>
      </c>
      <c r="BM20" s="1" t="s">
        <v>64</v>
      </c>
      <c r="BN20" s="1" t="s">
        <v>63</v>
      </c>
      <c r="BO20" s="1" t="s">
        <v>64</v>
      </c>
      <c r="BR20" s="1" t="s">
        <v>6</v>
      </c>
      <c r="BS20" s="1" t="s">
        <v>63</v>
      </c>
      <c r="BT20" s="1" t="s">
        <v>64</v>
      </c>
      <c r="BU20" s="1" t="s">
        <v>63</v>
      </c>
      <c r="BV20" s="1" t="s">
        <v>64</v>
      </c>
      <c r="BW20" s="1" t="s">
        <v>63</v>
      </c>
      <c r="BX20" s="1" t="s">
        <v>64</v>
      </c>
      <c r="BY20" s="1" t="s">
        <v>63</v>
      </c>
      <c r="BZ20" s="1" t="s">
        <v>64</v>
      </c>
      <c r="CA20" s="1" t="s">
        <v>63</v>
      </c>
      <c r="CB20" s="1" t="s">
        <v>64</v>
      </c>
      <c r="CC20" s="1" t="s">
        <v>63</v>
      </c>
      <c r="CD20" s="1" t="s">
        <v>64</v>
      </c>
      <c r="CE20" s="1" t="s">
        <v>63</v>
      </c>
      <c r="CF20" s="1" t="s">
        <v>64</v>
      </c>
      <c r="CG20" s="1" t="s">
        <v>63</v>
      </c>
      <c r="CH20" s="1" t="s">
        <v>64</v>
      </c>
      <c r="CI20" s="1" t="s">
        <v>63</v>
      </c>
      <c r="CJ20" s="1" t="s">
        <v>64</v>
      </c>
      <c r="CK20" s="1" t="s">
        <v>63</v>
      </c>
      <c r="CL20" s="1" t="s">
        <v>64</v>
      </c>
    </row>
    <row r="21" spans="2:90" x14ac:dyDescent="0.3">
      <c r="B21" s="1" t="s">
        <v>65</v>
      </c>
      <c r="C21" s="1" t="s">
        <v>53</v>
      </c>
      <c r="D21" s="1" t="s">
        <v>53</v>
      </c>
      <c r="E21" s="1" t="s">
        <v>54</v>
      </c>
      <c r="F21" s="1" t="s">
        <v>54</v>
      </c>
      <c r="G21" s="1" t="s">
        <v>55</v>
      </c>
      <c r="H21" s="1" t="s">
        <v>55</v>
      </c>
      <c r="I21" s="1" t="s">
        <v>56</v>
      </c>
      <c r="J21" s="1" t="s">
        <v>56</v>
      </c>
      <c r="K21" s="1" t="s">
        <v>57</v>
      </c>
      <c r="L21" s="1" t="s">
        <v>57</v>
      </c>
      <c r="M21" s="1" t="s">
        <v>58</v>
      </c>
      <c r="N21" s="1" t="s">
        <v>58</v>
      </c>
      <c r="O21" s="1" t="s">
        <v>59</v>
      </c>
      <c r="P21" s="1" t="s">
        <v>59</v>
      </c>
      <c r="Q21" s="1" t="s">
        <v>60</v>
      </c>
      <c r="R21" s="1" t="s">
        <v>60</v>
      </c>
      <c r="S21" s="1" t="s">
        <v>61</v>
      </c>
      <c r="T21" s="1" t="s">
        <v>61</v>
      </c>
      <c r="U21" s="1" t="s">
        <v>62</v>
      </c>
      <c r="V21" s="1" t="s">
        <v>62</v>
      </c>
      <c r="X21" s="1" t="s">
        <v>65</v>
      </c>
      <c r="Y21" s="1" t="s">
        <v>53</v>
      </c>
      <c r="Z21" s="1" t="s">
        <v>53</v>
      </c>
      <c r="AA21" s="1" t="s">
        <v>54</v>
      </c>
      <c r="AB21" s="1" t="s">
        <v>54</v>
      </c>
      <c r="AC21" s="1" t="s">
        <v>55</v>
      </c>
      <c r="AD21" s="1" t="s">
        <v>55</v>
      </c>
      <c r="AE21" s="1" t="s">
        <v>56</v>
      </c>
      <c r="AF21" s="1" t="s">
        <v>56</v>
      </c>
      <c r="AG21" s="1" t="s">
        <v>57</v>
      </c>
      <c r="AH21" s="1" t="s">
        <v>57</v>
      </c>
      <c r="AI21" s="1" t="s">
        <v>58</v>
      </c>
      <c r="AJ21" s="1" t="s">
        <v>58</v>
      </c>
      <c r="AK21" s="1" t="s">
        <v>59</v>
      </c>
      <c r="AL21" s="1" t="s">
        <v>59</v>
      </c>
      <c r="AM21" s="1" t="s">
        <v>60</v>
      </c>
      <c r="AN21" s="1" t="s">
        <v>60</v>
      </c>
      <c r="AO21" s="1" t="s">
        <v>61</v>
      </c>
      <c r="AP21" s="1" t="s">
        <v>61</v>
      </c>
      <c r="AQ21" s="1" t="s">
        <v>62</v>
      </c>
      <c r="AR21" s="1" t="s">
        <v>62</v>
      </c>
      <c r="AU21" s="1" t="s">
        <v>65</v>
      </c>
      <c r="AV21" s="1" t="s">
        <v>53</v>
      </c>
      <c r="AW21" s="1" t="s">
        <v>53</v>
      </c>
      <c r="AX21" s="1" t="s">
        <v>54</v>
      </c>
      <c r="AY21" s="1" t="s">
        <v>54</v>
      </c>
      <c r="AZ21" s="1" t="s">
        <v>55</v>
      </c>
      <c r="BA21" s="1" t="s">
        <v>55</v>
      </c>
      <c r="BB21" s="1" t="s">
        <v>56</v>
      </c>
      <c r="BC21" s="1" t="s">
        <v>56</v>
      </c>
      <c r="BD21" s="1" t="s">
        <v>57</v>
      </c>
      <c r="BE21" s="1" t="s">
        <v>57</v>
      </c>
      <c r="BF21" s="1" t="s">
        <v>58</v>
      </c>
      <c r="BG21" s="1" t="s">
        <v>58</v>
      </c>
      <c r="BH21" s="1" t="s">
        <v>59</v>
      </c>
      <c r="BI21" s="1" t="s">
        <v>59</v>
      </c>
      <c r="BJ21" s="1" t="s">
        <v>60</v>
      </c>
      <c r="BK21" s="1" t="s">
        <v>60</v>
      </c>
      <c r="BL21" s="1" t="s">
        <v>61</v>
      </c>
      <c r="BM21" s="1" t="s">
        <v>61</v>
      </c>
      <c r="BN21" s="1" t="s">
        <v>62</v>
      </c>
      <c r="BO21" s="1" t="s">
        <v>62</v>
      </c>
      <c r="BR21" s="1" t="s">
        <v>65</v>
      </c>
      <c r="BS21" s="1" t="s">
        <v>53</v>
      </c>
      <c r="BT21" s="1" t="s">
        <v>53</v>
      </c>
      <c r="BU21" s="1" t="s">
        <v>54</v>
      </c>
      <c r="BV21" s="1" t="s">
        <v>54</v>
      </c>
      <c r="BW21" s="1" t="s">
        <v>55</v>
      </c>
      <c r="BX21" s="1" t="s">
        <v>55</v>
      </c>
      <c r="BY21" s="1" t="s">
        <v>56</v>
      </c>
      <c r="BZ21" s="1" t="s">
        <v>56</v>
      </c>
      <c r="CA21" s="1" t="s">
        <v>57</v>
      </c>
      <c r="CB21" s="1" t="s">
        <v>57</v>
      </c>
      <c r="CC21" s="1" t="s">
        <v>58</v>
      </c>
      <c r="CD21" s="1" t="s">
        <v>58</v>
      </c>
      <c r="CE21" s="1" t="s">
        <v>59</v>
      </c>
      <c r="CF21" s="1" t="s">
        <v>59</v>
      </c>
      <c r="CG21" s="1" t="s">
        <v>60</v>
      </c>
      <c r="CH21" s="1" t="s">
        <v>60</v>
      </c>
      <c r="CI21" s="1" t="s">
        <v>61</v>
      </c>
      <c r="CJ21" s="1" t="s">
        <v>61</v>
      </c>
      <c r="CK21" s="1" t="s">
        <v>62</v>
      </c>
      <c r="CL21" s="1" t="s">
        <v>62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66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0.16</v>
      </c>
      <c r="J23" s="2">
        <v>0.09</v>
      </c>
      <c r="K23" s="2">
        <v>0.23</v>
      </c>
      <c r="L23" s="2">
        <v>0.08</v>
      </c>
      <c r="M23" s="2">
        <v>0.22</v>
      </c>
      <c r="N23" s="2">
        <v>0.05</v>
      </c>
      <c r="O23" s="2">
        <v>0.2</v>
      </c>
      <c r="P23" s="2">
        <v>0.02</v>
      </c>
      <c r="Q23" s="2">
        <v>0.15</v>
      </c>
      <c r="R23" s="2">
        <v>0.05</v>
      </c>
      <c r="S23" s="2">
        <v>0.01</v>
      </c>
      <c r="T23" s="2">
        <v>0.01</v>
      </c>
      <c r="U23" s="2">
        <v>0.03</v>
      </c>
      <c r="V23" s="2">
        <v>0.01</v>
      </c>
      <c r="X23" s="1" t="s">
        <v>66</v>
      </c>
      <c r="Y23" s="2">
        <v>3700.9</v>
      </c>
      <c r="Z23" s="2">
        <v>3567.2</v>
      </c>
      <c r="AA23" s="2">
        <v>765.36</v>
      </c>
      <c r="AB23" s="2">
        <v>699.64</v>
      </c>
      <c r="AC23" s="2">
        <v>604.22</v>
      </c>
      <c r="AD23" s="2">
        <v>1229.1099999999999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852.6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450.1</v>
      </c>
      <c r="AR23" s="2">
        <v>134.74</v>
      </c>
      <c r="AU23" s="1" t="s">
        <v>66</v>
      </c>
      <c r="AV23" s="2">
        <v>16800</v>
      </c>
      <c r="AW23" s="2">
        <v>16800</v>
      </c>
      <c r="AX23" s="2">
        <v>14482.74</v>
      </c>
      <c r="AY23" s="2">
        <v>13567.06</v>
      </c>
      <c r="AZ23" s="2">
        <v>13750.68</v>
      </c>
      <c r="BA23" s="2">
        <v>16795.189999999999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16800</v>
      </c>
      <c r="BO23" s="2">
        <v>13534.86</v>
      </c>
      <c r="BR23" s="1" t="s">
        <v>66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67</v>
      </c>
      <c r="C24" s="2">
        <v>0.19</v>
      </c>
      <c r="D24" s="2">
        <v>0.19</v>
      </c>
      <c r="E24" s="2">
        <v>0.2</v>
      </c>
      <c r="F24" s="2">
        <v>0.2</v>
      </c>
      <c r="G24" s="2">
        <v>0.2</v>
      </c>
      <c r="H24" s="2">
        <v>0.05</v>
      </c>
      <c r="I24" s="2">
        <v>0.19</v>
      </c>
      <c r="J24" s="2">
        <v>0.2</v>
      </c>
      <c r="K24" s="2">
        <v>0.18</v>
      </c>
      <c r="L24" s="2">
        <v>0.19</v>
      </c>
      <c r="M24" s="2">
        <v>0.18</v>
      </c>
      <c r="N24" s="2">
        <v>0.19</v>
      </c>
      <c r="O24" s="2">
        <v>0.18</v>
      </c>
      <c r="P24" s="2">
        <v>0.19</v>
      </c>
      <c r="Q24" s="2">
        <v>0.18</v>
      </c>
      <c r="R24" s="2">
        <v>0.18</v>
      </c>
      <c r="S24" s="2">
        <v>0.18</v>
      </c>
      <c r="T24" s="2">
        <v>0.19</v>
      </c>
      <c r="U24" s="2">
        <v>0.18</v>
      </c>
      <c r="V24" s="2">
        <v>0.19</v>
      </c>
      <c r="X24" s="1" t="s">
        <v>67</v>
      </c>
      <c r="Y24" s="2">
        <v>1410.62</v>
      </c>
      <c r="Z24" s="2">
        <v>870.33</v>
      </c>
      <c r="AA24" s="2">
        <v>1453.35</v>
      </c>
      <c r="AB24" s="2">
        <v>936.83</v>
      </c>
      <c r="AC24" s="2">
        <v>910.06</v>
      </c>
      <c r="AD24" s="2">
        <v>358.28</v>
      </c>
      <c r="AE24" s="2">
        <v>1585.35</v>
      </c>
      <c r="AF24" s="2">
        <v>1045.4100000000001</v>
      </c>
      <c r="AG24" s="2">
        <v>1478.23</v>
      </c>
      <c r="AH24" s="2">
        <v>965.41</v>
      </c>
      <c r="AI24" s="2">
        <v>1402.63</v>
      </c>
      <c r="AJ24" s="2">
        <v>969.78</v>
      </c>
      <c r="AK24" s="2">
        <v>1183.74</v>
      </c>
      <c r="AL24" s="2">
        <v>1041.9000000000001</v>
      </c>
      <c r="AM24" s="2">
        <v>1138.21</v>
      </c>
      <c r="AN24" s="2">
        <v>1050.0999999999999</v>
      </c>
      <c r="AO24" s="2">
        <v>1109.81</v>
      </c>
      <c r="AP24" s="2">
        <v>822.01</v>
      </c>
      <c r="AQ24" s="2">
        <v>1310.07</v>
      </c>
      <c r="AR24" s="2">
        <v>823.14</v>
      </c>
      <c r="AU24" s="1" t="s">
        <v>67</v>
      </c>
      <c r="AV24" s="2">
        <v>6955.78</v>
      </c>
      <c r="AW24" s="2">
        <v>4565.07</v>
      </c>
      <c r="AX24" s="2">
        <v>6312.65</v>
      </c>
      <c r="AY24" s="2">
        <v>4223.37</v>
      </c>
      <c r="AZ24" s="2">
        <v>4131.34</v>
      </c>
      <c r="BA24" s="2">
        <v>6165.82</v>
      </c>
      <c r="BB24" s="2">
        <v>7128.85</v>
      </c>
      <c r="BC24" s="2">
        <v>4939.3900000000003</v>
      </c>
      <c r="BD24" s="2">
        <v>7231.07</v>
      </c>
      <c r="BE24" s="2">
        <v>4915.3900000000003</v>
      </c>
      <c r="BF24" s="2">
        <v>7059.07</v>
      </c>
      <c r="BG24" s="2">
        <v>5009.62</v>
      </c>
      <c r="BH24" s="2">
        <v>5913.06</v>
      </c>
      <c r="BI24" s="2">
        <v>5330.8</v>
      </c>
      <c r="BJ24" s="2">
        <v>5761.49</v>
      </c>
      <c r="BK24" s="2">
        <v>5349.1</v>
      </c>
      <c r="BL24" s="2">
        <v>5603.19</v>
      </c>
      <c r="BM24" s="2">
        <v>4292.49</v>
      </c>
      <c r="BN24" s="2">
        <v>6943.53</v>
      </c>
      <c r="BO24" s="2">
        <v>4423.96</v>
      </c>
      <c r="BR24" s="1" t="s">
        <v>67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68</v>
      </c>
      <c r="C25" s="2">
        <v>0.22</v>
      </c>
      <c r="D25" s="2">
        <v>0.19</v>
      </c>
      <c r="E25" s="2">
        <v>0.21</v>
      </c>
      <c r="F25" s="2">
        <v>0.2</v>
      </c>
      <c r="G25" s="2">
        <v>0.32</v>
      </c>
      <c r="H25" s="2">
        <v>0.24</v>
      </c>
      <c r="I25" s="2">
        <v>0.26</v>
      </c>
      <c r="J25" s="2">
        <v>0.2</v>
      </c>
      <c r="K25" s="2">
        <v>0.26</v>
      </c>
      <c r="L25" s="2">
        <v>0.19</v>
      </c>
      <c r="M25" s="2">
        <v>0.26</v>
      </c>
      <c r="N25" s="2">
        <v>0.18</v>
      </c>
      <c r="O25" s="2">
        <v>0.27</v>
      </c>
      <c r="P25" s="2">
        <v>0.18</v>
      </c>
      <c r="Q25" s="2">
        <v>0.28000000000000003</v>
      </c>
      <c r="R25" s="2">
        <v>0.18</v>
      </c>
      <c r="S25" s="2">
        <v>0.18</v>
      </c>
      <c r="T25" s="2">
        <v>0.19</v>
      </c>
      <c r="U25" s="2">
        <v>0.18</v>
      </c>
      <c r="V25" s="2">
        <v>0.19</v>
      </c>
      <c r="X25" s="1" t="s">
        <v>68</v>
      </c>
      <c r="Y25" s="2">
        <v>5578.44</v>
      </c>
      <c r="Z25" s="2">
        <v>2169.13</v>
      </c>
      <c r="AA25" s="2">
        <v>5359.24</v>
      </c>
      <c r="AB25" s="2">
        <v>2125.0500000000002</v>
      </c>
      <c r="AC25" s="2">
        <v>6103.95</v>
      </c>
      <c r="AD25" s="2">
        <v>5446.17</v>
      </c>
      <c r="AE25" s="2">
        <v>6574.95</v>
      </c>
      <c r="AF25" s="2">
        <v>3566.86</v>
      </c>
      <c r="AG25" s="2">
        <v>6990.35</v>
      </c>
      <c r="AH25" s="2">
        <v>3167.38</v>
      </c>
      <c r="AI25" s="2">
        <v>7115.03</v>
      </c>
      <c r="AJ25" s="2">
        <v>3113.73</v>
      </c>
      <c r="AK25" s="2">
        <v>6746.43</v>
      </c>
      <c r="AL25" s="2">
        <v>3142.2</v>
      </c>
      <c r="AM25" s="2">
        <v>6517.09</v>
      </c>
      <c r="AN25" s="2">
        <v>3057.9</v>
      </c>
      <c r="AO25" s="2">
        <v>3365.19</v>
      </c>
      <c r="AP25" s="2">
        <v>2656.45</v>
      </c>
      <c r="AQ25" s="2">
        <v>2637.04</v>
      </c>
      <c r="AR25" s="2">
        <v>2352.77</v>
      </c>
      <c r="AU25" s="1" t="s">
        <v>68</v>
      </c>
      <c r="AV25" s="2">
        <v>23348.34</v>
      </c>
      <c r="AW25" s="2">
        <v>11697.17</v>
      </c>
      <c r="AX25" s="2">
        <v>22446.9</v>
      </c>
      <c r="AY25" s="2">
        <v>9600.75</v>
      </c>
      <c r="AZ25" s="2">
        <v>16138.62</v>
      </c>
      <c r="BA25" s="2">
        <v>19597.349999999999</v>
      </c>
      <c r="BB25" s="2">
        <v>22321.71</v>
      </c>
      <c r="BC25" s="2">
        <v>17581.18</v>
      </c>
      <c r="BD25" s="2">
        <v>23234.65</v>
      </c>
      <c r="BE25" s="2">
        <v>17026.849999999999</v>
      </c>
      <c r="BF25" s="2">
        <v>23364.97</v>
      </c>
      <c r="BG25" s="2">
        <v>17123.27</v>
      </c>
      <c r="BH25" s="2">
        <v>21533.34</v>
      </c>
      <c r="BI25" s="2">
        <v>17360.13</v>
      </c>
      <c r="BJ25" s="2">
        <v>20371.849999999999</v>
      </c>
      <c r="BK25" s="2">
        <v>16631.16</v>
      </c>
      <c r="BL25" s="2">
        <v>18207.759999999998</v>
      </c>
      <c r="BM25" s="2">
        <v>14842</v>
      </c>
      <c r="BN25" s="2">
        <v>14510.24</v>
      </c>
      <c r="BO25" s="2">
        <v>13129.39</v>
      </c>
      <c r="BR25" s="1" t="s">
        <v>68</v>
      </c>
      <c r="BS25" s="2">
        <v>28926.78</v>
      </c>
      <c r="BT25" s="2">
        <v>13866.3</v>
      </c>
      <c r="BU25" s="2">
        <v>27806.14</v>
      </c>
      <c r="BV25" s="2">
        <v>11725.8</v>
      </c>
      <c r="BW25" s="2">
        <v>22242.57</v>
      </c>
      <c r="BX25" s="2">
        <v>25043.52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69</v>
      </c>
      <c r="C26" s="2">
        <v>0.23</v>
      </c>
      <c r="D26" s="2">
        <v>0.19</v>
      </c>
      <c r="E26" s="2">
        <v>0.19</v>
      </c>
      <c r="F26" s="2">
        <v>0.2</v>
      </c>
      <c r="G26" s="2">
        <v>0.24</v>
      </c>
      <c r="H26" s="2">
        <v>0.2</v>
      </c>
      <c r="I26" s="2">
        <v>0.21</v>
      </c>
      <c r="J26" s="2">
        <v>0.2</v>
      </c>
      <c r="K26" s="2">
        <v>0.2</v>
      </c>
      <c r="L26" s="2">
        <v>0.19</v>
      </c>
      <c r="M26" s="2">
        <v>0.2</v>
      </c>
      <c r="N26" s="2">
        <v>0.19</v>
      </c>
      <c r="O26" s="2">
        <v>0.2</v>
      </c>
      <c r="P26" s="2">
        <v>0.19</v>
      </c>
      <c r="Q26" s="2">
        <v>0.18</v>
      </c>
      <c r="R26" s="2">
        <v>0.19</v>
      </c>
      <c r="S26" s="2">
        <v>0.19</v>
      </c>
      <c r="T26" s="2">
        <v>0.19</v>
      </c>
      <c r="U26" s="2">
        <v>0.19</v>
      </c>
      <c r="V26" s="2">
        <v>0.19</v>
      </c>
      <c r="X26" s="1" t="s">
        <v>69</v>
      </c>
      <c r="Y26" s="2">
        <v>1624.97</v>
      </c>
      <c r="Z26" s="2">
        <v>733.98</v>
      </c>
      <c r="AA26" s="2">
        <v>1440.43</v>
      </c>
      <c r="AB26" s="2">
        <v>854.43</v>
      </c>
      <c r="AC26" s="2">
        <v>1402.79</v>
      </c>
      <c r="AD26" s="2">
        <v>1495.04</v>
      </c>
      <c r="AE26" s="2">
        <v>1626.1</v>
      </c>
      <c r="AF26" s="2">
        <v>1192.94</v>
      </c>
      <c r="AG26" s="2">
        <v>1526.72</v>
      </c>
      <c r="AH26" s="2">
        <v>1065.3699999999999</v>
      </c>
      <c r="AI26" s="2">
        <v>1525.62</v>
      </c>
      <c r="AJ26" s="2">
        <v>1015.71</v>
      </c>
      <c r="AK26" s="2">
        <v>1520.23</v>
      </c>
      <c r="AL26" s="2">
        <v>1017.97</v>
      </c>
      <c r="AM26" s="2">
        <v>1231.56</v>
      </c>
      <c r="AN26" s="2">
        <v>978.65</v>
      </c>
      <c r="AO26" s="2">
        <v>989.77</v>
      </c>
      <c r="AP26" s="2">
        <v>879.87</v>
      </c>
      <c r="AQ26" s="2">
        <v>886.98</v>
      </c>
      <c r="AR26" s="2">
        <v>829.26</v>
      </c>
      <c r="AU26" s="1" t="s">
        <v>69</v>
      </c>
      <c r="AV26" s="2">
        <v>6934.72</v>
      </c>
      <c r="AW26" s="2">
        <v>4195.82</v>
      </c>
      <c r="AX26" s="2">
        <v>6678.95</v>
      </c>
      <c r="AY26" s="2">
        <v>3998.57</v>
      </c>
      <c r="AZ26" s="2">
        <v>5535.89</v>
      </c>
      <c r="BA26" s="2">
        <v>7384.96</v>
      </c>
      <c r="BB26" s="2">
        <v>7253.9</v>
      </c>
      <c r="BC26" s="2">
        <v>6128.03</v>
      </c>
      <c r="BD26" s="2">
        <v>7353.28</v>
      </c>
      <c r="BE26" s="2">
        <v>5865.6</v>
      </c>
      <c r="BF26" s="2">
        <v>7354.38</v>
      </c>
      <c r="BG26" s="2">
        <v>5733.68</v>
      </c>
      <c r="BH26" s="2">
        <v>7359.77</v>
      </c>
      <c r="BI26" s="2">
        <v>5772.83</v>
      </c>
      <c r="BJ26" s="2">
        <v>6901.84</v>
      </c>
      <c r="BK26" s="2">
        <v>5480.05</v>
      </c>
      <c r="BL26" s="2">
        <v>5449.03</v>
      </c>
      <c r="BM26" s="2">
        <v>5146.53</v>
      </c>
      <c r="BN26" s="2">
        <v>5067.92</v>
      </c>
      <c r="BO26" s="2">
        <v>4817.45</v>
      </c>
      <c r="BR26" s="1" t="s">
        <v>69</v>
      </c>
      <c r="BS26" s="2">
        <v>8559.69</v>
      </c>
      <c r="BT26" s="2">
        <v>4929.8</v>
      </c>
      <c r="BU26" s="2">
        <v>8119.38</v>
      </c>
      <c r="BV26" s="2">
        <v>4853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70</v>
      </c>
      <c r="C27" s="2">
        <v>0.23</v>
      </c>
      <c r="D27" s="2">
        <v>0.19</v>
      </c>
      <c r="E27" s="2">
        <v>0.21</v>
      </c>
      <c r="F27" s="2">
        <v>0.2</v>
      </c>
      <c r="G27" s="2">
        <v>0.23</v>
      </c>
      <c r="H27" s="2">
        <v>0.22</v>
      </c>
      <c r="I27" s="2">
        <v>0.2</v>
      </c>
      <c r="J27" s="2">
        <v>0.2</v>
      </c>
      <c r="K27" s="2">
        <v>0.19</v>
      </c>
      <c r="L27" s="2">
        <v>0.19</v>
      </c>
      <c r="M27" s="2">
        <v>0.18</v>
      </c>
      <c r="N27" s="2">
        <v>0.18</v>
      </c>
      <c r="O27" s="2">
        <v>0.19</v>
      </c>
      <c r="P27" s="2">
        <v>0.19</v>
      </c>
      <c r="Q27" s="2">
        <v>0.19</v>
      </c>
      <c r="R27" s="2">
        <v>0.19</v>
      </c>
      <c r="S27" s="2">
        <v>0.19</v>
      </c>
      <c r="T27" s="2">
        <v>0.19</v>
      </c>
      <c r="U27" s="2">
        <v>0.19</v>
      </c>
      <c r="V27" s="2">
        <v>0.19</v>
      </c>
      <c r="X27" s="1" t="s">
        <v>70</v>
      </c>
      <c r="Y27" s="2">
        <v>5541.96</v>
      </c>
      <c r="Z27" s="2">
        <v>5917.87</v>
      </c>
      <c r="AA27" s="2">
        <v>7135.65</v>
      </c>
      <c r="AB27" s="2">
        <v>7556.83</v>
      </c>
      <c r="AC27" s="2">
        <v>5499.7</v>
      </c>
      <c r="AD27" s="2">
        <v>6046.1</v>
      </c>
      <c r="AE27" s="2">
        <v>6512.42</v>
      </c>
      <c r="AF27" s="2">
        <v>6243.63</v>
      </c>
      <c r="AG27" s="2">
        <v>6541.41</v>
      </c>
      <c r="AH27" s="2">
        <v>6490.15</v>
      </c>
      <c r="AI27" s="2">
        <v>6175.13</v>
      </c>
      <c r="AJ27" s="2">
        <v>6306.15</v>
      </c>
      <c r="AK27" s="2">
        <v>5850.87</v>
      </c>
      <c r="AL27" s="2">
        <v>6219.47</v>
      </c>
      <c r="AM27" s="2">
        <v>5318.45</v>
      </c>
      <c r="AN27" s="2">
        <v>5405.29</v>
      </c>
      <c r="AO27" s="2">
        <v>4924.07</v>
      </c>
      <c r="AP27" s="2">
        <v>5056.49</v>
      </c>
      <c r="AQ27" s="2">
        <v>4919.88</v>
      </c>
      <c r="AR27" s="2">
        <v>5484.79</v>
      </c>
      <c r="AU27" s="1" t="s">
        <v>70</v>
      </c>
      <c r="AV27" s="2">
        <v>23572.05</v>
      </c>
      <c r="AW27" s="2">
        <v>31126.63</v>
      </c>
      <c r="AX27" s="2">
        <v>30456.19</v>
      </c>
      <c r="AY27" s="2">
        <v>33649.67</v>
      </c>
      <c r="AZ27" s="2">
        <v>22403.42</v>
      </c>
      <c r="BA27" s="2">
        <v>25066.32</v>
      </c>
      <c r="BB27" s="2">
        <v>30798.58</v>
      </c>
      <c r="BC27" s="2">
        <v>30229.37</v>
      </c>
      <c r="BD27" s="2">
        <v>33956.589999999997</v>
      </c>
      <c r="BE27" s="2">
        <v>33958.35</v>
      </c>
      <c r="BF27" s="2">
        <v>32657.87</v>
      </c>
      <c r="BG27" s="2">
        <v>33387.35</v>
      </c>
      <c r="BH27" s="2">
        <v>30819.63</v>
      </c>
      <c r="BI27" s="2">
        <v>32680.53</v>
      </c>
      <c r="BJ27" s="2">
        <v>28314.55</v>
      </c>
      <c r="BK27" s="2">
        <v>28607.21</v>
      </c>
      <c r="BL27" s="2">
        <v>26384.43</v>
      </c>
      <c r="BM27" s="2">
        <v>26897.51</v>
      </c>
      <c r="BN27" s="2">
        <v>27067.119999999999</v>
      </c>
      <c r="BO27" s="2">
        <v>30124.21</v>
      </c>
      <c r="BR27" s="1" t="s">
        <v>70</v>
      </c>
      <c r="BS27" s="2">
        <v>29114.01</v>
      </c>
      <c r="BT27" s="2">
        <v>37044.5</v>
      </c>
      <c r="BU27" s="2">
        <v>37591.839999999997</v>
      </c>
      <c r="BV27" s="2">
        <v>41206.5</v>
      </c>
      <c r="BW27" s="2">
        <v>27903.11</v>
      </c>
      <c r="BX27" s="2">
        <v>31112.41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71</v>
      </c>
      <c r="C28" s="2">
        <v>0.25</v>
      </c>
      <c r="D28" s="2">
        <v>0.24</v>
      </c>
      <c r="E28" s="2">
        <v>0.24</v>
      </c>
      <c r="F28" s="2">
        <v>0.24</v>
      </c>
      <c r="G28" s="2">
        <v>0.26</v>
      </c>
      <c r="H28" s="2">
        <v>0.25</v>
      </c>
      <c r="I28" s="2">
        <v>0.25</v>
      </c>
      <c r="J28" s="2">
        <v>0.25</v>
      </c>
      <c r="K28" s="2">
        <v>0.23</v>
      </c>
      <c r="L28" s="2">
        <v>0.22</v>
      </c>
      <c r="M28" s="2">
        <v>0.23</v>
      </c>
      <c r="N28" s="2">
        <v>0.21</v>
      </c>
      <c r="O28" s="2">
        <v>0.23</v>
      </c>
      <c r="P28" s="2">
        <v>0.22</v>
      </c>
      <c r="Q28" s="2">
        <v>0.23</v>
      </c>
      <c r="R28" s="2">
        <v>0.21</v>
      </c>
      <c r="S28" s="2">
        <v>0.23</v>
      </c>
      <c r="T28" s="2">
        <v>0.22</v>
      </c>
      <c r="U28" s="2">
        <v>0.23</v>
      </c>
      <c r="V28" s="2">
        <v>0.23</v>
      </c>
      <c r="X28" s="1" t="s">
        <v>71</v>
      </c>
      <c r="Y28" s="2">
        <v>1443.6</v>
      </c>
      <c r="Z28" s="2">
        <v>1472.11</v>
      </c>
      <c r="AA28" s="2">
        <v>1960.26</v>
      </c>
      <c r="AB28" s="2">
        <v>2001.67</v>
      </c>
      <c r="AC28" s="2">
        <v>1279.19</v>
      </c>
      <c r="AD28" s="2">
        <v>1432.06</v>
      </c>
      <c r="AE28" s="2">
        <v>1460.41</v>
      </c>
      <c r="AF28" s="2">
        <v>1192.5899999999999</v>
      </c>
      <c r="AG28" s="2">
        <v>1366.03</v>
      </c>
      <c r="AH28" s="2">
        <v>1704.16</v>
      </c>
      <c r="AI28" s="2">
        <v>1424.53</v>
      </c>
      <c r="AJ28" s="2">
        <v>1692.91</v>
      </c>
      <c r="AK28" s="2">
        <v>1423.69</v>
      </c>
      <c r="AL28" s="2">
        <v>1680.95</v>
      </c>
      <c r="AM28" s="2">
        <v>1390.11</v>
      </c>
      <c r="AN28" s="2">
        <v>1626.71</v>
      </c>
      <c r="AO28" s="2">
        <v>1326.64</v>
      </c>
      <c r="AP28" s="2">
        <v>1595.32</v>
      </c>
      <c r="AQ28" s="2">
        <v>1206.18</v>
      </c>
      <c r="AR28" s="2">
        <v>1190.93</v>
      </c>
      <c r="AU28" s="1" t="s">
        <v>71</v>
      </c>
      <c r="AV28" s="2">
        <v>5463.21</v>
      </c>
      <c r="AW28" s="2">
        <v>5566.64</v>
      </c>
      <c r="AX28" s="2">
        <v>6919.74</v>
      </c>
      <c r="AY28" s="2">
        <v>6878.33</v>
      </c>
      <c r="AZ28" s="2">
        <v>4497.54</v>
      </c>
      <c r="BA28" s="2">
        <v>5123.92</v>
      </c>
      <c r="BB28" s="2">
        <v>5165.3900000000003</v>
      </c>
      <c r="BC28" s="2">
        <v>4377.33</v>
      </c>
      <c r="BD28" s="2">
        <v>5289.17</v>
      </c>
      <c r="BE28" s="2">
        <v>6954.84</v>
      </c>
      <c r="BF28" s="2">
        <v>5728.57</v>
      </c>
      <c r="BG28" s="2">
        <v>7187.09</v>
      </c>
      <c r="BH28" s="2">
        <v>5673.29</v>
      </c>
      <c r="BI28" s="2">
        <v>6791.16</v>
      </c>
      <c r="BJ28" s="2">
        <v>5646.76</v>
      </c>
      <c r="BK28" s="2">
        <v>6811.96</v>
      </c>
      <c r="BL28" s="2">
        <v>5438.81</v>
      </c>
      <c r="BM28" s="2">
        <v>6399.34</v>
      </c>
      <c r="BN28" s="2">
        <v>5060.8599999999997</v>
      </c>
      <c r="BO28" s="2">
        <v>4673.07</v>
      </c>
      <c r="BR28" s="1" t="s">
        <v>71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6625.8</v>
      </c>
      <c r="BZ28" s="2">
        <v>5569.92</v>
      </c>
      <c r="CA28" s="2">
        <v>6655.2</v>
      </c>
      <c r="CB28" s="2">
        <v>8659</v>
      </c>
      <c r="CC28" s="2">
        <v>7153.1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72</v>
      </c>
      <c r="C29" s="2">
        <v>0.24</v>
      </c>
      <c r="D29" s="2">
        <v>0.24</v>
      </c>
      <c r="E29" s="2">
        <v>0.24</v>
      </c>
      <c r="F29" s="2">
        <v>0.22</v>
      </c>
      <c r="G29" s="2">
        <v>0.28000000000000003</v>
      </c>
      <c r="H29" s="2">
        <v>0.24</v>
      </c>
      <c r="I29" s="2">
        <v>0.24</v>
      </c>
      <c r="J29" s="2">
        <v>0.32</v>
      </c>
      <c r="K29" s="2">
        <v>0.23</v>
      </c>
      <c r="L29" s="2">
        <v>0.27</v>
      </c>
      <c r="M29" s="2">
        <v>0.22</v>
      </c>
      <c r="N29" s="2">
        <v>0.27</v>
      </c>
      <c r="O29" s="2">
        <v>0.22</v>
      </c>
      <c r="P29" s="2">
        <v>0.26</v>
      </c>
      <c r="Q29" s="2">
        <v>0.22</v>
      </c>
      <c r="R29" s="2">
        <v>0.22</v>
      </c>
      <c r="S29" s="2">
        <v>0.22</v>
      </c>
      <c r="T29" s="2">
        <v>0.22</v>
      </c>
      <c r="U29" s="2">
        <v>0.22</v>
      </c>
      <c r="V29" s="2">
        <v>0.22</v>
      </c>
      <c r="X29" s="1" t="s">
        <v>72</v>
      </c>
      <c r="Y29" s="2">
        <v>5373.84</v>
      </c>
      <c r="Z29" s="2">
        <v>5613.45</v>
      </c>
      <c r="AA29" s="2">
        <v>5758.8</v>
      </c>
      <c r="AB29" s="2">
        <v>6206.13</v>
      </c>
      <c r="AC29" s="2">
        <v>4532.66</v>
      </c>
      <c r="AD29" s="2">
        <v>5481.94</v>
      </c>
      <c r="AE29" s="2">
        <v>4913.59</v>
      </c>
      <c r="AF29" s="2">
        <v>5933.39</v>
      </c>
      <c r="AG29" s="2">
        <v>4319.6899999999996</v>
      </c>
      <c r="AH29" s="2">
        <v>7313.09</v>
      </c>
      <c r="AI29" s="2">
        <v>4325.3599999999997</v>
      </c>
      <c r="AJ29" s="2">
        <v>7317.58</v>
      </c>
      <c r="AK29" s="2">
        <v>4368.99</v>
      </c>
      <c r="AL29" s="2">
        <v>6532.76</v>
      </c>
      <c r="AM29" s="2">
        <v>4410.5200000000004</v>
      </c>
      <c r="AN29" s="2">
        <v>4757.42</v>
      </c>
      <c r="AO29" s="2">
        <v>3952.11</v>
      </c>
      <c r="AP29" s="2">
        <v>4082.6</v>
      </c>
      <c r="AQ29" s="2">
        <v>3664.61</v>
      </c>
      <c r="AR29" s="2">
        <v>3649.74</v>
      </c>
      <c r="AU29" s="1" t="s">
        <v>72</v>
      </c>
      <c r="AV29" s="2">
        <v>20929.12</v>
      </c>
      <c r="AW29" s="2">
        <v>22279.86</v>
      </c>
      <c r="AX29" s="2">
        <v>20033.900000000001</v>
      </c>
      <c r="AY29" s="2">
        <v>23669.54</v>
      </c>
      <c r="AZ29" s="2">
        <v>13774.15</v>
      </c>
      <c r="BA29" s="2">
        <v>20469.45</v>
      </c>
      <c r="BB29" s="2">
        <v>18230.96</v>
      </c>
      <c r="BC29" s="2">
        <v>15322.95</v>
      </c>
      <c r="BD29" s="2">
        <v>17315.509999999998</v>
      </c>
      <c r="BE29" s="2">
        <v>23166.91</v>
      </c>
      <c r="BF29" s="2">
        <v>18149.77</v>
      </c>
      <c r="BG29" s="2">
        <v>23162.42</v>
      </c>
      <c r="BH29" s="2">
        <v>18151.04</v>
      </c>
      <c r="BI29" s="2">
        <v>22404.94</v>
      </c>
      <c r="BJ29" s="2">
        <v>19108.099999999999</v>
      </c>
      <c r="BK29" s="2">
        <v>20518.66</v>
      </c>
      <c r="BL29" s="2">
        <v>16835.939999999999</v>
      </c>
      <c r="BM29" s="2">
        <v>17139.45</v>
      </c>
      <c r="BN29" s="2">
        <v>15829.8</v>
      </c>
      <c r="BO29" s="2">
        <v>15522.85</v>
      </c>
      <c r="BR29" s="1" t="s">
        <v>72</v>
      </c>
      <c r="BS29" s="2">
        <v>26302.959999999999</v>
      </c>
      <c r="BT29" s="2">
        <v>27893.31</v>
      </c>
      <c r="BU29" s="2">
        <v>25792.7</v>
      </c>
      <c r="BV29" s="2">
        <v>29875.67</v>
      </c>
      <c r="BW29" s="2">
        <v>18306.810000000001</v>
      </c>
      <c r="BX29" s="2">
        <v>25951.39</v>
      </c>
      <c r="BY29" s="2">
        <v>23144.55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73</v>
      </c>
      <c r="C30" s="2">
        <v>0.23</v>
      </c>
      <c r="D30" s="2">
        <v>0.23</v>
      </c>
      <c r="E30" s="2">
        <v>0.24</v>
      </c>
      <c r="F30" s="2">
        <v>0.25</v>
      </c>
      <c r="G30" s="2">
        <v>0.05</v>
      </c>
      <c r="H30" s="2">
        <v>0.25</v>
      </c>
      <c r="I30" s="2">
        <v>0.15</v>
      </c>
      <c r="J30" s="2">
        <v>0.25</v>
      </c>
      <c r="K30" s="2">
        <v>0.23</v>
      </c>
      <c r="L30" s="2">
        <v>0.23</v>
      </c>
      <c r="M30" s="2">
        <v>0.23</v>
      </c>
      <c r="N30" s="2">
        <v>0.23</v>
      </c>
      <c r="O30" s="2">
        <v>0.23</v>
      </c>
      <c r="P30" s="2">
        <v>0.23</v>
      </c>
      <c r="Q30" s="2">
        <v>0.23</v>
      </c>
      <c r="R30" s="2">
        <v>0.23</v>
      </c>
      <c r="S30" s="2">
        <v>0.23</v>
      </c>
      <c r="T30" s="2">
        <v>0.23</v>
      </c>
      <c r="U30" s="2">
        <v>0.23</v>
      </c>
      <c r="V30" s="2">
        <v>0.23</v>
      </c>
      <c r="X30" s="1" t="s">
        <v>73</v>
      </c>
      <c r="Y30" s="2">
        <v>2655.54</v>
      </c>
      <c r="Z30" s="2">
        <v>3355.48</v>
      </c>
      <c r="AA30" s="2">
        <v>2708.92</v>
      </c>
      <c r="AB30" s="2">
        <v>2915.4</v>
      </c>
      <c r="AC30" s="2">
        <v>482.97</v>
      </c>
      <c r="AD30" s="2">
        <v>3082.09</v>
      </c>
      <c r="AE30" s="2">
        <v>1295.4000000000001</v>
      </c>
      <c r="AF30" s="2">
        <v>3091.79</v>
      </c>
      <c r="AG30" s="2">
        <v>2188.7199999999998</v>
      </c>
      <c r="AH30" s="2">
        <v>2963.6</v>
      </c>
      <c r="AI30" s="2">
        <v>2137.2199999999998</v>
      </c>
      <c r="AJ30" s="2">
        <v>3030.37</v>
      </c>
      <c r="AK30" s="2">
        <v>2116.3200000000002</v>
      </c>
      <c r="AL30" s="2">
        <v>2863.17</v>
      </c>
      <c r="AM30" s="2">
        <v>2020.3</v>
      </c>
      <c r="AN30" s="2">
        <v>2234.58</v>
      </c>
      <c r="AO30" s="2">
        <v>1901.34</v>
      </c>
      <c r="AP30" s="2">
        <v>1933.12</v>
      </c>
      <c r="AQ30" s="2">
        <v>1969.63</v>
      </c>
      <c r="AR30" s="2">
        <v>2023.63</v>
      </c>
      <c r="AU30" s="1" t="s">
        <v>73</v>
      </c>
      <c r="AV30" s="2">
        <v>11336.46</v>
      </c>
      <c r="AW30" s="2">
        <v>13778.12</v>
      </c>
      <c r="AX30" s="2">
        <v>9561.08</v>
      </c>
      <c r="AY30" s="2">
        <v>10163.700000000001</v>
      </c>
      <c r="AZ30" s="2">
        <v>8836.5300000000007</v>
      </c>
      <c r="BA30" s="2">
        <v>11289.11</v>
      </c>
      <c r="BB30" s="2">
        <v>9360</v>
      </c>
      <c r="BC30" s="2">
        <v>11521.07</v>
      </c>
      <c r="BD30" s="2">
        <v>9576.3799999999992</v>
      </c>
      <c r="BE30" s="2">
        <v>11903.52</v>
      </c>
      <c r="BF30" s="2">
        <v>9349.18</v>
      </c>
      <c r="BG30" s="2">
        <v>12307.19</v>
      </c>
      <c r="BH30" s="2">
        <v>9358.3799999999992</v>
      </c>
      <c r="BI30" s="2">
        <v>11836.23</v>
      </c>
      <c r="BJ30" s="2">
        <v>8930.6</v>
      </c>
      <c r="BK30" s="2">
        <v>9590.52</v>
      </c>
      <c r="BL30" s="2">
        <v>8380.26</v>
      </c>
      <c r="BM30" s="2">
        <v>8541.08</v>
      </c>
      <c r="BN30" s="2">
        <v>8792.8700000000008</v>
      </c>
      <c r="BO30" s="2">
        <v>9313.3700000000008</v>
      </c>
      <c r="BR30" s="1" t="s">
        <v>73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63</v>
      </c>
      <c r="D34" s="1" t="s">
        <v>64</v>
      </c>
      <c r="E34" s="1" t="s">
        <v>63</v>
      </c>
      <c r="F34" s="1" t="s">
        <v>64</v>
      </c>
      <c r="G34" s="1" t="s">
        <v>63</v>
      </c>
      <c r="H34" s="1" t="s">
        <v>64</v>
      </c>
      <c r="I34" s="1" t="s">
        <v>63</v>
      </c>
      <c r="J34" s="1" t="s">
        <v>64</v>
      </c>
      <c r="K34" s="1" t="s">
        <v>63</v>
      </c>
      <c r="L34" s="1" t="s">
        <v>64</v>
      </c>
      <c r="M34" s="1" t="s">
        <v>63</v>
      </c>
      <c r="N34" s="1" t="s">
        <v>64</v>
      </c>
      <c r="O34" s="1" t="s">
        <v>63</v>
      </c>
      <c r="P34" s="1" t="s">
        <v>64</v>
      </c>
      <c r="Q34" s="1" t="s">
        <v>63</v>
      </c>
      <c r="R34" s="1" t="s">
        <v>64</v>
      </c>
      <c r="S34" s="1" t="s">
        <v>63</v>
      </c>
      <c r="T34" s="1" t="s">
        <v>64</v>
      </c>
      <c r="U34" s="1" t="s">
        <v>63</v>
      </c>
      <c r="V34" s="1" t="s">
        <v>64</v>
      </c>
      <c r="X34" s="1" t="s">
        <v>6</v>
      </c>
      <c r="Y34" s="1" t="s">
        <v>63</v>
      </c>
      <c r="Z34" s="1" t="s">
        <v>64</v>
      </c>
      <c r="AA34" s="1" t="s">
        <v>63</v>
      </c>
      <c r="AB34" s="1" t="s">
        <v>64</v>
      </c>
      <c r="AC34" s="1" t="s">
        <v>63</v>
      </c>
      <c r="AD34" s="1" t="s">
        <v>64</v>
      </c>
      <c r="AE34" s="1" t="s">
        <v>63</v>
      </c>
      <c r="AF34" s="1" t="s">
        <v>64</v>
      </c>
      <c r="AG34" s="1" t="s">
        <v>63</v>
      </c>
      <c r="AH34" s="1" t="s">
        <v>64</v>
      </c>
      <c r="AI34" s="1" t="s">
        <v>63</v>
      </c>
      <c r="AJ34" s="1" t="s">
        <v>64</v>
      </c>
      <c r="AK34" s="1" t="s">
        <v>63</v>
      </c>
      <c r="AL34" s="1" t="s">
        <v>64</v>
      </c>
      <c r="AM34" s="1" t="s">
        <v>63</v>
      </c>
      <c r="AN34" s="1" t="s">
        <v>64</v>
      </c>
      <c r="AO34" s="1" t="s">
        <v>63</v>
      </c>
      <c r="AP34" s="1" t="s">
        <v>64</v>
      </c>
      <c r="AQ34" s="1" t="s">
        <v>63</v>
      </c>
      <c r="AR34" s="1" t="s">
        <v>64</v>
      </c>
      <c r="AU34" s="1" t="s">
        <v>6</v>
      </c>
      <c r="AV34" s="1" t="s">
        <v>63</v>
      </c>
      <c r="AW34" s="1" t="s">
        <v>64</v>
      </c>
      <c r="AX34" s="1" t="s">
        <v>63</v>
      </c>
      <c r="AY34" s="1" t="s">
        <v>64</v>
      </c>
      <c r="AZ34" s="1" t="s">
        <v>63</v>
      </c>
      <c r="BA34" s="1" t="s">
        <v>64</v>
      </c>
      <c r="BB34" s="1" t="s">
        <v>63</v>
      </c>
      <c r="BC34" s="1" t="s">
        <v>64</v>
      </c>
      <c r="BD34" s="1" t="s">
        <v>63</v>
      </c>
      <c r="BE34" s="1" t="s">
        <v>64</v>
      </c>
      <c r="BF34" s="1" t="s">
        <v>63</v>
      </c>
      <c r="BG34" s="1" t="s">
        <v>64</v>
      </c>
      <c r="BH34" s="1" t="s">
        <v>63</v>
      </c>
      <c r="BI34" s="1" t="s">
        <v>64</v>
      </c>
      <c r="BJ34" s="1" t="s">
        <v>63</v>
      </c>
      <c r="BK34" s="1" t="s">
        <v>64</v>
      </c>
      <c r="BL34" s="1" t="s">
        <v>63</v>
      </c>
      <c r="BM34" s="1" t="s">
        <v>64</v>
      </c>
      <c r="BN34" s="1" t="s">
        <v>63</v>
      </c>
      <c r="BO34" s="1" t="s">
        <v>64</v>
      </c>
      <c r="BR34" s="1" t="s">
        <v>6</v>
      </c>
      <c r="BS34" s="1" t="s">
        <v>63</v>
      </c>
      <c r="BT34" s="1" t="s">
        <v>64</v>
      </c>
      <c r="BU34" s="1" t="s">
        <v>63</v>
      </c>
      <c r="BV34" s="1" t="s">
        <v>64</v>
      </c>
      <c r="BW34" s="1" t="s">
        <v>63</v>
      </c>
      <c r="BX34" s="1" t="s">
        <v>64</v>
      </c>
      <c r="BY34" s="1" t="s">
        <v>63</v>
      </c>
      <c r="BZ34" s="1" t="s">
        <v>64</v>
      </c>
      <c r="CA34" s="1" t="s">
        <v>63</v>
      </c>
      <c r="CB34" s="1" t="s">
        <v>64</v>
      </c>
      <c r="CC34" s="1" t="s">
        <v>63</v>
      </c>
      <c r="CD34" s="1" t="s">
        <v>64</v>
      </c>
      <c r="CE34" s="1" t="s">
        <v>63</v>
      </c>
      <c r="CF34" s="1" t="s">
        <v>64</v>
      </c>
      <c r="CG34" s="1" t="s">
        <v>63</v>
      </c>
      <c r="CH34" s="1" t="s">
        <v>64</v>
      </c>
      <c r="CI34" s="1" t="s">
        <v>63</v>
      </c>
      <c r="CJ34" s="1" t="s">
        <v>64</v>
      </c>
      <c r="CK34" s="1" t="s">
        <v>63</v>
      </c>
      <c r="CL34" s="1" t="s">
        <v>64</v>
      </c>
    </row>
    <row r="35" spans="2:90" x14ac:dyDescent="0.3">
      <c r="B35" s="1" t="s">
        <v>65</v>
      </c>
      <c r="C35" s="1" t="s">
        <v>53</v>
      </c>
      <c r="D35" s="1" t="s">
        <v>53</v>
      </c>
      <c r="E35" s="1" t="s">
        <v>54</v>
      </c>
      <c r="F35" s="1" t="s">
        <v>54</v>
      </c>
      <c r="G35" s="1" t="s">
        <v>55</v>
      </c>
      <c r="H35" s="1" t="s">
        <v>55</v>
      </c>
      <c r="I35" s="1" t="s">
        <v>56</v>
      </c>
      <c r="J35" s="1" t="s">
        <v>56</v>
      </c>
      <c r="K35" s="1" t="s">
        <v>57</v>
      </c>
      <c r="L35" s="1" t="s">
        <v>57</v>
      </c>
      <c r="M35" s="1" t="s">
        <v>58</v>
      </c>
      <c r="N35" s="1" t="s">
        <v>58</v>
      </c>
      <c r="O35" s="1" t="s">
        <v>59</v>
      </c>
      <c r="P35" s="1" t="s">
        <v>59</v>
      </c>
      <c r="Q35" s="1" t="s">
        <v>60</v>
      </c>
      <c r="R35" s="1" t="s">
        <v>60</v>
      </c>
      <c r="S35" s="1" t="s">
        <v>61</v>
      </c>
      <c r="T35" s="1" t="s">
        <v>61</v>
      </c>
      <c r="U35" s="1" t="s">
        <v>62</v>
      </c>
      <c r="V35" s="1" t="s">
        <v>62</v>
      </c>
      <c r="X35" s="1" t="s">
        <v>65</v>
      </c>
      <c r="Y35" s="1" t="s">
        <v>53</v>
      </c>
      <c r="Z35" s="1" t="s">
        <v>53</v>
      </c>
      <c r="AA35" s="1" t="s">
        <v>54</v>
      </c>
      <c r="AB35" s="1" t="s">
        <v>54</v>
      </c>
      <c r="AC35" s="1" t="s">
        <v>55</v>
      </c>
      <c r="AD35" s="1" t="s">
        <v>55</v>
      </c>
      <c r="AE35" s="1" t="s">
        <v>56</v>
      </c>
      <c r="AF35" s="1" t="s">
        <v>56</v>
      </c>
      <c r="AG35" s="1" t="s">
        <v>57</v>
      </c>
      <c r="AH35" s="1" t="s">
        <v>57</v>
      </c>
      <c r="AI35" s="1" t="s">
        <v>58</v>
      </c>
      <c r="AJ35" s="1" t="s">
        <v>58</v>
      </c>
      <c r="AK35" s="1" t="s">
        <v>59</v>
      </c>
      <c r="AL35" s="1" t="s">
        <v>59</v>
      </c>
      <c r="AM35" s="1" t="s">
        <v>60</v>
      </c>
      <c r="AN35" s="1" t="s">
        <v>60</v>
      </c>
      <c r="AO35" s="1" t="s">
        <v>61</v>
      </c>
      <c r="AP35" s="1" t="s">
        <v>61</v>
      </c>
      <c r="AQ35" s="1" t="s">
        <v>62</v>
      </c>
      <c r="AR35" s="1" t="s">
        <v>62</v>
      </c>
      <c r="AU35" s="1" t="s">
        <v>65</v>
      </c>
      <c r="AV35" s="1" t="s">
        <v>53</v>
      </c>
      <c r="AW35" s="1" t="s">
        <v>53</v>
      </c>
      <c r="AX35" s="1" t="s">
        <v>54</v>
      </c>
      <c r="AY35" s="1" t="s">
        <v>54</v>
      </c>
      <c r="AZ35" s="1" t="s">
        <v>55</v>
      </c>
      <c r="BA35" s="1" t="s">
        <v>55</v>
      </c>
      <c r="BB35" s="1" t="s">
        <v>56</v>
      </c>
      <c r="BC35" s="1" t="s">
        <v>56</v>
      </c>
      <c r="BD35" s="1" t="s">
        <v>57</v>
      </c>
      <c r="BE35" s="1" t="s">
        <v>57</v>
      </c>
      <c r="BF35" s="1" t="s">
        <v>58</v>
      </c>
      <c r="BG35" s="1" t="s">
        <v>58</v>
      </c>
      <c r="BH35" s="1" t="s">
        <v>59</v>
      </c>
      <c r="BI35" s="1" t="s">
        <v>59</v>
      </c>
      <c r="BJ35" s="1" t="s">
        <v>60</v>
      </c>
      <c r="BK35" s="1" t="s">
        <v>60</v>
      </c>
      <c r="BL35" s="1" t="s">
        <v>61</v>
      </c>
      <c r="BM35" s="1" t="s">
        <v>61</v>
      </c>
      <c r="BN35" s="1" t="s">
        <v>62</v>
      </c>
      <c r="BO35" s="1" t="s">
        <v>62</v>
      </c>
      <c r="BR35" s="1" t="s">
        <v>65</v>
      </c>
      <c r="BS35" s="1" t="s">
        <v>53</v>
      </c>
      <c r="BT35" s="1" t="s">
        <v>53</v>
      </c>
      <c r="BU35" s="1" t="s">
        <v>54</v>
      </c>
      <c r="BV35" s="1" t="s">
        <v>54</v>
      </c>
      <c r="BW35" s="1" t="s">
        <v>55</v>
      </c>
      <c r="BX35" s="1" t="s">
        <v>55</v>
      </c>
      <c r="BY35" s="1" t="s">
        <v>56</v>
      </c>
      <c r="BZ35" s="1" t="s">
        <v>56</v>
      </c>
      <c r="CA35" s="1" t="s">
        <v>57</v>
      </c>
      <c r="CB35" s="1" t="s">
        <v>57</v>
      </c>
      <c r="CC35" s="1" t="s">
        <v>58</v>
      </c>
      <c r="CD35" s="1" t="s">
        <v>58</v>
      </c>
      <c r="CE35" s="1" t="s">
        <v>59</v>
      </c>
      <c r="CF35" s="1" t="s">
        <v>59</v>
      </c>
      <c r="CG35" s="1" t="s">
        <v>60</v>
      </c>
      <c r="CH35" s="1" t="s">
        <v>60</v>
      </c>
      <c r="CI35" s="1" t="s">
        <v>61</v>
      </c>
      <c r="CJ35" s="1" t="s">
        <v>61</v>
      </c>
      <c r="CK35" s="1" t="s">
        <v>62</v>
      </c>
      <c r="CL35" s="1" t="s">
        <v>62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66</v>
      </c>
      <c r="C37" s="2">
        <v>1375.64</v>
      </c>
      <c r="D37" s="2">
        <v>1336.21</v>
      </c>
      <c r="E37" s="2">
        <v>211.87</v>
      </c>
      <c r="F37" s="2">
        <v>195.51</v>
      </c>
      <c r="G37" s="2">
        <v>68.31</v>
      </c>
      <c r="H37" s="2">
        <v>156.02000000000001</v>
      </c>
      <c r="I37" s="2">
        <v>1039.29</v>
      </c>
      <c r="J37" s="2">
        <v>635.42999999999995</v>
      </c>
      <c r="K37" s="2">
        <v>1857.53</v>
      </c>
      <c r="L37" s="2">
        <v>667.48</v>
      </c>
      <c r="M37" s="2">
        <v>3467.01</v>
      </c>
      <c r="N37" s="2">
        <v>907.67</v>
      </c>
      <c r="O37" s="2">
        <v>2662.57</v>
      </c>
      <c r="P37" s="2">
        <v>318.05</v>
      </c>
      <c r="Q37" s="2">
        <v>2649.57</v>
      </c>
      <c r="R37" s="2">
        <v>874.2</v>
      </c>
      <c r="S37" s="2">
        <v>169.04</v>
      </c>
      <c r="T37" s="2">
        <v>144.83000000000001</v>
      </c>
      <c r="U37" s="2">
        <v>631.46</v>
      </c>
      <c r="V37" s="2">
        <v>211.38</v>
      </c>
      <c r="X37" s="1" t="s">
        <v>66</v>
      </c>
      <c r="Y37" s="2">
        <v>528.70000000000005</v>
      </c>
      <c r="Z37" s="2">
        <v>509.6</v>
      </c>
      <c r="AA37" s="2">
        <v>109.34</v>
      </c>
      <c r="AB37" s="2">
        <v>99.95</v>
      </c>
      <c r="AC37" s="2">
        <v>86.32</v>
      </c>
      <c r="AD37" s="2">
        <v>175.59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121.8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64.3</v>
      </c>
      <c r="AR37" s="2">
        <v>19.25</v>
      </c>
      <c r="AU37" s="1" t="s">
        <v>66</v>
      </c>
      <c r="AV37" s="2">
        <v>2400</v>
      </c>
      <c r="AW37" s="2">
        <v>2400</v>
      </c>
      <c r="AX37" s="2">
        <v>2068.96</v>
      </c>
      <c r="AY37" s="2">
        <v>1938.15</v>
      </c>
      <c r="AZ37" s="2">
        <v>1964.38</v>
      </c>
      <c r="BA37" s="2">
        <v>2399.31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2400</v>
      </c>
      <c r="BO37" s="2">
        <v>1933.55</v>
      </c>
      <c r="BR37" s="1" t="s">
        <v>66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67</v>
      </c>
      <c r="C38" s="2">
        <v>1523.6</v>
      </c>
      <c r="D38" s="2">
        <v>583.29</v>
      </c>
      <c r="E38" s="2">
        <v>1110.52</v>
      </c>
      <c r="F38" s="2">
        <v>480.93</v>
      </c>
      <c r="G38" s="2">
        <v>324.92</v>
      </c>
      <c r="H38" s="2">
        <v>375.03</v>
      </c>
      <c r="I38" s="2">
        <v>1838.58</v>
      </c>
      <c r="J38" s="2">
        <v>1688</v>
      </c>
      <c r="K38" s="2">
        <v>2510.9</v>
      </c>
      <c r="L38" s="2">
        <v>1471.97</v>
      </c>
      <c r="M38" s="2">
        <v>5878.93</v>
      </c>
      <c r="N38" s="2">
        <v>2799.54</v>
      </c>
      <c r="O38" s="2">
        <v>3680.45</v>
      </c>
      <c r="P38" s="2">
        <v>2669.19</v>
      </c>
      <c r="Q38" s="2">
        <v>4434.8900000000003</v>
      </c>
      <c r="R38" s="2">
        <v>2996.64</v>
      </c>
      <c r="S38" s="2">
        <v>3631.3</v>
      </c>
      <c r="T38" s="2">
        <v>1813.07</v>
      </c>
      <c r="U38" s="2">
        <v>4457.96</v>
      </c>
      <c r="V38" s="2">
        <v>1639.13</v>
      </c>
      <c r="X38" s="1" t="s">
        <v>67</v>
      </c>
      <c r="Y38" s="2">
        <v>1410.62</v>
      </c>
      <c r="Z38" s="2">
        <v>870.33</v>
      </c>
      <c r="AA38" s="2">
        <v>1453.35</v>
      </c>
      <c r="AB38" s="2">
        <v>936.83</v>
      </c>
      <c r="AC38" s="2">
        <v>910.06</v>
      </c>
      <c r="AD38" s="2">
        <v>358.28</v>
      </c>
      <c r="AE38" s="2">
        <v>1585.35</v>
      </c>
      <c r="AF38" s="2">
        <v>1045.4100000000001</v>
      </c>
      <c r="AG38" s="2">
        <v>1478.23</v>
      </c>
      <c r="AH38" s="2">
        <v>965.41</v>
      </c>
      <c r="AI38" s="2">
        <v>1402.63</v>
      </c>
      <c r="AJ38" s="2">
        <v>969.78</v>
      </c>
      <c r="AK38" s="2">
        <v>1183.74</v>
      </c>
      <c r="AL38" s="2">
        <v>1041.9000000000001</v>
      </c>
      <c r="AM38" s="2">
        <v>1138.21</v>
      </c>
      <c r="AN38" s="2">
        <v>1050.0999999999999</v>
      </c>
      <c r="AO38" s="2">
        <v>1109.81</v>
      </c>
      <c r="AP38" s="2">
        <v>822.01</v>
      </c>
      <c r="AQ38" s="2">
        <v>1310.07</v>
      </c>
      <c r="AR38" s="2">
        <v>823.14</v>
      </c>
      <c r="AU38" s="1" t="s">
        <v>67</v>
      </c>
      <c r="AV38" s="2">
        <v>6955.78</v>
      </c>
      <c r="AW38" s="2">
        <v>4565.07</v>
      </c>
      <c r="AX38" s="2">
        <v>6312.65</v>
      </c>
      <c r="AY38" s="2">
        <v>4223.37</v>
      </c>
      <c r="AZ38" s="2">
        <v>4131.34</v>
      </c>
      <c r="BA38" s="2">
        <v>6165.82</v>
      </c>
      <c r="BB38" s="2">
        <v>7128.85</v>
      </c>
      <c r="BC38" s="2">
        <v>4939.3900000000003</v>
      </c>
      <c r="BD38" s="2">
        <v>7231.07</v>
      </c>
      <c r="BE38" s="2">
        <v>4915.3900000000003</v>
      </c>
      <c r="BF38" s="2">
        <v>7059.07</v>
      </c>
      <c r="BG38" s="2">
        <v>5009.62</v>
      </c>
      <c r="BH38" s="2">
        <v>5913.06</v>
      </c>
      <c r="BI38" s="2">
        <v>5330.8</v>
      </c>
      <c r="BJ38" s="2">
        <v>5761.49</v>
      </c>
      <c r="BK38" s="2">
        <v>5349.1</v>
      </c>
      <c r="BL38" s="2">
        <v>5603.19</v>
      </c>
      <c r="BM38" s="2">
        <v>4292.49</v>
      </c>
      <c r="BN38" s="2">
        <v>6943.53</v>
      </c>
      <c r="BO38" s="2">
        <v>4423.96</v>
      </c>
      <c r="BR38" s="1" t="s">
        <v>67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68</v>
      </c>
      <c r="C39" s="2">
        <v>28407.89</v>
      </c>
      <c r="D39" s="2">
        <v>1868.34</v>
      </c>
      <c r="E39" s="2">
        <v>28393.48</v>
      </c>
      <c r="F39" s="2">
        <v>1214.07</v>
      </c>
      <c r="G39" s="2">
        <v>6123.04</v>
      </c>
      <c r="H39" s="2">
        <v>5265.83</v>
      </c>
      <c r="I39" s="2">
        <v>20407.150000000001</v>
      </c>
      <c r="J39" s="2">
        <v>9263.7900000000009</v>
      </c>
      <c r="K39" s="2">
        <v>27233.919999999998</v>
      </c>
      <c r="L39" s="2">
        <v>9629.15</v>
      </c>
      <c r="M39" s="2">
        <v>49979.34</v>
      </c>
      <c r="N39" s="2">
        <v>17624.87</v>
      </c>
      <c r="O39" s="2">
        <v>38825.18</v>
      </c>
      <c r="P39" s="2">
        <v>14757.46</v>
      </c>
      <c r="Q39" s="2">
        <v>49223.08</v>
      </c>
      <c r="R39" s="2">
        <v>17211.419999999998</v>
      </c>
      <c r="S39" s="2">
        <v>19870.939999999999</v>
      </c>
      <c r="T39" s="2">
        <v>11578.27</v>
      </c>
      <c r="U39" s="2">
        <v>14509.61</v>
      </c>
      <c r="V39" s="2">
        <v>11560.65</v>
      </c>
      <c r="X39" s="1" t="s">
        <v>68</v>
      </c>
      <c r="Y39" s="2">
        <v>1859.48</v>
      </c>
      <c r="Z39" s="2">
        <v>723.04</v>
      </c>
      <c r="AA39" s="2">
        <v>1786.41</v>
      </c>
      <c r="AB39" s="2">
        <v>708.35</v>
      </c>
      <c r="AC39" s="2">
        <v>2034.65</v>
      </c>
      <c r="AD39" s="2">
        <v>1815.39</v>
      </c>
      <c r="AE39" s="2">
        <v>2191.65</v>
      </c>
      <c r="AF39" s="2">
        <v>1188.95</v>
      </c>
      <c r="AG39" s="2">
        <v>2330.12</v>
      </c>
      <c r="AH39" s="2">
        <v>1055.79</v>
      </c>
      <c r="AI39" s="2">
        <v>2371.6799999999998</v>
      </c>
      <c r="AJ39" s="2">
        <v>1037.9100000000001</v>
      </c>
      <c r="AK39" s="2">
        <v>2248.81</v>
      </c>
      <c r="AL39" s="2">
        <v>1047.4000000000001</v>
      </c>
      <c r="AM39" s="2">
        <v>2172.36</v>
      </c>
      <c r="AN39" s="2">
        <v>1019.3</v>
      </c>
      <c r="AO39" s="2">
        <v>1121.73</v>
      </c>
      <c r="AP39" s="2">
        <v>885.48</v>
      </c>
      <c r="AQ39" s="2">
        <v>879.01</v>
      </c>
      <c r="AR39" s="2">
        <v>784.26</v>
      </c>
      <c r="AU39" s="1" t="s">
        <v>68</v>
      </c>
      <c r="AV39" s="2">
        <v>7782.78</v>
      </c>
      <c r="AW39" s="2">
        <v>3899.06</v>
      </c>
      <c r="AX39" s="2">
        <v>7482.3</v>
      </c>
      <c r="AY39" s="2">
        <v>3200.25</v>
      </c>
      <c r="AZ39" s="2">
        <v>5379.54</v>
      </c>
      <c r="BA39" s="2">
        <v>6532.45</v>
      </c>
      <c r="BB39" s="2">
        <v>7440.57</v>
      </c>
      <c r="BC39" s="2">
        <v>5860.39</v>
      </c>
      <c r="BD39" s="2">
        <v>7744.88</v>
      </c>
      <c r="BE39" s="2">
        <v>5675.62</v>
      </c>
      <c r="BF39" s="2">
        <v>7788.32</v>
      </c>
      <c r="BG39" s="2">
        <v>5707.76</v>
      </c>
      <c r="BH39" s="2">
        <v>7177.78</v>
      </c>
      <c r="BI39" s="2">
        <v>5786.71</v>
      </c>
      <c r="BJ39" s="2">
        <v>6790.62</v>
      </c>
      <c r="BK39" s="2">
        <v>5543.72</v>
      </c>
      <c r="BL39" s="2">
        <v>6069.25</v>
      </c>
      <c r="BM39" s="2">
        <v>4947.33</v>
      </c>
      <c r="BN39" s="2">
        <v>4836.75</v>
      </c>
      <c r="BO39" s="2">
        <v>4376.46</v>
      </c>
      <c r="BR39" s="1" t="s">
        <v>68</v>
      </c>
      <c r="BS39" s="2">
        <v>9642.26</v>
      </c>
      <c r="BT39" s="2">
        <v>4622.1000000000004</v>
      </c>
      <c r="BU39" s="2">
        <v>9268.7099999999991</v>
      </c>
      <c r="BV39" s="2">
        <v>3908.6</v>
      </c>
      <c r="BW39" s="2">
        <v>7414.19</v>
      </c>
      <c r="BX39" s="2">
        <v>8347.84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69</v>
      </c>
      <c r="C40" s="2">
        <v>4284.97</v>
      </c>
      <c r="D40" s="2">
        <v>787.61</v>
      </c>
      <c r="E40" s="2">
        <v>4460.8599999999997</v>
      </c>
      <c r="F40" s="2">
        <v>445.73</v>
      </c>
      <c r="G40" s="2">
        <v>1417.34</v>
      </c>
      <c r="H40" s="2">
        <v>1896.4</v>
      </c>
      <c r="I40" s="2">
        <v>5117</v>
      </c>
      <c r="J40" s="2">
        <v>2596.1799999999998</v>
      </c>
      <c r="K40" s="2">
        <v>6032.44</v>
      </c>
      <c r="L40" s="2">
        <v>2486.17</v>
      </c>
      <c r="M40" s="2">
        <v>10857</v>
      </c>
      <c r="N40" s="2">
        <v>4164.21</v>
      </c>
      <c r="O40" s="2">
        <v>8781.0499999999993</v>
      </c>
      <c r="P40" s="2">
        <v>3426.02</v>
      </c>
      <c r="Q40" s="2">
        <v>8499.73</v>
      </c>
      <c r="R40" s="2">
        <v>3833.46</v>
      </c>
      <c r="S40" s="2">
        <v>3364.38</v>
      </c>
      <c r="T40" s="2">
        <v>2878.17</v>
      </c>
      <c r="U40" s="2">
        <v>3656.07</v>
      </c>
      <c r="V40" s="2">
        <v>3207.49</v>
      </c>
      <c r="X40" s="1" t="s">
        <v>69</v>
      </c>
      <c r="Y40" s="2">
        <v>1624.97</v>
      </c>
      <c r="Z40" s="2">
        <v>733.98</v>
      </c>
      <c r="AA40" s="2">
        <v>1440.43</v>
      </c>
      <c r="AB40" s="2">
        <v>854.43</v>
      </c>
      <c r="AC40" s="2">
        <v>1402.79</v>
      </c>
      <c r="AD40" s="2">
        <v>1495.04</v>
      </c>
      <c r="AE40" s="2">
        <v>1626.1</v>
      </c>
      <c r="AF40" s="2">
        <v>1192.94</v>
      </c>
      <c r="AG40" s="2">
        <v>1526.72</v>
      </c>
      <c r="AH40" s="2">
        <v>1065.3699999999999</v>
      </c>
      <c r="AI40" s="2">
        <v>1525.62</v>
      </c>
      <c r="AJ40" s="2">
        <v>1015.71</v>
      </c>
      <c r="AK40" s="2">
        <v>1520.23</v>
      </c>
      <c r="AL40" s="2">
        <v>1017.97</v>
      </c>
      <c r="AM40" s="2">
        <v>1231.56</v>
      </c>
      <c r="AN40" s="2">
        <v>978.65</v>
      </c>
      <c r="AO40" s="2">
        <v>989.77</v>
      </c>
      <c r="AP40" s="2">
        <v>879.87</v>
      </c>
      <c r="AQ40" s="2">
        <v>886.98</v>
      </c>
      <c r="AR40" s="2">
        <v>829.26</v>
      </c>
      <c r="AU40" s="1" t="s">
        <v>69</v>
      </c>
      <c r="AV40" s="2">
        <v>6934.72</v>
      </c>
      <c r="AW40" s="2">
        <v>4195.82</v>
      </c>
      <c r="AX40" s="2">
        <v>6678.95</v>
      </c>
      <c r="AY40" s="2">
        <v>3998.57</v>
      </c>
      <c r="AZ40" s="2">
        <v>5535.89</v>
      </c>
      <c r="BA40" s="2">
        <v>7384.96</v>
      </c>
      <c r="BB40" s="2">
        <v>7253.9</v>
      </c>
      <c r="BC40" s="2">
        <v>6128.03</v>
      </c>
      <c r="BD40" s="2">
        <v>7353.28</v>
      </c>
      <c r="BE40" s="2">
        <v>5865.6</v>
      </c>
      <c r="BF40" s="2">
        <v>7354.38</v>
      </c>
      <c r="BG40" s="2">
        <v>5733.68</v>
      </c>
      <c r="BH40" s="2">
        <v>7359.77</v>
      </c>
      <c r="BI40" s="2">
        <v>5772.83</v>
      </c>
      <c r="BJ40" s="2">
        <v>6901.84</v>
      </c>
      <c r="BK40" s="2">
        <v>5480.05</v>
      </c>
      <c r="BL40" s="2">
        <v>5449.03</v>
      </c>
      <c r="BM40" s="2">
        <v>5146.53</v>
      </c>
      <c r="BN40" s="2">
        <v>5067.92</v>
      </c>
      <c r="BO40" s="2">
        <v>4817.45</v>
      </c>
      <c r="BR40" s="1" t="s">
        <v>69</v>
      </c>
      <c r="BS40" s="2">
        <v>8559.69</v>
      </c>
      <c r="BT40" s="2">
        <v>4929.8</v>
      </c>
      <c r="BU40" s="2">
        <v>8119.38</v>
      </c>
      <c r="BV40" s="2">
        <v>4853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70</v>
      </c>
      <c r="C41" s="2">
        <v>14426.38</v>
      </c>
      <c r="D41" s="2">
        <v>15287.13</v>
      </c>
      <c r="E41" s="2">
        <v>17426.63</v>
      </c>
      <c r="F41" s="2">
        <v>6749.4</v>
      </c>
      <c r="G41" s="2">
        <v>5418.43</v>
      </c>
      <c r="H41" s="2">
        <v>5884.69</v>
      </c>
      <c r="I41" s="2">
        <v>7879.86</v>
      </c>
      <c r="J41" s="2">
        <v>19179.810000000001</v>
      </c>
      <c r="K41" s="2">
        <v>21056.32</v>
      </c>
      <c r="L41" s="2">
        <v>23127.15</v>
      </c>
      <c r="M41" s="2">
        <v>32459.71</v>
      </c>
      <c r="N41" s="2">
        <v>29372.97</v>
      </c>
      <c r="O41" s="2">
        <v>21183.41</v>
      </c>
      <c r="P41" s="2">
        <v>20778.62</v>
      </c>
      <c r="Q41" s="2">
        <v>21027.57</v>
      </c>
      <c r="R41" s="2">
        <v>21706.87</v>
      </c>
      <c r="S41" s="2">
        <v>16048.72</v>
      </c>
      <c r="T41" s="2">
        <v>14389.65</v>
      </c>
      <c r="U41" s="2">
        <v>20561.41</v>
      </c>
      <c r="V41" s="2">
        <v>15292.17</v>
      </c>
      <c r="X41" s="1" t="s">
        <v>70</v>
      </c>
      <c r="Y41" s="2">
        <v>1108.3900000000001</v>
      </c>
      <c r="Z41" s="2">
        <v>1183.57</v>
      </c>
      <c r="AA41" s="2">
        <v>1427.13</v>
      </c>
      <c r="AB41" s="2">
        <v>1511.37</v>
      </c>
      <c r="AC41" s="2">
        <v>1099.94</v>
      </c>
      <c r="AD41" s="2">
        <v>1209.22</v>
      </c>
      <c r="AE41" s="2">
        <v>1302.48</v>
      </c>
      <c r="AF41" s="2">
        <v>1248.73</v>
      </c>
      <c r="AG41" s="2">
        <v>1308.28</v>
      </c>
      <c r="AH41" s="2">
        <v>1298.03</v>
      </c>
      <c r="AI41" s="2">
        <v>1235.03</v>
      </c>
      <c r="AJ41" s="2">
        <v>1261.23</v>
      </c>
      <c r="AK41" s="2">
        <v>1170.17</v>
      </c>
      <c r="AL41" s="2">
        <v>1243.8900000000001</v>
      </c>
      <c r="AM41" s="2">
        <v>1063.69</v>
      </c>
      <c r="AN41" s="2">
        <v>1081.06</v>
      </c>
      <c r="AO41" s="2">
        <v>984.81</v>
      </c>
      <c r="AP41" s="2">
        <v>1011.3</v>
      </c>
      <c r="AQ41" s="2">
        <v>983.98</v>
      </c>
      <c r="AR41" s="2">
        <v>1096.96</v>
      </c>
      <c r="AU41" s="1" t="s">
        <v>70</v>
      </c>
      <c r="AV41" s="2">
        <v>4714.41</v>
      </c>
      <c r="AW41" s="2">
        <v>6225.33</v>
      </c>
      <c r="AX41" s="2">
        <v>6091.24</v>
      </c>
      <c r="AY41" s="2">
        <v>6729.93</v>
      </c>
      <c r="AZ41" s="2">
        <v>4480.68</v>
      </c>
      <c r="BA41" s="2">
        <v>5013.26</v>
      </c>
      <c r="BB41" s="2">
        <v>6159.72</v>
      </c>
      <c r="BC41" s="2">
        <v>6045.87</v>
      </c>
      <c r="BD41" s="2">
        <v>6791.32</v>
      </c>
      <c r="BE41" s="2">
        <v>6791.67</v>
      </c>
      <c r="BF41" s="2">
        <v>6531.57</v>
      </c>
      <c r="BG41" s="2">
        <v>6677.47</v>
      </c>
      <c r="BH41" s="2">
        <v>6163.93</v>
      </c>
      <c r="BI41" s="2">
        <v>6536.11</v>
      </c>
      <c r="BJ41" s="2">
        <v>5662.91</v>
      </c>
      <c r="BK41" s="2">
        <v>5721.44</v>
      </c>
      <c r="BL41" s="2">
        <v>5276.89</v>
      </c>
      <c r="BM41" s="2">
        <v>5379.5</v>
      </c>
      <c r="BN41" s="2">
        <v>5413.42</v>
      </c>
      <c r="BO41" s="2">
        <v>6024.84</v>
      </c>
      <c r="BR41" s="1" t="s">
        <v>70</v>
      </c>
      <c r="BS41" s="2">
        <v>5822.8</v>
      </c>
      <c r="BT41" s="2">
        <v>7408.9</v>
      </c>
      <c r="BU41" s="2">
        <v>7518.37</v>
      </c>
      <c r="BV41" s="2">
        <v>8241.2999999999993</v>
      </c>
      <c r="BW41" s="2">
        <v>5580.62</v>
      </c>
      <c r="BX41" s="2">
        <v>6222.48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71</v>
      </c>
      <c r="C42" s="2">
        <v>3649.88</v>
      </c>
      <c r="D42" s="2">
        <v>3689.8</v>
      </c>
      <c r="E42" s="2">
        <v>3941.34</v>
      </c>
      <c r="F42" s="2">
        <v>3812.55</v>
      </c>
      <c r="G42" s="2">
        <v>1228.48</v>
      </c>
      <c r="H42" s="2">
        <v>1345.13</v>
      </c>
      <c r="I42" s="2">
        <v>1500.57</v>
      </c>
      <c r="J42" s="2">
        <v>3603.07</v>
      </c>
      <c r="K42" s="2">
        <v>1793.8</v>
      </c>
      <c r="L42" s="2">
        <v>5558</v>
      </c>
      <c r="M42" s="2">
        <v>4229.91</v>
      </c>
      <c r="N42" s="2">
        <v>10460.18</v>
      </c>
      <c r="O42" s="2">
        <v>3289.49</v>
      </c>
      <c r="P42" s="2">
        <v>6537.06</v>
      </c>
      <c r="Q42" s="2">
        <v>4265.0200000000004</v>
      </c>
      <c r="R42" s="2">
        <v>8699.1</v>
      </c>
      <c r="S42" s="2">
        <v>3393.48</v>
      </c>
      <c r="T42" s="2">
        <v>5989.19</v>
      </c>
      <c r="U42" s="2">
        <v>3661.21</v>
      </c>
      <c r="V42" s="2">
        <v>2868.71</v>
      </c>
      <c r="X42" s="1" t="s">
        <v>71</v>
      </c>
      <c r="Y42" s="2">
        <v>1443.6</v>
      </c>
      <c r="Z42" s="2">
        <v>1472.11</v>
      </c>
      <c r="AA42" s="2">
        <v>1960.26</v>
      </c>
      <c r="AB42" s="2">
        <v>2001.67</v>
      </c>
      <c r="AC42" s="2">
        <v>1279.19</v>
      </c>
      <c r="AD42" s="2">
        <v>1432.06</v>
      </c>
      <c r="AE42" s="2">
        <v>1460.41</v>
      </c>
      <c r="AF42" s="2">
        <v>1192.5899999999999</v>
      </c>
      <c r="AG42" s="2">
        <v>1366.03</v>
      </c>
      <c r="AH42" s="2">
        <v>1704.16</v>
      </c>
      <c r="AI42" s="2">
        <v>1424.53</v>
      </c>
      <c r="AJ42" s="2">
        <v>1692.91</v>
      </c>
      <c r="AK42" s="2">
        <v>1423.69</v>
      </c>
      <c r="AL42" s="2">
        <v>1680.95</v>
      </c>
      <c r="AM42" s="2">
        <v>1390.11</v>
      </c>
      <c r="AN42" s="2">
        <v>1626.71</v>
      </c>
      <c r="AO42" s="2">
        <v>1326.64</v>
      </c>
      <c r="AP42" s="2">
        <v>1595.32</v>
      </c>
      <c r="AQ42" s="2">
        <v>1206.18</v>
      </c>
      <c r="AR42" s="2">
        <v>1190.93</v>
      </c>
      <c r="AU42" s="1" t="s">
        <v>71</v>
      </c>
      <c r="AV42" s="2">
        <v>5463.21</v>
      </c>
      <c r="AW42" s="2">
        <v>5566.64</v>
      </c>
      <c r="AX42" s="2">
        <v>6919.74</v>
      </c>
      <c r="AY42" s="2">
        <v>6878.33</v>
      </c>
      <c r="AZ42" s="2">
        <v>4497.54</v>
      </c>
      <c r="BA42" s="2">
        <v>5123.92</v>
      </c>
      <c r="BB42" s="2">
        <v>5165.3900000000003</v>
      </c>
      <c r="BC42" s="2">
        <v>4377.33</v>
      </c>
      <c r="BD42" s="2">
        <v>5289.17</v>
      </c>
      <c r="BE42" s="2">
        <v>6954.84</v>
      </c>
      <c r="BF42" s="2">
        <v>5728.57</v>
      </c>
      <c r="BG42" s="2">
        <v>7187.09</v>
      </c>
      <c r="BH42" s="2">
        <v>5673.29</v>
      </c>
      <c r="BI42" s="2">
        <v>6791.16</v>
      </c>
      <c r="BJ42" s="2">
        <v>5646.76</v>
      </c>
      <c r="BK42" s="2">
        <v>6811.96</v>
      </c>
      <c r="BL42" s="2">
        <v>5438.81</v>
      </c>
      <c r="BM42" s="2">
        <v>6399.34</v>
      </c>
      <c r="BN42" s="2">
        <v>5060.8599999999997</v>
      </c>
      <c r="BO42" s="2">
        <v>4673.07</v>
      </c>
      <c r="BR42" s="1" t="s">
        <v>71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6625.8</v>
      </c>
      <c r="BZ42" s="2">
        <v>5569.92</v>
      </c>
      <c r="CA42" s="2">
        <v>6655.2</v>
      </c>
      <c r="CB42" s="2">
        <v>8659</v>
      </c>
      <c r="CC42" s="2">
        <v>7153.1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72</v>
      </c>
      <c r="C43" s="2">
        <v>26807.84</v>
      </c>
      <c r="D43" s="2">
        <v>28111.72</v>
      </c>
      <c r="E43" s="2">
        <v>13890.07</v>
      </c>
      <c r="F43" s="2">
        <v>26415.48</v>
      </c>
      <c r="G43" s="2">
        <v>4333.0200000000004</v>
      </c>
      <c r="H43" s="2">
        <v>10185.69</v>
      </c>
      <c r="I43" s="2">
        <v>11431.85</v>
      </c>
      <c r="J43" s="2">
        <v>18318.93</v>
      </c>
      <c r="K43" s="2">
        <v>10131.33</v>
      </c>
      <c r="L43" s="2">
        <v>27939.93</v>
      </c>
      <c r="M43" s="2">
        <v>21395.83</v>
      </c>
      <c r="N43" s="2">
        <v>50141.1</v>
      </c>
      <c r="O43" s="2">
        <v>17187.09</v>
      </c>
      <c r="P43" s="2">
        <v>36053.230000000003</v>
      </c>
      <c r="Q43" s="2">
        <v>26910.16</v>
      </c>
      <c r="R43" s="2">
        <v>34619.730000000003</v>
      </c>
      <c r="S43" s="2">
        <v>16215.69</v>
      </c>
      <c r="T43" s="2">
        <v>16967.88</v>
      </c>
      <c r="U43" s="2">
        <v>18223.72</v>
      </c>
      <c r="V43" s="2">
        <v>17190.43</v>
      </c>
      <c r="X43" s="1" t="s">
        <v>72</v>
      </c>
      <c r="Y43" s="2">
        <v>1791.28</v>
      </c>
      <c r="Z43" s="2">
        <v>1871.15</v>
      </c>
      <c r="AA43" s="2">
        <v>1919.6</v>
      </c>
      <c r="AB43" s="2">
        <v>2068.71</v>
      </c>
      <c r="AC43" s="2">
        <v>1510.89</v>
      </c>
      <c r="AD43" s="2">
        <v>1827.31</v>
      </c>
      <c r="AE43" s="2">
        <v>1637.86</v>
      </c>
      <c r="AF43" s="2">
        <v>1977.8</v>
      </c>
      <c r="AG43" s="2">
        <v>1439.9</v>
      </c>
      <c r="AH43" s="2">
        <v>2437.6999999999998</v>
      </c>
      <c r="AI43" s="2">
        <v>1441.79</v>
      </c>
      <c r="AJ43" s="2">
        <v>2439.19</v>
      </c>
      <c r="AK43" s="2">
        <v>1456.33</v>
      </c>
      <c r="AL43" s="2">
        <v>2177.59</v>
      </c>
      <c r="AM43" s="2">
        <v>1470.17</v>
      </c>
      <c r="AN43" s="2">
        <v>1585.81</v>
      </c>
      <c r="AO43" s="2">
        <v>1317.37</v>
      </c>
      <c r="AP43" s="2">
        <v>1360.87</v>
      </c>
      <c r="AQ43" s="2">
        <v>1221.54</v>
      </c>
      <c r="AR43" s="2">
        <v>1216.58</v>
      </c>
      <c r="AU43" s="1" t="s">
        <v>72</v>
      </c>
      <c r="AV43" s="2">
        <v>6976.37</v>
      </c>
      <c r="AW43" s="2">
        <v>7426.62</v>
      </c>
      <c r="AX43" s="2">
        <v>6677.97</v>
      </c>
      <c r="AY43" s="2">
        <v>7889.85</v>
      </c>
      <c r="AZ43" s="2">
        <v>4591.38</v>
      </c>
      <c r="BA43" s="2">
        <v>6823.15</v>
      </c>
      <c r="BB43" s="2">
        <v>6076.99</v>
      </c>
      <c r="BC43" s="2">
        <v>5107.6499999999996</v>
      </c>
      <c r="BD43" s="2">
        <v>5771.84</v>
      </c>
      <c r="BE43" s="2">
        <v>7722.3</v>
      </c>
      <c r="BF43" s="2">
        <v>6049.92</v>
      </c>
      <c r="BG43" s="2">
        <v>7720.81</v>
      </c>
      <c r="BH43" s="2">
        <v>6050.35</v>
      </c>
      <c r="BI43" s="2">
        <v>7468.31</v>
      </c>
      <c r="BJ43" s="2">
        <v>6369.37</v>
      </c>
      <c r="BK43" s="2">
        <v>6839.55</v>
      </c>
      <c r="BL43" s="2">
        <v>5611.98</v>
      </c>
      <c r="BM43" s="2">
        <v>5713.15</v>
      </c>
      <c r="BN43" s="2">
        <v>5276.6</v>
      </c>
      <c r="BO43" s="2">
        <v>5174.28</v>
      </c>
      <c r="BR43" s="1" t="s">
        <v>72</v>
      </c>
      <c r="BS43" s="2">
        <v>8767.65</v>
      </c>
      <c r="BT43" s="2">
        <v>9297.77</v>
      </c>
      <c r="BU43" s="2">
        <v>8597.57</v>
      </c>
      <c r="BV43" s="2">
        <v>9958.56</v>
      </c>
      <c r="BW43" s="2">
        <v>6102.27</v>
      </c>
      <c r="BX43" s="2">
        <v>8650.4599999999991</v>
      </c>
      <c r="BY43" s="2">
        <v>7714.85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73</v>
      </c>
      <c r="C44" s="2">
        <v>2692.58</v>
      </c>
      <c r="D44" s="2">
        <v>4333.75</v>
      </c>
      <c r="E44" s="2">
        <v>731.51</v>
      </c>
      <c r="F44" s="2">
        <v>787.18</v>
      </c>
      <c r="G44" s="2">
        <v>303.77999999999997</v>
      </c>
      <c r="H44" s="2">
        <v>386.42</v>
      </c>
      <c r="I44" s="2">
        <v>1139.1500000000001</v>
      </c>
      <c r="J44" s="2">
        <v>6770.32</v>
      </c>
      <c r="K44" s="2">
        <v>3608.6</v>
      </c>
      <c r="L44" s="2">
        <v>7967.84</v>
      </c>
      <c r="M44" s="2">
        <v>9438.43</v>
      </c>
      <c r="N44" s="2">
        <v>14718.75</v>
      </c>
      <c r="O44" s="2">
        <v>8446.17</v>
      </c>
      <c r="P44" s="2">
        <v>9959.15</v>
      </c>
      <c r="Q44" s="2">
        <v>9352.34</v>
      </c>
      <c r="R44" s="2">
        <v>8965.69</v>
      </c>
      <c r="S44" s="2">
        <v>7266.65</v>
      </c>
      <c r="T44" s="2">
        <v>5891.12</v>
      </c>
      <c r="U44" s="2">
        <v>8346.4</v>
      </c>
      <c r="V44" s="2">
        <v>6712.04</v>
      </c>
      <c r="X44" s="1" t="s">
        <v>73</v>
      </c>
      <c r="Y44" s="2">
        <v>885.18</v>
      </c>
      <c r="Z44" s="2">
        <v>1118.49</v>
      </c>
      <c r="AA44" s="2">
        <v>902.97</v>
      </c>
      <c r="AB44" s="2">
        <v>971.8</v>
      </c>
      <c r="AC44" s="2">
        <v>160.99</v>
      </c>
      <c r="AD44" s="2">
        <v>1027.3599999999999</v>
      </c>
      <c r="AE44" s="2">
        <v>431.8</v>
      </c>
      <c r="AF44" s="2">
        <v>1030.5999999999999</v>
      </c>
      <c r="AG44" s="2">
        <v>729.57</v>
      </c>
      <c r="AH44" s="2">
        <v>987.87</v>
      </c>
      <c r="AI44" s="2">
        <v>712.41</v>
      </c>
      <c r="AJ44" s="2">
        <v>1010.12</v>
      </c>
      <c r="AK44" s="2">
        <v>705.44</v>
      </c>
      <c r="AL44" s="2">
        <v>954.39</v>
      </c>
      <c r="AM44" s="2">
        <v>673.43</v>
      </c>
      <c r="AN44" s="2">
        <v>744.86</v>
      </c>
      <c r="AO44" s="2">
        <v>633.78</v>
      </c>
      <c r="AP44" s="2">
        <v>644.37</v>
      </c>
      <c r="AQ44" s="2">
        <v>656.54</v>
      </c>
      <c r="AR44" s="2">
        <v>674.54</v>
      </c>
      <c r="AU44" s="1" t="s">
        <v>73</v>
      </c>
      <c r="AV44" s="2">
        <v>3778.82</v>
      </c>
      <c r="AW44" s="2">
        <v>4592.71</v>
      </c>
      <c r="AX44" s="2">
        <v>3187.03</v>
      </c>
      <c r="AY44" s="2">
        <v>3387.9</v>
      </c>
      <c r="AZ44" s="2">
        <v>2945.51</v>
      </c>
      <c r="BA44" s="2">
        <v>3763.04</v>
      </c>
      <c r="BB44" s="2">
        <v>3120</v>
      </c>
      <c r="BC44" s="2">
        <v>3840.36</v>
      </c>
      <c r="BD44" s="2">
        <v>3192.13</v>
      </c>
      <c r="BE44" s="2">
        <v>3967.84</v>
      </c>
      <c r="BF44" s="2">
        <v>3116.39</v>
      </c>
      <c r="BG44" s="2">
        <v>4102.3999999999996</v>
      </c>
      <c r="BH44" s="2">
        <v>3119.46</v>
      </c>
      <c r="BI44" s="2">
        <v>3945.41</v>
      </c>
      <c r="BJ44" s="2">
        <v>2976.87</v>
      </c>
      <c r="BK44" s="2">
        <v>3196.84</v>
      </c>
      <c r="BL44" s="2">
        <v>2793.42</v>
      </c>
      <c r="BM44" s="2">
        <v>2847.03</v>
      </c>
      <c r="BN44" s="2">
        <v>2930.96</v>
      </c>
      <c r="BO44" s="2">
        <v>3104.46</v>
      </c>
      <c r="BR44" s="1" t="s">
        <v>73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1513689.1299999997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63</v>
      </c>
      <c r="D48" s="1" t="s">
        <v>64</v>
      </c>
      <c r="E48" s="1" t="s">
        <v>63</v>
      </c>
      <c r="F48" s="1" t="s">
        <v>64</v>
      </c>
      <c r="G48" s="1" t="s">
        <v>63</v>
      </c>
      <c r="H48" s="1" t="s">
        <v>64</v>
      </c>
      <c r="I48" s="1" t="s">
        <v>63</v>
      </c>
      <c r="J48" s="1" t="s">
        <v>64</v>
      </c>
      <c r="K48" s="1" t="s">
        <v>63</v>
      </c>
      <c r="L48" s="1" t="s">
        <v>64</v>
      </c>
      <c r="M48" s="1" t="s">
        <v>63</v>
      </c>
      <c r="N48" s="1" t="s">
        <v>64</v>
      </c>
      <c r="O48" s="1" t="s">
        <v>63</v>
      </c>
      <c r="P48" s="1" t="s">
        <v>64</v>
      </c>
      <c r="Q48" s="1" t="s">
        <v>63</v>
      </c>
      <c r="R48" s="1" t="s">
        <v>64</v>
      </c>
      <c r="S48" s="1" t="s">
        <v>63</v>
      </c>
      <c r="T48" s="1" t="s">
        <v>64</v>
      </c>
      <c r="U48" s="1" t="s">
        <v>63</v>
      </c>
      <c r="V48" s="1" t="s">
        <v>64</v>
      </c>
      <c r="X48" s="1" t="s">
        <v>6</v>
      </c>
      <c r="Y48" s="1" t="s">
        <v>63</v>
      </c>
      <c r="Z48" s="1" t="s">
        <v>64</v>
      </c>
      <c r="AA48" s="1" t="s">
        <v>63</v>
      </c>
      <c r="AB48" s="1" t="s">
        <v>64</v>
      </c>
      <c r="AC48" s="1" t="s">
        <v>63</v>
      </c>
      <c r="AD48" s="1" t="s">
        <v>64</v>
      </c>
      <c r="AE48" s="1" t="s">
        <v>63</v>
      </c>
      <c r="AF48" s="1" t="s">
        <v>64</v>
      </c>
      <c r="AG48" s="1" t="s">
        <v>63</v>
      </c>
      <c r="AH48" s="1" t="s">
        <v>64</v>
      </c>
      <c r="AI48" s="1" t="s">
        <v>63</v>
      </c>
      <c r="AJ48" s="1" t="s">
        <v>64</v>
      </c>
      <c r="AK48" s="1" t="s">
        <v>63</v>
      </c>
      <c r="AL48" s="1" t="s">
        <v>64</v>
      </c>
      <c r="AM48" s="1" t="s">
        <v>63</v>
      </c>
      <c r="AN48" s="1" t="s">
        <v>64</v>
      </c>
      <c r="AO48" s="1" t="s">
        <v>63</v>
      </c>
      <c r="AP48" s="1" t="s">
        <v>64</v>
      </c>
      <c r="AQ48" s="1" t="s">
        <v>63</v>
      </c>
      <c r="AR48" s="1" t="s">
        <v>64</v>
      </c>
      <c r="AU48" s="1" t="s">
        <v>6</v>
      </c>
      <c r="AV48" s="1" t="s">
        <v>63</v>
      </c>
      <c r="AW48" s="1" t="s">
        <v>64</v>
      </c>
      <c r="AX48" s="1" t="s">
        <v>63</v>
      </c>
      <c r="AY48" s="1" t="s">
        <v>64</v>
      </c>
      <c r="AZ48" s="1" t="s">
        <v>63</v>
      </c>
      <c r="BA48" s="1" t="s">
        <v>64</v>
      </c>
      <c r="BB48" s="1" t="s">
        <v>63</v>
      </c>
      <c r="BC48" s="1" t="s">
        <v>64</v>
      </c>
      <c r="BD48" s="1" t="s">
        <v>63</v>
      </c>
      <c r="BE48" s="1" t="s">
        <v>64</v>
      </c>
      <c r="BF48" s="1" t="s">
        <v>63</v>
      </c>
      <c r="BG48" s="1" t="s">
        <v>64</v>
      </c>
      <c r="BH48" s="1" t="s">
        <v>63</v>
      </c>
      <c r="BI48" s="1" t="s">
        <v>64</v>
      </c>
      <c r="BJ48" s="1" t="s">
        <v>63</v>
      </c>
      <c r="BK48" s="1" t="s">
        <v>64</v>
      </c>
      <c r="BL48" s="1" t="s">
        <v>63</v>
      </c>
      <c r="BM48" s="1" t="s">
        <v>64</v>
      </c>
      <c r="BN48" s="1" t="s">
        <v>63</v>
      </c>
      <c r="BO48" s="1" t="s">
        <v>64</v>
      </c>
      <c r="BR48" s="1" t="s">
        <v>6</v>
      </c>
      <c r="BS48" s="1" t="s">
        <v>63</v>
      </c>
      <c r="BT48" s="1" t="s">
        <v>64</v>
      </c>
      <c r="BU48" s="1" t="s">
        <v>63</v>
      </c>
      <c r="BV48" s="1" t="s">
        <v>64</v>
      </c>
      <c r="BW48" s="1" t="s">
        <v>63</v>
      </c>
      <c r="BX48" s="1" t="s">
        <v>64</v>
      </c>
      <c r="BY48" s="1" t="s">
        <v>63</v>
      </c>
      <c r="BZ48" s="1" t="s">
        <v>64</v>
      </c>
      <c r="CA48" s="1" t="s">
        <v>63</v>
      </c>
      <c r="CB48" s="1" t="s">
        <v>64</v>
      </c>
      <c r="CC48" s="1" t="s">
        <v>63</v>
      </c>
      <c r="CD48" s="1" t="s">
        <v>64</v>
      </c>
      <c r="CE48" s="1" t="s">
        <v>63</v>
      </c>
      <c r="CF48" s="1" t="s">
        <v>64</v>
      </c>
      <c r="CG48" s="1" t="s">
        <v>63</v>
      </c>
      <c r="CH48" s="1" t="s">
        <v>64</v>
      </c>
      <c r="CI48" s="1" t="s">
        <v>63</v>
      </c>
      <c r="CJ48" s="1" t="s">
        <v>64</v>
      </c>
      <c r="CK48" s="1" t="s">
        <v>63</v>
      </c>
      <c r="CL48" s="1" t="s">
        <v>64</v>
      </c>
    </row>
    <row r="49" spans="2:90" x14ac:dyDescent="0.3">
      <c r="B49" s="1" t="s">
        <v>65</v>
      </c>
      <c r="C49" s="1" t="s">
        <v>53</v>
      </c>
      <c r="D49" s="1" t="s">
        <v>53</v>
      </c>
      <c r="E49" s="1" t="s">
        <v>54</v>
      </c>
      <c r="F49" s="1" t="s">
        <v>54</v>
      </c>
      <c r="G49" s="1" t="s">
        <v>55</v>
      </c>
      <c r="H49" s="1" t="s">
        <v>55</v>
      </c>
      <c r="I49" s="1" t="s">
        <v>56</v>
      </c>
      <c r="J49" s="1" t="s">
        <v>56</v>
      </c>
      <c r="K49" s="1" t="s">
        <v>57</v>
      </c>
      <c r="L49" s="1" t="s">
        <v>57</v>
      </c>
      <c r="M49" s="1" t="s">
        <v>58</v>
      </c>
      <c r="N49" s="1" t="s">
        <v>58</v>
      </c>
      <c r="O49" s="1" t="s">
        <v>59</v>
      </c>
      <c r="P49" s="1" t="s">
        <v>59</v>
      </c>
      <c r="Q49" s="1" t="s">
        <v>60</v>
      </c>
      <c r="R49" s="1" t="s">
        <v>60</v>
      </c>
      <c r="S49" s="1" t="s">
        <v>61</v>
      </c>
      <c r="T49" s="1" t="s">
        <v>61</v>
      </c>
      <c r="U49" s="1" t="s">
        <v>62</v>
      </c>
      <c r="V49" s="1" t="s">
        <v>62</v>
      </c>
      <c r="X49" s="1" t="s">
        <v>65</v>
      </c>
      <c r="Y49" s="1" t="s">
        <v>53</v>
      </c>
      <c r="Z49" s="1" t="s">
        <v>53</v>
      </c>
      <c r="AA49" s="1" t="s">
        <v>54</v>
      </c>
      <c r="AB49" s="1" t="s">
        <v>54</v>
      </c>
      <c r="AC49" s="1" t="s">
        <v>55</v>
      </c>
      <c r="AD49" s="1" t="s">
        <v>55</v>
      </c>
      <c r="AE49" s="1" t="s">
        <v>56</v>
      </c>
      <c r="AF49" s="1" t="s">
        <v>56</v>
      </c>
      <c r="AG49" s="1" t="s">
        <v>57</v>
      </c>
      <c r="AH49" s="1" t="s">
        <v>57</v>
      </c>
      <c r="AI49" s="1" t="s">
        <v>58</v>
      </c>
      <c r="AJ49" s="1" t="s">
        <v>58</v>
      </c>
      <c r="AK49" s="1" t="s">
        <v>59</v>
      </c>
      <c r="AL49" s="1" t="s">
        <v>59</v>
      </c>
      <c r="AM49" s="1" t="s">
        <v>60</v>
      </c>
      <c r="AN49" s="1" t="s">
        <v>60</v>
      </c>
      <c r="AO49" s="1" t="s">
        <v>61</v>
      </c>
      <c r="AP49" s="1" t="s">
        <v>61</v>
      </c>
      <c r="AQ49" s="1" t="s">
        <v>62</v>
      </c>
      <c r="AR49" s="1" t="s">
        <v>62</v>
      </c>
      <c r="AU49" s="1" t="s">
        <v>65</v>
      </c>
      <c r="AV49" s="1" t="s">
        <v>53</v>
      </c>
      <c r="AW49" s="1" t="s">
        <v>53</v>
      </c>
      <c r="AX49" s="1" t="s">
        <v>54</v>
      </c>
      <c r="AY49" s="1" t="s">
        <v>54</v>
      </c>
      <c r="AZ49" s="1" t="s">
        <v>55</v>
      </c>
      <c r="BA49" s="1" t="s">
        <v>55</v>
      </c>
      <c r="BB49" s="1" t="s">
        <v>56</v>
      </c>
      <c r="BC49" s="1" t="s">
        <v>56</v>
      </c>
      <c r="BD49" s="1" t="s">
        <v>57</v>
      </c>
      <c r="BE49" s="1" t="s">
        <v>57</v>
      </c>
      <c r="BF49" s="1" t="s">
        <v>58</v>
      </c>
      <c r="BG49" s="1" t="s">
        <v>58</v>
      </c>
      <c r="BH49" s="1" t="s">
        <v>59</v>
      </c>
      <c r="BI49" s="1" t="s">
        <v>59</v>
      </c>
      <c r="BJ49" s="1" t="s">
        <v>60</v>
      </c>
      <c r="BK49" s="1" t="s">
        <v>60</v>
      </c>
      <c r="BL49" s="1" t="s">
        <v>61</v>
      </c>
      <c r="BM49" s="1" t="s">
        <v>61</v>
      </c>
      <c r="BN49" s="1" t="s">
        <v>62</v>
      </c>
      <c r="BO49" s="1" t="s">
        <v>62</v>
      </c>
      <c r="BR49" s="1" t="s">
        <v>65</v>
      </c>
      <c r="BS49" s="1" t="s">
        <v>53</v>
      </c>
      <c r="BT49" s="1" t="s">
        <v>53</v>
      </c>
      <c r="BU49" s="1" t="s">
        <v>54</v>
      </c>
      <c r="BV49" s="1" t="s">
        <v>54</v>
      </c>
      <c r="BW49" s="1" t="s">
        <v>55</v>
      </c>
      <c r="BX49" s="1" t="s">
        <v>55</v>
      </c>
      <c r="BY49" s="1" t="s">
        <v>56</v>
      </c>
      <c r="BZ49" s="1" t="s">
        <v>56</v>
      </c>
      <c r="CA49" s="1" t="s">
        <v>57</v>
      </c>
      <c r="CB49" s="1" t="s">
        <v>57</v>
      </c>
      <c r="CC49" s="1" t="s">
        <v>58</v>
      </c>
      <c r="CD49" s="1" t="s">
        <v>58</v>
      </c>
      <c r="CE49" s="1" t="s">
        <v>59</v>
      </c>
      <c r="CF49" s="1" t="s">
        <v>59</v>
      </c>
      <c r="CG49" s="1" t="s">
        <v>60</v>
      </c>
      <c r="CH49" s="1" t="s">
        <v>60</v>
      </c>
      <c r="CI49" s="1" t="s">
        <v>61</v>
      </c>
      <c r="CJ49" s="1" t="s">
        <v>61</v>
      </c>
      <c r="CK49" s="1" t="s">
        <v>62</v>
      </c>
      <c r="CL49" s="1" t="s">
        <v>62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66</v>
      </c>
      <c r="C51" s="2">
        <v>676.19</v>
      </c>
      <c r="D51" s="2">
        <v>631.29</v>
      </c>
      <c r="E51" s="2">
        <v>177.98</v>
      </c>
      <c r="F51" s="2">
        <v>160.53</v>
      </c>
      <c r="G51" s="2">
        <v>50.5</v>
      </c>
      <c r="H51" s="2">
        <v>93.61</v>
      </c>
      <c r="I51" s="2">
        <v>598.36</v>
      </c>
      <c r="J51" s="2">
        <v>296</v>
      </c>
      <c r="K51" s="2">
        <v>1139.1099999999999</v>
      </c>
      <c r="L51" s="2">
        <v>322.55</v>
      </c>
      <c r="M51" s="2">
        <v>2015.53</v>
      </c>
      <c r="N51" s="2">
        <v>400.02</v>
      </c>
      <c r="O51" s="2">
        <v>1456.36</v>
      </c>
      <c r="P51" s="2">
        <v>124.76</v>
      </c>
      <c r="Q51" s="2">
        <v>1388.63</v>
      </c>
      <c r="R51" s="2">
        <v>403.92</v>
      </c>
      <c r="S51" s="2">
        <v>72.78</v>
      </c>
      <c r="T51" s="2">
        <v>44.99</v>
      </c>
      <c r="U51" s="2">
        <v>250.57</v>
      </c>
      <c r="V51" s="2">
        <v>58.5</v>
      </c>
      <c r="X51" s="1" t="s">
        <v>66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0.02</v>
      </c>
      <c r="AR51" s="2">
        <v>0.01</v>
      </c>
      <c r="AU51" s="1" t="s">
        <v>66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0.3</v>
      </c>
      <c r="BO51" s="2">
        <v>0.24</v>
      </c>
      <c r="BR51" s="1" t="s">
        <v>66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67</v>
      </c>
      <c r="C52" s="2">
        <v>1238.78</v>
      </c>
      <c r="D52" s="2">
        <v>433.2</v>
      </c>
      <c r="E52" s="2">
        <v>990.81</v>
      </c>
      <c r="F52" s="2">
        <v>397</v>
      </c>
      <c r="G52" s="2">
        <v>269.23</v>
      </c>
      <c r="H52" s="2">
        <v>241.82</v>
      </c>
      <c r="I52" s="2">
        <v>1588.06</v>
      </c>
      <c r="J52" s="2">
        <v>1244.54</v>
      </c>
      <c r="K52" s="2">
        <v>2147.1799999999998</v>
      </c>
      <c r="L52" s="2">
        <v>1094.06</v>
      </c>
      <c r="M52" s="2">
        <v>5030.9799999999996</v>
      </c>
      <c r="N52" s="2">
        <v>2066.56</v>
      </c>
      <c r="O52" s="2">
        <v>3016.17</v>
      </c>
      <c r="P52" s="2">
        <v>2070.66</v>
      </c>
      <c r="Q52" s="2">
        <v>3602.18</v>
      </c>
      <c r="R52" s="2">
        <v>2388.7199999999998</v>
      </c>
      <c r="S52" s="2">
        <v>2998.82</v>
      </c>
      <c r="T52" s="2">
        <v>1347.38</v>
      </c>
      <c r="U52" s="2">
        <v>3561.28</v>
      </c>
      <c r="V52" s="2">
        <v>1190.3800000000001</v>
      </c>
      <c r="X52" s="1" t="s">
        <v>67</v>
      </c>
      <c r="Y52" s="2">
        <v>0.39</v>
      </c>
      <c r="Z52" s="2">
        <v>0.24</v>
      </c>
      <c r="AA52" s="2">
        <v>0.4</v>
      </c>
      <c r="AB52" s="2">
        <v>0.26</v>
      </c>
      <c r="AC52" s="2">
        <v>0.25</v>
      </c>
      <c r="AD52" s="2">
        <v>0.1</v>
      </c>
      <c r="AE52" s="2">
        <v>0.44</v>
      </c>
      <c r="AF52" s="2">
        <v>0.28999999999999998</v>
      </c>
      <c r="AG52" s="2">
        <v>0.41</v>
      </c>
      <c r="AH52" s="2">
        <v>0.27</v>
      </c>
      <c r="AI52" s="2">
        <v>0.39</v>
      </c>
      <c r="AJ52" s="2">
        <v>0.27</v>
      </c>
      <c r="AK52" s="2">
        <v>0.33</v>
      </c>
      <c r="AL52" s="2">
        <v>0.28999999999999998</v>
      </c>
      <c r="AM52" s="2">
        <v>0.32</v>
      </c>
      <c r="AN52" s="2">
        <v>0.28999999999999998</v>
      </c>
      <c r="AO52" s="2">
        <v>0.31</v>
      </c>
      <c r="AP52" s="2">
        <v>0.23</v>
      </c>
      <c r="AQ52" s="2">
        <v>0.36</v>
      </c>
      <c r="AR52" s="2">
        <v>0.23</v>
      </c>
      <c r="AU52" s="1" t="s">
        <v>67</v>
      </c>
      <c r="AV52" s="2">
        <v>0.67</v>
      </c>
      <c r="AW52" s="2">
        <v>0.44</v>
      </c>
      <c r="AX52" s="2">
        <v>0.61</v>
      </c>
      <c r="AY52" s="2">
        <v>0.41</v>
      </c>
      <c r="AZ52" s="2">
        <v>0.54</v>
      </c>
      <c r="BA52" s="2">
        <v>0.59</v>
      </c>
      <c r="BB52" s="2">
        <v>0.69</v>
      </c>
      <c r="BC52" s="2">
        <v>0.68</v>
      </c>
      <c r="BD52" s="2">
        <v>0.73</v>
      </c>
      <c r="BE52" s="2">
        <v>0.61</v>
      </c>
      <c r="BF52" s="2">
        <v>0.78</v>
      </c>
      <c r="BG52" s="2">
        <v>0.63</v>
      </c>
      <c r="BH52" s="2">
        <v>0.74</v>
      </c>
      <c r="BI52" s="2">
        <v>0.67</v>
      </c>
      <c r="BJ52" s="2">
        <v>0.72</v>
      </c>
      <c r="BK52" s="2">
        <v>0.63</v>
      </c>
      <c r="BL52" s="2">
        <v>0.7</v>
      </c>
      <c r="BM52" s="2">
        <v>0.54</v>
      </c>
      <c r="BN52" s="2">
        <v>0.67</v>
      </c>
      <c r="BO52" s="2">
        <v>0.44</v>
      </c>
      <c r="BR52" s="1" t="s">
        <v>67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68</v>
      </c>
      <c r="C53" s="2">
        <v>21559.01</v>
      </c>
      <c r="D53" s="2">
        <v>1337.48</v>
      </c>
      <c r="E53" s="2">
        <v>24126.67</v>
      </c>
      <c r="F53" s="2">
        <v>988.34</v>
      </c>
      <c r="G53" s="2">
        <v>4402.1899999999996</v>
      </c>
      <c r="H53" s="2">
        <v>3811.32</v>
      </c>
      <c r="I53" s="2">
        <v>15597.41</v>
      </c>
      <c r="J53" s="2">
        <v>6490</v>
      </c>
      <c r="K53" s="2">
        <v>20327.41</v>
      </c>
      <c r="L53" s="2">
        <v>6595.52</v>
      </c>
      <c r="M53" s="2">
        <v>37556.31</v>
      </c>
      <c r="N53" s="2">
        <v>11878.06</v>
      </c>
      <c r="O53" s="2">
        <v>27671.22</v>
      </c>
      <c r="P53" s="2">
        <v>10100.39</v>
      </c>
      <c r="Q53" s="2">
        <v>35125.730000000003</v>
      </c>
      <c r="R53" s="2">
        <v>12249.5</v>
      </c>
      <c r="S53" s="2">
        <v>14678.76</v>
      </c>
      <c r="T53" s="2">
        <v>7572.78</v>
      </c>
      <c r="U53" s="2">
        <v>10188.700000000001</v>
      </c>
      <c r="V53" s="2">
        <v>7897.81</v>
      </c>
      <c r="X53" s="1" t="s">
        <v>68</v>
      </c>
      <c r="Y53" s="2">
        <v>0.52</v>
      </c>
      <c r="Z53" s="2">
        <v>0.2</v>
      </c>
      <c r="AA53" s="2">
        <v>0.5</v>
      </c>
      <c r="AB53" s="2">
        <v>0.2</v>
      </c>
      <c r="AC53" s="2">
        <v>0.56999999999999995</v>
      </c>
      <c r="AD53" s="2">
        <v>0.5</v>
      </c>
      <c r="AE53" s="2">
        <v>0.61</v>
      </c>
      <c r="AF53" s="2">
        <v>0.33</v>
      </c>
      <c r="AG53" s="2">
        <v>0.65</v>
      </c>
      <c r="AH53" s="2">
        <v>0.28999999999999998</v>
      </c>
      <c r="AI53" s="2">
        <v>0.66</v>
      </c>
      <c r="AJ53" s="2">
        <v>0.28999999999999998</v>
      </c>
      <c r="AK53" s="2">
        <v>0.62</v>
      </c>
      <c r="AL53" s="2">
        <v>0.28999999999999998</v>
      </c>
      <c r="AM53" s="2">
        <v>0.6</v>
      </c>
      <c r="AN53" s="2">
        <v>0.28000000000000003</v>
      </c>
      <c r="AO53" s="2">
        <v>0.31</v>
      </c>
      <c r="AP53" s="2">
        <v>0.25</v>
      </c>
      <c r="AQ53" s="2">
        <v>0.24</v>
      </c>
      <c r="AR53" s="2">
        <v>0.22</v>
      </c>
      <c r="AU53" s="1" t="s">
        <v>68</v>
      </c>
      <c r="AV53" s="2">
        <v>1.03</v>
      </c>
      <c r="AW53" s="2">
        <v>0.37</v>
      </c>
      <c r="AX53" s="2">
        <v>1.03</v>
      </c>
      <c r="AY53" s="2">
        <v>0.31</v>
      </c>
      <c r="AZ53" s="2">
        <v>0.92</v>
      </c>
      <c r="BA53" s="2">
        <v>0.87</v>
      </c>
      <c r="BB53" s="2">
        <v>0.93</v>
      </c>
      <c r="BC53" s="2">
        <v>0.73</v>
      </c>
      <c r="BD53" s="2">
        <v>0.97</v>
      </c>
      <c r="BE53" s="2">
        <v>0.71</v>
      </c>
      <c r="BF53" s="2">
        <v>0.97</v>
      </c>
      <c r="BG53" s="2">
        <v>0.71</v>
      </c>
      <c r="BH53" s="2">
        <v>0.97</v>
      </c>
      <c r="BI53" s="2">
        <v>0.72</v>
      </c>
      <c r="BJ53" s="2">
        <v>0.96</v>
      </c>
      <c r="BK53" s="2">
        <v>0.69</v>
      </c>
      <c r="BL53" s="2">
        <v>0.76</v>
      </c>
      <c r="BM53" s="2">
        <v>0.62</v>
      </c>
      <c r="BN53" s="2">
        <v>0.6</v>
      </c>
      <c r="BO53" s="2">
        <v>0.55000000000000004</v>
      </c>
      <c r="BR53" s="1" t="s">
        <v>68</v>
      </c>
      <c r="BS53" s="2">
        <v>1.27</v>
      </c>
      <c r="BT53" s="2">
        <v>0.44</v>
      </c>
      <c r="BU53" s="2">
        <v>1.27</v>
      </c>
      <c r="BV53" s="2">
        <v>0.38</v>
      </c>
      <c r="BW53" s="2">
        <v>1.27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69</v>
      </c>
      <c r="C54" s="2">
        <v>3002.2</v>
      </c>
      <c r="D54" s="2">
        <v>541.29</v>
      </c>
      <c r="E54" s="2">
        <v>3698.03</v>
      </c>
      <c r="F54" s="2">
        <v>348.29</v>
      </c>
      <c r="G54" s="2">
        <v>1008.03</v>
      </c>
      <c r="H54" s="2">
        <v>1406.11</v>
      </c>
      <c r="I54" s="2">
        <v>3663.64</v>
      </c>
      <c r="J54" s="2">
        <v>1824.63</v>
      </c>
      <c r="K54" s="2">
        <v>4286.96</v>
      </c>
      <c r="L54" s="2">
        <v>1691.39</v>
      </c>
      <c r="M54" s="2">
        <v>7683.62</v>
      </c>
      <c r="N54" s="2">
        <v>2768.19</v>
      </c>
      <c r="O54" s="2">
        <v>6046.91</v>
      </c>
      <c r="P54" s="2">
        <v>2321.81</v>
      </c>
      <c r="Q54" s="2">
        <v>5797.41</v>
      </c>
      <c r="R54" s="2">
        <v>2570.0300000000002</v>
      </c>
      <c r="S54" s="2">
        <v>2311.83</v>
      </c>
      <c r="T54" s="2">
        <v>1889.13</v>
      </c>
      <c r="U54" s="2">
        <v>2419.12</v>
      </c>
      <c r="V54" s="2">
        <v>2115.96</v>
      </c>
      <c r="X54" s="1" t="s">
        <v>69</v>
      </c>
      <c r="Y54" s="2">
        <v>0.45</v>
      </c>
      <c r="Z54" s="2">
        <v>0.2</v>
      </c>
      <c r="AA54" s="2">
        <v>0.4</v>
      </c>
      <c r="AB54" s="2">
        <v>0.24</v>
      </c>
      <c r="AC54" s="2">
        <v>0.39</v>
      </c>
      <c r="AD54" s="2">
        <v>0.42</v>
      </c>
      <c r="AE54" s="2">
        <v>0.45</v>
      </c>
      <c r="AF54" s="2">
        <v>0.33</v>
      </c>
      <c r="AG54" s="2">
        <v>0.42</v>
      </c>
      <c r="AH54" s="2">
        <v>0.3</v>
      </c>
      <c r="AI54" s="2">
        <v>0.42</v>
      </c>
      <c r="AJ54" s="2">
        <v>0.28000000000000003</v>
      </c>
      <c r="AK54" s="2">
        <v>0.42</v>
      </c>
      <c r="AL54" s="2">
        <v>0.28000000000000003</v>
      </c>
      <c r="AM54" s="2">
        <v>0.34</v>
      </c>
      <c r="AN54" s="2">
        <v>0.27</v>
      </c>
      <c r="AO54" s="2">
        <v>0.27</v>
      </c>
      <c r="AP54" s="2">
        <v>0.24</v>
      </c>
      <c r="AQ54" s="2">
        <v>0.25</v>
      </c>
      <c r="AR54" s="2">
        <v>0.23</v>
      </c>
      <c r="AU54" s="1" t="s">
        <v>69</v>
      </c>
      <c r="AV54" s="2">
        <v>0.9</v>
      </c>
      <c r="AW54" s="2">
        <v>0.52</v>
      </c>
      <c r="AX54" s="2">
        <v>0.91</v>
      </c>
      <c r="AY54" s="2">
        <v>0.38</v>
      </c>
      <c r="AZ54" s="2">
        <v>0.89</v>
      </c>
      <c r="BA54" s="2">
        <v>0.92</v>
      </c>
      <c r="BB54" s="2">
        <v>0.91</v>
      </c>
      <c r="BC54" s="2">
        <v>0.77</v>
      </c>
      <c r="BD54" s="2">
        <v>0.92</v>
      </c>
      <c r="BE54" s="2">
        <v>0.73</v>
      </c>
      <c r="BF54" s="2">
        <v>0.92</v>
      </c>
      <c r="BG54" s="2">
        <v>0.72</v>
      </c>
      <c r="BH54" s="2">
        <v>0.92</v>
      </c>
      <c r="BI54" s="2">
        <v>0.72</v>
      </c>
      <c r="BJ54" s="2">
        <v>0.86</v>
      </c>
      <c r="BK54" s="2">
        <v>0.69</v>
      </c>
      <c r="BL54" s="2">
        <v>0.68</v>
      </c>
      <c r="BM54" s="2">
        <v>0.64</v>
      </c>
      <c r="BN54" s="2">
        <v>0.63</v>
      </c>
      <c r="BO54" s="2">
        <v>0.6</v>
      </c>
      <c r="BR54" s="1" t="s">
        <v>69</v>
      </c>
      <c r="BS54" s="2">
        <v>1.1100000000000001</v>
      </c>
      <c r="BT54" s="2">
        <v>0.62</v>
      </c>
      <c r="BU54" s="2">
        <v>1.1100000000000001</v>
      </c>
      <c r="BV54" s="2">
        <v>0.47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70</v>
      </c>
      <c r="C55" s="2">
        <v>10653.14</v>
      </c>
      <c r="D55" s="2">
        <v>11482.87</v>
      </c>
      <c r="E55" s="2">
        <v>14719.76</v>
      </c>
      <c r="F55" s="2">
        <v>5703.23</v>
      </c>
      <c r="G55" s="2">
        <v>4134.3900000000003</v>
      </c>
      <c r="H55" s="2">
        <v>4593.6499999999996</v>
      </c>
      <c r="I55" s="2">
        <v>5941.48</v>
      </c>
      <c r="J55" s="2">
        <v>14342.32</v>
      </c>
      <c r="K55" s="2">
        <v>15707.03</v>
      </c>
      <c r="L55" s="2">
        <v>17455.2</v>
      </c>
      <c r="M55" s="2">
        <v>24240.53</v>
      </c>
      <c r="N55" s="2">
        <v>22341.61</v>
      </c>
      <c r="O55" s="2">
        <v>15589.17</v>
      </c>
      <c r="P55" s="2">
        <v>15792.12</v>
      </c>
      <c r="Q55" s="2">
        <v>15275.24</v>
      </c>
      <c r="R55" s="2">
        <v>16069.93</v>
      </c>
      <c r="S55" s="2">
        <v>11407.91</v>
      </c>
      <c r="T55" s="2">
        <v>10818.78</v>
      </c>
      <c r="U55" s="2">
        <v>14598.59</v>
      </c>
      <c r="V55" s="2">
        <v>11204.94</v>
      </c>
      <c r="X55" s="1" t="s">
        <v>70</v>
      </c>
      <c r="Y55" s="2">
        <v>0.31</v>
      </c>
      <c r="Z55" s="2">
        <v>0.33</v>
      </c>
      <c r="AA55" s="2">
        <v>0.4</v>
      </c>
      <c r="AB55" s="2">
        <v>0.42</v>
      </c>
      <c r="AC55" s="2">
        <v>0.31</v>
      </c>
      <c r="AD55" s="2">
        <v>0.34</v>
      </c>
      <c r="AE55" s="2">
        <v>0.36</v>
      </c>
      <c r="AF55" s="2">
        <v>0.35</v>
      </c>
      <c r="AG55" s="2">
        <v>0.36</v>
      </c>
      <c r="AH55" s="2">
        <v>0.36</v>
      </c>
      <c r="AI55" s="2">
        <v>0.34</v>
      </c>
      <c r="AJ55" s="2">
        <v>0.35</v>
      </c>
      <c r="AK55" s="2">
        <v>0.33</v>
      </c>
      <c r="AL55" s="2">
        <v>0.35</v>
      </c>
      <c r="AM55" s="2">
        <v>0.3</v>
      </c>
      <c r="AN55" s="2">
        <v>0.3</v>
      </c>
      <c r="AO55" s="2">
        <v>0.27</v>
      </c>
      <c r="AP55" s="2">
        <v>0.28000000000000003</v>
      </c>
      <c r="AQ55" s="2">
        <v>0.27</v>
      </c>
      <c r="AR55" s="2">
        <v>0.3</v>
      </c>
      <c r="AU55" s="1" t="s">
        <v>70</v>
      </c>
      <c r="AV55" s="2">
        <v>0.87</v>
      </c>
      <c r="AW55" s="2">
        <v>0.85</v>
      </c>
      <c r="AX55" s="2">
        <v>0.87</v>
      </c>
      <c r="AY55" s="2">
        <v>0.65</v>
      </c>
      <c r="AZ55" s="2">
        <v>0.86</v>
      </c>
      <c r="BA55" s="2">
        <v>0.86</v>
      </c>
      <c r="BB55" s="2">
        <v>0.64</v>
      </c>
      <c r="BC55" s="2">
        <v>0.87</v>
      </c>
      <c r="BD55" s="2">
        <v>0.85</v>
      </c>
      <c r="BE55" s="2">
        <v>0.87</v>
      </c>
      <c r="BF55" s="2">
        <v>0.82</v>
      </c>
      <c r="BG55" s="2">
        <v>0.79</v>
      </c>
      <c r="BH55" s="2">
        <v>0.77</v>
      </c>
      <c r="BI55" s="2">
        <v>0.76</v>
      </c>
      <c r="BJ55" s="2">
        <v>0.71</v>
      </c>
      <c r="BK55" s="2">
        <v>0.72</v>
      </c>
      <c r="BL55" s="2">
        <v>0.67</v>
      </c>
      <c r="BM55" s="2">
        <v>0.64</v>
      </c>
      <c r="BN55" s="2">
        <v>0.66</v>
      </c>
      <c r="BO55" s="2">
        <v>0.57999999999999996</v>
      </c>
      <c r="BR55" s="1" t="s">
        <v>70</v>
      </c>
      <c r="BS55" s="2">
        <v>1.07</v>
      </c>
      <c r="BT55" s="2">
        <v>1.01</v>
      </c>
      <c r="BU55" s="2">
        <v>1.07</v>
      </c>
      <c r="BV55" s="2">
        <v>0.79</v>
      </c>
      <c r="BW55" s="2">
        <v>1.07</v>
      </c>
      <c r="BX55" s="2">
        <v>1.07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71</v>
      </c>
      <c r="C56" s="2">
        <v>2926.22</v>
      </c>
      <c r="D56" s="2">
        <v>3063.87</v>
      </c>
      <c r="E56" s="2">
        <v>3503.36</v>
      </c>
      <c r="F56" s="2">
        <v>3463.34</v>
      </c>
      <c r="G56" s="2">
        <v>1005.45</v>
      </c>
      <c r="H56" s="2">
        <v>1152.74</v>
      </c>
      <c r="I56" s="2">
        <v>1249.47</v>
      </c>
      <c r="J56" s="2">
        <v>3015.85</v>
      </c>
      <c r="K56" s="2">
        <v>1488.99</v>
      </c>
      <c r="L56" s="2">
        <v>4631.8500000000004</v>
      </c>
      <c r="M56" s="2">
        <v>3441.89</v>
      </c>
      <c r="N56" s="2">
        <v>8847.91</v>
      </c>
      <c r="O56" s="2">
        <v>2683.81</v>
      </c>
      <c r="P56" s="2">
        <v>5624</v>
      </c>
      <c r="Q56" s="2">
        <v>3455.97</v>
      </c>
      <c r="R56" s="2">
        <v>7252.75</v>
      </c>
      <c r="S56" s="2">
        <v>2681.03</v>
      </c>
      <c r="T56" s="2">
        <v>5190.66</v>
      </c>
      <c r="U56" s="2">
        <v>2877.29</v>
      </c>
      <c r="V56" s="2">
        <v>2405.11</v>
      </c>
      <c r="X56" s="1" t="s">
        <v>71</v>
      </c>
      <c r="Y56" s="2">
        <v>0.4</v>
      </c>
      <c r="Z56" s="2">
        <v>0.41</v>
      </c>
      <c r="AA56" s="2">
        <v>0.54</v>
      </c>
      <c r="AB56" s="2">
        <v>0.56000000000000005</v>
      </c>
      <c r="AC56" s="2">
        <v>0.36</v>
      </c>
      <c r="AD56" s="2">
        <v>0.4</v>
      </c>
      <c r="AE56" s="2">
        <v>0.41</v>
      </c>
      <c r="AF56" s="2">
        <v>0.33</v>
      </c>
      <c r="AG56" s="2">
        <v>0.38</v>
      </c>
      <c r="AH56" s="2">
        <v>0.47</v>
      </c>
      <c r="AI56" s="2">
        <v>0.4</v>
      </c>
      <c r="AJ56" s="2">
        <v>0.47</v>
      </c>
      <c r="AK56" s="2">
        <v>0.4</v>
      </c>
      <c r="AL56" s="2">
        <v>0.47</v>
      </c>
      <c r="AM56" s="2">
        <v>0.39</v>
      </c>
      <c r="AN56" s="2">
        <v>0.45</v>
      </c>
      <c r="AO56" s="2">
        <v>0.37</v>
      </c>
      <c r="AP56" s="2">
        <v>0.44</v>
      </c>
      <c r="AQ56" s="2">
        <v>0.34</v>
      </c>
      <c r="AR56" s="2">
        <v>0.33</v>
      </c>
      <c r="AU56" s="1" t="s">
        <v>71</v>
      </c>
      <c r="AV56" s="2">
        <v>0.88</v>
      </c>
      <c r="AW56" s="2">
        <v>0.88</v>
      </c>
      <c r="AX56" s="2">
        <v>0.86</v>
      </c>
      <c r="AY56" s="2">
        <v>0.86</v>
      </c>
      <c r="AZ56" s="2">
        <v>0.86</v>
      </c>
      <c r="BA56" s="2">
        <v>0.87</v>
      </c>
      <c r="BB56" s="2">
        <v>0.65</v>
      </c>
      <c r="BC56" s="2">
        <v>0.87</v>
      </c>
      <c r="BD56" s="2">
        <v>0.66</v>
      </c>
      <c r="BE56" s="2">
        <v>0.89</v>
      </c>
      <c r="BF56" s="2">
        <v>0.72</v>
      </c>
      <c r="BG56" s="2">
        <v>0.9</v>
      </c>
      <c r="BH56" s="2">
        <v>0.71</v>
      </c>
      <c r="BI56" s="2">
        <v>0.85</v>
      </c>
      <c r="BJ56" s="2">
        <v>0.71</v>
      </c>
      <c r="BK56" s="2">
        <v>0.85</v>
      </c>
      <c r="BL56" s="2">
        <v>0.68</v>
      </c>
      <c r="BM56" s="2">
        <v>0.8</v>
      </c>
      <c r="BN56" s="2">
        <v>0.63</v>
      </c>
      <c r="BO56" s="2">
        <v>0.57999999999999996</v>
      </c>
      <c r="BR56" s="1" t="s">
        <v>71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72</v>
      </c>
      <c r="C57" s="2">
        <v>22608.12</v>
      </c>
      <c r="D57" s="2">
        <v>23371.3</v>
      </c>
      <c r="E57" s="2">
        <v>12553.05</v>
      </c>
      <c r="F57" s="2">
        <v>23979.23</v>
      </c>
      <c r="G57" s="2">
        <v>3648.52</v>
      </c>
      <c r="H57" s="2">
        <v>8693.25</v>
      </c>
      <c r="I57" s="2">
        <v>9681.58</v>
      </c>
      <c r="J57" s="2">
        <v>15129.42</v>
      </c>
      <c r="K57" s="2">
        <v>8500.9500000000007</v>
      </c>
      <c r="L57" s="2">
        <v>23513.68</v>
      </c>
      <c r="M57" s="2">
        <v>17902.32</v>
      </c>
      <c r="N57" s="2">
        <v>42650.93</v>
      </c>
      <c r="O57" s="2">
        <v>14448.26</v>
      </c>
      <c r="P57" s="2">
        <v>30845.1</v>
      </c>
      <c r="Q57" s="2">
        <v>22223.759999999998</v>
      </c>
      <c r="R57" s="2">
        <v>28850.68</v>
      </c>
      <c r="S57" s="2">
        <v>13118.27</v>
      </c>
      <c r="T57" s="2">
        <v>14312.79</v>
      </c>
      <c r="U57" s="2">
        <v>14753.64</v>
      </c>
      <c r="V57" s="2">
        <v>14194.12</v>
      </c>
      <c r="X57" s="1" t="s">
        <v>72</v>
      </c>
      <c r="Y57" s="2">
        <v>0.5</v>
      </c>
      <c r="Z57" s="2">
        <v>0.52</v>
      </c>
      <c r="AA57" s="2">
        <v>0.53</v>
      </c>
      <c r="AB57" s="2">
        <v>0.56999999999999995</v>
      </c>
      <c r="AC57" s="2">
        <v>0.42</v>
      </c>
      <c r="AD57" s="2">
        <v>0.51</v>
      </c>
      <c r="AE57" s="2">
        <v>0.45</v>
      </c>
      <c r="AF57" s="2">
        <v>0.55000000000000004</v>
      </c>
      <c r="AG57" s="2">
        <v>0.4</v>
      </c>
      <c r="AH57" s="2">
        <v>0.68</v>
      </c>
      <c r="AI57" s="2">
        <v>0.4</v>
      </c>
      <c r="AJ57" s="2">
        <v>0.68</v>
      </c>
      <c r="AK57" s="2">
        <v>0.4</v>
      </c>
      <c r="AL57" s="2">
        <v>0.6</v>
      </c>
      <c r="AM57" s="2">
        <v>0.41</v>
      </c>
      <c r="AN57" s="2">
        <v>0.44</v>
      </c>
      <c r="AO57" s="2">
        <v>0.37</v>
      </c>
      <c r="AP57" s="2">
        <v>0.38</v>
      </c>
      <c r="AQ57" s="2">
        <v>0.34</v>
      </c>
      <c r="AR57" s="2">
        <v>0.34</v>
      </c>
      <c r="AU57" s="1" t="s">
        <v>72</v>
      </c>
      <c r="AV57" s="2">
        <v>1.01</v>
      </c>
      <c r="AW57" s="2">
        <v>1.01</v>
      </c>
      <c r="AX57" s="2">
        <v>0.86</v>
      </c>
      <c r="AY57" s="2">
        <v>0.99</v>
      </c>
      <c r="AZ57" s="2">
        <v>0.84</v>
      </c>
      <c r="BA57" s="2">
        <v>1</v>
      </c>
      <c r="BB57" s="2">
        <v>0.78</v>
      </c>
      <c r="BC57" s="2">
        <v>0.92</v>
      </c>
      <c r="BD57" s="2">
        <v>0.72</v>
      </c>
      <c r="BE57" s="2">
        <v>0.97</v>
      </c>
      <c r="BF57" s="2">
        <v>0.76</v>
      </c>
      <c r="BG57" s="2">
        <v>0.97</v>
      </c>
      <c r="BH57" s="2">
        <v>0.76</v>
      </c>
      <c r="BI57" s="2">
        <v>0.93</v>
      </c>
      <c r="BJ57" s="2">
        <v>0.8</v>
      </c>
      <c r="BK57" s="2">
        <v>0.85</v>
      </c>
      <c r="BL57" s="2">
        <v>0.7</v>
      </c>
      <c r="BM57" s="2">
        <v>0.71</v>
      </c>
      <c r="BN57" s="2">
        <v>0.66</v>
      </c>
      <c r="BO57" s="2">
        <v>0.65</v>
      </c>
      <c r="BR57" s="1" t="s">
        <v>72</v>
      </c>
      <c r="BS57" s="2">
        <v>1.27</v>
      </c>
      <c r="BT57" s="2">
        <v>1.27</v>
      </c>
      <c r="BU57" s="2">
        <v>1.1100000000000001</v>
      </c>
      <c r="BV57" s="2">
        <v>1.24</v>
      </c>
      <c r="BW57" s="2">
        <v>1.1100000000000001</v>
      </c>
      <c r="BX57" s="2">
        <v>1.27</v>
      </c>
      <c r="BY57" s="2">
        <v>1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73</v>
      </c>
      <c r="C58" s="2">
        <v>2211.8200000000002</v>
      </c>
      <c r="D58" s="2">
        <v>3707.66</v>
      </c>
      <c r="E58" s="2">
        <v>669.86</v>
      </c>
      <c r="F58" s="2">
        <v>718.5</v>
      </c>
      <c r="G58" s="2">
        <v>169.35</v>
      </c>
      <c r="H58" s="2">
        <v>340.03</v>
      </c>
      <c r="I58" s="2">
        <v>844.75</v>
      </c>
      <c r="J58" s="2">
        <v>5931.59</v>
      </c>
      <c r="K58" s="2">
        <v>2952.74</v>
      </c>
      <c r="L58" s="2">
        <v>7005.25</v>
      </c>
      <c r="M58" s="2">
        <v>7769</v>
      </c>
      <c r="N58" s="2">
        <v>12900.17</v>
      </c>
      <c r="O58" s="2">
        <v>6902.77</v>
      </c>
      <c r="P58" s="2">
        <v>8546.82</v>
      </c>
      <c r="Q58" s="2">
        <v>7682</v>
      </c>
      <c r="R58" s="2">
        <v>7481.85</v>
      </c>
      <c r="S58" s="2">
        <v>5842.42</v>
      </c>
      <c r="T58" s="2">
        <v>4842.5600000000004</v>
      </c>
      <c r="U58" s="2">
        <v>6689.62</v>
      </c>
      <c r="V58" s="2">
        <v>5320.12</v>
      </c>
      <c r="X58" s="1" t="s">
        <v>73</v>
      </c>
      <c r="Y58" s="2">
        <v>0.25</v>
      </c>
      <c r="Z58" s="2">
        <v>0.31</v>
      </c>
      <c r="AA58" s="2">
        <v>0.25</v>
      </c>
      <c r="AB58" s="2">
        <v>0.27</v>
      </c>
      <c r="AC58" s="2">
        <v>0.04</v>
      </c>
      <c r="AD58" s="2">
        <v>0.28999999999999998</v>
      </c>
      <c r="AE58" s="2">
        <v>0.12</v>
      </c>
      <c r="AF58" s="2">
        <v>0.28999999999999998</v>
      </c>
      <c r="AG58" s="2">
        <v>0.2</v>
      </c>
      <c r="AH58" s="2">
        <v>0.27</v>
      </c>
      <c r="AI58" s="2">
        <v>0.2</v>
      </c>
      <c r="AJ58" s="2">
        <v>0.28000000000000003</v>
      </c>
      <c r="AK58" s="2">
        <v>0.2</v>
      </c>
      <c r="AL58" s="2">
        <v>0.27</v>
      </c>
      <c r="AM58" s="2">
        <v>0.19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73</v>
      </c>
      <c r="AV58" s="2">
        <v>0.56000000000000005</v>
      </c>
      <c r="AW58" s="2">
        <v>0.67</v>
      </c>
      <c r="AX58" s="2">
        <v>0.31</v>
      </c>
      <c r="AY58" s="2">
        <v>0.33</v>
      </c>
      <c r="AZ58" s="2">
        <v>0.3</v>
      </c>
      <c r="BA58" s="2">
        <v>0.36</v>
      </c>
      <c r="BB58" s="2">
        <v>0.3</v>
      </c>
      <c r="BC58" s="2">
        <v>0.77</v>
      </c>
      <c r="BD58" s="2">
        <v>0.6</v>
      </c>
      <c r="BE58" s="2">
        <v>0.78</v>
      </c>
      <c r="BF58" s="2">
        <v>0.72</v>
      </c>
      <c r="BG58" s="2">
        <v>0.79</v>
      </c>
      <c r="BH58" s="2">
        <v>0.75</v>
      </c>
      <c r="BI58" s="2">
        <v>0.75</v>
      </c>
      <c r="BJ58" s="2">
        <v>0.71</v>
      </c>
      <c r="BK58" s="2">
        <v>0.68</v>
      </c>
      <c r="BL58" s="2">
        <v>0.67</v>
      </c>
      <c r="BM58" s="2">
        <v>0.6</v>
      </c>
      <c r="BN58" s="2">
        <v>0.62</v>
      </c>
      <c r="BO58" s="2">
        <v>0.54</v>
      </c>
      <c r="BR58" s="1" t="s">
        <v>73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0.77979715689707119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63</v>
      </c>
      <c r="D62" s="1" t="s">
        <v>64</v>
      </c>
      <c r="E62" s="1" t="s">
        <v>63</v>
      </c>
      <c r="F62" s="1" t="s">
        <v>64</v>
      </c>
      <c r="G62" s="1" t="s">
        <v>63</v>
      </c>
      <c r="H62" s="1" t="s">
        <v>64</v>
      </c>
      <c r="I62" s="1" t="s">
        <v>63</v>
      </c>
      <c r="J62" s="1" t="s">
        <v>64</v>
      </c>
      <c r="K62" s="1" t="s">
        <v>63</v>
      </c>
      <c r="L62" s="1" t="s">
        <v>64</v>
      </c>
      <c r="M62" s="1" t="s">
        <v>63</v>
      </c>
      <c r="N62" s="1" t="s">
        <v>64</v>
      </c>
      <c r="O62" s="1" t="s">
        <v>63</v>
      </c>
      <c r="P62" s="1" t="s">
        <v>64</v>
      </c>
      <c r="Q62" s="1" t="s">
        <v>63</v>
      </c>
      <c r="R62" s="1" t="s">
        <v>64</v>
      </c>
      <c r="S62" s="1" t="s">
        <v>63</v>
      </c>
      <c r="T62" s="1" t="s">
        <v>64</v>
      </c>
      <c r="U62" s="1" t="s">
        <v>63</v>
      </c>
      <c r="V62" s="1" t="s">
        <v>64</v>
      </c>
      <c r="X62" s="1" t="s">
        <v>6</v>
      </c>
      <c r="Y62" s="1" t="s">
        <v>63</v>
      </c>
      <c r="Z62" s="1" t="s">
        <v>64</v>
      </c>
      <c r="AA62" s="1" t="s">
        <v>63</v>
      </c>
      <c r="AB62" s="1" t="s">
        <v>64</v>
      </c>
      <c r="AC62" s="1" t="s">
        <v>63</v>
      </c>
      <c r="AD62" s="1" t="s">
        <v>64</v>
      </c>
      <c r="AE62" s="1" t="s">
        <v>63</v>
      </c>
      <c r="AF62" s="1" t="s">
        <v>64</v>
      </c>
      <c r="AG62" s="1" t="s">
        <v>63</v>
      </c>
      <c r="AH62" s="1" t="s">
        <v>64</v>
      </c>
      <c r="AI62" s="1" t="s">
        <v>63</v>
      </c>
      <c r="AJ62" s="1" t="s">
        <v>64</v>
      </c>
      <c r="AK62" s="1" t="s">
        <v>63</v>
      </c>
      <c r="AL62" s="1" t="s">
        <v>64</v>
      </c>
      <c r="AM62" s="1" t="s">
        <v>63</v>
      </c>
      <c r="AN62" s="1" t="s">
        <v>64</v>
      </c>
      <c r="AO62" s="1" t="s">
        <v>63</v>
      </c>
      <c r="AP62" s="1" t="s">
        <v>64</v>
      </c>
      <c r="AQ62" s="1" t="s">
        <v>63</v>
      </c>
      <c r="AR62" s="1" t="s">
        <v>64</v>
      </c>
      <c r="AU62" s="1" t="s">
        <v>6</v>
      </c>
      <c r="AV62" s="1" t="s">
        <v>63</v>
      </c>
      <c r="AW62" s="1" t="s">
        <v>64</v>
      </c>
      <c r="AX62" s="1" t="s">
        <v>63</v>
      </c>
      <c r="AY62" s="1" t="s">
        <v>64</v>
      </c>
      <c r="AZ62" s="1" t="s">
        <v>63</v>
      </c>
      <c r="BA62" s="1" t="s">
        <v>64</v>
      </c>
      <c r="BB62" s="1" t="s">
        <v>63</v>
      </c>
      <c r="BC62" s="1" t="s">
        <v>64</v>
      </c>
      <c r="BD62" s="1" t="s">
        <v>63</v>
      </c>
      <c r="BE62" s="1" t="s">
        <v>64</v>
      </c>
      <c r="BF62" s="1" t="s">
        <v>63</v>
      </c>
      <c r="BG62" s="1" t="s">
        <v>64</v>
      </c>
      <c r="BH62" s="1" t="s">
        <v>63</v>
      </c>
      <c r="BI62" s="1" t="s">
        <v>64</v>
      </c>
      <c r="BJ62" s="1" t="s">
        <v>63</v>
      </c>
      <c r="BK62" s="1" t="s">
        <v>64</v>
      </c>
      <c r="BL62" s="1" t="s">
        <v>63</v>
      </c>
      <c r="BM62" s="1" t="s">
        <v>64</v>
      </c>
      <c r="BN62" s="1" t="s">
        <v>63</v>
      </c>
      <c r="BO62" s="1" t="s">
        <v>64</v>
      </c>
      <c r="BR62" s="1" t="s">
        <v>6</v>
      </c>
      <c r="BS62" s="1" t="s">
        <v>63</v>
      </c>
      <c r="BT62" s="1" t="s">
        <v>64</v>
      </c>
      <c r="BU62" s="1" t="s">
        <v>63</v>
      </c>
      <c r="BV62" s="1" t="s">
        <v>64</v>
      </c>
      <c r="BW62" s="1" t="s">
        <v>63</v>
      </c>
      <c r="BX62" s="1" t="s">
        <v>64</v>
      </c>
      <c r="BY62" s="1" t="s">
        <v>63</v>
      </c>
      <c r="BZ62" s="1" t="s">
        <v>64</v>
      </c>
      <c r="CA62" s="1" t="s">
        <v>63</v>
      </c>
      <c r="CB62" s="1" t="s">
        <v>64</v>
      </c>
      <c r="CC62" s="1" t="s">
        <v>63</v>
      </c>
      <c r="CD62" s="1" t="s">
        <v>64</v>
      </c>
      <c r="CE62" s="1" t="s">
        <v>63</v>
      </c>
      <c r="CF62" s="1" t="s">
        <v>64</v>
      </c>
      <c r="CG62" s="1" t="s">
        <v>63</v>
      </c>
      <c r="CH62" s="1" t="s">
        <v>64</v>
      </c>
      <c r="CI62" s="1" t="s">
        <v>63</v>
      </c>
      <c r="CJ62" s="1" t="s">
        <v>64</v>
      </c>
      <c r="CK62" s="1" t="s">
        <v>63</v>
      </c>
      <c r="CL62" s="1" t="s">
        <v>64</v>
      </c>
    </row>
    <row r="63" spans="2:90" x14ac:dyDescent="0.3">
      <c r="B63" s="1" t="s">
        <v>65</v>
      </c>
      <c r="C63" s="1" t="s">
        <v>53</v>
      </c>
      <c r="D63" s="1" t="s">
        <v>53</v>
      </c>
      <c r="E63" s="1" t="s">
        <v>54</v>
      </c>
      <c r="F63" s="1" t="s">
        <v>54</v>
      </c>
      <c r="G63" s="1" t="s">
        <v>55</v>
      </c>
      <c r="H63" s="1" t="s">
        <v>55</v>
      </c>
      <c r="I63" s="1" t="s">
        <v>56</v>
      </c>
      <c r="J63" s="1" t="s">
        <v>56</v>
      </c>
      <c r="K63" s="1" t="s">
        <v>57</v>
      </c>
      <c r="L63" s="1" t="s">
        <v>57</v>
      </c>
      <c r="M63" s="1" t="s">
        <v>58</v>
      </c>
      <c r="N63" s="1" t="s">
        <v>58</v>
      </c>
      <c r="O63" s="1" t="s">
        <v>59</v>
      </c>
      <c r="P63" s="1" t="s">
        <v>59</v>
      </c>
      <c r="Q63" s="1" t="s">
        <v>60</v>
      </c>
      <c r="R63" s="1" t="s">
        <v>60</v>
      </c>
      <c r="S63" s="1" t="s">
        <v>61</v>
      </c>
      <c r="T63" s="1" t="s">
        <v>61</v>
      </c>
      <c r="U63" s="1" t="s">
        <v>62</v>
      </c>
      <c r="V63" s="1" t="s">
        <v>62</v>
      </c>
      <c r="X63" s="1" t="s">
        <v>65</v>
      </c>
      <c r="Y63" s="1" t="s">
        <v>53</v>
      </c>
      <c r="Z63" s="1" t="s">
        <v>53</v>
      </c>
      <c r="AA63" s="1" t="s">
        <v>54</v>
      </c>
      <c r="AB63" s="1" t="s">
        <v>54</v>
      </c>
      <c r="AC63" s="1" t="s">
        <v>55</v>
      </c>
      <c r="AD63" s="1" t="s">
        <v>55</v>
      </c>
      <c r="AE63" s="1" t="s">
        <v>56</v>
      </c>
      <c r="AF63" s="1" t="s">
        <v>56</v>
      </c>
      <c r="AG63" s="1" t="s">
        <v>57</v>
      </c>
      <c r="AH63" s="1" t="s">
        <v>57</v>
      </c>
      <c r="AI63" s="1" t="s">
        <v>58</v>
      </c>
      <c r="AJ63" s="1" t="s">
        <v>58</v>
      </c>
      <c r="AK63" s="1" t="s">
        <v>59</v>
      </c>
      <c r="AL63" s="1" t="s">
        <v>59</v>
      </c>
      <c r="AM63" s="1" t="s">
        <v>60</v>
      </c>
      <c r="AN63" s="1" t="s">
        <v>60</v>
      </c>
      <c r="AO63" s="1" t="s">
        <v>61</v>
      </c>
      <c r="AP63" s="1" t="s">
        <v>61</v>
      </c>
      <c r="AQ63" s="1" t="s">
        <v>62</v>
      </c>
      <c r="AR63" s="1" t="s">
        <v>62</v>
      </c>
      <c r="AU63" s="1" t="s">
        <v>65</v>
      </c>
      <c r="AV63" s="1" t="s">
        <v>53</v>
      </c>
      <c r="AW63" s="1" t="s">
        <v>53</v>
      </c>
      <c r="AX63" s="1" t="s">
        <v>54</v>
      </c>
      <c r="AY63" s="1" t="s">
        <v>54</v>
      </c>
      <c r="AZ63" s="1" t="s">
        <v>55</v>
      </c>
      <c r="BA63" s="1" t="s">
        <v>55</v>
      </c>
      <c r="BB63" s="1" t="s">
        <v>56</v>
      </c>
      <c r="BC63" s="1" t="s">
        <v>56</v>
      </c>
      <c r="BD63" s="1" t="s">
        <v>57</v>
      </c>
      <c r="BE63" s="1" t="s">
        <v>57</v>
      </c>
      <c r="BF63" s="1" t="s">
        <v>58</v>
      </c>
      <c r="BG63" s="1" t="s">
        <v>58</v>
      </c>
      <c r="BH63" s="1" t="s">
        <v>59</v>
      </c>
      <c r="BI63" s="1" t="s">
        <v>59</v>
      </c>
      <c r="BJ63" s="1" t="s">
        <v>60</v>
      </c>
      <c r="BK63" s="1" t="s">
        <v>60</v>
      </c>
      <c r="BL63" s="1" t="s">
        <v>61</v>
      </c>
      <c r="BM63" s="1" t="s">
        <v>61</v>
      </c>
      <c r="BN63" s="1" t="s">
        <v>62</v>
      </c>
      <c r="BO63" s="1" t="s">
        <v>62</v>
      </c>
      <c r="BR63" s="1" t="s">
        <v>65</v>
      </c>
      <c r="BS63" s="1" t="s">
        <v>53</v>
      </c>
      <c r="BT63" s="1" t="s">
        <v>53</v>
      </c>
      <c r="BU63" s="1" t="s">
        <v>54</v>
      </c>
      <c r="BV63" s="1" t="s">
        <v>54</v>
      </c>
      <c r="BW63" s="1" t="s">
        <v>55</v>
      </c>
      <c r="BX63" s="1" t="s">
        <v>55</v>
      </c>
      <c r="BY63" s="1" t="s">
        <v>56</v>
      </c>
      <c r="BZ63" s="1" t="s">
        <v>56</v>
      </c>
      <c r="CA63" s="1" t="s">
        <v>57</v>
      </c>
      <c r="CB63" s="1" t="s">
        <v>57</v>
      </c>
      <c r="CC63" s="1" t="s">
        <v>58</v>
      </c>
      <c r="CD63" s="1" t="s">
        <v>58</v>
      </c>
      <c r="CE63" s="1" t="s">
        <v>59</v>
      </c>
      <c r="CF63" s="1" t="s">
        <v>59</v>
      </c>
      <c r="CG63" s="1" t="s">
        <v>60</v>
      </c>
      <c r="CH63" s="1" t="s">
        <v>60</v>
      </c>
      <c r="CI63" s="1" t="s">
        <v>61</v>
      </c>
      <c r="CJ63" s="1" t="s">
        <v>61</v>
      </c>
      <c r="CK63" s="1" t="s">
        <v>62</v>
      </c>
      <c r="CL63" s="1" t="s">
        <v>62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66</v>
      </c>
      <c r="C65" s="2">
        <v>29.41</v>
      </c>
      <c r="D65" s="2">
        <v>36.47</v>
      </c>
      <c r="E65" s="2">
        <v>10.3</v>
      </c>
      <c r="F65" s="2">
        <v>10.24</v>
      </c>
      <c r="G65" s="2">
        <v>4.21</v>
      </c>
      <c r="H65" s="2">
        <v>7.16</v>
      </c>
      <c r="I65" s="2">
        <v>14.35</v>
      </c>
      <c r="J65" s="2">
        <v>26.29</v>
      </c>
      <c r="K65" s="2">
        <v>21.01</v>
      </c>
      <c r="L65" s="2">
        <v>17.25</v>
      </c>
      <c r="M65" s="2">
        <v>67.19</v>
      </c>
      <c r="N65" s="2">
        <v>27.54</v>
      </c>
      <c r="O65" s="2">
        <v>69.66</v>
      </c>
      <c r="P65" s="2">
        <v>9.3000000000000007</v>
      </c>
      <c r="Q65" s="2">
        <v>64.11</v>
      </c>
      <c r="R65" s="2">
        <v>21.69</v>
      </c>
      <c r="S65" s="2">
        <v>6.5</v>
      </c>
      <c r="T65" s="2">
        <v>5.23</v>
      </c>
      <c r="U65" s="2">
        <v>17.309999999999999</v>
      </c>
      <c r="V65" s="2">
        <v>7.72</v>
      </c>
      <c r="X65" s="1" t="s">
        <v>66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66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66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67</v>
      </c>
      <c r="C66" s="2">
        <v>106.6</v>
      </c>
      <c r="D66" s="2">
        <v>50.89</v>
      </c>
      <c r="E66" s="2">
        <v>42.75</v>
      </c>
      <c r="F66" s="2">
        <v>31.33</v>
      </c>
      <c r="G66" s="2">
        <v>20.260000000000002</v>
      </c>
      <c r="H66" s="2">
        <v>30.87</v>
      </c>
      <c r="I66" s="2">
        <v>99.72</v>
      </c>
      <c r="J66" s="2">
        <v>181.06</v>
      </c>
      <c r="K66" s="2">
        <v>147.1</v>
      </c>
      <c r="L66" s="2">
        <v>158.88</v>
      </c>
      <c r="M66" s="2">
        <v>357.92</v>
      </c>
      <c r="N66" s="2">
        <v>329.21</v>
      </c>
      <c r="O66" s="2">
        <v>267.57</v>
      </c>
      <c r="P66" s="2">
        <v>242.97</v>
      </c>
      <c r="Q66" s="2">
        <v>316.91000000000003</v>
      </c>
      <c r="R66" s="2">
        <v>232.29</v>
      </c>
      <c r="S66" s="2">
        <v>227.27</v>
      </c>
      <c r="T66" s="2">
        <v>165.15</v>
      </c>
      <c r="U66" s="2">
        <v>316.11</v>
      </c>
      <c r="V66" s="2">
        <v>146.88</v>
      </c>
      <c r="X66" s="1" t="s">
        <v>67</v>
      </c>
      <c r="Y66" s="2">
        <v>59.74</v>
      </c>
      <c r="Z66" s="2">
        <v>59.99</v>
      </c>
      <c r="AA66" s="2">
        <v>59.69</v>
      </c>
      <c r="AB66" s="2">
        <v>59.98</v>
      </c>
      <c r="AC66" s="2">
        <v>59.98</v>
      </c>
      <c r="AD66" s="2">
        <v>60</v>
      </c>
      <c r="AE66" s="2">
        <v>69.37</v>
      </c>
      <c r="AF66" s="2">
        <v>69.95</v>
      </c>
      <c r="AG66" s="2">
        <v>69.59</v>
      </c>
      <c r="AH66" s="2">
        <v>69.97</v>
      </c>
      <c r="AI66" s="2">
        <v>69.709999999999994</v>
      </c>
      <c r="AJ66" s="2">
        <v>69.97</v>
      </c>
      <c r="AK66" s="2">
        <v>69.900000000000006</v>
      </c>
      <c r="AL66" s="2">
        <v>69.95</v>
      </c>
      <c r="AM66" s="2">
        <v>69.92</v>
      </c>
      <c r="AN66" s="2">
        <v>69.95</v>
      </c>
      <c r="AO66" s="2">
        <v>69.930000000000007</v>
      </c>
      <c r="AP66" s="2">
        <v>69.989999999999995</v>
      </c>
      <c r="AQ66" s="2">
        <v>69.81</v>
      </c>
      <c r="AR66" s="2">
        <v>69.989999999999995</v>
      </c>
      <c r="AU66" s="1" t="s">
        <v>67</v>
      </c>
      <c r="AV66" s="2">
        <v>50.48</v>
      </c>
      <c r="AW66" s="2">
        <v>54.61</v>
      </c>
      <c r="AX66" s="2">
        <v>52.38</v>
      </c>
      <c r="AY66" s="2">
        <v>54.75</v>
      </c>
      <c r="AZ66" s="2">
        <v>53.64</v>
      </c>
      <c r="BA66" s="2">
        <v>52.71</v>
      </c>
      <c r="BB66" s="2">
        <v>58.89</v>
      </c>
      <c r="BC66" s="2">
        <v>59.31</v>
      </c>
      <c r="BD66" s="2">
        <v>61.01</v>
      </c>
      <c r="BE66" s="2">
        <v>66.42</v>
      </c>
      <c r="BF66" s="2">
        <v>56.74</v>
      </c>
      <c r="BG66" s="2">
        <v>66.010000000000005</v>
      </c>
      <c r="BH66" s="2">
        <v>60.19</v>
      </c>
      <c r="BI66" s="2">
        <v>64.36</v>
      </c>
      <c r="BJ66" s="2">
        <v>61.43</v>
      </c>
      <c r="BK66" s="2">
        <v>66.05</v>
      </c>
      <c r="BL66" s="2">
        <v>62.61</v>
      </c>
      <c r="BM66" s="2">
        <v>68.37</v>
      </c>
      <c r="BN66" s="2">
        <v>64.3</v>
      </c>
      <c r="BO66" s="2">
        <v>69.47</v>
      </c>
      <c r="BR66" s="1" t="s">
        <v>67</v>
      </c>
      <c r="BS66" s="2">
        <v>-0.24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-7.0000000000000007E-2</v>
      </c>
      <c r="BY66" s="2">
        <v>-0.25</v>
      </c>
      <c r="BZ66" s="2">
        <v>-0.25</v>
      </c>
      <c r="CA66" s="2">
        <v>-0.24</v>
      </c>
      <c r="CB66" s="2">
        <v>-0.09</v>
      </c>
      <c r="CC66" s="2">
        <v>-0.71</v>
      </c>
      <c r="CD66" s="2">
        <v>-0.19</v>
      </c>
      <c r="CE66" s="2">
        <v>-0.4</v>
      </c>
      <c r="CF66" s="2">
        <v>-0.22</v>
      </c>
      <c r="CG66" s="2">
        <v>-0.45</v>
      </c>
      <c r="CH66" s="2">
        <v>-0.19</v>
      </c>
      <c r="CI66" s="2">
        <v>-0.34</v>
      </c>
      <c r="CJ66" s="2">
        <v>-7.0000000000000007E-2</v>
      </c>
      <c r="CK66" s="2">
        <v>-0.33</v>
      </c>
      <c r="CL66" s="2">
        <v>-0.03</v>
      </c>
    </row>
    <row r="67" spans="2:90" x14ac:dyDescent="0.3">
      <c r="B67" s="1" t="s">
        <v>68</v>
      </c>
      <c r="C67" s="2">
        <v>2539.06</v>
      </c>
      <c r="D67" s="2">
        <v>181.99</v>
      </c>
      <c r="E67" s="2">
        <v>2106.2800000000002</v>
      </c>
      <c r="F67" s="2">
        <v>99.67</v>
      </c>
      <c r="G67" s="2">
        <v>601.74</v>
      </c>
      <c r="H67" s="2">
        <v>679.63</v>
      </c>
      <c r="I67" s="2">
        <v>1837.53</v>
      </c>
      <c r="J67" s="2">
        <v>1134.1600000000001</v>
      </c>
      <c r="K67" s="2">
        <v>2845.5</v>
      </c>
      <c r="L67" s="2">
        <v>1308.1500000000001</v>
      </c>
      <c r="M67" s="2">
        <v>4942.3999999999996</v>
      </c>
      <c r="N67" s="2">
        <v>2507.3000000000002</v>
      </c>
      <c r="O67" s="2">
        <v>4228.67</v>
      </c>
      <c r="P67" s="2">
        <v>1839.28</v>
      </c>
      <c r="Q67" s="2">
        <v>5195.08</v>
      </c>
      <c r="R67" s="2">
        <v>1937.6</v>
      </c>
      <c r="S67" s="2">
        <v>2045.9</v>
      </c>
      <c r="T67" s="2">
        <v>1600.8</v>
      </c>
      <c r="U67" s="2">
        <v>1594.39</v>
      </c>
      <c r="V67" s="2">
        <v>1315.34</v>
      </c>
      <c r="X67" s="1" t="s">
        <v>68</v>
      </c>
      <c r="Y67" s="2">
        <v>58.54</v>
      </c>
      <c r="Z67" s="2">
        <v>60</v>
      </c>
      <c r="AA67" s="2">
        <v>58.86</v>
      </c>
      <c r="AB67" s="2">
        <v>60</v>
      </c>
      <c r="AC67" s="2">
        <v>57.47</v>
      </c>
      <c r="AD67" s="2">
        <v>58.74</v>
      </c>
      <c r="AE67" s="2">
        <v>65.41</v>
      </c>
      <c r="AF67" s="2">
        <v>69.900000000000006</v>
      </c>
      <c r="AG67" s="2">
        <v>63.45</v>
      </c>
      <c r="AH67" s="2">
        <v>69.95</v>
      </c>
      <c r="AI67" s="2">
        <v>62.76</v>
      </c>
      <c r="AJ67" s="2">
        <v>69.959999999999994</v>
      </c>
      <c r="AK67" s="2">
        <v>64.66</v>
      </c>
      <c r="AL67" s="2">
        <v>69.95</v>
      </c>
      <c r="AM67" s="2">
        <v>65.64</v>
      </c>
      <c r="AN67" s="2">
        <v>69.959999999999994</v>
      </c>
      <c r="AO67" s="2">
        <v>69.930000000000007</v>
      </c>
      <c r="AP67" s="2">
        <v>69.98</v>
      </c>
      <c r="AQ67" s="2">
        <v>69.98</v>
      </c>
      <c r="AR67" s="2">
        <v>69.989999999999995</v>
      </c>
      <c r="AU67" s="1" t="s">
        <v>68</v>
      </c>
      <c r="AV67" s="2">
        <v>25.46</v>
      </c>
      <c r="AW67" s="2">
        <v>54.85</v>
      </c>
      <c r="AX67" s="2">
        <v>25.45</v>
      </c>
      <c r="AY67" s="2">
        <v>54.95</v>
      </c>
      <c r="AZ67" s="2">
        <v>34.11</v>
      </c>
      <c r="BA67" s="2">
        <v>38.479999999999997</v>
      </c>
      <c r="BB67" s="2">
        <v>39.46</v>
      </c>
      <c r="BC67" s="2">
        <v>56.3</v>
      </c>
      <c r="BD67" s="2">
        <v>38.39</v>
      </c>
      <c r="BE67" s="2">
        <v>62.08</v>
      </c>
      <c r="BF67" s="2">
        <v>37.81</v>
      </c>
      <c r="BG67" s="2">
        <v>61.84</v>
      </c>
      <c r="BH67" s="2">
        <v>38.51</v>
      </c>
      <c r="BI67" s="2">
        <v>61.23</v>
      </c>
      <c r="BJ67" s="2">
        <v>39.03</v>
      </c>
      <c r="BK67" s="2">
        <v>63.02</v>
      </c>
      <c r="BL67" s="2">
        <v>58.79</v>
      </c>
      <c r="BM67" s="2">
        <v>66.290000000000006</v>
      </c>
      <c r="BN67" s="2">
        <v>66.739999999999995</v>
      </c>
      <c r="BO67" s="2">
        <v>68.17</v>
      </c>
      <c r="BR67" s="1" t="s">
        <v>68</v>
      </c>
      <c r="BS67" s="2">
        <v>-1.73</v>
      </c>
      <c r="BT67" s="2">
        <v>-0.12</v>
      </c>
      <c r="BU67" s="2">
        <v>-1.74</v>
      </c>
      <c r="BV67" s="2">
        <v>-0.12</v>
      </c>
      <c r="BW67" s="2">
        <v>-0.36</v>
      </c>
      <c r="BX67" s="2">
        <v>-0.27</v>
      </c>
      <c r="BY67" s="2">
        <v>-0.97</v>
      </c>
      <c r="BZ67" s="2">
        <v>-0.33</v>
      </c>
      <c r="CA67" s="2">
        <v>-1.23</v>
      </c>
      <c r="CB67" s="2">
        <v>-0.22</v>
      </c>
      <c r="CC67" s="2">
        <v>-2.27</v>
      </c>
      <c r="CD67" s="2">
        <v>-0.41</v>
      </c>
      <c r="CE67" s="2">
        <v>-1.83</v>
      </c>
      <c r="CF67" s="2">
        <v>-0.35</v>
      </c>
      <c r="CG67" s="2">
        <v>-2.37</v>
      </c>
      <c r="CH67" s="2">
        <v>-0.36</v>
      </c>
      <c r="CI67" s="2">
        <v>-0.55000000000000004</v>
      </c>
      <c r="CJ67" s="2">
        <v>-0.16</v>
      </c>
      <c r="CK67" s="2">
        <v>-0.19</v>
      </c>
      <c r="CL67" s="2">
        <v>-0.1</v>
      </c>
    </row>
    <row r="68" spans="2:90" x14ac:dyDescent="0.3">
      <c r="B68" s="1" t="s">
        <v>69</v>
      </c>
      <c r="C68" s="2">
        <v>399.74</v>
      </c>
      <c r="D68" s="2">
        <v>65.599999999999994</v>
      </c>
      <c r="E68" s="2">
        <v>301.39999999999998</v>
      </c>
      <c r="F68" s="2">
        <v>38.799999999999997</v>
      </c>
      <c r="G68" s="2">
        <v>128.99</v>
      </c>
      <c r="H68" s="2">
        <v>169.64</v>
      </c>
      <c r="I68" s="2">
        <v>533.74</v>
      </c>
      <c r="J68" s="2">
        <v>236.49</v>
      </c>
      <c r="K68" s="2">
        <v>605.37</v>
      </c>
      <c r="L68" s="2">
        <v>288.85000000000002</v>
      </c>
      <c r="M68" s="2">
        <v>1153.68</v>
      </c>
      <c r="N68" s="2">
        <v>510.9</v>
      </c>
      <c r="O68" s="2">
        <v>972.34</v>
      </c>
      <c r="P68" s="2">
        <v>354.28</v>
      </c>
      <c r="Q68" s="2">
        <v>950.73</v>
      </c>
      <c r="R68" s="2">
        <v>425.67</v>
      </c>
      <c r="S68" s="2">
        <v>357.62</v>
      </c>
      <c r="T68" s="2">
        <v>289.17</v>
      </c>
      <c r="U68" s="2">
        <v>389.35</v>
      </c>
      <c r="V68" s="2">
        <v>308.93</v>
      </c>
      <c r="X68" s="1" t="s">
        <v>69</v>
      </c>
      <c r="Y68" s="2">
        <v>59.37</v>
      </c>
      <c r="Z68" s="2">
        <v>60</v>
      </c>
      <c r="AA68" s="2">
        <v>59.7</v>
      </c>
      <c r="AB68" s="2">
        <v>59.99</v>
      </c>
      <c r="AC68" s="2">
        <v>59.75</v>
      </c>
      <c r="AD68" s="2">
        <v>59.62</v>
      </c>
      <c r="AE68" s="2">
        <v>69.260000000000005</v>
      </c>
      <c r="AF68" s="2">
        <v>69.89</v>
      </c>
      <c r="AG68" s="2">
        <v>69.5</v>
      </c>
      <c r="AH68" s="2">
        <v>69.95</v>
      </c>
      <c r="AI68" s="2">
        <v>69.5</v>
      </c>
      <c r="AJ68" s="2">
        <v>69.959999999999994</v>
      </c>
      <c r="AK68" s="2">
        <v>69.510000000000005</v>
      </c>
      <c r="AL68" s="2">
        <v>69.959999999999994</v>
      </c>
      <c r="AM68" s="2">
        <v>69.87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69</v>
      </c>
      <c r="AV68" s="2">
        <v>35.97</v>
      </c>
      <c r="AW68" s="2">
        <v>53.88</v>
      </c>
      <c r="AX68" s="2">
        <v>34.82</v>
      </c>
      <c r="AY68" s="2">
        <v>54.82</v>
      </c>
      <c r="AZ68" s="2">
        <v>37.1</v>
      </c>
      <c r="BA68" s="2">
        <v>33.979999999999997</v>
      </c>
      <c r="BB68" s="2">
        <v>41.78</v>
      </c>
      <c r="BC68" s="2">
        <v>54.08</v>
      </c>
      <c r="BD68" s="2">
        <v>43.67</v>
      </c>
      <c r="BE68" s="2">
        <v>60.59</v>
      </c>
      <c r="BF68" s="2">
        <v>43.65</v>
      </c>
      <c r="BG68" s="2">
        <v>61.64</v>
      </c>
      <c r="BH68" s="2">
        <v>43.58</v>
      </c>
      <c r="BI68" s="2">
        <v>61.34</v>
      </c>
      <c r="BJ68" s="2">
        <v>49.56</v>
      </c>
      <c r="BK68" s="2">
        <v>63.45</v>
      </c>
      <c r="BL68" s="2">
        <v>63.64</v>
      </c>
      <c r="BM68" s="2">
        <v>65.37</v>
      </c>
      <c r="BN68" s="2">
        <v>65.75</v>
      </c>
      <c r="BO68" s="2">
        <v>66.81</v>
      </c>
      <c r="BR68" s="1" t="s">
        <v>69</v>
      </c>
      <c r="BS68" s="2">
        <v>-0.85</v>
      </c>
      <c r="BT68" s="2">
        <v>-0.15</v>
      </c>
      <c r="BU68" s="2">
        <v>-0.93</v>
      </c>
      <c r="BV68" s="2">
        <v>-0.12</v>
      </c>
      <c r="BW68" s="2">
        <v>-0.31</v>
      </c>
      <c r="BX68" s="2">
        <v>-0.38</v>
      </c>
      <c r="BY68" s="2">
        <v>-0.91</v>
      </c>
      <c r="BZ68" s="2">
        <v>-0.4</v>
      </c>
      <c r="CA68" s="2">
        <v>-1.02</v>
      </c>
      <c r="CB68" s="2">
        <v>-0.27</v>
      </c>
      <c r="CC68" s="2">
        <v>-1.84</v>
      </c>
      <c r="CD68" s="2">
        <v>-0.42</v>
      </c>
      <c r="CE68" s="2">
        <v>-1.49</v>
      </c>
      <c r="CF68" s="2">
        <v>-0.35</v>
      </c>
      <c r="CG68" s="2">
        <v>-1.34</v>
      </c>
      <c r="CH68" s="2">
        <v>-0.34</v>
      </c>
      <c r="CI68" s="2">
        <v>-0.28999999999999998</v>
      </c>
      <c r="CJ68" s="2">
        <v>-0.21</v>
      </c>
      <c r="CK68" s="2">
        <v>-0.25</v>
      </c>
      <c r="CL68" s="2">
        <v>-0.18</v>
      </c>
    </row>
    <row r="69" spans="2:90" x14ac:dyDescent="0.3">
      <c r="B69" s="1" t="s">
        <v>70</v>
      </c>
      <c r="C69" s="2">
        <v>1131.25</v>
      </c>
      <c r="D69" s="2">
        <v>1144.6199999999999</v>
      </c>
      <c r="E69" s="2">
        <v>1237.5</v>
      </c>
      <c r="F69" s="2">
        <v>499.72</v>
      </c>
      <c r="G69" s="2">
        <v>425.62</v>
      </c>
      <c r="H69" s="2">
        <v>423.79</v>
      </c>
      <c r="I69" s="2">
        <v>758.55</v>
      </c>
      <c r="J69" s="2">
        <v>1795.62</v>
      </c>
      <c r="K69" s="2">
        <v>2133.58</v>
      </c>
      <c r="L69" s="2">
        <v>2070.19</v>
      </c>
      <c r="M69" s="2">
        <v>3277.22</v>
      </c>
      <c r="N69" s="2">
        <v>2579.56</v>
      </c>
      <c r="O69" s="2">
        <v>2142.6</v>
      </c>
      <c r="P69" s="2">
        <v>1742.21</v>
      </c>
      <c r="Q69" s="2">
        <v>2085.16</v>
      </c>
      <c r="R69" s="2">
        <v>1982.33</v>
      </c>
      <c r="S69" s="2">
        <v>1663.84</v>
      </c>
      <c r="T69" s="2">
        <v>1079.03</v>
      </c>
      <c r="U69" s="2">
        <v>1901.86</v>
      </c>
      <c r="V69" s="2">
        <v>1228.5899999999999</v>
      </c>
      <c r="X69" s="1" t="s">
        <v>70</v>
      </c>
      <c r="Y69" s="2">
        <v>59.94</v>
      </c>
      <c r="Z69" s="2">
        <v>59.91</v>
      </c>
      <c r="AA69" s="2">
        <v>59.72</v>
      </c>
      <c r="AB69" s="2">
        <v>59.6</v>
      </c>
      <c r="AC69" s="2">
        <v>59.95</v>
      </c>
      <c r="AD69" s="2">
        <v>59.9</v>
      </c>
      <c r="AE69" s="2">
        <v>69.819999999999993</v>
      </c>
      <c r="AF69" s="2">
        <v>69.86</v>
      </c>
      <c r="AG69" s="2">
        <v>69.81</v>
      </c>
      <c r="AH69" s="2">
        <v>69.819999999999993</v>
      </c>
      <c r="AI69" s="2">
        <v>69.87</v>
      </c>
      <c r="AJ69" s="2">
        <v>69.849999999999994</v>
      </c>
      <c r="AK69" s="2">
        <v>69.91</v>
      </c>
      <c r="AL69" s="2">
        <v>69.86</v>
      </c>
      <c r="AM69" s="2">
        <v>69.95</v>
      </c>
      <c r="AN69" s="2">
        <v>69.94</v>
      </c>
      <c r="AO69" s="2">
        <v>69.97</v>
      </c>
      <c r="AP69" s="2">
        <v>69.959999999999994</v>
      </c>
      <c r="AQ69" s="2">
        <v>69.97</v>
      </c>
      <c r="AR69" s="2">
        <v>69.94</v>
      </c>
      <c r="AU69" s="1" t="s">
        <v>70</v>
      </c>
      <c r="AV69" s="2">
        <v>38.659999999999997</v>
      </c>
      <c r="AW69" s="2">
        <v>40.020000000000003</v>
      </c>
      <c r="AX69" s="2">
        <v>38.61</v>
      </c>
      <c r="AY69" s="2">
        <v>51.24</v>
      </c>
      <c r="AZ69" s="2">
        <v>39.229999999999997</v>
      </c>
      <c r="BA69" s="2">
        <v>39</v>
      </c>
      <c r="BB69" s="2">
        <v>60.71</v>
      </c>
      <c r="BC69" s="2">
        <v>45.52</v>
      </c>
      <c r="BD69" s="2">
        <v>50.94</v>
      </c>
      <c r="BE69" s="2">
        <v>48.64</v>
      </c>
      <c r="BF69" s="2">
        <v>54</v>
      </c>
      <c r="BG69" s="2">
        <v>56.39</v>
      </c>
      <c r="BH69" s="2">
        <v>57.89</v>
      </c>
      <c r="BI69" s="2">
        <v>58.75</v>
      </c>
      <c r="BJ69" s="2">
        <v>62.18</v>
      </c>
      <c r="BK69" s="2">
        <v>61.74</v>
      </c>
      <c r="BL69" s="2">
        <v>64.05</v>
      </c>
      <c r="BM69" s="2">
        <v>65.44</v>
      </c>
      <c r="BN69" s="2">
        <v>64.63</v>
      </c>
      <c r="BO69" s="2">
        <v>67.45</v>
      </c>
      <c r="BR69" s="1" t="s">
        <v>70</v>
      </c>
      <c r="BS69" s="2">
        <v>-0.72</v>
      </c>
      <c r="BT69" s="2">
        <v>-0.65</v>
      </c>
      <c r="BU69" s="2">
        <v>-0.71</v>
      </c>
      <c r="BV69" s="2">
        <v>-0.21</v>
      </c>
      <c r="BW69" s="2">
        <v>-0.26</v>
      </c>
      <c r="BX69" s="2">
        <v>-0.27</v>
      </c>
      <c r="BY69" s="2">
        <v>-0.21</v>
      </c>
      <c r="BZ69" s="2">
        <v>-0.73</v>
      </c>
      <c r="CA69" s="2">
        <v>-0.64</v>
      </c>
      <c r="CB69" s="2">
        <v>-0.75</v>
      </c>
      <c r="CC69" s="2">
        <v>-0.91</v>
      </c>
      <c r="CD69" s="2">
        <v>-0.74</v>
      </c>
      <c r="CE69" s="2">
        <v>-0.52</v>
      </c>
      <c r="CF69" s="2">
        <v>-0.47</v>
      </c>
      <c r="CG69" s="2">
        <v>-0.41</v>
      </c>
      <c r="CH69" s="2">
        <v>-0.43</v>
      </c>
      <c r="CI69" s="2">
        <v>-0.27</v>
      </c>
      <c r="CJ69" s="2">
        <v>-0.2</v>
      </c>
      <c r="CK69" s="2">
        <v>-0.32</v>
      </c>
      <c r="CL69" s="2">
        <v>-0.14000000000000001</v>
      </c>
    </row>
    <row r="70" spans="2:90" x14ac:dyDescent="0.3">
      <c r="B70" s="1" t="s">
        <v>71</v>
      </c>
      <c r="C70" s="2">
        <v>215.99</v>
      </c>
      <c r="D70" s="2">
        <v>206.03</v>
      </c>
      <c r="E70" s="2">
        <v>188.84</v>
      </c>
      <c r="F70" s="2">
        <v>210.47</v>
      </c>
      <c r="G70" s="2">
        <v>79.599999999999994</v>
      </c>
      <c r="H70" s="2">
        <v>64.55</v>
      </c>
      <c r="I70" s="2">
        <v>116.64</v>
      </c>
      <c r="J70" s="2">
        <v>210.32</v>
      </c>
      <c r="K70" s="2">
        <v>136.66</v>
      </c>
      <c r="L70" s="2">
        <v>374.66</v>
      </c>
      <c r="M70" s="2">
        <v>355.63</v>
      </c>
      <c r="N70" s="2">
        <v>707.91</v>
      </c>
      <c r="O70" s="2">
        <v>257.3</v>
      </c>
      <c r="P70" s="2">
        <v>386.34</v>
      </c>
      <c r="Q70" s="2">
        <v>342.41</v>
      </c>
      <c r="R70" s="2">
        <v>621.36</v>
      </c>
      <c r="S70" s="2">
        <v>289.77999999999997</v>
      </c>
      <c r="T70" s="2">
        <v>329.31</v>
      </c>
      <c r="U70" s="2">
        <v>289.04000000000002</v>
      </c>
      <c r="V70" s="2">
        <v>195.74</v>
      </c>
      <c r="X70" s="1" t="s">
        <v>71</v>
      </c>
      <c r="Y70" s="2">
        <v>59.7</v>
      </c>
      <c r="Z70" s="2">
        <v>59.66</v>
      </c>
      <c r="AA70" s="2">
        <v>57.98</v>
      </c>
      <c r="AB70" s="2">
        <v>57.71</v>
      </c>
      <c r="AC70" s="2">
        <v>59.86</v>
      </c>
      <c r="AD70" s="2">
        <v>59.71</v>
      </c>
      <c r="AE70" s="2">
        <v>69.62</v>
      </c>
      <c r="AF70" s="2">
        <v>69.89</v>
      </c>
      <c r="AG70" s="2">
        <v>69.75</v>
      </c>
      <c r="AH70" s="2">
        <v>69.010000000000005</v>
      </c>
      <c r="AI70" s="2">
        <v>69.680000000000007</v>
      </c>
      <c r="AJ70" s="2">
        <v>69.05</v>
      </c>
      <c r="AK70" s="2">
        <v>69.680000000000007</v>
      </c>
      <c r="AL70" s="2">
        <v>69.09</v>
      </c>
      <c r="AM70" s="2">
        <v>69.72</v>
      </c>
      <c r="AN70" s="2">
        <v>69.260000000000005</v>
      </c>
      <c r="AO70" s="2">
        <v>69.790000000000006</v>
      </c>
      <c r="AP70" s="2">
        <v>69.34</v>
      </c>
      <c r="AQ70" s="2">
        <v>69.89</v>
      </c>
      <c r="AR70" s="2">
        <v>69.89</v>
      </c>
      <c r="AU70" s="1" t="s">
        <v>71</v>
      </c>
      <c r="AV70" s="2">
        <v>37.72</v>
      </c>
      <c r="AW70" s="2">
        <v>37.729999999999997</v>
      </c>
      <c r="AX70" s="2">
        <v>38.770000000000003</v>
      </c>
      <c r="AY70" s="2">
        <v>39.17</v>
      </c>
      <c r="AZ70" s="2">
        <v>38.83</v>
      </c>
      <c r="BA70" s="2">
        <v>38.56</v>
      </c>
      <c r="BB70" s="2">
        <v>60.61</v>
      </c>
      <c r="BC70" s="2">
        <v>45.12</v>
      </c>
      <c r="BD70" s="2">
        <v>64.599999999999994</v>
      </c>
      <c r="BE70" s="2">
        <v>46.6</v>
      </c>
      <c r="BF70" s="2">
        <v>61.68</v>
      </c>
      <c r="BG70" s="2">
        <v>45.88</v>
      </c>
      <c r="BH70" s="2">
        <v>62.1</v>
      </c>
      <c r="BI70" s="2">
        <v>50.94</v>
      </c>
      <c r="BJ70" s="2">
        <v>62.3</v>
      </c>
      <c r="BK70" s="2">
        <v>50.68</v>
      </c>
      <c r="BL70" s="2">
        <v>63.71</v>
      </c>
      <c r="BM70" s="2">
        <v>55.47</v>
      </c>
      <c r="BN70" s="2">
        <v>65.78</v>
      </c>
      <c r="BO70" s="2">
        <v>67.33</v>
      </c>
      <c r="BR70" s="1" t="s">
        <v>71</v>
      </c>
      <c r="BS70" s="2">
        <v>-0.76</v>
      </c>
      <c r="BT70" s="2">
        <v>-0.76</v>
      </c>
      <c r="BU70" s="2">
        <v>-0.67</v>
      </c>
      <c r="BV70" s="2">
        <v>-0.64</v>
      </c>
      <c r="BW70" s="2">
        <v>-0.27</v>
      </c>
      <c r="BX70" s="2">
        <v>-0.28000000000000003</v>
      </c>
      <c r="BY70" s="2">
        <v>-0.21</v>
      </c>
      <c r="BZ70" s="2">
        <v>-0.75</v>
      </c>
      <c r="CA70" s="2">
        <v>-0.14000000000000001</v>
      </c>
      <c r="CB70" s="2">
        <v>-0.84</v>
      </c>
      <c r="CC70" s="2">
        <v>-0.4</v>
      </c>
      <c r="CD70" s="2">
        <v>-1.58</v>
      </c>
      <c r="CE70" s="2">
        <v>-0.3</v>
      </c>
      <c r="CF70" s="2">
        <v>-0.9</v>
      </c>
      <c r="CG70" s="2">
        <v>-0.39</v>
      </c>
      <c r="CH70" s="2">
        <v>-1.21</v>
      </c>
      <c r="CI70" s="2">
        <v>-0.28000000000000003</v>
      </c>
      <c r="CJ70" s="2">
        <v>-0.74</v>
      </c>
      <c r="CK70" s="2">
        <v>-0.24</v>
      </c>
      <c r="CL70" s="2">
        <v>-0.15</v>
      </c>
    </row>
    <row r="71" spans="2:90" x14ac:dyDescent="0.3">
      <c r="B71" s="1" t="s">
        <v>72</v>
      </c>
      <c r="C71" s="2">
        <v>1268.6300000000001</v>
      </c>
      <c r="D71" s="2">
        <v>1508.16</v>
      </c>
      <c r="E71" s="2">
        <v>560.98</v>
      </c>
      <c r="F71" s="2">
        <v>1034.45</v>
      </c>
      <c r="G71" s="2">
        <v>229.19</v>
      </c>
      <c r="H71" s="2">
        <v>438.49</v>
      </c>
      <c r="I71" s="2">
        <v>658.97</v>
      </c>
      <c r="J71" s="2">
        <v>1019.55</v>
      </c>
      <c r="K71" s="2">
        <v>615.54999999999995</v>
      </c>
      <c r="L71" s="2">
        <v>1550.08</v>
      </c>
      <c r="M71" s="2">
        <v>1301.93</v>
      </c>
      <c r="N71" s="2">
        <v>2623.15</v>
      </c>
      <c r="O71" s="2">
        <v>942.44</v>
      </c>
      <c r="P71" s="2">
        <v>1676.55</v>
      </c>
      <c r="Q71" s="2">
        <v>1523.67</v>
      </c>
      <c r="R71" s="2">
        <v>1987.83</v>
      </c>
      <c r="S71" s="2">
        <v>1000.05</v>
      </c>
      <c r="T71" s="2">
        <v>786.39</v>
      </c>
      <c r="U71" s="2">
        <v>1013.78</v>
      </c>
      <c r="V71" s="2">
        <v>936.75</v>
      </c>
      <c r="X71" s="1" t="s">
        <v>72</v>
      </c>
      <c r="Y71" s="2">
        <v>58.84</v>
      </c>
      <c r="Z71" s="2">
        <v>58.48</v>
      </c>
      <c r="AA71" s="2">
        <v>58.23</v>
      </c>
      <c r="AB71" s="2">
        <v>57.21</v>
      </c>
      <c r="AC71" s="2">
        <v>59.6</v>
      </c>
      <c r="AD71" s="2">
        <v>58.69</v>
      </c>
      <c r="AE71" s="2">
        <v>69.22</v>
      </c>
      <c r="AF71" s="2">
        <v>67.52</v>
      </c>
      <c r="AG71" s="2">
        <v>69.650000000000006</v>
      </c>
      <c r="AH71" s="2">
        <v>61.55</v>
      </c>
      <c r="AI71" s="2">
        <v>69.650000000000006</v>
      </c>
      <c r="AJ71" s="2">
        <v>61.53</v>
      </c>
      <c r="AK71" s="2">
        <v>69.63</v>
      </c>
      <c r="AL71" s="2">
        <v>65.58</v>
      </c>
      <c r="AM71" s="2">
        <v>69.61</v>
      </c>
      <c r="AN71" s="2">
        <v>69.37</v>
      </c>
      <c r="AO71" s="2">
        <v>69.8</v>
      </c>
      <c r="AP71" s="2">
        <v>69.760000000000005</v>
      </c>
      <c r="AQ71" s="2">
        <v>69.88</v>
      </c>
      <c r="AR71" s="2">
        <v>69.88</v>
      </c>
      <c r="AU71" s="1" t="s">
        <v>72</v>
      </c>
      <c r="AV71" s="2">
        <v>26.64</v>
      </c>
      <c r="AW71" s="2">
        <v>26.32</v>
      </c>
      <c r="AX71" s="2">
        <v>39.200000000000003</v>
      </c>
      <c r="AY71" s="2">
        <v>28.64</v>
      </c>
      <c r="AZ71" s="2">
        <v>41.06</v>
      </c>
      <c r="BA71" s="2">
        <v>27.36</v>
      </c>
      <c r="BB71" s="2">
        <v>52.73</v>
      </c>
      <c r="BC71" s="2">
        <v>40.909999999999997</v>
      </c>
      <c r="BD71" s="2">
        <v>61.35</v>
      </c>
      <c r="BE71" s="2">
        <v>38.700000000000003</v>
      </c>
      <c r="BF71" s="2">
        <v>58.97</v>
      </c>
      <c r="BG71" s="2">
        <v>38.72</v>
      </c>
      <c r="BH71" s="2">
        <v>58.97</v>
      </c>
      <c r="BI71" s="2">
        <v>42.12</v>
      </c>
      <c r="BJ71" s="2">
        <v>55.79</v>
      </c>
      <c r="BK71" s="2">
        <v>50.34</v>
      </c>
      <c r="BL71" s="2">
        <v>62.55</v>
      </c>
      <c r="BM71" s="2">
        <v>61.8</v>
      </c>
      <c r="BN71" s="2">
        <v>64.67</v>
      </c>
      <c r="BO71" s="2">
        <v>65.22</v>
      </c>
      <c r="BR71" s="1" t="s">
        <v>72</v>
      </c>
      <c r="BS71" s="2">
        <v>-1.6</v>
      </c>
      <c r="BT71" s="2">
        <v>-1.63</v>
      </c>
      <c r="BU71" s="2">
        <v>-0.65</v>
      </c>
      <c r="BV71" s="2">
        <v>-1.36</v>
      </c>
      <c r="BW71" s="2">
        <v>-0.23</v>
      </c>
      <c r="BX71" s="2">
        <v>-0.59</v>
      </c>
      <c r="BY71" s="2">
        <v>-0.43</v>
      </c>
      <c r="BZ71" s="2">
        <v>-0.92</v>
      </c>
      <c r="CA71" s="2">
        <v>-0.23</v>
      </c>
      <c r="CB71" s="2">
        <v>-1.1499999999999999</v>
      </c>
      <c r="CC71" s="2">
        <v>-0.56000000000000005</v>
      </c>
      <c r="CD71" s="2">
        <v>-2.0699999999999998</v>
      </c>
      <c r="CE71" s="2">
        <v>-0.45</v>
      </c>
      <c r="CF71" s="2">
        <v>-1.48</v>
      </c>
      <c r="CG71" s="2">
        <v>-0.81</v>
      </c>
      <c r="CH71" s="2">
        <v>-1.24</v>
      </c>
      <c r="CI71" s="2">
        <v>-0.34</v>
      </c>
      <c r="CJ71" s="2">
        <v>-0.38</v>
      </c>
      <c r="CK71" s="2">
        <v>-0.31</v>
      </c>
      <c r="CL71" s="2">
        <v>-0.28000000000000003</v>
      </c>
    </row>
    <row r="72" spans="2:90" x14ac:dyDescent="0.3">
      <c r="B72" s="1" t="s">
        <v>73</v>
      </c>
      <c r="C72" s="2">
        <v>124.22</v>
      </c>
      <c r="D72" s="2">
        <v>122.11</v>
      </c>
      <c r="E72" s="2">
        <v>15.99</v>
      </c>
      <c r="F72" s="2">
        <v>19.079999999999998</v>
      </c>
      <c r="G72" s="2">
        <v>7.78</v>
      </c>
      <c r="H72" s="2">
        <v>9.41</v>
      </c>
      <c r="I72" s="2">
        <v>37.950000000000003</v>
      </c>
      <c r="J72" s="2">
        <v>168.8</v>
      </c>
      <c r="K72" s="2">
        <v>153.44999999999999</v>
      </c>
      <c r="L72" s="2">
        <v>150.18</v>
      </c>
      <c r="M72" s="2">
        <v>293.86</v>
      </c>
      <c r="N72" s="2">
        <v>309.02999999999997</v>
      </c>
      <c r="O72" s="2">
        <v>286.74</v>
      </c>
      <c r="P72" s="2">
        <v>287.35000000000002</v>
      </c>
      <c r="Q72" s="2">
        <v>264.97000000000003</v>
      </c>
      <c r="R72" s="2">
        <v>269.92</v>
      </c>
      <c r="S72" s="2">
        <v>305.99</v>
      </c>
      <c r="T72" s="2">
        <v>172.76</v>
      </c>
      <c r="U72" s="2">
        <v>331.9</v>
      </c>
      <c r="V72" s="2">
        <v>202.04</v>
      </c>
      <c r="X72" s="1" t="s">
        <v>73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59.96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70</v>
      </c>
      <c r="AJ72" s="2">
        <v>69.959999999999994</v>
      </c>
      <c r="AK72" s="2">
        <v>70</v>
      </c>
      <c r="AL72" s="2">
        <v>69.97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73</v>
      </c>
      <c r="AV72" s="2">
        <v>53.29</v>
      </c>
      <c r="AW72" s="2">
        <v>50.26</v>
      </c>
      <c r="AX72" s="2">
        <v>54.95</v>
      </c>
      <c r="AY72" s="2">
        <v>54.93</v>
      </c>
      <c r="AZ72" s="2">
        <v>54.96</v>
      </c>
      <c r="BA72" s="2">
        <v>54.88</v>
      </c>
      <c r="BB72" s="2">
        <v>64.95</v>
      </c>
      <c r="BC72" s="2">
        <v>53.6</v>
      </c>
      <c r="BD72" s="2">
        <v>67.010000000000005</v>
      </c>
      <c r="BE72" s="2">
        <v>56.76</v>
      </c>
      <c r="BF72" s="2">
        <v>61.64</v>
      </c>
      <c r="BG72" s="2">
        <v>56.61</v>
      </c>
      <c r="BH72" s="2">
        <v>59.32</v>
      </c>
      <c r="BI72" s="2">
        <v>59.69</v>
      </c>
      <c r="BJ72" s="2">
        <v>62.19</v>
      </c>
      <c r="BK72" s="2">
        <v>63.95</v>
      </c>
      <c r="BL72" s="2">
        <v>63.99</v>
      </c>
      <c r="BM72" s="2">
        <v>66.8</v>
      </c>
      <c r="BN72" s="2">
        <v>66.27</v>
      </c>
      <c r="BO72" s="2">
        <v>68.28</v>
      </c>
      <c r="BR72" s="1" t="s">
        <v>73</v>
      </c>
      <c r="BS72" s="2">
        <v>-0.16</v>
      </c>
      <c r="BT72" s="2">
        <v>-0.25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-0.42</v>
      </c>
      <c r="CA72" s="2">
        <v>-0.08</v>
      </c>
      <c r="CB72" s="2">
        <v>-0.4</v>
      </c>
      <c r="CC72" s="2">
        <v>-0.42</v>
      </c>
      <c r="CD72" s="2">
        <v>-0.73</v>
      </c>
      <c r="CE72" s="2">
        <v>-0.45</v>
      </c>
      <c r="CF72" s="2">
        <v>-0.43</v>
      </c>
      <c r="CG72" s="2">
        <v>-0.41</v>
      </c>
      <c r="CH72" s="2">
        <v>-0.31</v>
      </c>
      <c r="CI72" s="2">
        <v>-0.27</v>
      </c>
      <c r="CJ72" s="2">
        <v>-0.14000000000000001</v>
      </c>
      <c r="CK72" s="2">
        <v>-0.22</v>
      </c>
      <c r="CL72" s="2">
        <v>-0.1</v>
      </c>
    </row>
    <row r="73" spans="2:90" x14ac:dyDescent="0.3">
      <c r="W73" s="4">
        <f>SUM(C65:V72)/$W$45</f>
        <v>7.6672268895793733E-2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63</v>
      </c>
      <c r="D76" s="1" t="s">
        <v>64</v>
      </c>
      <c r="E76" s="1" t="s">
        <v>63</v>
      </c>
      <c r="F76" s="1" t="s">
        <v>64</v>
      </c>
      <c r="G76" s="1" t="s">
        <v>63</v>
      </c>
      <c r="H76" s="1" t="s">
        <v>64</v>
      </c>
      <c r="I76" s="1" t="s">
        <v>63</v>
      </c>
      <c r="J76" s="1" t="s">
        <v>64</v>
      </c>
      <c r="K76" s="1" t="s">
        <v>63</v>
      </c>
      <c r="L76" s="1" t="s">
        <v>64</v>
      </c>
      <c r="M76" s="1" t="s">
        <v>63</v>
      </c>
      <c r="N76" s="1" t="s">
        <v>64</v>
      </c>
      <c r="O76" s="1" t="s">
        <v>63</v>
      </c>
      <c r="P76" s="1" t="s">
        <v>64</v>
      </c>
      <c r="Q76" s="1" t="s">
        <v>63</v>
      </c>
      <c r="R76" s="1" t="s">
        <v>64</v>
      </c>
      <c r="S76" s="1" t="s">
        <v>63</v>
      </c>
      <c r="T76" s="1" t="s">
        <v>64</v>
      </c>
      <c r="U76" s="1" t="s">
        <v>63</v>
      </c>
      <c r="V76" s="1" t="s">
        <v>64</v>
      </c>
      <c r="X76" s="1" t="s">
        <v>6</v>
      </c>
      <c r="Y76" s="1" t="s">
        <v>63</v>
      </c>
      <c r="Z76" s="1" t="s">
        <v>64</v>
      </c>
      <c r="AA76" s="1" t="s">
        <v>63</v>
      </c>
      <c r="AB76" s="1" t="s">
        <v>64</v>
      </c>
      <c r="AC76" s="1" t="s">
        <v>63</v>
      </c>
      <c r="AD76" s="1" t="s">
        <v>64</v>
      </c>
      <c r="AE76" s="1" t="s">
        <v>63</v>
      </c>
      <c r="AF76" s="1" t="s">
        <v>64</v>
      </c>
      <c r="AG76" s="1" t="s">
        <v>63</v>
      </c>
      <c r="AH76" s="1" t="s">
        <v>64</v>
      </c>
      <c r="AI76" s="1" t="s">
        <v>63</v>
      </c>
      <c r="AJ76" s="1" t="s">
        <v>64</v>
      </c>
      <c r="AK76" s="1" t="s">
        <v>63</v>
      </c>
      <c r="AL76" s="1" t="s">
        <v>64</v>
      </c>
      <c r="AM76" s="1" t="s">
        <v>63</v>
      </c>
      <c r="AN76" s="1" t="s">
        <v>64</v>
      </c>
      <c r="AO76" s="1" t="s">
        <v>63</v>
      </c>
      <c r="AP76" s="1" t="s">
        <v>64</v>
      </c>
      <c r="AQ76" s="1" t="s">
        <v>63</v>
      </c>
      <c r="AR76" s="1" t="s">
        <v>64</v>
      </c>
      <c r="AU76" s="1" t="s">
        <v>6</v>
      </c>
      <c r="AV76" s="1" t="s">
        <v>63</v>
      </c>
      <c r="AW76" s="1" t="s">
        <v>64</v>
      </c>
      <c r="AX76" s="1" t="s">
        <v>63</v>
      </c>
      <c r="AY76" s="1" t="s">
        <v>64</v>
      </c>
      <c r="AZ76" s="1" t="s">
        <v>63</v>
      </c>
      <c r="BA76" s="1" t="s">
        <v>64</v>
      </c>
      <c r="BB76" s="1" t="s">
        <v>63</v>
      </c>
      <c r="BC76" s="1" t="s">
        <v>64</v>
      </c>
      <c r="BD76" s="1" t="s">
        <v>63</v>
      </c>
      <c r="BE76" s="1" t="s">
        <v>64</v>
      </c>
      <c r="BF76" s="1" t="s">
        <v>63</v>
      </c>
      <c r="BG76" s="1" t="s">
        <v>64</v>
      </c>
      <c r="BH76" s="1" t="s">
        <v>63</v>
      </c>
      <c r="BI76" s="1" t="s">
        <v>64</v>
      </c>
      <c r="BJ76" s="1" t="s">
        <v>63</v>
      </c>
      <c r="BK76" s="1" t="s">
        <v>64</v>
      </c>
      <c r="BL76" s="1" t="s">
        <v>63</v>
      </c>
      <c r="BM76" s="1" t="s">
        <v>64</v>
      </c>
      <c r="BN76" s="1" t="s">
        <v>63</v>
      </c>
      <c r="BO76" s="1" t="s">
        <v>64</v>
      </c>
      <c r="BR76" s="1" t="s">
        <v>6</v>
      </c>
      <c r="BS76" s="1" t="s">
        <v>63</v>
      </c>
      <c r="BT76" s="1" t="s">
        <v>64</v>
      </c>
      <c r="BU76" s="1" t="s">
        <v>63</v>
      </c>
      <c r="BV76" s="1" t="s">
        <v>64</v>
      </c>
      <c r="BW76" s="1" t="s">
        <v>63</v>
      </c>
      <c r="BX76" s="1" t="s">
        <v>64</v>
      </c>
      <c r="BY76" s="1" t="s">
        <v>63</v>
      </c>
      <c r="BZ76" s="1" t="s">
        <v>64</v>
      </c>
      <c r="CA76" s="1" t="s">
        <v>63</v>
      </c>
      <c r="CB76" s="1" t="s">
        <v>64</v>
      </c>
      <c r="CC76" s="1" t="s">
        <v>63</v>
      </c>
      <c r="CD76" s="1" t="s">
        <v>64</v>
      </c>
      <c r="CE76" s="1" t="s">
        <v>63</v>
      </c>
      <c r="CF76" s="1" t="s">
        <v>64</v>
      </c>
      <c r="CG76" s="1" t="s">
        <v>63</v>
      </c>
      <c r="CH76" s="1" t="s">
        <v>64</v>
      </c>
      <c r="CI76" s="1" t="s">
        <v>63</v>
      </c>
      <c r="CJ76" s="1" t="s">
        <v>64</v>
      </c>
      <c r="CK76" s="1" t="s">
        <v>63</v>
      </c>
      <c r="CL76" s="1" t="s">
        <v>64</v>
      </c>
    </row>
    <row r="77" spans="2:90" x14ac:dyDescent="0.3">
      <c r="B77" s="1" t="s">
        <v>65</v>
      </c>
      <c r="C77" s="1" t="s">
        <v>53</v>
      </c>
      <c r="D77" s="1" t="s">
        <v>53</v>
      </c>
      <c r="E77" s="1" t="s">
        <v>54</v>
      </c>
      <c r="F77" s="1" t="s">
        <v>54</v>
      </c>
      <c r="G77" s="1" t="s">
        <v>55</v>
      </c>
      <c r="H77" s="1" t="s">
        <v>55</v>
      </c>
      <c r="I77" s="1" t="s">
        <v>56</v>
      </c>
      <c r="J77" s="1" t="s">
        <v>56</v>
      </c>
      <c r="K77" s="1" t="s">
        <v>57</v>
      </c>
      <c r="L77" s="1" t="s">
        <v>57</v>
      </c>
      <c r="M77" s="1" t="s">
        <v>58</v>
      </c>
      <c r="N77" s="1" t="s">
        <v>58</v>
      </c>
      <c r="O77" s="1" t="s">
        <v>59</v>
      </c>
      <c r="P77" s="1" t="s">
        <v>59</v>
      </c>
      <c r="Q77" s="1" t="s">
        <v>60</v>
      </c>
      <c r="R77" s="1" t="s">
        <v>60</v>
      </c>
      <c r="S77" s="1" t="s">
        <v>61</v>
      </c>
      <c r="T77" s="1" t="s">
        <v>61</v>
      </c>
      <c r="U77" s="1" t="s">
        <v>62</v>
      </c>
      <c r="V77" s="1" t="s">
        <v>62</v>
      </c>
      <c r="X77" s="1" t="s">
        <v>65</v>
      </c>
      <c r="Y77" s="1" t="s">
        <v>53</v>
      </c>
      <c r="Z77" s="1" t="s">
        <v>53</v>
      </c>
      <c r="AA77" s="1" t="s">
        <v>54</v>
      </c>
      <c r="AB77" s="1" t="s">
        <v>54</v>
      </c>
      <c r="AC77" s="1" t="s">
        <v>55</v>
      </c>
      <c r="AD77" s="1" t="s">
        <v>55</v>
      </c>
      <c r="AE77" s="1" t="s">
        <v>56</v>
      </c>
      <c r="AF77" s="1" t="s">
        <v>56</v>
      </c>
      <c r="AG77" s="1" t="s">
        <v>57</v>
      </c>
      <c r="AH77" s="1" t="s">
        <v>57</v>
      </c>
      <c r="AI77" s="1" t="s">
        <v>58</v>
      </c>
      <c r="AJ77" s="1" t="s">
        <v>58</v>
      </c>
      <c r="AK77" s="1" t="s">
        <v>59</v>
      </c>
      <c r="AL77" s="1" t="s">
        <v>59</v>
      </c>
      <c r="AM77" s="1" t="s">
        <v>60</v>
      </c>
      <c r="AN77" s="1" t="s">
        <v>60</v>
      </c>
      <c r="AO77" s="1" t="s">
        <v>61</v>
      </c>
      <c r="AP77" s="1" t="s">
        <v>61</v>
      </c>
      <c r="AQ77" s="1" t="s">
        <v>62</v>
      </c>
      <c r="AR77" s="1" t="s">
        <v>62</v>
      </c>
      <c r="AU77" s="1" t="s">
        <v>65</v>
      </c>
      <c r="AV77" s="1" t="s">
        <v>53</v>
      </c>
      <c r="AW77" s="1" t="s">
        <v>53</v>
      </c>
      <c r="AX77" s="1" t="s">
        <v>54</v>
      </c>
      <c r="AY77" s="1" t="s">
        <v>54</v>
      </c>
      <c r="AZ77" s="1" t="s">
        <v>55</v>
      </c>
      <c r="BA77" s="1" t="s">
        <v>55</v>
      </c>
      <c r="BB77" s="1" t="s">
        <v>56</v>
      </c>
      <c r="BC77" s="1" t="s">
        <v>56</v>
      </c>
      <c r="BD77" s="1" t="s">
        <v>57</v>
      </c>
      <c r="BE77" s="1" t="s">
        <v>57</v>
      </c>
      <c r="BF77" s="1" t="s">
        <v>58</v>
      </c>
      <c r="BG77" s="1" t="s">
        <v>58</v>
      </c>
      <c r="BH77" s="1" t="s">
        <v>59</v>
      </c>
      <c r="BI77" s="1" t="s">
        <v>59</v>
      </c>
      <c r="BJ77" s="1" t="s">
        <v>60</v>
      </c>
      <c r="BK77" s="1" t="s">
        <v>60</v>
      </c>
      <c r="BL77" s="1" t="s">
        <v>61</v>
      </c>
      <c r="BM77" s="1" t="s">
        <v>61</v>
      </c>
      <c r="BN77" s="1" t="s">
        <v>62</v>
      </c>
      <c r="BO77" s="1" t="s">
        <v>62</v>
      </c>
      <c r="BR77" s="1" t="s">
        <v>65</v>
      </c>
      <c r="BS77" s="1" t="s">
        <v>53</v>
      </c>
      <c r="BT77" s="1" t="s">
        <v>53</v>
      </c>
      <c r="BU77" s="1" t="s">
        <v>54</v>
      </c>
      <c r="BV77" s="1" t="s">
        <v>54</v>
      </c>
      <c r="BW77" s="1" t="s">
        <v>55</v>
      </c>
      <c r="BX77" s="1" t="s">
        <v>55</v>
      </c>
      <c r="BY77" s="1" t="s">
        <v>56</v>
      </c>
      <c r="BZ77" s="1" t="s">
        <v>56</v>
      </c>
      <c r="CA77" s="1" t="s">
        <v>57</v>
      </c>
      <c r="CB77" s="1" t="s">
        <v>57</v>
      </c>
      <c r="CC77" s="1" t="s">
        <v>58</v>
      </c>
      <c r="CD77" s="1" t="s">
        <v>58</v>
      </c>
      <c r="CE77" s="1" t="s">
        <v>59</v>
      </c>
      <c r="CF77" s="1" t="s">
        <v>59</v>
      </c>
      <c r="CG77" s="1" t="s">
        <v>60</v>
      </c>
      <c r="CH77" s="1" t="s">
        <v>60</v>
      </c>
      <c r="CI77" s="1" t="s">
        <v>61</v>
      </c>
      <c r="CJ77" s="1" t="s">
        <v>61</v>
      </c>
      <c r="CK77" s="1" t="s">
        <v>62</v>
      </c>
      <c r="CL77" s="1" t="s">
        <v>62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66</v>
      </c>
      <c r="C79" s="2">
        <v>8.6</v>
      </c>
      <c r="D79" s="2">
        <v>14.47</v>
      </c>
      <c r="E79" s="2">
        <v>2.99</v>
      </c>
      <c r="F79" s="2">
        <v>2.97</v>
      </c>
      <c r="G79" s="2">
        <v>0.98</v>
      </c>
      <c r="H79" s="2">
        <v>2.27</v>
      </c>
      <c r="I79" s="2">
        <v>13.46</v>
      </c>
      <c r="J79" s="2">
        <v>5.01</v>
      </c>
      <c r="K79" s="2">
        <v>9.27</v>
      </c>
      <c r="L79" s="2">
        <v>10.56</v>
      </c>
      <c r="M79" s="2">
        <v>11</v>
      </c>
      <c r="N79" s="2">
        <v>10.029999999999999</v>
      </c>
      <c r="O79" s="2">
        <v>15.95</v>
      </c>
      <c r="P79" s="2">
        <v>3.16</v>
      </c>
      <c r="Q79" s="2">
        <v>11.63</v>
      </c>
      <c r="R79" s="2">
        <v>4.07</v>
      </c>
      <c r="S79" s="2">
        <v>0.72</v>
      </c>
      <c r="T79" s="2">
        <v>1.26</v>
      </c>
      <c r="U79" s="2">
        <v>1.38</v>
      </c>
      <c r="V79" s="2">
        <v>0.97</v>
      </c>
      <c r="X79" s="1" t="s">
        <v>66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66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66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67</v>
      </c>
      <c r="C80" s="2">
        <v>55.79</v>
      </c>
      <c r="D80" s="2">
        <v>22.66</v>
      </c>
      <c r="E80" s="2">
        <v>28.68</v>
      </c>
      <c r="F80" s="2">
        <v>14.18</v>
      </c>
      <c r="G80" s="2">
        <v>7.94</v>
      </c>
      <c r="H80" s="2">
        <v>14.73</v>
      </c>
      <c r="I80" s="2">
        <v>47.8</v>
      </c>
      <c r="J80" s="2">
        <v>84.87</v>
      </c>
      <c r="K80" s="2">
        <v>63.06</v>
      </c>
      <c r="L80" s="2">
        <v>72.08</v>
      </c>
      <c r="M80" s="2">
        <v>120.3</v>
      </c>
      <c r="N80" s="2">
        <v>101.72</v>
      </c>
      <c r="O80" s="2">
        <v>93.24</v>
      </c>
      <c r="P80" s="2">
        <v>88.19</v>
      </c>
      <c r="Q80" s="2">
        <v>120.81</v>
      </c>
      <c r="R80" s="2">
        <v>83.05</v>
      </c>
      <c r="S80" s="2">
        <v>82.1</v>
      </c>
      <c r="T80" s="2">
        <v>68.59</v>
      </c>
      <c r="U80" s="2">
        <v>98.26</v>
      </c>
      <c r="V80" s="2">
        <v>61.59</v>
      </c>
      <c r="X80" s="1" t="s">
        <v>67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67</v>
      </c>
      <c r="AV80" s="2">
        <v>1.55</v>
      </c>
      <c r="AW80" s="2">
        <v>1.43</v>
      </c>
      <c r="AX80" s="2">
        <v>1.49</v>
      </c>
      <c r="AY80" s="2">
        <v>1.42</v>
      </c>
      <c r="AZ80" s="2">
        <v>0.56000000000000005</v>
      </c>
      <c r="BA80" s="2">
        <v>0.56999999999999995</v>
      </c>
      <c r="BB80" s="2">
        <v>1.63</v>
      </c>
      <c r="BC80" s="2">
        <v>1.62</v>
      </c>
      <c r="BD80" s="2">
        <v>1.97</v>
      </c>
      <c r="BE80" s="2">
        <v>1.81</v>
      </c>
      <c r="BF80" s="2">
        <v>3.81</v>
      </c>
      <c r="BG80" s="2">
        <v>3.27</v>
      </c>
      <c r="BH80" s="2">
        <v>2.89</v>
      </c>
      <c r="BI80" s="2">
        <v>2.7</v>
      </c>
      <c r="BJ80" s="2">
        <v>3.71</v>
      </c>
      <c r="BK80" s="2">
        <v>3.45</v>
      </c>
      <c r="BL80" s="2">
        <v>3.26</v>
      </c>
      <c r="BM80" s="2">
        <v>2.98</v>
      </c>
      <c r="BN80" s="2">
        <v>4.2</v>
      </c>
      <c r="BO80" s="2">
        <v>3.89</v>
      </c>
      <c r="BR80" s="1" t="s">
        <v>67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-0.12</v>
      </c>
      <c r="BY80" s="2">
        <v>-0.15</v>
      </c>
      <c r="BZ80" s="2">
        <v>-0.15</v>
      </c>
      <c r="CA80" s="2">
        <v>-0.12</v>
      </c>
      <c r="CB80" s="2">
        <v>-0.05</v>
      </c>
      <c r="CC80" s="2">
        <v>-0.19</v>
      </c>
      <c r="CD80" s="2">
        <v>-0.06</v>
      </c>
      <c r="CE80" s="2">
        <v>-0.14000000000000001</v>
      </c>
      <c r="CF80" s="2">
        <v>-0.08</v>
      </c>
      <c r="CG80" s="2">
        <v>-0.12</v>
      </c>
      <c r="CH80" s="2">
        <v>-0.06</v>
      </c>
      <c r="CI80" s="2">
        <v>-0.1</v>
      </c>
      <c r="CJ80" s="2">
        <v>-0.02</v>
      </c>
      <c r="CK80" s="2">
        <v>-0.08</v>
      </c>
      <c r="CL80" s="2">
        <v>-0.01</v>
      </c>
    </row>
    <row r="81" spans="2:90" x14ac:dyDescent="0.3">
      <c r="B81" s="1" t="s">
        <v>68</v>
      </c>
      <c r="C81" s="2">
        <v>628.58000000000004</v>
      </c>
      <c r="D81" s="2">
        <v>63.43</v>
      </c>
      <c r="E81" s="2">
        <v>540.17999999999995</v>
      </c>
      <c r="F81" s="2">
        <v>28.65</v>
      </c>
      <c r="G81" s="2">
        <v>111.93</v>
      </c>
      <c r="H81" s="2">
        <v>192.03</v>
      </c>
      <c r="I81" s="2">
        <v>618</v>
      </c>
      <c r="J81" s="2">
        <v>426.21</v>
      </c>
      <c r="K81" s="2">
        <v>751.04</v>
      </c>
      <c r="L81" s="2">
        <v>401.9</v>
      </c>
      <c r="M81" s="2">
        <v>1282.22</v>
      </c>
      <c r="N81" s="2">
        <v>664.36</v>
      </c>
      <c r="O81" s="2">
        <v>1151.18</v>
      </c>
      <c r="P81" s="2">
        <v>563.44000000000005</v>
      </c>
      <c r="Q81" s="2">
        <v>1468.38</v>
      </c>
      <c r="R81" s="2">
        <v>593.36</v>
      </c>
      <c r="S81" s="2">
        <v>517.01</v>
      </c>
      <c r="T81" s="2">
        <v>458.45</v>
      </c>
      <c r="U81" s="2">
        <v>476.24</v>
      </c>
      <c r="V81" s="2">
        <v>395.73</v>
      </c>
      <c r="X81" s="1" t="s">
        <v>68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1.72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68</v>
      </c>
      <c r="AV81" s="2">
        <v>3.06</v>
      </c>
      <c r="AW81" s="2">
        <v>1.42</v>
      </c>
      <c r="AX81" s="2">
        <v>3.07</v>
      </c>
      <c r="AY81" s="2">
        <v>1.42</v>
      </c>
      <c r="AZ81" s="2">
        <v>0.88</v>
      </c>
      <c r="BA81" s="2">
        <v>0.78</v>
      </c>
      <c r="BB81" s="2">
        <v>2.4300000000000002</v>
      </c>
      <c r="BC81" s="2">
        <v>1.71</v>
      </c>
      <c r="BD81" s="2">
        <v>3.13</v>
      </c>
      <c r="BE81" s="2">
        <v>1.93</v>
      </c>
      <c r="BF81" s="2">
        <v>5.71</v>
      </c>
      <c r="BG81" s="2">
        <v>3.49</v>
      </c>
      <c r="BH81" s="2">
        <v>4.5199999999999996</v>
      </c>
      <c r="BI81" s="2">
        <v>2.84</v>
      </c>
      <c r="BJ81" s="2">
        <v>5.84</v>
      </c>
      <c r="BK81" s="2">
        <v>3.62</v>
      </c>
      <c r="BL81" s="2">
        <v>3.47</v>
      </c>
      <c r="BM81" s="2">
        <v>3.08</v>
      </c>
      <c r="BN81" s="2">
        <v>4.05</v>
      </c>
      <c r="BO81" s="2">
        <v>3.96</v>
      </c>
      <c r="BR81" s="1" t="s">
        <v>68</v>
      </c>
      <c r="BS81" s="2">
        <v>-0.56999999999999995</v>
      </c>
      <c r="BT81" s="2">
        <v>-0.09</v>
      </c>
      <c r="BU81" s="2">
        <v>-0.56999999999999995</v>
      </c>
      <c r="BV81" s="2">
        <v>-0.08</v>
      </c>
      <c r="BW81" s="2">
        <v>-0.41</v>
      </c>
      <c r="BX81" s="2">
        <v>-0.35</v>
      </c>
      <c r="BY81" s="2">
        <v>-0.4</v>
      </c>
      <c r="BZ81" s="2">
        <v>-0.19</v>
      </c>
      <c r="CA81" s="2">
        <v>-0.39</v>
      </c>
      <c r="CB81" s="2">
        <v>-0.11</v>
      </c>
      <c r="CC81" s="2">
        <v>-0.4</v>
      </c>
      <c r="CD81" s="2">
        <v>-0.12</v>
      </c>
      <c r="CE81" s="2">
        <v>-0.4</v>
      </c>
      <c r="CF81" s="2">
        <v>-0.12</v>
      </c>
      <c r="CG81" s="2">
        <v>-0.41</v>
      </c>
      <c r="CH81" s="2">
        <v>-0.1</v>
      </c>
      <c r="CI81" s="2">
        <v>-0.16</v>
      </c>
      <c r="CJ81" s="2">
        <v>-0.05</v>
      </c>
      <c r="CK81" s="2">
        <v>-0.05</v>
      </c>
      <c r="CL81" s="2">
        <v>-0.03</v>
      </c>
    </row>
    <row r="82" spans="2:90" x14ac:dyDescent="0.3">
      <c r="B82" s="1" t="s">
        <v>69</v>
      </c>
      <c r="C82" s="2">
        <v>110.97</v>
      </c>
      <c r="D82" s="2">
        <v>25.6</v>
      </c>
      <c r="E82" s="2">
        <v>105.16</v>
      </c>
      <c r="F82" s="2">
        <v>11.55</v>
      </c>
      <c r="G82" s="2">
        <v>32.590000000000003</v>
      </c>
      <c r="H82" s="2">
        <v>54.33</v>
      </c>
      <c r="I82" s="2">
        <v>225.49</v>
      </c>
      <c r="J82" s="2">
        <v>105.09</v>
      </c>
      <c r="K82" s="2">
        <v>282.14</v>
      </c>
      <c r="L82" s="2">
        <v>96.78</v>
      </c>
      <c r="M82" s="2">
        <v>466.15</v>
      </c>
      <c r="N82" s="2">
        <v>140.38999999999999</v>
      </c>
      <c r="O82" s="2">
        <v>409.09</v>
      </c>
      <c r="P82" s="2">
        <v>120.13</v>
      </c>
      <c r="Q82" s="2">
        <v>431.27</v>
      </c>
      <c r="R82" s="2">
        <v>174.31</v>
      </c>
      <c r="S82" s="2">
        <v>162.1</v>
      </c>
      <c r="T82" s="2">
        <v>104.25</v>
      </c>
      <c r="U82" s="2">
        <v>154.28</v>
      </c>
      <c r="V82" s="2">
        <v>134.4</v>
      </c>
      <c r="X82" s="1" t="s">
        <v>69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69</v>
      </c>
      <c r="AV82" s="2">
        <v>2.17</v>
      </c>
      <c r="AW82" s="2">
        <v>1.45</v>
      </c>
      <c r="AX82" s="2">
        <v>2.2400000000000002</v>
      </c>
      <c r="AY82" s="2">
        <v>1.42</v>
      </c>
      <c r="AZ82" s="2">
        <v>0.81</v>
      </c>
      <c r="BA82" s="2">
        <v>0.88</v>
      </c>
      <c r="BB82" s="2">
        <v>2.2999999999999998</v>
      </c>
      <c r="BC82" s="2">
        <v>1.78</v>
      </c>
      <c r="BD82" s="2">
        <v>2.75</v>
      </c>
      <c r="BE82" s="2">
        <v>1.98</v>
      </c>
      <c r="BF82" s="2">
        <v>4.95</v>
      </c>
      <c r="BG82" s="2">
        <v>3.5</v>
      </c>
      <c r="BH82" s="2">
        <v>3.99</v>
      </c>
      <c r="BI82" s="2">
        <v>2.84</v>
      </c>
      <c r="BJ82" s="2">
        <v>4.5999999999999996</v>
      </c>
      <c r="BK82" s="2">
        <v>3.59</v>
      </c>
      <c r="BL82" s="2">
        <v>3.21</v>
      </c>
      <c r="BM82" s="2">
        <v>3.12</v>
      </c>
      <c r="BN82" s="2">
        <v>4.1100000000000003</v>
      </c>
      <c r="BO82" s="2">
        <v>4.04</v>
      </c>
      <c r="BR82" s="1" t="s">
        <v>69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-0.38</v>
      </c>
      <c r="BX82" s="2">
        <v>-0.43</v>
      </c>
      <c r="BY82" s="2">
        <v>-0.4</v>
      </c>
      <c r="BZ82" s="2">
        <v>-0.23</v>
      </c>
      <c r="CA82" s="2">
        <v>-0.37</v>
      </c>
      <c r="CB82" s="2">
        <v>-0.13</v>
      </c>
      <c r="CC82" s="2">
        <v>-0.37</v>
      </c>
      <c r="CD82" s="2">
        <v>-0.12</v>
      </c>
      <c r="CE82" s="2">
        <v>-0.37</v>
      </c>
      <c r="CF82" s="2">
        <v>-0.12</v>
      </c>
      <c r="CG82" s="2">
        <v>-0.28999999999999998</v>
      </c>
      <c r="CH82" s="2">
        <v>-0.09</v>
      </c>
      <c r="CI82" s="2">
        <v>-0.09</v>
      </c>
      <c r="CJ82" s="2">
        <v>-7.0000000000000007E-2</v>
      </c>
      <c r="CK82" s="2">
        <v>-0.06</v>
      </c>
      <c r="CL82" s="2">
        <v>-0.05</v>
      </c>
    </row>
    <row r="83" spans="2:90" x14ac:dyDescent="0.3">
      <c r="B83" s="1" t="s">
        <v>70</v>
      </c>
      <c r="C83" s="2">
        <v>308.87</v>
      </c>
      <c r="D83" s="2">
        <v>356.74</v>
      </c>
      <c r="E83" s="2">
        <v>302.62</v>
      </c>
      <c r="F83" s="2">
        <v>91.48</v>
      </c>
      <c r="G83" s="2">
        <v>108.48</v>
      </c>
      <c r="H83" s="2">
        <v>158.13</v>
      </c>
      <c r="I83" s="2">
        <v>283.8</v>
      </c>
      <c r="J83" s="2">
        <v>616.22</v>
      </c>
      <c r="K83" s="2">
        <v>718.45</v>
      </c>
      <c r="L83" s="2">
        <v>747.33</v>
      </c>
      <c r="M83" s="2">
        <v>928.01</v>
      </c>
      <c r="N83" s="2">
        <v>806.43</v>
      </c>
      <c r="O83" s="2">
        <v>683.77</v>
      </c>
      <c r="P83" s="2">
        <v>630.79</v>
      </c>
      <c r="Q83" s="2">
        <v>729.09</v>
      </c>
      <c r="R83" s="2">
        <v>728.7</v>
      </c>
      <c r="S83" s="2">
        <v>595.96</v>
      </c>
      <c r="T83" s="2">
        <v>440.61</v>
      </c>
      <c r="U83" s="2">
        <v>668.63</v>
      </c>
      <c r="V83" s="2">
        <v>427.42</v>
      </c>
      <c r="X83" s="1" t="s">
        <v>70</v>
      </c>
      <c r="Y83" s="2">
        <v>1.3</v>
      </c>
      <c r="Z83" s="2">
        <v>1.3</v>
      </c>
      <c r="AA83" s="2">
        <v>1.31</v>
      </c>
      <c r="AB83" s="2">
        <v>1.31</v>
      </c>
      <c r="AC83" s="2">
        <v>0.5</v>
      </c>
      <c r="AD83" s="2">
        <v>0.5</v>
      </c>
      <c r="AE83" s="2">
        <v>1.38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70</v>
      </c>
      <c r="AV83" s="2">
        <v>2.02</v>
      </c>
      <c r="AW83" s="2">
        <v>1.95</v>
      </c>
      <c r="AX83" s="2">
        <v>2.02</v>
      </c>
      <c r="AY83" s="2">
        <v>1.52</v>
      </c>
      <c r="AZ83" s="2">
        <v>0.76</v>
      </c>
      <c r="BA83" s="2">
        <v>0.77</v>
      </c>
      <c r="BB83" s="2">
        <v>1.58</v>
      </c>
      <c r="BC83" s="2">
        <v>2.11</v>
      </c>
      <c r="BD83" s="2">
        <v>2.36</v>
      </c>
      <c r="BE83" s="2">
        <v>2.4700000000000002</v>
      </c>
      <c r="BF83" s="2">
        <v>4</v>
      </c>
      <c r="BG83" s="2">
        <v>3.83</v>
      </c>
      <c r="BH83" s="2">
        <v>3.01</v>
      </c>
      <c r="BI83" s="2">
        <v>2.96</v>
      </c>
      <c r="BJ83" s="2">
        <v>3.67</v>
      </c>
      <c r="BK83" s="2">
        <v>3.69</v>
      </c>
      <c r="BL83" s="2">
        <v>3.18</v>
      </c>
      <c r="BM83" s="2">
        <v>3.12</v>
      </c>
      <c r="BN83" s="2">
        <v>4.18</v>
      </c>
      <c r="BO83" s="2">
        <v>4</v>
      </c>
      <c r="BR83" s="1" t="s">
        <v>70</v>
      </c>
      <c r="BS83" s="2">
        <v>-0.36</v>
      </c>
      <c r="BT83" s="2">
        <v>-0.33</v>
      </c>
      <c r="BU83" s="2">
        <v>-0.35</v>
      </c>
      <c r="BV83" s="2">
        <v>-0.14000000000000001</v>
      </c>
      <c r="BW83" s="2">
        <v>-0.35</v>
      </c>
      <c r="BX83" s="2">
        <v>-0.35</v>
      </c>
      <c r="BY83" s="2">
        <v>-0.13</v>
      </c>
      <c r="BZ83" s="2">
        <v>-0.35</v>
      </c>
      <c r="CA83" s="2">
        <v>-0.27</v>
      </c>
      <c r="CB83" s="2">
        <v>-0.3</v>
      </c>
      <c r="CC83" s="2">
        <v>-0.23</v>
      </c>
      <c r="CD83" s="2">
        <v>-0.19</v>
      </c>
      <c r="CE83" s="2">
        <v>-0.17</v>
      </c>
      <c r="CF83" s="2">
        <v>-0.16</v>
      </c>
      <c r="CG83" s="2">
        <v>-0.11</v>
      </c>
      <c r="CH83" s="2">
        <v>-0.12</v>
      </c>
      <c r="CI83" s="2">
        <v>-0.08</v>
      </c>
      <c r="CJ83" s="2">
        <v>-0.06</v>
      </c>
      <c r="CK83" s="2">
        <v>-0.08</v>
      </c>
      <c r="CL83" s="2">
        <v>-0.04</v>
      </c>
    </row>
    <row r="84" spans="2:90" x14ac:dyDescent="0.3">
      <c r="B84" s="1" t="s">
        <v>71</v>
      </c>
      <c r="C84" s="2">
        <v>72.709999999999994</v>
      </c>
      <c r="D84" s="2">
        <v>27.8</v>
      </c>
      <c r="E84" s="2">
        <v>58.27</v>
      </c>
      <c r="F84" s="2">
        <v>20.329999999999998</v>
      </c>
      <c r="G84" s="2">
        <v>19.89</v>
      </c>
      <c r="H84" s="2">
        <v>15.05</v>
      </c>
      <c r="I84" s="2">
        <v>27.33</v>
      </c>
      <c r="J84" s="2">
        <v>48.64</v>
      </c>
      <c r="K84" s="2">
        <v>30.96</v>
      </c>
      <c r="L84" s="2">
        <v>85.32</v>
      </c>
      <c r="M84" s="2">
        <v>80.06</v>
      </c>
      <c r="N84" s="2">
        <v>138.94999999999999</v>
      </c>
      <c r="O84" s="2">
        <v>70.900000000000006</v>
      </c>
      <c r="P84" s="2">
        <v>85.84</v>
      </c>
      <c r="Q84" s="2">
        <v>90.47</v>
      </c>
      <c r="R84" s="2">
        <v>148.32</v>
      </c>
      <c r="S84" s="2">
        <v>85.15</v>
      </c>
      <c r="T84" s="2">
        <v>61.68</v>
      </c>
      <c r="U84" s="2">
        <v>79.400000000000006</v>
      </c>
      <c r="V84" s="2">
        <v>48.95</v>
      </c>
      <c r="X84" s="1" t="s">
        <v>71</v>
      </c>
      <c r="Y84" s="2">
        <v>1.31</v>
      </c>
      <c r="Z84" s="2">
        <v>1.31</v>
      </c>
      <c r="AA84" s="2">
        <v>1.35</v>
      </c>
      <c r="AB84" s="2">
        <v>1.35</v>
      </c>
      <c r="AC84" s="2">
        <v>0.5</v>
      </c>
      <c r="AD84" s="2">
        <v>0.5</v>
      </c>
      <c r="AE84" s="2">
        <v>1.38</v>
      </c>
      <c r="AF84" s="2">
        <v>1.37</v>
      </c>
      <c r="AG84" s="2">
        <v>1.72</v>
      </c>
      <c r="AH84" s="2">
        <v>1.74</v>
      </c>
      <c r="AI84" s="2">
        <v>3.1</v>
      </c>
      <c r="AJ84" s="2">
        <v>3.13</v>
      </c>
      <c r="AK84" s="2">
        <v>2.5</v>
      </c>
      <c r="AL84" s="2">
        <v>2.52</v>
      </c>
      <c r="AM84" s="2">
        <v>3.27</v>
      </c>
      <c r="AN84" s="2">
        <v>3.29</v>
      </c>
      <c r="AO84" s="2">
        <v>2.92</v>
      </c>
      <c r="AP84" s="2">
        <v>2.94</v>
      </c>
      <c r="AQ84" s="2">
        <v>3.86</v>
      </c>
      <c r="AR84" s="2">
        <v>3.86</v>
      </c>
      <c r="AU84" s="1" t="s">
        <v>71</v>
      </c>
      <c r="AV84" s="2">
        <v>2.0699999999999998</v>
      </c>
      <c r="AW84" s="2">
        <v>2.0699999999999998</v>
      </c>
      <c r="AX84" s="2">
        <v>2.0099999999999998</v>
      </c>
      <c r="AY84" s="2">
        <v>1.99</v>
      </c>
      <c r="AZ84" s="2">
        <v>0.77</v>
      </c>
      <c r="BA84" s="2">
        <v>0.78</v>
      </c>
      <c r="BB84" s="2">
        <v>1.58</v>
      </c>
      <c r="BC84" s="2">
        <v>2.13</v>
      </c>
      <c r="BD84" s="2">
        <v>1.86</v>
      </c>
      <c r="BE84" s="2">
        <v>2.58</v>
      </c>
      <c r="BF84" s="2">
        <v>3.5</v>
      </c>
      <c r="BG84" s="2">
        <v>4.71</v>
      </c>
      <c r="BH84" s="2">
        <v>2.8</v>
      </c>
      <c r="BI84" s="2">
        <v>3.42</v>
      </c>
      <c r="BJ84" s="2">
        <v>3.66</v>
      </c>
      <c r="BK84" s="2">
        <v>4.5</v>
      </c>
      <c r="BL84" s="2">
        <v>3.2</v>
      </c>
      <c r="BM84" s="2">
        <v>3.68</v>
      </c>
      <c r="BN84" s="2">
        <v>4.0999999999999996</v>
      </c>
      <c r="BO84" s="2">
        <v>4.01</v>
      </c>
      <c r="BR84" s="1" t="s">
        <v>71</v>
      </c>
      <c r="BS84" s="2">
        <v>-0.37</v>
      </c>
      <c r="BT84" s="2">
        <v>-0.37</v>
      </c>
      <c r="BU84" s="2">
        <v>-0.33</v>
      </c>
      <c r="BV84" s="2">
        <v>-0.32</v>
      </c>
      <c r="BW84" s="2">
        <v>-0.35</v>
      </c>
      <c r="BX84" s="2">
        <v>-0.35</v>
      </c>
      <c r="BY84" s="2">
        <v>-0.13</v>
      </c>
      <c r="BZ84" s="2">
        <v>-0.35</v>
      </c>
      <c r="CA84" s="2">
        <v>-7.0000000000000007E-2</v>
      </c>
      <c r="CB84" s="2">
        <v>-0.32</v>
      </c>
      <c r="CC84" s="2">
        <v>-0.11</v>
      </c>
      <c r="CD84" s="2">
        <v>-0.34</v>
      </c>
      <c r="CE84" s="2">
        <v>-0.11</v>
      </c>
      <c r="CF84" s="2">
        <v>-0.26</v>
      </c>
      <c r="CG84" s="2">
        <v>-0.11</v>
      </c>
      <c r="CH84" s="2">
        <v>-0.27</v>
      </c>
      <c r="CI84" s="2">
        <v>-0.09</v>
      </c>
      <c r="CJ84" s="2">
        <v>-0.2</v>
      </c>
      <c r="CK84" s="2">
        <v>-0.06</v>
      </c>
      <c r="CL84" s="2">
        <v>-0.04</v>
      </c>
    </row>
    <row r="85" spans="2:90" x14ac:dyDescent="0.3">
      <c r="B85" s="1" t="s">
        <v>72</v>
      </c>
      <c r="C85" s="2">
        <v>277.85000000000002</v>
      </c>
      <c r="D85" s="2">
        <v>286.98</v>
      </c>
      <c r="E85" s="2">
        <v>112.44</v>
      </c>
      <c r="F85" s="2">
        <v>213.67</v>
      </c>
      <c r="G85" s="2">
        <v>49.51</v>
      </c>
      <c r="H85" s="2">
        <v>118.04</v>
      </c>
      <c r="I85" s="2">
        <v>162.97</v>
      </c>
      <c r="J85" s="2">
        <v>200.74</v>
      </c>
      <c r="K85" s="2">
        <v>153.69</v>
      </c>
      <c r="L85" s="2">
        <v>295.68</v>
      </c>
      <c r="M85" s="2">
        <v>267.88</v>
      </c>
      <c r="N85" s="2">
        <v>509.83</v>
      </c>
      <c r="O85" s="2">
        <v>209.68</v>
      </c>
      <c r="P85" s="2">
        <v>408.01</v>
      </c>
      <c r="Q85" s="2">
        <v>391.95</v>
      </c>
      <c r="R85" s="2">
        <v>454.87</v>
      </c>
      <c r="S85" s="2">
        <v>250.31</v>
      </c>
      <c r="T85" s="2">
        <v>184.63</v>
      </c>
      <c r="U85" s="2">
        <v>244.63</v>
      </c>
      <c r="V85" s="2">
        <v>178.45</v>
      </c>
      <c r="X85" s="1" t="s">
        <v>72</v>
      </c>
      <c r="Y85" s="2">
        <v>1.33</v>
      </c>
      <c r="Z85" s="2">
        <v>1.33</v>
      </c>
      <c r="AA85" s="2">
        <v>1.34</v>
      </c>
      <c r="AB85" s="2">
        <v>1.36</v>
      </c>
      <c r="AC85" s="2">
        <v>0.5</v>
      </c>
      <c r="AD85" s="2">
        <v>0.51</v>
      </c>
      <c r="AE85" s="2">
        <v>1.39</v>
      </c>
      <c r="AF85" s="2">
        <v>1.42</v>
      </c>
      <c r="AG85" s="2">
        <v>1.72</v>
      </c>
      <c r="AH85" s="2">
        <v>1.95</v>
      </c>
      <c r="AI85" s="2">
        <v>3.1</v>
      </c>
      <c r="AJ85" s="2">
        <v>3.51</v>
      </c>
      <c r="AK85" s="2">
        <v>2.5</v>
      </c>
      <c r="AL85" s="2">
        <v>2.65</v>
      </c>
      <c r="AM85" s="2">
        <v>3.28</v>
      </c>
      <c r="AN85" s="2">
        <v>3.29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72</v>
      </c>
      <c r="AV85" s="2">
        <v>2.93</v>
      </c>
      <c r="AW85" s="2">
        <v>2.96</v>
      </c>
      <c r="AX85" s="2">
        <v>1.99</v>
      </c>
      <c r="AY85" s="2">
        <v>2.72</v>
      </c>
      <c r="AZ85" s="2">
        <v>0.73</v>
      </c>
      <c r="BA85" s="2">
        <v>1.1000000000000001</v>
      </c>
      <c r="BB85" s="2">
        <v>1.82</v>
      </c>
      <c r="BC85" s="2">
        <v>2.35</v>
      </c>
      <c r="BD85" s="2">
        <v>1.96</v>
      </c>
      <c r="BE85" s="2">
        <v>3.1</v>
      </c>
      <c r="BF85" s="2">
        <v>3.66</v>
      </c>
      <c r="BG85" s="2">
        <v>5.58</v>
      </c>
      <c r="BH85" s="2">
        <v>2.95</v>
      </c>
      <c r="BI85" s="2">
        <v>4.13</v>
      </c>
      <c r="BJ85" s="2">
        <v>4.09</v>
      </c>
      <c r="BK85" s="2">
        <v>4.53</v>
      </c>
      <c r="BL85" s="2">
        <v>3.26</v>
      </c>
      <c r="BM85" s="2">
        <v>3.3</v>
      </c>
      <c r="BN85" s="2">
        <v>4.17</v>
      </c>
      <c r="BO85" s="2">
        <v>4.1399999999999997</v>
      </c>
      <c r="BR85" s="1" t="s">
        <v>72</v>
      </c>
      <c r="BS85" s="2">
        <v>-0.55000000000000004</v>
      </c>
      <c r="BT85" s="2">
        <v>-0.55000000000000004</v>
      </c>
      <c r="BU85" s="2">
        <v>-0.33</v>
      </c>
      <c r="BV85" s="2">
        <v>-0.5</v>
      </c>
      <c r="BW85" s="2">
        <v>-0.31</v>
      </c>
      <c r="BX85" s="2">
        <v>-0.53</v>
      </c>
      <c r="BY85" s="2">
        <v>-0.24</v>
      </c>
      <c r="BZ85" s="2">
        <v>-0.39</v>
      </c>
      <c r="CA85" s="2">
        <v>-0.12</v>
      </c>
      <c r="CB85" s="2">
        <v>-0.37</v>
      </c>
      <c r="CC85" s="2">
        <v>-0.15</v>
      </c>
      <c r="CD85" s="2">
        <v>-0.37</v>
      </c>
      <c r="CE85" s="2">
        <v>-0.15</v>
      </c>
      <c r="CF85" s="2">
        <v>-0.36</v>
      </c>
      <c r="CG85" s="2">
        <v>-0.2</v>
      </c>
      <c r="CH85" s="2">
        <v>-0.27</v>
      </c>
      <c r="CI85" s="2">
        <v>-0.1</v>
      </c>
      <c r="CJ85" s="2">
        <v>-0.11</v>
      </c>
      <c r="CK85" s="2">
        <v>-7.0000000000000007E-2</v>
      </c>
      <c r="CL85" s="2">
        <v>-7.0000000000000007E-2</v>
      </c>
    </row>
    <row r="86" spans="2:90" x14ac:dyDescent="0.3">
      <c r="B86" s="1" t="s">
        <v>73</v>
      </c>
      <c r="C86" s="2">
        <v>12.23</v>
      </c>
      <c r="D86" s="2">
        <v>28.12</v>
      </c>
      <c r="E86" s="2">
        <v>2.16</v>
      </c>
      <c r="F86" s="2">
        <v>2.93</v>
      </c>
      <c r="G86" s="2">
        <v>0.87</v>
      </c>
      <c r="H86" s="2">
        <v>1.36</v>
      </c>
      <c r="I86" s="2">
        <v>11.79</v>
      </c>
      <c r="J86" s="2">
        <v>26.45</v>
      </c>
      <c r="K86" s="2">
        <v>23.66</v>
      </c>
      <c r="L86" s="2">
        <v>54.12</v>
      </c>
      <c r="M86" s="2">
        <v>73.260000000000005</v>
      </c>
      <c r="N86" s="2">
        <v>66.290000000000006</v>
      </c>
      <c r="O86" s="2">
        <v>66.88</v>
      </c>
      <c r="P86" s="2">
        <v>33.97</v>
      </c>
      <c r="Q86" s="2">
        <v>44.46</v>
      </c>
      <c r="R86" s="2">
        <v>19.39</v>
      </c>
      <c r="S86" s="2">
        <v>18.3</v>
      </c>
      <c r="T86" s="2">
        <v>14.64</v>
      </c>
      <c r="U86" s="2">
        <v>40.479999999999997</v>
      </c>
      <c r="V86" s="2">
        <v>38.78</v>
      </c>
      <c r="X86" s="1" t="s">
        <v>73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73</v>
      </c>
      <c r="AV86" s="2">
        <v>1.46</v>
      </c>
      <c r="AW86" s="2">
        <v>1.55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1.79</v>
      </c>
      <c r="BD86" s="2">
        <v>1.79</v>
      </c>
      <c r="BE86" s="2">
        <v>2.11</v>
      </c>
      <c r="BF86" s="2">
        <v>3.5</v>
      </c>
      <c r="BG86" s="2">
        <v>3.82</v>
      </c>
      <c r="BH86" s="2">
        <v>2.93</v>
      </c>
      <c r="BI86" s="2">
        <v>2.91</v>
      </c>
      <c r="BJ86" s="2">
        <v>3.67</v>
      </c>
      <c r="BK86" s="2">
        <v>3.57</v>
      </c>
      <c r="BL86" s="2">
        <v>3.19</v>
      </c>
      <c r="BM86" s="2">
        <v>3.05</v>
      </c>
      <c r="BN86" s="2">
        <v>4.07</v>
      </c>
      <c r="BO86" s="2">
        <v>3.95</v>
      </c>
      <c r="BR86" s="1" t="s">
        <v>73</v>
      </c>
      <c r="BS86" s="2">
        <v>-0.11</v>
      </c>
      <c r="BT86" s="2">
        <v>-0.16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-0.23</v>
      </c>
      <c r="CA86" s="2">
        <v>-0.04</v>
      </c>
      <c r="CB86" s="2">
        <v>-0.19</v>
      </c>
      <c r="CC86" s="2">
        <v>-0.12</v>
      </c>
      <c r="CD86" s="2">
        <v>-0.19</v>
      </c>
      <c r="CE86" s="2">
        <v>-0.15</v>
      </c>
      <c r="CF86" s="2">
        <v>-0.15</v>
      </c>
      <c r="CG86" s="2">
        <v>-0.11</v>
      </c>
      <c r="CH86" s="2">
        <v>-0.09</v>
      </c>
      <c r="CI86" s="2">
        <v>-0.09</v>
      </c>
      <c r="CJ86" s="2">
        <v>-0.05</v>
      </c>
      <c r="CK86" s="2">
        <v>-0.05</v>
      </c>
      <c r="CL86" s="2">
        <v>-0.02</v>
      </c>
    </row>
    <row r="87" spans="2:90" x14ac:dyDescent="0.3">
      <c r="W87" s="4">
        <f>SUM(C79:V86)/$W$45</f>
        <v>2.2011309548084047E-2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63</v>
      </c>
      <c r="D90" s="1" t="s">
        <v>64</v>
      </c>
      <c r="E90" s="1" t="s">
        <v>63</v>
      </c>
      <c r="F90" s="1" t="s">
        <v>64</v>
      </c>
      <c r="G90" s="1" t="s">
        <v>63</v>
      </c>
      <c r="H90" s="1" t="s">
        <v>64</v>
      </c>
      <c r="I90" s="1" t="s">
        <v>63</v>
      </c>
      <c r="J90" s="1" t="s">
        <v>64</v>
      </c>
      <c r="K90" s="1" t="s">
        <v>63</v>
      </c>
      <c r="L90" s="1" t="s">
        <v>64</v>
      </c>
      <c r="M90" s="1" t="s">
        <v>63</v>
      </c>
      <c r="N90" s="1" t="s">
        <v>64</v>
      </c>
      <c r="O90" s="1" t="s">
        <v>63</v>
      </c>
      <c r="P90" s="1" t="s">
        <v>64</v>
      </c>
      <c r="Q90" s="1" t="s">
        <v>63</v>
      </c>
      <c r="R90" s="1" t="s">
        <v>64</v>
      </c>
      <c r="S90" s="1" t="s">
        <v>63</v>
      </c>
      <c r="T90" s="1" t="s">
        <v>64</v>
      </c>
      <c r="U90" s="1" t="s">
        <v>63</v>
      </c>
      <c r="V90" s="1" t="s">
        <v>64</v>
      </c>
      <c r="X90" s="1" t="s">
        <v>6</v>
      </c>
      <c r="Y90" s="5" t="s">
        <v>63</v>
      </c>
      <c r="Z90" s="5"/>
      <c r="AA90" s="5"/>
      <c r="AB90" s="5"/>
      <c r="AC90" s="5"/>
      <c r="AD90" s="5"/>
      <c r="AE90" s="5"/>
      <c r="AF90" s="5"/>
      <c r="AG90" s="5"/>
      <c r="AH90" s="5"/>
      <c r="AI90" s="5" t="s">
        <v>64</v>
      </c>
      <c r="AJ90" s="5"/>
      <c r="AK90" s="5"/>
      <c r="AL90" s="5"/>
      <c r="AM90" s="5"/>
      <c r="AN90" s="5"/>
      <c r="AO90" s="5"/>
      <c r="AP90" s="5"/>
      <c r="AQ90" s="5"/>
      <c r="AR90" s="5"/>
      <c r="AU90" s="1" t="s">
        <v>6</v>
      </c>
      <c r="AV90" s="5" t="s">
        <v>63</v>
      </c>
      <c r="AW90" s="5"/>
      <c r="AX90" s="5"/>
      <c r="AY90" s="5"/>
      <c r="AZ90" s="5"/>
      <c r="BA90" s="5"/>
      <c r="BB90" s="5"/>
      <c r="BC90" s="5"/>
      <c r="BD90" s="5"/>
      <c r="BE90" s="5"/>
      <c r="BF90" s="5" t="s">
        <v>64</v>
      </c>
      <c r="BG90" s="5"/>
      <c r="BH90" s="5"/>
      <c r="BI90" s="5"/>
      <c r="BJ90" s="5"/>
      <c r="BK90" s="5"/>
      <c r="BL90" s="5"/>
      <c r="BM90" s="5"/>
      <c r="BN90" s="5"/>
      <c r="BO90" s="5"/>
      <c r="BR90" s="1" t="s">
        <v>6</v>
      </c>
      <c r="BS90" s="1" t="s">
        <v>63</v>
      </c>
      <c r="BT90" s="1" t="s">
        <v>64</v>
      </c>
      <c r="BU90" s="1" t="s">
        <v>63</v>
      </c>
      <c r="BV90" s="1" t="s">
        <v>64</v>
      </c>
      <c r="BW90" s="1" t="s">
        <v>63</v>
      </c>
      <c r="BX90" s="1" t="s">
        <v>64</v>
      </c>
      <c r="BY90" s="1" t="s">
        <v>63</v>
      </c>
      <c r="BZ90" s="1" t="s">
        <v>64</v>
      </c>
      <c r="CA90" s="1" t="s">
        <v>63</v>
      </c>
      <c r="CB90" s="1" t="s">
        <v>64</v>
      </c>
      <c r="CC90" s="1" t="s">
        <v>63</v>
      </c>
      <c r="CD90" s="1" t="s">
        <v>64</v>
      </c>
      <c r="CE90" s="1" t="s">
        <v>63</v>
      </c>
      <c r="CF90" s="1" t="s">
        <v>64</v>
      </c>
      <c r="CG90" s="1" t="s">
        <v>63</v>
      </c>
      <c r="CH90" s="1" t="s">
        <v>64</v>
      </c>
      <c r="CI90" s="1" t="s">
        <v>63</v>
      </c>
      <c r="CJ90" s="1" t="s">
        <v>64</v>
      </c>
      <c r="CK90" s="1" t="s">
        <v>63</v>
      </c>
      <c r="CL90" s="1" t="s">
        <v>64</v>
      </c>
    </row>
    <row r="91" spans="2:90" x14ac:dyDescent="0.3">
      <c r="B91" s="1" t="s">
        <v>65</v>
      </c>
      <c r="C91" s="1" t="s">
        <v>53</v>
      </c>
      <c r="D91" s="1" t="s">
        <v>53</v>
      </c>
      <c r="E91" s="1" t="s">
        <v>54</v>
      </c>
      <c r="F91" s="1" t="s">
        <v>54</v>
      </c>
      <c r="G91" s="1" t="s">
        <v>55</v>
      </c>
      <c r="H91" s="1" t="s">
        <v>55</v>
      </c>
      <c r="I91" s="1" t="s">
        <v>56</v>
      </c>
      <c r="J91" s="1" t="s">
        <v>56</v>
      </c>
      <c r="K91" s="1" t="s">
        <v>57</v>
      </c>
      <c r="L91" s="1" t="s">
        <v>57</v>
      </c>
      <c r="M91" s="1" t="s">
        <v>58</v>
      </c>
      <c r="N91" s="1" t="s">
        <v>58</v>
      </c>
      <c r="O91" s="1" t="s">
        <v>59</v>
      </c>
      <c r="P91" s="1" t="s">
        <v>59</v>
      </c>
      <c r="Q91" s="1" t="s">
        <v>60</v>
      </c>
      <c r="R91" s="1" t="s">
        <v>60</v>
      </c>
      <c r="S91" s="1" t="s">
        <v>61</v>
      </c>
      <c r="T91" s="1" t="s">
        <v>61</v>
      </c>
      <c r="U91" s="1" t="s">
        <v>62</v>
      </c>
      <c r="V91" s="1" t="s">
        <v>62</v>
      </c>
      <c r="X91" s="1" t="s">
        <v>65</v>
      </c>
      <c r="Y91" s="1" t="s">
        <v>53</v>
      </c>
      <c r="Z91" s="1" t="s">
        <v>62</v>
      </c>
      <c r="AA91" s="1" t="s">
        <v>54</v>
      </c>
      <c r="AB91" s="1" t="s">
        <v>55</v>
      </c>
      <c r="AC91" s="1" t="s">
        <v>56</v>
      </c>
      <c r="AD91" s="1" t="s">
        <v>57</v>
      </c>
      <c r="AE91" s="1" t="s">
        <v>58</v>
      </c>
      <c r="AF91" s="1" t="s">
        <v>59</v>
      </c>
      <c r="AG91" s="1" t="s">
        <v>60</v>
      </c>
      <c r="AH91" s="1" t="s">
        <v>61</v>
      </c>
      <c r="AI91" s="1" t="s">
        <v>53</v>
      </c>
      <c r="AJ91" s="1" t="s">
        <v>62</v>
      </c>
      <c r="AK91" s="1" t="s">
        <v>54</v>
      </c>
      <c r="AL91" s="1" t="s">
        <v>55</v>
      </c>
      <c r="AM91" s="1" t="s">
        <v>56</v>
      </c>
      <c r="AN91" s="1" t="s">
        <v>57</v>
      </c>
      <c r="AO91" s="1" t="s">
        <v>58</v>
      </c>
      <c r="AP91" s="1" t="s">
        <v>59</v>
      </c>
      <c r="AQ91" s="1" t="s">
        <v>60</v>
      </c>
      <c r="AR91" s="1" t="s">
        <v>61</v>
      </c>
      <c r="AU91" s="1" t="s">
        <v>65</v>
      </c>
      <c r="AV91" s="1" t="s">
        <v>53</v>
      </c>
      <c r="AW91" s="1" t="s">
        <v>62</v>
      </c>
      <c r="AX91" s="1" t="s">
        <v>54</v>
      </c>
      <c r="AY91" s="1" t="s">
        <v>55</v>
      </c>
      <c r="AZ91" s="1" t="s">
        <v>56</v>
      </c>
      <c r="BA91" s="1" t="s">
        <v>57</v>
      </c>
      <c r="BB91" s="1" t="s">
        <v>58</v>
      </c>
      <c r="BC91" s="1" t="s">
        <v>59</v>
      </c>
      <c r="BD91" s="1" t="s">
        <v>60</v>
      </c>
      <c r="BE91" s="1" t="s">
        <v>61</v>
      </c>
      <c r="BF91" s="1" t="s">
        <v>53</v>
      </c>
      <c r="BG91" s="1" t="s">
        <v>62</v>
      </c>
      <c r="BH91" s="1" t="s">
        <v>54</v>
      </c>
      <c r="BI91" s="1" t="s">
        <v>55</v>
      </c>
      <c r="BJ91" s="1" t="s">
        <v>56</v>
      </c>
      <c r="BK91" s="1" t="s">
        <v>57</v>
      </c>
      <c r="BL91" s="1" t="s">
        <v>58</v>
      </c>
      <c r="BM91" s="1" t="s">
        <v>59</v>
      </c>
      <c r="BN91" s="1" t="s">
        <v>60</v>
      </c>
      <c r="BO91" s="1" t="s">
        <v>61</v>
      </c>
      <c r="BR91" s="1" t="s">
        <v>65</v>
      </c>
      <c r="BS91" s="1" t="s">
        <v>53</v>
      </c>
      <c r="BT91" s="1" t="s">
        <v>53</v>
      </c>
      <c r="BU91" s="1" t="s">
        <v>54</v>
      </c>
      <c r="BV91" s="1" t="s">
        <v>54</v>
      </c>
      <c r="BW91" s="1" t="s">
        <v>55</v>
      </c>
      <c r="BX91" s="1" t="s">
        <v>55</v>
      </c>
      <c r="BY91" s="1" t="s">
        <v>56</v>
      </c>
      <c r="BZ91" s="1" t="s">
        <v>56</v>
      </c>
      <c r="CA91" s="1" t="s">
        <v>57</v>
      </c>
      <c r="CB91" s="1" t="s">
        <v>57</v>
      </c>
      <c r="CC91" s="1" t="s">
        <v>58</v>
      </c>
      <c r="CD91" s="1" t="s">
        <v>58</v>
      </c>
      <c r="CE91" s="1" t="s">
        <v>59</v>
      </c>
      <c r="CF91" s="1" t="s">
        <v>59</v>
      </c>
      <c r="CG91" s="1" t="s">
        <v>60</v>
      </c>
      <c r="CH91" s="1" t="s">
        <v>60</v>
      </c>
      <c r="CI91" s="1" t="s">
        <v>61</v>
      </c>
      <c r="CJ91" s="1" t="s">
        <v>61</v>
      </c>
      <c r="CK91" s="1" t="s">
        <v>62</v>
      </c>
      <c r="CL91" s="1" t="s">
        <v>62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66</v>
      </c>
      <c r="C93" s="2">
        <v>661.45</v>
      </c>
      <c r="D93" s="2">
        <v>653.97</v>
      </c>
      <c r="E93" s="2">
        <v>20.6</v>
      </c>
      <c r="F93" s="2">
        <v>21.77</v>
      </c>
      <c r="G93" s="2">
        <v>12.62</v>
      </c>
      <c r="H93" s="2">
        <v>52.98</v>
      </c>
      <c r="I93" s="2">
        <v>413.13</v>
      </c>
      <c r="J93" s="2">
        <v>308.14</v>
      </c>
      <c r="K93" s="2">
        <v>688.14</v>
      </c>
      <c r="L93" s="2">
        <v>317.12</v>
      </c>
      <c r="M93" s="2">
        <v>1373.29</v>
      </c>
      <c r="N93" s="2">
        <v>470.07</v>
      </c>
      <c r="O93" s="2">
        <v>1120.5999999999999</v>
      </c>
      <c r="P93" s="2">
        <v>180.84</v>
      </c>
      <c r="Q93" s="2">
        <v>1185.2</v>
      </c>
      <c r="R93" s="2">
        <v>444.52</v>
      </c>
      <c r="S93" s="2">
        <v>89.04</v>
      </c>
      <c r="T93" s="2">
        <v>93.34</v>
      </c>
      <c r="U93" s="2">
        <v>362.19</v>
      </c>
      <c r="V93" s="2">
        <v>144.19</v>
      </c>
      <c r="X93" s="1" t="s">
        <v>66</v>
      </c>
      <c r="Y93" s="2">
        <v>3380.94</v>
      </c>
      <c r="Z93" s="2">
        <v>1252.8699999999999</v>
      </c>
      <c r="AA93" s="2">
        <v>889.92</v>
      </c>
      <c r="AB93" s="2">
        <v>252.5</v>
      </c>
      <c r="AC93" s="2">
        <v>2991.79</v>
      </c>
      <c r="AD93" s="2">
        <v>5695.53</v>
      </c>
      <c r="AE93" s="2">
        <v>10077.65</v>
      </c>
      <c r="AF93" s="2">
        <v>7281.78</v>
      </c>
      <c r="AG93" s="2">
        <v>6943.16</v>
      </c>
      <c r="AH93" s="2">
        <v>363.92</v>
      </c>
      <c r="AI93" s="2">
        <v>3156.47</v>
      </c>
      <c r="AJ93" s="2">
        <v>292.5</v>
      </c>
      <c r="AK93" s="2">
        <v>802.66</v>
      </c>
      <c r="AL93" s="2">
        <v>468.05</v>
      </c>
      <c r="AM93" s="2">
        <v>1479.98</v>
      </c>
      <c r="AN93" s="2">
        <v>1612.77</v>
      </c>
      <c r="AO93" s="2">
        <v>2000.09</v>
      </c>
      <c r="AP93" s="2">
        <v>623.78</v>
      </c>
      <c r="AQ93" s="2">
        <v>2019.58</v>
      </c>
      <c r="AR93" s="2">
        <v>224.96</v>
      </c>
      <c r="AU93" s="1" t="s">
        <v>66</v>
      </c>
      <c r="AV93" s="2">
        <v>12317.47</v>
      </c>
      <c r="AW93" s="2">
        <v>42749.48</v>
      </c>
      <c r="AX93" s="2">
        <v>13595.46</v>
      </c>
      <c r="AY93" s="2">
        <v>3875.75</v>
      </c>
      <c r="AZ93" s="2">
        <v>15455.73</v>
      </c>
      <c r="BA93" s="2">
        <v>19266.47</v>
      </c>
      <c r="BB93" s="2">
        <v>36131.589999999997</v>
      </c>
      <c r="BC93" s="2">
        <v>28375.17</v>
      </c>
      <c r="BD93" s="2">
        <v>38319.4</v>
      </c>
      <c r="BE93" s="2">
        <v>35076.660000000003</v>
      </c>
      <c r="BF93" s="2">
        <v>12092.4</v>
      </c>
      <c r="BG93" s="2">
        <v>28192.95</v>
      </c>
      <c r="BH93" s="2">
        <v>12333.19</v>
      </c>
      <c r="BI93" s="2">
        <v>5057.05</v>
      </c>
      <c r="BJ93" s="2">
        <v>15192.34</v>
      </c>
      <c r="BK93" s="2">
        <v>18970.03</v>
      </c>
      <c r="BL93" s="2">
        <v>34885.15</v>
      </c>
      <c r="BM93" s="2">
        <v>27532.32</v>
      </c>
      <c r="BN93" s="2">
        <v>37662.300000000003</v>
      </c>
      <c r="BO93" s="2">
        <v>21682.94</v>
      </c>
      <c r="BR93" s="1" t="s">
        <v>66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67</v>
      </c>
      <c r="C94" s="2">
        <v>122.43</v>
      </c>
      <c r="D94" s="2">
        <v>76.55</v>
      </c>
      <c r="E94" s="2">
        <v>48.29</v>
      </c>
      <c r="F94" s="2">
        <v>38.409999999999997</v>
      </c>
      <c r="G94" s="2">
        <v>27.5</v>
      </c>
      <c r="H94" s="2">
        <v>87.61</v>
      </c>
      <c r="I94" s="2">
        <v>103</v>
      </c>
      <c r="J94" s="2">
        <v>177.53</v>
      </c>
      <c r="K94" s="2">
        <v>153.56</v>
      </c>
      <c r="L94" s="2">
        <v>146.96</v>
      </c>
      <c r="M94" s="2">
        <v>369.72</v>
      </c>
      <c r="N94" s="2">
        <v>302.05</v>
      </c>
      <c r="O94" s="2">
        <v>303.48</v>
      </c>
      <c r="P94" s="2">
        <v>267.37</v>
      </c>
      <c r="Q94" s="2">
        <v>394.99</v>
      </c>
      <c r="R94" s="2">
        <v>292.58</v>
      </c>
      <c r="S94" s="2">
        <v>323.11</v>
      </c>
      <c r="T94" s="2">
        <v>231.96</v>
      </c>
      <c r="U94" s="2">
        <v>482.31</v>
      </c>
      <c r="V94" s="2">
        <v>240.29</v>
      </c>
      <c r="X94" s="1" t="s">
        <v>67</v>
      </c>
      <c r="Y94" s="2">
        <v>1569.84</v>
      </c>
      <c r="Z94" s="2">
        <v>5051.07</v>
      </c>
      <c r="AA94" s="2">
        <v>1732.78</v>
      </c>
      <c r="AB94" s="2">
        <v>398.1</v>
      </c>
      <c r="AC94" s="2">
        <v>2270.4299999999998</v>
      </c>
      <c r="AD94" s="2">
        <v>2628.68</v>
      </c>
      <c r="AE94" s="2">
        <v>4497.95</v>
      </c>
      <c r="AF94" s="2">
        <v>2966.12</v>
      </c>
      <c r="AG94" s="2">
        <v>3720.17</v>
      </c>
      <c r="AH94" s="2">
        <v>3299.62</v>
      </c>
      <c r="AI94" s="2">
        <v>915.37</v>
      </c>
      <c r="AJ94" s="2">
        <v>2961.34</v>
      </c>
      <c r="AK94" s="2">
        <v>1058.19</v>
      </c>
      <c r="AL94" s="2">
        <v>135.26</v>
      </c>
      <c r="AM94" s="2">
        <v>1320</v>
      </c>
      <c r="AN94" s="2">
        <v>1530.6</v>
      </c>
      <c r="AO94" s="2">
        <v>2763.49</v>
      </c>
      <c r="AP94" s="2">
        <v>2500.5300000000002</v>
      </c>
      <c r="AQ94" s="2">
        <v>3387.59</v>
      </c>
      <c r="AR94" s="2">
        <v>2257.46</v>
      </c>
      <c r="AU94" s="1" t="s">
        <v>67</v>
      </c>
      <c r="AV94" s="2">
        <v>6902.91</v>
      </c>
      <c r="AW94" s="2">
        <v>23155.83</v>
      </c>
      <c r="AX94" s="2">
        <v>7076.41</v>
      </c>
      <c r="AY94" s="2">
        <v>1592.2</v>
      </c>
      <c r="AZ94" s="2">
        <v>9403.33</v>
      </c>
      <c r="BA94" s="2">
        <v>11782.72</v>
      </c>
      <c r="BB94" s="2">
        <v>20810.41</v>
      </c>
      <c r="BC94" s="2">
        <v>13209.79</v>
      </c>
      <c r="BD94" s="2">
        <v>16653.91</v>
      </c>
      <c r="BE94" s="2">
        <v>14667.34</v>
      </c>
      <c r="BF94" s="2">
        <v>3964.7</v>
      </c>
      <c r="BG94" s="2">
        <v>12992.06</v>
      </c>
      <c r="BH94" s="2">
        <v>4253.87</v>
      </c>
      <c r="BI94" s="2">
        <v>2332.9899999999998</v>
      </c>
      <c r="BJ94" s="2">
        <v>5328.64</v>
      </c>
      <c r="BK94" s="2">
        <v>6670</v>
      </c>
      <c r="BL94" s="2">
        <v>12157.07</v>
      </c>
      <c r="BM94" s="2">
        <v>11002.16</v>
      </c>
      <c r="BN94" s="2">
        <v>15015.05</v>
      </c>
      <c r="BO94" s="2">
        <v>9847.2199999999993</v>
      </c>
      <c r="BR94" s="1" t="s">
        <v>67</v>
      </c>
      <c r="BS94" s="2">
        <v>1.03</v>
      </c>
      <c r="BT94" s="2">
        <v>0.62</v>
      </c>
      <c r="BU94" s="2">
        <v>0.74</v>
      </c>
      <c r="BV94" s="2">
        <v>0.49</v>
      </c>
      <c r="BW94" s="2">
        <v>0.34</v>
      </c>
      <c r="BX94" s="2">
        <v>0.89</v>
      </c>
      <c r="BY94" s="2">
        <v>1.1200000000000001</v>
      </c>
      <c r="BZ94" s="2">
        <v>1.51</v>
      </c>
      <c r="CA94" s="2">
        <v>1.63</v>
      </c>
      <c r="CB94" s="2">
        <v>1.43</v>
      </c>
      <c r="CC94" s="2">
        <v>4.03</v>
      </c>
      <c r="CD94" s="2">
        <v>2.69</v>
      </c>
      <c r="CE94" s="2">
        <v>2.95</v>
      </c>
      <c r="CF94" s="2">
        <v>2.4</v>
      </c>
      <c r="CG94" s="2">
        <v>3.68</v>
      </c>
      <c r="CH94" s="2">
        <v>2.68</v>
      </c>
      <c r="CI94" s="2">
        <v>3.09</v>
      </c>
      <c r="CJ94" s="2">
        <v>2.0299999999999998</v>
      </c>
      <c r="CK94" s="2">
        <v>3.17</v>
      </c>
      <c r="CL94" s="2">
        <v>1.81</v>
      </c>
    </row>
    <row r="95" spans="2:90" x14ac:dyDescent="0.3">
      <c r="B95" s="1" t="s">
        <v>68</v>
      </c>
      <c r="C95" s="2">
        <v>3681.25</v>
      </c>
      <c r="D95" s="2">
        <v>285.44</v>
      </c>
      <c r="E95" s="2">
        <v>1620.35</v>
      </c>
      <c r="F95" s="2">
        <v>97.42</v>
      </c>
      <c r="G95" s="2">
        <v>1007.18</v>
      </c>
      <c r="H95" s="2">
        <v>582.84</v>
      </c>
      <c r="I95" s="2">
        <v>2354.2199999999998</v>
      </c>
      <c r="J95" s="2">
        <v>1213.42</v>
      </c>
      <c r="K95" s="2">
        <v>3309.97</v>
      </c>
      <c r="L95" s="2">
        <v>1323.59</v>
      </c>
      <c r="M95" s="2">
        <v>6198.41</v>
      </c>
      <c r="N95" s="2">
        <v>2575.15</v>
      </c>
      <c r="O95" s="2">
        <v>5774.1</v>
      </c>
      <c r="P95" s="2">
        <v>2254.35</v>
      </c>
      <c r="Q95" s="2">
        <v>7433.88</v>
      </c>
      <c r="R95" s="2">
        <v>2430.9699999999998</v>
      </c>
      <c r="S95" s="2">
        <v>2629.29</v>
      </c>
      <c r="T95" s="2">
        <v>1946.23</v>
      </c>
      <c r="U95" s="2">
        <v>2250.2800000000002</v>
      </c>
      <c r="V95" s="2">
        <v>1951.77</v>
      </c>
      <c r="X95" s="1" t="s">
        <v>68</v>
      </c>
      <c r="Y95" s="2">
        <v>5988.61</v>
      </c>
      <c r="Z95" s="2">
        <v>9227.2199999999993</v>
      </c>
      <c r="AA95" s="2">
        <v>6139.01</v>
      </c>
      <c r="AB95" s="2">
        <v>2445.66</v>
      </c>
      <c r="AC95" s="2">
        <v>8665.26</v>
      </c>
      <c r="AD95" s="2">
        <v>11293.04</v>
      </c>
      <c r="AE95" s="2">
        <v>20864.650000000001</v>
      </c>
      <c r="AF95" s="2">
        <v>15372.91</v>
      </c>
      <c r="AG95" s="2">
        <v>19514.3</v>
      </c>
      <c r="AH95" s="2">
        <v>9213.99</v>
      </c>
      <c r="AI95" s="2">
        <v>2231.75</v>
      </c>
      <c r="AJ95" s="2">
        <v>8086.21</v>
      </c>
      <c r="AK95" s="2">
        <v>2367.67</v>
      </c>
      <c r="AL95" s="2">
        <v>2117.4</v>
      </c>
      <c r="AM95" s="2">
        <v>4354.68</v>
      </c>
      <c r="AN95" s="2">
        <v>4746.82</v>
      </c>
      <c r="AO95" s="2">
        <v>8313.6299999999992</v>
      </c>
      <c r="AP95" s="2">
        <v>6895.05</v>
      </c>
      <c r="AQ95" s="2">
        <v>9070.7999999999993</v>
      </c>
      <c r="AR95" s="2">
        <v>6600.81</v>
      </c>
      <c r="AU95" s="1" t="s">
        <v>68</v>
      </c>
      <c r="AV95" s="2">
        <v>21098.79</v>
      </c>
      <c r="AW95" s="2">
        <v>40835.53</v>
      </c>
      <c r="AX95" s="2">
        <v>23740.79</v>
      </c>
      <c r="AY95" s="2">
        <v>5277.35</v>
      </c>
      <c r="AZ95" s="2">
        <v>25270.63</v>
      </c>
      <c r="BA95" s="2">
        <v>32089.360000000001</v>
      </c>
      <c r="BB95" s="2">
        <v>58490.6</v>
      </c>
      <c r="BC95" s="2">
        <v>40616.019999999997</v>
      </c>
      <c r="BD95" s="2">
        <v>50505.89</v>
      </c>
      <c r="BE95" s="2">
        <v>41458.18</v>
      </c>
      <c r="BF95" s="2">
        <v>9668.32</v>
      </c>
      <c r="BG95" s="2">
        <v>35514.839999999997</v>
      </c>
      <c r="BH95" s="2">
        <v>9509.7800000000007</v>
      </c>
      <c r="BI95" s="2">
        <v>6552.96</v>
      </c>
      <c r="BJ95" s="2">
        <v>17794.099999999999</v>
      </c>
      <c r="BK95" s="2">
        <v>20863.05</v>
      </c>
      <c r="BL95" s="2">
        <v>37058.01</v>
      </c>
      <c r="BM95" s="2">
        <v>30537.32</v>
      </c>
      <c r="BN95" s="2">
        <v>40476.25</v>
      </c>
      <c r="BO95" s="2">
        <v>28991.040000000001</v>
      </c>
      <c r="BR95" s="1" t="s">
        <v>68</v>
      </c>
      <c r="BS95" s="2">
        <v>4.68</v>
      </c>
      <c r="BT95" s="2">
        <v>0.78</v>
      </c>
      <c r="BU95" s="2">
        <v>5.1100000000000003</v>
      </c>
      <c r="BV95" s="2">
        <v>0.54</v>
      </c>
      <c r="BW95" s="2">
        <v>0.9</v>
      </c>
      <c r="BX95" s="2">
        <v>0.9</v>
      </c>
      <c r="BY95" s="2">
        <v>2.88</v>
      </c>
      <c r="BZ95" s="2">
        <v>2.38</v>
      </c>
      <c r="CA95" s="2">
        <v>3.6</v>
      </c>
      <c r="CB95" s="2">
        <v>2.78</v>
      </c>
      <c r="CC95" s="2">
        <v>6.48</v>
      </c>
      <c r="CD95" s="2">
        <v>5.14</v>
      </c>
      <c r="CE95" s="2">
        <v>5.22</v>
      </c>
      <c r="CF95" s="2">
        <v>4.25</v>
      </c>
      <c r="CG95" s="2">
        <v>6.84</v>
      </c>
      <c r="CH95" s="2">
        <v>5.13</v>
      </c>
      <c r="CI95" s="2">
        <v>5.42</v>
      </c>
      <c r="CJ95" s="2">
        <v>3.9</v>
      </c>
      <c r="CK95" s="2">
        <v>4.97</v>
      </c>
      <c r="CL95" s="2">
        <v>4.4000000000000004</v>
      </c>
    </row>
    <row r="96" spans="2:90" x14ac:dyDescent="0.3">
      <c r="B96" s="1" t="s">
        <v>69</v>
      </c>
      <c r="C96" s="2">
        <v>772.06</v>
      </c>
      <c r="D96" s="2">
        <v>155.11000000000001</v>
      </c>
      <c r="E96" s="2">
        <v>356.26</v>
      </c>
      <c r="F96" s="2">
        <v>47.09</v>
      </c>
      <c r="G96" s="2">
        <v>247.73</v>
      </c>
      <c r="H96" s="2">
        <v>266.33</v>
      </c>
      <c r="I96" s="2">
        <v>694.13</v>
      </c>
      <c r="J96" s="2">
        <v>429.97</v>
      </c>
      <c r="K96" s="2">
        <v>857.98</v>
      </c>
      <c r="L96" s="2">
        <v>409.16</v>
      </c>
      <c r="M96" s="2">
        <v>1553.56</v>
      </c>
      <c r="N96" s="2">
        <v>744.73</v>
      </c>
      <c r="O96" s="2">
        <v>1352.71</v>
      </c>
      <c r="P96" s="2">
        <v>629.80999999999995</v>
      </c>
      <c r="Q96" s="2">
        <v>1320.32</v>
      </c>
      <c r="R96" s="2">
        <v>663.46</v>
      </c>
      <c r="S96" s="2">
        <v>532.83000000000004</v>
      </c>
      <c r="T96" s="2">
        <v>595.61</v>
      </c>
      <c r="U96" s="2">
        <v>693.32</v>
      </c>
      <c r="V96" s="2">
        <v>648.20000000000005</v>
      </c>
      <c r="X96" s="1" t="s">
        <v>69</v>
      </c>
      <c r="Y96" s="2">
        <v>1667.89</v>
      </c>
      <c r="Z96" s="2">
        <v>2996.11</v>
      </c>
      <c r="AA96" s="2">
        <v>1633.9</v>
      </c>
      <c r="AB96" s="2">
        <v>560.02</v>
      </c>
      <c r="AC96" s="2">
        <v>2035.35</v>
      </c>
      <c r="AD96" s="2">
        <v>2381.64</v>
      </c>
      <c r="AE96" s="2">
        <v>4268.68</v>
      </c>
      <c r="AF96" s="2">
        <v>3359.4</v>
      </c>
      <c r="AG96" s="2">
        <v>3535.27</v>
      </c>
      <c r="AH96" s="2">
        <v>2566.4299999999998</v>
      </c>
      <c r="AI96" s="2">
        <v>747.81</v>
      </c>
      <c r="AJ96" s="2">
        <v>2817.64</v>
      </c>
      <c r="AK96" s="2">
        <v>929.29</v>
      </c>
      <c r="AL96" s="2">
        <v>607.59</v>
      </c>
      <c r="AM96" s="2">
        <v>1496.35</v>
      </c>
      <c r="AN96" s="2">
        <v>1615.78</v>
      </c>
      <c r="AO96" s="2">
        <v>2736.6</v>
      </c>
      <c r="AP96" s="2">
        <v>2260.35</v>
      </c>
      <c r="AQ96" s="2">
        <v>2795.6</v>
      </c>
      <c r="AR96" s="2">
        <v>2255.25</v>
      </c>
      <c r="AU96" s="1" t="s">
        <v>69</v>
      </c>
      <c r="AV96" s="2">
        <v>5600.15</v>
      </c>
      <c r="AW96" s="2">
        <v>13119.74</v>
      </c>
      <c r="AX96" s="2">
        <v>6802.73</v>
      </c>
      <c r="AY96" s="2">
        <v>1737.41</v>
      </c>
      <c r="AZ96" s="2">
        <v>7470.58</v>
      </c>
      <c r="BA96" s="2">
        <v>9352.89</v>
      </c>
      <c r="BB96" s="2">
        <v>16789.419999999998</v>
      </c>
      <c r="BC96" s="2">
        <v>13048.87</v>
      </c>
      <c r="BD96" s="2">
        <v>16022.95</v>
      </c>
      <c r="BE96" s="2">
        <v>11266.47</v>
      </c>
      <c r="BF96" s="2">
        <v>3228.5</v>
      </c>
      <c r="BG96" s="2">
        <v>12294.7</v>
      </c>
      <c r="BH96" s="2">
        <v>3729.52</v>
      </c>
      <c r="BI96" s="2">
        <v>2461.0700000000002</v>
      </c>
      <c r="BJ96" s="2">
        <v>6069.05</v>
      </c>
      <c r="BK96" s="2">
        <v>7058.06</v>
      </c>
      <c r="BL96" s="2">
        <v>12035.94</v>
      </c>
      <c r="BM96" s="2">
        <v>9900.51</v>
      </c>
      <c r="BN96" s="2">
        <v>12282.04</v>
      </c>
      <c r="BO96" s="2">
        <v>9824.61</v>
      </c>
      <c r="BR96" s="1" t="s">
        <v>69</v>
      </c>
      <c r="BS96" s="2">
        <v>2.34</v>
      </c>
      <c r="BT96" s="2">
        <v>0.94</v>
      </c>
      <c r="BU96" s="2">
        <v>2.94</v>
      </c>
      <c r="BV96" s="2">
        <v>0.49</v>
      </c>
      <c r="BW96" s="2">
        <v>0.9</v>
      </c>
      <c r="BX96" s="2">
        <v>1.1599999999999999</v>
      </c>
      <c r="BY96" s="2">
        <v>2.88</v>
      </c>
      <c r="BZ96" s="2">
        <v>1.95</v>
      </c>
      <c r="CA96" s="2">
        <v>3.6</v>
      </c>
      <c r="CB96" s="2">
        <v>2.09</v>
      </c>
      <c r="CC96" s="2">
        <v>6.48</v>
      </c>
      <c r="CD96" s="2">
        <v>3.64</v>
      </c>
      <c r="CE96" s="2">
        <v>5.22</v>
      </c>
      <c r="CF96" s="2">
        <v>2.98</v>
      </c>
      <c r="CG96" s="2">
        <v>6.23</v>
      </c>
      <c r="CH96" s="2">
        <v>3.49</v>
      </c>
      <c r="CI96" s="2">
        <v>3.06</v>
      </c>
      <c r="CJ96" s="2">
        <v>2.85</v>
      </c>
      <c r="CK96" s="2">
        <v>3.63</v>
      </c>
      <c r="CL96" s="2">
        <v>3.38</v>
      </c>
    </row>
    <row r="97" spans="2:90" x14ac:dyDescent="0.3">
      <c r="B97" s="1" t="s">
        <v>70</v>
      </c>
      <c r="C97" s="2">
        <v>2333.11</v>
      </c>
      <c r="D97" s="2">
        <v>2302.89</v>
      </c>
      <c r="E97" s="2">
        <v>1166.75</v>
      </c>
      <c r="F97" s="2">
        <v>454.97</v>
      </c>
      <c r="G97" s="2">
        <v>749.95</v>
      </c>
      <c r="H97" s="2">
        <v>709.13</v>
      </c>
      <c r="I97" s="2">
        <v>896.04</v>
      </c>
      <c r="J97" s="2">
        <v>2425.66</v>
      </c>
      <c r="K97" s="2">
        <v>2497.2600000000002</v>
      </c>
      <c r="L97" s="2">
        <v>2854.44</v>
      </c>
      <c r="M97" s="2">
        <v>4013.96</v>
      </c>
      <c r="N97" s="2">
        <v>3645.38</v>
      </c>
      <c r="O97" s="2">
        <v>2767.86</v>
      </c>
      <c r="P97" s="2">
        <v>2613.5</v>
      </c>
      <c r="Q97" s="2">
        <v>2938.09</v>
      </c>
      <c r="R97" s="2">
        <v>2925.91</v>
      </c>
      <c r="S97" s="2">
        <v>2381.0100000000002</v>
      </c>
      <c r="T97" s="2">
        <v>2051.2199999999998</v>
      </c>
      <c r="U97" s="2">
        <v>3392.34</v>
      </c>
      <c r="V97" s="2">
        <v>2431.2199999999998</v>
      </c>
      <c r="X97" s="1" t="s">
        <v>70</v>
      </c>
      <c r="Y97" s="2">
        <v>5918.42</v>
      </c>
      <c r="Z97" s="2">
        <v>17526.22</v>
      </c>
      <c r="AA97" s="2">
        <v>8177.65</v>
      </c>
      <c r="AB97" s="2">
        <v>2296.89</v>
      </c>
      <c r="AC97" s="2">
        <v>8457.75</v>
      </c>
      <c r="AD97" s="2">
        <v>10540.49</v>
      </c>
      <c r="AE97" s="2">
        <v>17992</v>
      </c>
      <c r="AF97" s="2">
        <v>13597.03</v>
      </c>
      <c r="AG97" s="2">
        <v>16086.17</v>
      </c>
      <c r="AH97" s="2">
        <v>13116.87</v>
      </c>
      <c r="AI97" s="2">
        <v>6379.38</v>
      </c>
      <c r="AJ97" s="2">
        <v>20080.03</v>
      </c>
      <c r="AK97" s="2">
        <v>8666.27</v>
      </c>
      <c r="AL97" s="2">
        <v>2552.0300000000002</v>
      </c>
      <c r="AM97" s="2">
        <v>8111.35</v>
      </c>
      <c r="AN97" s="2">
        <v>10615.77</v>
      </c>
      <c r="AO97" s="2">
        <v>18719.68</v>
      </c>
      <c r="AP97" s="2">
        <v>14877.57</v>
      </c>
      <c r="AQ97" s="2">
        <v>16605.05</v>
      </c>
      <c r="AR97" s="2">
        <v>14189.99</v>
      </c>
      <c r="AU97" s="1" t="s">
        <v>70</v>
      </c>
      <c r="AV97" s="2">
        <v>20199.439999999999</v>
      </c>
      <c r="AW97" s="2">
        <v>76289.78</v>
      </c>
      <c r="AX97" s="2">
        <v>31577.87</v>
      </c>
      <c r="AY97" s="2">
        <v>7699.18</v>
      </c>
      <c r="AZ97" s="2">
        <v>33947.85</v>
      </c>
      <c r="BA97" s="2">
        <v>46260.51</v>
      </c>
      <c r="BB97" s="2">
        <v>80183.600000000006</v>
      </c>
      <c r="BC97" s="2">
        <v>59526.47</v>
      </c>
      <c r="BD97" s="2">
        <v>70268.83</v>
      </c>
      <c r="BE97" s="2">
        <v>56800.73</v>
      </c>
      <c r="BF97" s="2">
        <v>27018.92</v>
      </c>
      <c r="BG97" s="2">
        <v>88347.47</v>
      </c>
      <c r="BH97" s="2">
        <v>34980.58</v>
      </c>
      <c r="BI97" s="2">
        <v>8915.9699999999993</v>
      </c>
      <c r="BJ97" s="2">
        <v>32775.85</v>
      </c>
      <c r="BK97" s="2">
        <v>46641.23</v>
      </c>
      <c r="BL97" s="2">
        <v>83428.52</v>
      </c>
      <c r="BM97" s="2">
        <v>65459.68</v>
      </c>
      <c r="BN97" s="2">
        <v>72674.05</v>
      </c>
      <c r="BO97" s="2">
        <v>61563.71</v>
      </c>
      <c r="BR97" s="1" t="s">
        <v>70</v>
      </c>
      <c r="BS97" s="2">
        <v>2.34</v>
      </c>
      <c r="BT97" s="2">
        <v>2.34</v>
      </c>
      <c r="BU97" s="2">
        <v>2.34</v>
      </c>
      <c r="BV97" s="2">
        <v>0.86</v>
      </c>
      <c r="BW97" s="2">
        <v>0.9</v>
      </c>
      <c r="BX97" s="2">
        <v>0.9</v>
      </c>
      <c r="BY97" s="2">
        <v>1.1200000000000001</v>
      </c>
      <c r="BZ97" s="2">
        <v>2.83</v>
      </c>
      <c r="CA97" s="2">
        <v>2.98</v>
      </c>
      <c r="CB97" s="2">
        <v>3.29</v>
      </c>
      <c r="CC97" s="2">
        <v>4.8499999999999996</v>
      </c>
      <c r="CD97" s="2">
        <v>4.3</v>
      </c>
      <c r="CE97" s="2">
        <v>3.32</v>
      </c>
      <c r="CF97" s="2">
        <v>3.08</v>
      </c>
      <c r="CG97" s="2">
        <v>3.61</v>
      </c>
      <c r="CH97" s="2">
        <v>3.68</v>
      </c>
      <c r="CI97" s="2">
        <v>2.96</v>
      </c>
      <c r="CJ97" s="2">
        <v>2.59</v>
      </c>
      <c r="CK97" s="2">
        <v>3.75</v>
      </c>
      <c r="CL97" s="2">
        <v>2.5099999999999998</v>
      </c>
    </row>
    <row r="98" spans="2:90" x14ac:dyDescent="0.3">
      <c r="B98" s="1" t="s">
        <v>71</v>
      </c>
      <c r="C98" s="2">
        <v>434.96</v>
      </c>
      <c r="D98" s="2">
        <v>392.09</v>
      </c>
      <c r="E98" s="2">
        <v>190.87</v>
      </c>
      <c r="F98" s="2">
        <v>118.41</v>
      </c>
      <c r="G98" s="2">
        <v>123.54</v>
      </c>
      <c r="H98" s="2">
        <v>112.79</v>
      </c>
      <c r="I98" s="2">
        <v>107.12</v>
      </c>
      <c r="J98" s="2">
        <v>328.26</v>
      </c>
      <c r="K98" s="2">
        <v>137.19</v>
      </c>
      <c r="L98" s="2">
        <v>466.17</v>
      </c>
      <c r="M98" s="2">
        <v>352.32</v>
      </c>
      <c r="N98" s="2">
        <v>765.41</v>
      </c>
      <c r="O98" s="2">
        <v>277.47000000000003</v>
      </c>
      <c r="P98" s="2">
        <v>440.88</v>
      </c>
      <c r="Q98" s="2">
        <v>376.17</v>
      </c>
      <c r="R98" s="2">
        <v>676.66</v>
      </c>
      <c r="S98" s="2">
        <v>337.52</v>
      </c>
      <c r="T98" s="2">
        <v>407.54</v>
      </c>
      <c r="U98" s="2">
        <v>415.47</v>
      </c>
      <c r="V98" s="2">
        <v>218.91</v>
      </c>
      <c r="X98" s="1" t="s">
        <v>71</v>
      </c>
      <c r="Y98" s="2">
        <v>1625.68</v>
      </c>
      <c r="Z98" s="2">
        <v>4591.29</v>
      </c>
      <c r="AA98" s="2">
        <v>2335.86</v>
      </c>
      <c r="AB98" s="2">
        <v>558.59</v>
      </c>
      <c r="AC98" s="2">
        <v>2036.52</v>
      </c>
      <c r="AD98" s="2">
        <v>2381.66</v>
      </c>
      <c r="AE98" s="2">
        <v>4402.1000000000004</v>
      </c>
      <c r="AF98" s="2">
        <v>3555.98</v>
      </c>
      <c r="AG98" s="2">
        <v>4530.09</v>
      </c>
      <c r="AH98" s="2">
        <v>3799.79</v>
      </c>
      <c r="AI98" s="2">
        <v>1702.15</v>
      </c>
      <c r="AJ98" s="2">
        <v>4718.13</v>
      </c>
      <c r="AK98" s="2">
        <v>2410.61</v>
      </c>
      <c r="AL98" s="2">
        <v>647.54999999999995</v>
      </c>
      <c r="AM98" s="2">
        <v>1693.6</v>
      </c>
      <c r="AN98" s="2">
        <v>2997.51</v>
      </c>
      <c r="AO98" s="2">
        <v>5402.16</v>
      </c>
      <c r="AP98" s="2">
        <v>4378.4399999999996</v>
      </c>
      <c r="AQ98" s="2">
        <v>5417.08</v>
      </c>
      <c r="AR98" s="2">
        <v>4909.7</v>
      </c>
      <c r="AU98" s="1" t="s">
        <v>71</v>
      </c>
      <c r="AV98" s="2">
        <v>4904.67</v>
      </c>
      <c r="AW98" s="2">
        <v>15550.46</v>
      </c>
      <c r="AX98" s="2">
        <v>7541.71</v>
      </c>
      <c r="AY98" s="2">
        <v>1610.27</v>
      </c>
      <c r="AZ98" s="2">
        <v>6253.56</v>
      </c>
      <c r="BA98" s="2">
        <v>7944.34</v>
      </c>
      <c r="BB98" s="2">
        <v>15157.42</v>
      </c>
      <c r="BC98" s="2">
        <v>12088.87</v>
      </c>
      <c r="BD98" s="2">
        <v>15572.03</v>
      </c>
      <c r="BE98" s="2">
        <v>12874.12</v>
      </c>
      <c r="BF98" s="2">
        <v>5259.59</v>
      </c>
      <c r="BG98" s="2">
        <v>15993.12</v>
      </c>
      <c r="BH98" s="2">
        <v>7828.73</v>
      </c>
      <c r="BI98" s="2">
        <v>1963.84</v>
      </c>
      <c r="BJ98" s="2">
        <v>5213.42</v>
      </c>
      <c r="BK98" s="2">
        <v>10444.84</v>
      </c>
      <c r="BL98" s="2">
        <v>20236.05</v>
      </c>
      <c r="BM98" s="2">
        <v>15644.61</v>
      </c>
      <c r="BN98" s="2">
        <v>19787.8</v>
      </c>
      <c r="BO98" s="2">
        <v>17427.650000000001</v>
      </c>
      <c r="BR98" s="1" t="s">
        <v>71</v>
      </c>
      <c r="BS98" s="2">
        <v>2.34</v>
      </c>
      <c r="BT98" s="2">
        <v>2.34</v>
      </c>
      <c r="BU98" s="2">
        <v>1.95</v>
      </c>
      <c r="BV98" s="2">
        <v>1.87</v>
      </c>
      <c r="BW98" s="2">
        <v>0.9</v>
      </c>
      <c r="BX98" s="2">
        <v>0.89</v>
      </c>
      <c r="BY98" s="2">
        <v>0.98</v>
      </c>
      <c r="BZ98" s="2">
        <v>2.85</v>
      </c>
      <c r="CA98" s="2">
        <v>1.25</v>
      </c>
      <c r="CB98" s="2">
        <v>3.09</v>
      </c>
      <c r="CC98" s="2">
        <v>2.81</v>
      </c>
      <c r="CD98" s="2">
        <v>5.9</v>
      </c>
      <c r="CE98" s="2">
        <v>2.19</v>
      </c>
      <c r="CF98" s="2">
        <v>3.72</v>
      </c>
      <c r="CG98" s="2">
        <v>2.9</v>
      </c>
      <c r="CH98" s="2">
        <v>5.09</v>
      </c>
      <c r="CI98" s="2">
        <v>2.4</v>
      </c>
      <c r="CJ98" s="2">
        <v>3.59</v>
      </c>
      <c r="CK98" s="2">
        <v>2.82</v>
      </c>
      <c r="CL98" s="2">
        <v>2.29</v>
      </c>
    </row>
    <row r="99" spans="2:90" x14ac:dyDescent="0.3">
      <c r="B99" s="1" t="s">
        <v>72</v>
      </c>
      <c r="C99" s="2">
        <v>2653.24</v>
      </c>
      <c r="D99" s="2">
        <v>2945.27</v>
      </c>
      <c r="E99" s="2">
        <v>663.6</v>
      </c>
      <c r="F99" s="2">
        <v>1188.1300000000001</v>
      </c>
      <c r="G99" s="2">
        <v>405.8</v>
      </c>
      <c r="H99" s="2">
        <v>935.9</v>
      </c>
      <c r="I99" s="2">
        <v>928.32</v>
      </c>
      <c r="J99" s="2">
        <v>1969.21</v>
      </c>
      <c r="K99" s="2">
        <v>861.14</v>
      </c>
      <c r="L99" s="2">
        <v>2580.5</v>
      </c>
      <c r="M99" s="2">
        <v>1923.7</v>
      </c>
      <c r="N99" s="2">
        <v>4357.18</v>
      </c>
      <c r="O99" s="2">
        <v>1586.71</v>
      </c>
      <c r="P99" s="2">
        <v>3123.56</v>
      </c>
      <c r="Q99" s="2">
        <v>2770.78</v>
      </c>
      <c r="R99" s="2">
        <v>3326.35</v>
      </c>
      <c r="S99" s="2">
        <v>1847.07</v>
      </c>
      <c r="T99" s="2">
        <v>1684.07</v>
      </c>
      <c r="U99" s="2">
        <v>2211.67</v>
      </c>
      <c r="V99" s="2">
        <v>1881.11</v>
      </c>
      <c r="X99" s="1" t="s">
        <v>72</v>
      </c>
      <c r="Y99" s="2">
        <v>6280.03</v>
      </c>
      <c r="Z99" s="2">
        <v>14446.45</v>
      </c>
      <c r="AA99" s="2">
        <v>6974.06</v>
      </c>
      <c r="AB99" s="2">
        <v>2026.95</v>
      </c>
      <c r="AC99" s="2">
        <v>7014.06</v>
      </c>
      <c r="AD99" s="2">
        <v>7655.8</v>
      </c>
      <c r="AE99" s="2">
        <v>13804.54</v>
      </c>
      <c r="AF99" s="2">
        <v>11303.23</v>
      </c>
      <c r="AG99" s="2">
        <v>14793.19</v>
      </c>
      <c r="AH99" s="2">
        <v>11703.7</v>
      </c>
      <c r="AI99" s="2">
        <v>6492.03</v>
      </c>
      <c r="AJ99" s="2">
        <v>14556.72</v>
      </c>
      <c r="AK99" s="2">
        <v>7535.71</v>
      </c>
      <c r="AL99" s="2">
        <v>2481.89</v>
      </c>
      <c r="AM99" s="2">
        <v>8405.24</v>
      </c>
      <c r="AN99" s="2">
        <v>13063.16</v>
      </c>
      <c r="AO99" s="2">
        <v>23695</v>
      </c>
      <c r="AP99" s="2">
        <v>17136.18</v>
      </c>
      <c r="AQ99" s="2">
        <v>16028.16</v>
      </c>
      <c r="AR99" s="2">
        <v>12483.17</v>
      </c>
      <c r="AU99" s="1" t="s">
        <v>72</v>
      </c>
      <c r="AV99" s="2">
        <v>20143.71</v>
      </c>
      <c r="AW99" s="2">
        <v>50121.83</v>
      </c>
      <c r="AX99" s="2">
        <v>22157.17</v>
      </c>
      <c r="AY99" s="2">
        <v>5145.7299999999996</v>
      </c>
      <c r="AZ99" s="2">
        <v>22264.59</v>
      </c>
      <c r="BA99" s="2">
        <v>26051.69</v>
      </c>
      <c r="BB99" s="2">
        <v>49150.78</v>
      </c>
      <c r="BC99" s="2">
        <v>39513.31</v>
      </c>
      <c r="BD99" s="2">
        <v>53386.31</v>
      </c>
      <c r="BE99" s="2">
        <v>40414.97</v>
      </c>
      <c r="BF99" s="2">
        <v>20935.89</v>
      </c>
      <c r="BG99" s="2">
        <v>50536.7</v>
      </c>
      <c r="BH99" s="2">
        <v>26630.720000000001</v>
      </c>
      <c r="BI99" s="2">
        <v>7733.54</v>
      </c>
      <c r="BJ99" s="2">
        <v>17737.38</v>
      </c>
      <c r="BK99" s="2">
        <v>34680.54</v>
      </c>
      <c r="BL99" s="2">
        <v>63544.71</v>
      </c>
      <c r="BM99" s="2">
        <v>49572.81</v>
      </c>
      <c r="BN99" s="2">
        <v>58330.8</v>
      </c>
      <c r="BO99" s="2">
        <v>43466.57</v>
      </c>
      <c r="BR99" s="1" t="s">
        <v>72</v>
      </c>
      <c r="BS99" s="2">
        <v>4.68</v>
      </c>
      <c r="BT99" s="2">
        <v>4.68</v>
      </c>
      <c r="BU99" s="2">
        <v>2.34</v>
      </c>
      <c r="BV99" s="2">
        <v>4.1399999999999997</v>
      </c>
      <c r="BW99" s="2">
        <v>0.9</v>
      </c>
      <c r="BX99" s="2">
        <v>1.75</v>
      </c>
      <c r="BY99" s="2">
        <v>2.21</v>
      </c>
      <c r="BZ99" s="2">
        <v>2.88</v>
      </c>
      <c r="CA99" s="2">
        <v>2.2200000000000002</v>
      </c>
      <c r="CB99" s="2">
        <v>3.6</v>
      </c>
      <c r="CC99" s="2">
        <v>4.67</v>
      </c>
      <c r="CD99" s="2">
        <v>6.48</v>
      </c>
      <c r="CE99" s="2">
        <v>3.71</v>
      </c>
      <c r="CF99" s="2">
        <v>5.22</v>
      </c>
      <c r="CG99" s="2">
        <v>5.71</v>
      </c>
      <c r="CH99" s="2">
        <v>6.84</v>
      </c>
      <c r="CI99" s="2">
        <v>3.81</v>
      </c>
      <c r="CJ99" s="2">
        <v>3.9</v>
      </c>
      <c r="CK99" s="2">
        <v>4.5999999999999996</v>
      </c>
      <c r="CL99" s="2">
        <v>4.3899999999999997</v>
      </c>
    </row>
    <row r="100" spans="2:90" x14ac:dyDescent="0.3">
      <c r="B100" s="1" t="s">
        <v>73</v>
      </c>
      <c r="C100" s="2">
        <v>344.32</v>
      </c>
      <c r="D100" s="2">
        <v>475.86</v>
      </c>
      <c r="E100" s="2">
        <v>43.49</v>
      </c>
      <c r="F100" s="2">
        <v>46.68</v>
      </c>
      <c r="G100" s="2">
        <v>125.77</v>
      </c>
      <c r="H100" s="2">
        <v>35.630000000000003</v>
      </c>
      <c r="I100" s="2">
        <v>244.66</v>
      </c>
      <c r="J100" s="2">
        <v>643.48</v>
      </c>
      <c r="K100" s="2">
        <v>478.75</v>
      </c>
      <c r="L100" s="2">
        <v>758.29</v>
      </c>
      <c r="M100" s="2">
        <v>1302.31</v>
      </c>
      <c r="N100" s="2">
        <v>1443.25</v>
      </c>
      <c r="O100" s="2">
        <v>1189.77</v>
      </c>
      <c r="P100" s="2">
        <v>1091.01</v>
      </c>
      <c r="Q100" s="2">
        <v>1360.91</v>
      </c>
      <c r="R100" s="2">
        <v>1194.53</v>
      </c>
      <c r="S100" s="2">
        <v>1099.93</v>
      </c>
      <c r="T100" s="2">
        <v>861.15</v>
      </c>
      <c r="U100" s="2">
        <v>1284.4100000000001</v>
      </c>
      <c r="V100" s="2">
        <v>1151.0899999999999</v>
      </c>
      <c r="X100" s="1" t="s">
        <v>73</v>
      </c>
      <c r="Y100" s="2">
        <v>3082.14</v>
      </c>
      <c r="Z100" s="2">
        <v>7859.89</v>
      </c>
      <c r="AA100" s="2">
        <v>3349.3</v>
      </c>
      <c r="AB100" s="2">
        <v>181.62</v>
      </c>
      <c r="AC100" s="2">
        <v>1775.3</v>
      </c>
      <c r="AD100" s="2">
        <v>3905.7</v>
      </c>
      <c r="AE100" s="2">
        <v>6930.8</v>
      </c>
      <c r="AF100" s="2">
        <v>5500.08</v>
      </c>
      <c r="AG100" s="2">
        <v>6936.89</v>
      </c>
      <c r="AH100" s="2">
        <v>5740.63</v>
      </c>
      <c r="AI100" s="2">
        <v>4006.92</v>
      </c>
      <c r="AJ100" s="2">
        <v>8084.43</v>
      </c>
      <c r="AK100" s="2">
        <v>3592.44</v>
      </c>
      <c r="AL100" s="2">
        <v>1438.95</v>
      </c>
      <c r="AM100" s="2">
        <v>4607.74</v>
      </c>
      <c r="AN100" s="2">
        <v>5540.71</v>
      </c>
      <c r="AO100" s="2">
        <v>10185.64</v>
      </c>
      <c r="AP100" s="2">
        <v>7649.43</v>
      </c>
      <c r="AQ100" s="2">
        <v>7729.7</v>
      </c>
      <c r="AR100" s="2">
        <v>5945.97</v>
      </c>
      <c r="AU100" s="1" t="s">
        <v>73</v>
      </c>
      <c r="AV100" s="2">
        <v>10050.719999999999</v>
      </c>
      <c r="AW100" s="2">
        <v>25659.26</v>
      </c>
      <c r="AX100" s="2">
        <v>10462.94</v>
      </c>
      <c r="AY100" s="2">
        <v>3171.33</v>
      </c>
      <c r="AZ100" s="2">
        <v>10149.82</v>
      </c>
      <c r="BA100" s="2">
        <v>12732.3</v>
      </c>
      <c r="BB100" s="2">
        <v>22675.24</v>
      </c>
      <c r="BC100" s="2">
        <v>17973.39</v>
      </c>
      <c r="BD100" s="2">
        <v>22662.07</v>
      </c>
      <c r="BE100" s="2">
        <v>18711.830000000002</v>
      </c>
      <c r="BF100" s="2">
        <v>13137.48</v>
      </c>
      <c r="BG100" s="2">
        <v>26408.07</v>
      </c>
      <c r="BH100" s="2">
        <v>11062.2</v>
      </c>
      <c r="BI100" s="2">
        <v>4319.7</v>
      </c>
      <c r="BJ100" s="2">
        <v>13983.49</v>
      </c>
      <c r="BK100" s="2">
        <v>18267.310000000001</v>
      </c>
      <c r="BL100" s="2">
        <v>34053</v>
      </c>
      <c r="BM100" s="2">
        <v>25272.240000000002</v>
      </c>
      <c r="BN100" s="2">
        <v>25321.18</v>
      </c>
      <c r="BO100" s="2">
        <v>19384.71</v>
      </c>
      <c r="BR100" s="1" t="s">
        <v>73</v>
      </c>
      <c r="BS100" s="2">
        <v>0.93</v>
      </c>
      <c r="BT100" s="2">
        <v>1.2</v>
      </c>
      <c r="BU100" s="2">
        <v>0.26</v>
      </c>
      <c r="BV100" s="2">
        <v>0.26</v>
      </c>
      <c r="BW100" s="2">
        <v>0.47</v>
      </c>
      <c r="BX100" s="2">
        <v>0.12</v>
      </c>
      <c r="BY100" s="2">
        <v>0.76</v>
      </c>
      <c r="BZ100" s="2">
        <v>2.06</v>
      </c>
      <c r="CA100" s="2">
        <v>1.51</v>
      </c>
      <c r="CB100" s="2">
        <v>2.5299999999999998</v>
      </c>
      <c r="CC100" s="2">
        <v>4.04</v>
      </c>
      <c r="CD100" s="2">
        <v>4.5599999999999996</v>
      </c>
      <c r="CE100" s="2">
        <v>3.64</v>
      </c>
      <c r="CF100" s="2">
        <v>3.24</v>
      </c>
      <c r="CG100" s="2">
        <v>4.21</v>
      </c>
      <c r="CH100" s="2">
        <v>3.68</v>
      </c>
      <c r="CI100" s="2">
        <v>3.46</v>
      </c>
      <c r="CJ100" s="2">
        <v>2.77</v>
      </c>
      <c r="CK100" s="2">
        <v>3.83</v>
      </c>
      <c r="CL100" s="2">
        <v>2.96</v>
      </c>
    </row>
    <row r="101" spans="2:90" x14ac:dyDescent="0.3">
      <c r="W101" s="4">
        <f>SUM(C93:V100)/$W$45</f>
        <v>0.12151928447818083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63</v>
      </c>
      <c r="D104" s="1" t="s">
        <v>64</v>
      </c>
      <c r="E104" s="1" t="s">
        <v>63</v>
      </c>
      <c r="F104" s="1" t="s">
        <v>64</v>
      </c>
      <c r="G104" s="1" t="s">
        <v>63</v>
      </c>
      <c r="H104" s="1" t="s">
        <v>64</v>
      </c>
      <c r="I104" s="1" t="s">
        <v>63</v>
      </c>
      <c r="J104" s="1" t="s">
        <v>64</v>
      </c>
      <c r="K104" s="1" t="s">
        <v>63</v>
      </c>
      <c r="L104" s="1" t="s">
        <v>64</v>
      </c>
      <c r="M104" s="1" t="s">
        <v>63</v>
      </c>
      <c r="N104" s="1" t="s">
        <v>64</v>
      </c>
      <c r="O104" s="1" t="s">
        <v>63</v>
      </c>
      <c r="P104" s="1" t="s">
        <v>64</v>
      </c>
      <c r="Q104" s="1" t="s">
        <v>63</v>
      </c>
      <c r="R104" s="1" t="s">
        <v>64</v>
      </c>
      <c r="S104" s="1" t="s">
        <v>63</v>
      </c>
      <c r="T104" s="1" t="s">
        <v>64</v>
      </c>
      <c r="U104" s="1" t="s">
        <v>63</v>
      </c>
      <c r="V104" s="1" t="s">
        <v>64</v>
      </c>
      <c r="X104" s="1" t="s">
        <v>6</v>
      </c>
      <c r="Y104" s="1" t="s">
        <v>63</v>
      </c>
      <c r="Z104" s="1" t="s">
        <v>64</v>
      </c>
      <c r="AA104" s="1" t="s">
        <v>63</v>
      </c>
      <c r="AB104" s="1" t="s">
        <v>64</v>
      </c>
      <c r="AC104" s="1" t="s">
        <v>63</v>
      </c>
      <c r="AD104" s="1" t="s">
        <v>64</v>
      </c>
      <c r="AE104" s="1" t="s">
        <v>63</v>
      </c>
      <c r="AF104" s="1" t="s">
        <v>64</v>
      </c>
      <c r="AG104" s="1" t="s">
        <v>63</v>
      </c>
      <c r="AH104" s="1" t="s">
        <v>64</v>
      </c>
      <c r="AI104" s="1" t="s">
        <v>63</v>
      </c>
      <c r="AJ104" s="1" t="s">
        <v>64</v>
      </c>
      <c r="AK104" s="1" t="s">
        <v>63</v>
      </c>
      <c r="AL104" s="1" t="s">
        <v>64</v>
      </c>
      <c r="AM104" s="1" t="s">
        <v>63</v>
      </c>
      <c r="AN104" s="1" t="s">
        <v>64</v>
      </c>
      <c r="AO104" s="1" t="s">
        <v>63</v>
      </c>
      <c r="AP104" s="1" t="s">
        <v>64</v>
      </c>
      <c r="AQ104" s="1" t="s">
        <v>63</v>
      </c>
      <c r="AR104" s="1" t="s">
        <v>64</v>
      </c>
      <c r="AU104" s="1" t="s">
        <v>6</v>
      </c>
      <c r="AV104" s="1" t="s">
        <v>63</v>
      </c>
      <c r="AW104" s="1" t="s">
        <v>64</v>
      </c>
      <c r="AX104" s="1" t="s">
        <v>63</v>
      </c>
      <c r="AY104" s="1" t="s">
        <v>64</v>
      </c>
      <c r="AZ104" s="1" t="s">
        <v>63</v>
      </c>
      <c r="BA104" s="1" t="s">
        <v>64</v>
      </c>
      <c r="BB104" s="1" t="s">
        <v>63</v>
      </c>
      <c r="BC104" s="1" t="s">
        <v>64</v>
      </c>
      <c r="BD104" s="1" t="s">
        <v>63</v>
      </c>
      <c r="BE104" s="1" t="s">
        <v>64</v>
      </c>
      <c r="BF104" s="1" t="s">
        <v>63</v>
      </c>
      <c r="BG104" s="1" t="s">
        <v>64</v>
      </c>
      <c r="BH104" s="1" t="s">
        <v>63</v>
      </c>
      <c r="BI104" s="1" t="s">
        <v>64</v>
      </c>
      <c r="BJ104" s="1" t="s">
        <v>63</v>
      </c>
      <c r="BK104" s="1" t="s">
        <v>64</v>
      </c>
      <c r="BL104" s="1" t="s">
        <v>63</v>
      </c>
      <c r="BM104" s="1" t="s">
        <v>64</v>
      </c>
      <c r="BN104" s="1" t="s">
        <v>63</v>
      </c>
      <c r="BO104" s="1" t="s">
        <v>64</v>
      </c>
      <c r="BR104" s="1" t="s">
        <v>6</v>
      </c>
      <c r="BS104" s="1" t="s">
        <v>63</v>
      </c>
      <c r="BT104" s="1" t="s">
        <v>64</v>
      </c>
      <c r="BU104" s="1" t="s">
        <v>63</v>
      </c>
      <c r="BV104" s="1" t="s">
        <v>64</v>
      </c>
      <c r="BW104" s="1" t="s">
        <v>63</v>
      </c>
      <c r="BX104" s="1" t="s">
        <v>64</v>
      </c>
      <c r="BY104" s="1" t="s">
        <v>63</v>
      </c>
      <c r="BZ104" s="1" t="s">
        <v>64</v>
      </c>
      <c r="CA104" s="1" t="s">
        <v>63</v>
      </c>
      <c r="CB104" s="1" t="s">
        <v>64</v>
      </c>
      <c r="CC104" s="1" t="s">
        <v>63</v>
      </c>
      <c r="CD104" s="1" t="s">
        <v>64</v>
      </c>
      <c r="CE104" s="1" t="s">
        <v>63</v>
      </c>
      <c r="CF104" s="1" t="s">
        <v>64</v>
      </c>
      <c r="CG104" s="1" t="s">
        <v>63</v>
      </c>
      <c r="CH104" s="1" t="s">
        <v>64</v>
      </c>
      <c r="CI104" s="1" t="s">
        <v>63</v>
      </c>
      <c r="CJ104" s="1" t="s">
        <v>64</v>
      </c>
      <c r="CK104" s="1" t="s">
        <v>63</v>
      </c>
      <c r="CL104" s="1" t="s">
        <v>64</v>
      </c>
    </row>
    <row r="105" spans="2:90" x14ac:dyDescent="0.3">
      <c r="B105" s="1" t="s">
        <v>65</v>
      </c>
      <c r="C105" s="1" t="s">
        <v>53</v>
      </c>
      <c r="D105" s="1" t="s">
        <v>53</v>
      </c>
      <c r="E105" s="1" t="s">
        <v>54</v>
      </c>
      <c r="F105" s="1" t="s">
        <v>54</v>
      </c>
      <c r="G105" s="1" t="s">
        <v>55</v>
      </c>
      <c r="H105" s="1" t="s">
        <v>55</v>
      </c>
      <c r="I105" s="1" t="s">
        <v>56</v>
      </c>
      <c r="J105" s="1" t="s">
        <v>56</v>
      </c>
      <c r="K105" s="1" t="s">
        <v>57</v>
      </c>
      <c r="L105" s="1" t="s">
        <v>57</v>
      </c>
      <c r="M105" s="1" t="s">
        <v>58</v>
      </c>
      <c r="N105" s="1" t="s">
        <v>58</v>
      </c>
      <c r="O105" s="1" t="s">
        <v>59</v>
      </c>
      <c r="P105" s="1" t="s">
        <v>59</v>
      </c>
      <c r="Q105" s="1" t="s">
        <v>60</v>
      </c>
      <c r="R105" s="1" t="s">
        <v>60</v>
      </c>
      <c r="S105" s="1" t="s">
        <v>61</v>
      </c>
      <c r="T105" s="1" t="s">
        <v>61</v>
      </c>
      <c r="U105" s="1" t="s">
        <v>62</v>
      </c>
      <c r="V105" s="1" t="s">
        <v>62</v>
      </c>
      <c r="X105" s="1" t="s">
        <v>65</v>
      </c>
      <c r="Y105" s="1" t="s">
        <v>53</v>
      </c>
      <c r="Z105" s="1" t="s">
        <v>53</v>
      </c>
      <c r="AA105" s="1" t="s">
        <v>54</v>
      </c>
      <c r="AB105" s="1" t="s">
        <v>54</v>
      </c>
      <c r="AC105" s="1" t="s">
        <v>55</v>
      </c>
      <c r="AD105" s="1" t="s">
        <v>55</v>
      </c>
      <c r="AE105" s="1" t="s">
        <v>56</v>
      </c>
      <c r="AF105" s="1" t="s">
        <v>56</v>
      </c>
      <c r="AG105" s="1" t="s">
        <v>57</v>
      </c>
      <c r="AH105" s="1" t="s">
        <v>57</v>
      </c>
      <c r="AI105" s="1" t="s">
        <v>58</v>
      </c>
      <c r="AJ105" s="1" t="s">
        <v>58</v>
      </c>
      <c r="AK105" s="1" t="s">
        <v>59</v>
      </c>
      <c r="AL105" s="1" t="s">
        <v>59</v>
      </c>
      <c r="AM105" s="1" t="s">
        <v>60</v>
      </c>
      <c r="AN105" s="1" t="s">
        <v>60</v>
      </c>
      <c r="AO105" s="1" t="s">
        <v>61</v>
      </c>
      <c r="AP105" s="1" t="s">
        <v>61</v>
      </c>
      <c r="AQ105" s="1" t="s">
        <v>62</v>
      </c>
      <c r="AR105" s="1" t="s">
        <v>62</v>
      </c>
      <c r="AU105" s="1" t="s">
        <v>65</v>
      </c>
      <c r="AV105" s="1" t="s">
        <v>53</v>
      </c>
      <c r="AW105" s="1" t="s">
        <v>53</v>
      </c>
      <c r="AX105" s="1" t="s">
        <v>54</v>
      </c>
      <c r="AY105" s="1" t="s">
        <v>54</v>
      </c>
      <c r="AZ105" s="1" t="s">
        <v>55</v>
      </c>
      <c r="BA105" s="1" t="s">
        <v>55</v>
      </c>
      <c r="BB105" s="1" t="s">
        <v>56</v>
      </c>
      <c r="BC105" s="1" t="s">
        <v>56</v>
      </c>
      <c r="BD105" s="1" t="s">
        <v>57</v>
      </c>
      <c r="BE105" s="1" t="s">
        <v>57</v>
      </c>
      <c r="BF105" s="1" t="s">
        <v>58</v>
      </c>
      <c r="BG105" s="1" t="s">
        <v>58</v>
      </c>
      <c r="BH105" s="1" t="s">
        <v>59</v>
      </c>
      <c r="BI105" s="1" t="s">
        <v>59</v>
      </c>
      <c r="BJ105" s="1" t="s">
        <v>60</v>
      </c>
      <c r="BK105" s="1" t="s">
        <v>60</v>
      </c>
      <c r="BL105" s="1" t="s">
        <v>61</v>
      </c>
      <c r="BM105" s="1" t="s">
        <v>61</v>
      </c>
      <c r="BN105" s="1" t="s">
        <v>62</v>
      </c>
      <c r="BO105" s="1" t="s">
        <v>62</v>
      </c>
      <c r="BR105" s="1" t="s">
        <v>65</v>
      </c>
      <c r="BS105" s="1" t="s">
        <v>53</v>
      </c>
      <c r="BT105" s="1" t="s">
        <v>53</v>
      </c>
      <c r="BU105" s="1" t="s">
        <v>54</v>
      </c>
      <c r="BV105" s="1" t="s">
        <v>54</v>
      </c>
      <c r="BW105" s="1" t="s">
        <v>55</v>
      </c>
      <c r="BX105" s="1" t="s">
        <v>55</v>
      </c>
      <c r="BY105" s="1" t="s">
        <v>56</v>
      </c>
      <c r="BZ105" s="1" t="s">
        <v>56</v>
      </c>
      <c r="CA105" s="1" t="s">
        <v>57</v>
      </c>
      <c r="CB105" s="1" t="s">
        <v>57</v>
      </c>
      <c r="CC105" s="1" t="s">
        <v>58</v>
      </c>
      <c r="CD105" s="1" t="s">
        <v>58</v>
      </c>
      <c r="CE105" s="1" t="s">
        <v>59</v>
      </c>
      <c r="CF105" s="1" t="s">
        <v>59</v>
      </c>
      <c r="CG105" s="1" t="s">
        <v>60</v>
      </c>
      <c r="CH105" s="1" t="s">
        <v>60</v>
      </c>
      <c r="CI105" s="1" t="s">
        <v>61</v>
      </c>
      <c r="CJ105" s="1" t="s">
        <v>61</v>
      </c>
      <c r="CK105" s="1" t="s">
        <v>62</v>
      </c>
      <c r="CL105" s="1" t="s">
        <v>62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66</v>
      </c>
      <c r="C107" s="2">
        <v>1.6540341219385451E-2</v>
      </c>
      <c r="D107" s="2">
        <v>2.38618089801662E-2</v>
      </c>
      <c r="E107" s="2">
        <v>3.019541580371655E-3</v>
      </c>
      <c r="F107" s="2">
        <v>4.8754577521424114E-3</v>
      </c>
      <c r="G107" s="2">
        <v>3.5546059492166438E-3</v>
      </c>
      <c r="H107" s="2">
        <v>6.1195808938228008E-3</v>
      </c>
      <c r="I107" s="2">
        <v>2.063989657113862E-2</v>
      </c>
      <c r="J107" s="2">
        <v>1.023969983013601E-2</v>
      </c>
      <c r="K107" s="2">
        <v>2.5025719152779579E-2</v>
      </c>
      <c r="L107" s="2">
        <v>8.4654350685479818E-3</v>
      </c>
      <c r="M107" s="2">
        <v>2.5176869357187801E-2</v>
      </c>
      <c r="N107" s="2">
        <v>6.9719252635911909E-3</v>
      </c>
      <c r="O107" s="2">
        <v>2.5588001623365862E-2</v>
      </c>
      <c r="P107" s="2">
        <v>3.365651916352783E-3</v>
      </c>
      <c r="Q107" s="2">
        <v>2.0968031936092361E-2</v>
      </c>
      <c r="R107" s="2">
        <v>8.8385961332810153E-3</v>
      </c>
      <c r="S107" s="2">
        <v>2.4162309427360131E-3</v>
      </c>
      <c r="T107" s="2">
        <v>2.4279079155196011E-3</v>
      </c>
      <c r="U107" s="2">
        <v>8.5277301809208762E-3</v>
      </c>
      <c r="V107" s="2">
        <v>3.6021267168808149E-3</v>
      </c>
      <c r="X107" s="1" t="s">
        <v>66</v>
      </c>
      <c r="Y107" s="2">
        <v>2600.7199999999998</v>
      </c>
      <c r="Z107" s="2">
        <v>2428.0500000000002</v>
      </c>
      <c r="AA107" s="2">
        <v>684.55</v>
      </c>
      <c r="AB107" s="2">
        <v>617.42999999999995</v>
      </c>
      <c r="AC107" s="2">
        <v>505</v>
      </c>
      <c r="AD107" s="2">
        <v>936.11</v>
      </c>
      <c r="AE107" s="2">
        <v>1869.87</v>
      </c>
      <c r="AF107" s="2">
        <v>924.99</v>
      </c>
      <c r="AG107" s="2">
        <v>2847.77</v>
      </c>
      <c r="AH107" s="2">
        <v>806.38</v>
      </c>
      <c r="AI107" s="2">
        <v>2799.35</v>
      </c>
      <c r="AJ107" s="2">
        <v>555.58000000000004</v>
      </c>
      <c r="AK107" s="2">
        <v>2510.96</v>
      </c>
      <c r="AL107" s="2">
        <v>215.1</v>
      </c>
      <c r="AM107" s="2">
        <v>1827.15</v>
      </c>
      <c r="AN107" s="2">
        <v>531.47</v>
      </c>
      <c r="AO107" s="2">
        <v>107.04</v>
      </c>
      <c r="AP107" s="2">
        <v>66.17</v>
      </c>
      <c r="AQ107" s="2">
        <v>278.42</v>
      </c>
      <c r="AR107" s="2">
        <v>65</v>
      </c>
      <c r="AU107" s="1" t="s">
        <v>66</v>
      </c>
      <c r="AV107" s="2">
        <v>9474.98</v>
      </c>
      <c r="AW107" s="2">
        <v>9301.85</v>
      </c>
      <c r="AX107" s="2">
        <v>10458.049999999999</v>
      </c>
      <c r="AY107" s="2">
        <v>9487.07</v>
      </c>
      <c r="AZ107" s="2">
        <v>7751.5</v>
      </c>
      <c r="BA107" s="2">
        <v>10114.09</v>
      </c>
      <c r="BB107" s="2">
        <v>9659.83</v>
      </c>
      <c r="BC107" s="2">
        <v>9495.2099999999991</v>
      </c>
      <c r="BD107" s="2">
        <v>9633.23</v>
      </c>
      <c r="BE107" s="2">
        <v>9485.02</v>
      </c>
      <c r="BF107" s="2">
        <v>10036.549999999999</v>
      </c>
      <c r="BG107" s="2">
        <v>9690.32</v>
      </c>
      <c r="BH107" s="2">
        <v>9784.5400000000009</v>
      </c>
      <c r="BI107" s="2">
        <v>9493.9</v>
      </c>
      <c r="BJ107" s="2">
        <v>10084.049999999999</v>
      </c>
      <c r="BK107" s="2">
        <v>9911.1299999999992</v>
      </c>
      <c r="BL107" s="2">
        <v>10316.66</v>
      </c>
      <c r="BM107" s="2">
        <v>6377.33</v>
      </c>
      <c r="BN107" s="2">
        <v>9499.8799999999992</v>
      </c>
      <c r="BO107" s="2">
        <v>6265.1</v>
      </c>
      <c r="BR107" s="1" t="s">
        <v>66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67</v>
      </c>
      <c r="C108" s="2">
        <v>1.8319374169009091E-2</v>
      </c>
      <c r="D108" s="2">
        <v>1.041629276838307E-2</v>
      </c>
      <c r="E108" s="2">
        <v>1.5826975578582769E-2</v>
      </c>
      <c r="F108" s="2">
        <v>1.199301261693954E-2</v>
      </c>
      <c r="G108" s="2">
        <v>1.690766454427569E-2</v>
      </c>
      <c r="H108" s="2">
        <v>1.470982196263533E-2</v>
      </c>
      <c r="I108" s="2">
        <v>3.6513486166290493E-2</v>
      </c>
      <c r="J108" s="2">
        <v>2.7201443610263259E-2</v>
      </c>
      <c r="K108" s="2">
        <v>3.3828297912127533E-2</v>
      </c>
      <c r="L108" s="2">
        <v>1.8668524087389241E-2</v>
      </c>
      <c r="M108" s="2">
        <v>4.269184472212427E-2</v>
      </c>
      <c r="N108" s="2">
        <v>2.150361216348903E-2</v>
      </c>
      <c r="O108" s="2">
        <v>3.5370097527845978E-2</v>
      </c>
      <c r="P108" s="2">
        <v>2.8245761479672019E-2</v>
      </c>
      <c r="Q108" s="2">
        <v>3.5096606299534143E-2</v>
      </c>
      <c r="R108" s="2">
        <v>3.0297518550486409E-2</v>
      </c>
      <c r="S108" s="2">
        <v>5.1905226114276407E-2</v>
      </c>
      <c r="T108" s="2">
        <v>3.039402751081352E-2</v>
      </c>
      <c r="U108" s="2">
        <v>6.0203781771352147E-2</v>
      </c>
      <c r="V108" s="2">
        <v>2.7932415391431788E-2</v>
      </c>
      <c r="X108" s="1" t="s">
        <v>67</v>
      </c>
      <c r="Y108" s="2">
        <v>1207.57</v>
      </c>
      <c r="Z108" s="2">
        <v>704.13</v>
      </c>
      <c r="AA108" s="2">
        <v>1332.9</v>
      </c>
      <c r="AB108" s="2">
        <v>813.99</v>
      </c>
      <c r="AC108" s="2">
        <v>796.19</v>
      </c>
      <c r="AD108" s="2">
        <v>270.52</v>
      </c>
      <c r="AE108" s="2">
        <v>1419.02</v>
      </c>
      <c r="AF108" s="2">
        <v>825</v>
      </c>
      <c r="AG108" s="2">
        <v>1314.34</v>
      </c>
      <c r="AH108" s="2">
        <v>765.3</v>
      </c>
      <c r="AI108" s="2">
        <v>1249.43</v>
      </c>
      <c r="AJ108" s="2">
        <v>767.64</v>
      </c>
      <c r="AK108" s="2">
        <v>1022.8</v>
      </c>
      <c r="AL108" s="2">
        <v>862.25</v>
      </c>
      <c r="AM108" s="2">
        <v>978.99</v>
      </c>
      <c r="AN108" s="2">
        <v>891.47</v>
      </c>
      <c r="AO108" s="2">
        <v>970.48</v>
      </c>
      <c r="AP108" s="2">
        <v>663.96</v>
      </c>
      <c r="AQ108" s="2">
        <v>1122.46</v>
      </c>
      <c r="AR108" s="2">
        <v>658.08</v>
      </c>
      <c r="AU108" s="1" t="s">
        <v>67</v>
      </c>
      <c r="AV108" s="2">
        <v>5309.93</v>
      </c>
      <c r="AW108" s="2">
        <v>3049.77</v>
      </c>
      <c r="AX108" s="2">
        <v>5443.4</v>
      </c>
      <c r="AY108" s="2">
        <v>3272.21</v>
      </c>
      <c r="AZ108" s="2">
        <v>3184.41</v>
      </c>
      <c r="BA108" s="2">
        <v>4665.9799999999996</v>
      </c>
      <c r="BB108" s="2">
        <v>5877.08</v>
      </c>
      <c r="BC108" s="2">
        <v>3330.4</v>
      </c>
      <c r="BD108" s="2">
        <v>5891.36</v>
      </c>
      <c r="BE108" s="2">
        <v>3335</v>
      </c>
      <c r="BF108" s="2">
        <v>5780.67</v>
      </c>
      <c r="BG108" s="2">
        <v>3376.96</v>
      </c>
      <c r="BH108" s="2">
        <v>4555.1000000000004</v>
      </c>
      <c r="BI108" s="2">
        <v>3793.85</v>
      </c>
      <c r="BJ108" s="2">
        <v>4382.6099999999997</v>
      </c>
      <c r="BK108" s="2">
        <v>3951.33</v>
      </c>
      <c r="BL108" s="2">
        <v>4313.92</v>
      </c>
      <c r="BM108" s="2">
        <v>2896.24</v>
      </c>
      <c r="BN108" s="2">
        <v>5145.74</v>
      </c>
      <c r="BO108" s="2">
        <v>2887.12</v>
      </c>
      <c r="BR108" s="1" t="s">
        <v>67</v>
      </c>
      <c r="BS108" s="2">
        <v>3.08</v>
      </c>
      <c r="BT108" s="2">
        <v>1.85</v>
      </c>
      <c r="BU108" s="2">
        <v>2.23</v>
      </c>
      <c r="BV108" s="2">
        <v>1.46</v>
      </c>
      <c r="BW108" s="2">
        <v>1.01</v>
      </c>
      <c r="BX108" s="2">
        <v>2.68</v>
      </c>
      <c r="BY108" s="2">
        <v>3.36</v>
      </c>
      <c r="BZ108" s="2">
        <v>4.53</v>
      </c>
      <c r="CA108" s="2">
        <v>4.9000000000000004</v>
      </c>
      <c r="CB108" s="2">
        <v>4.29</v>
      </c>
      <c r="CC108" s="2">
        <v>12.08</v>
      </c>
      <c r="CD108" s="2">
        <v>8.08</v>
      </c>
      <c r="CE108" s="2">
        <v>8.85</v>
      </c>
      <c r="CF108" s="2">
        <v>7.2</v>
      </c>
      <c r="CG108" s="2">
        <v>11.04</v>
      </c>
      <c r="CH108" s="2">
        <v>8.0399999999999991</v>
      </c>
      <c r="CI108" s="2">
        <v>9.27</v>
      </c>
      <c r="CJ108" s="2">
        <v>6.09</v>
      </c>
      <c r="CK108" s="2">
        <v>9.52</v>
      </c>
      <c r="CL108" s="2">
        <v>5.43</v>
      </c>
    </row>
    <row r="109" spans="2:90" x14ac:dyDescent="0.3">
      <c r="B109" s="1" t="s">
        <v>68</v>
      </c>
      <c r="C109" s="2">
        <v>0.34156915611843769</v>
      </c>
      <c r="D109" s="2">
        <v>3.3364495244013831E-2</v>
      </c>
      <c r="E109" s="2">
        <v>0.40465990216383152</v>
      </c>
      <c r="F109" s="2">
        <v>3.0275418102110051E-2</v>
      </c>
      <c r="G109" s="2">
        <v>0.31862091072012122</v>
      </c>
      <c r="H109" s="2">
        <v>0.20654193473989821</v>
      </c>
      <c r="I109" s="2">
        <v>0.40527808918753339</v>
      </c>
      <c r="J109" s="2">
        <v>0.14928226380469231</v>
      </c>
      <c r="K109" s="2">
        <v>0.36691113109842999</v>
      </c>
      <c r="L109" s="2">
        <v>0.1221234255562845</v>
      </c>
      <c r="M109" s="2">
        <v>0.36294193375227363</v>
      </c>
      <c r="N109" s="2">
        <v>0.13537880112872569</v>
      </c>
      <c r="O109" s="2">
        <v>0.37312024430060869</v>
      </c>
      <c r="P109" s="2">
        <v>0.1561656139899372</v>
      </c>
      <c r="Q109" s="2">
        <v>0.38953910009278081</v>
      </c>
      <c r="R109" s="2">
        <v>0.1740160035006583</v>
      </c>
      <c r="S109" s="2">
        <v>0.28403206394492869</v>
      </c>
      <c r="T109" s="2">
        <v>0.19409634316801161</v>
      </c>
      <c r="U109" s="2">
        <v>0.1959491323447112</v>
      </c>
      <c r="V109" s="2">
        <v>0.19700504413619169</v>
      </c>
      <c r="X109" s="1" t="s">
        <v>68</v>
      </c>
      <c r="Y109" s="2">
        <v>4606.63</v>
      </c>
      <c r="Z109" s="2">
        <v>1716.73</v>
      </c>
      <c r="AA109" s="2">
        <v>4722.3100000000004</v>
      </c>
      <c r="AB109" s="2">
        <v>1821.28</v>
      </c>
      <c r="AC109" s="2">
        <v>4891.32</v>
      </c>
      <c r="AD109" s="2">
        <v>4234.8</v>
      </c>
      <c r="AE109" s="2">
        <v>5415.79</v>
      </c>
      <c r="AF109" s="2">
        <v>2721.67</v>
      </c>
      <c r="AG109" s="2">
        <v>5646.52</v>
      </c>
      <c r="AH109" s="2">
        <v>2373.41</v>
      </c>
      <c r="AI109" s="2">
        <v>5795.74</v>
      </c>
      <c r="AJ109" s="2">
        <v>2309.34</v>
      </c>
      <c r="AK109" s="2">
        <v>5301</v>
      </c>
      <c r="AL109" s="2">
        <v>2377.6</v>
      </c>
      <c r="AM109" s="2">
        <v>5135.34</v>
      </c>
      <c r="AN109" s="2">
        <v>2387.0500000000002</v>
      </c>
      <c r="AO109" s="2">
        <v>2710</v>
      </c>
      <c r="AP109" s="2">
        <v>1941.41</v>
      </c>
      <c r="AQ109" s="2">
        <v>2050.4899999999998</v>
      </c>
      <c r="AR109" s="2">
        <v>1796.93</v>
      </c>
      <c r="AU109" s="1" t="s">
        <v>68</v>
      </c>
      <c r="AV109" s="2">
        <v>16229.84</v>
      </c>
      <c r="AW109" s="2">
        <v>7437.17</v>
      </c>
      <c r="AX109" s="2">
        <v>18262.150000000001</v>
      </c>
      <c r="AY109" s="2">
        <v>7315.22</v>
      </c>
      <c r="AZ109" s="2">
        <v>10554.71</v>
      </c>
      <c r="BA109" s="2">
        <v>13105.91</v>
      </c>
      <c r="BB109" s="2">
        <v>15794.14</v>
      </c>
      <c r="BC109" s="2">
        <v>11121.31</v>
      </c>
      <c r="BD109" s="2">
        <v>16044.68</v>
      </c>
      <c r="BE109" s="2">
        <v>10431.52</v>
      </c>
      <c r="BF109" s="2">
        <v>16247.39</v>
      </c>
      <c r="BG109" s="2">
        <v>10293.89</v>
      </c>
      <c r="BH109" s="2">
        <v>14005.53</v>
      </c>
      <c r="BI109" s="2">
        <v>10530.11</v>
      </c>
      <c r="BJ109" s="2">
        <v>13291.02</v>
      </c>
      <c r="BK109" s="2">
        <v>10651.64</v>
      </c>
      <c r="BL109" s="2">
        <v>12193.58</v>
      </c>
      <c r="BM109" s="2">
        <v>8526.7800000000007</v>
      </c>
      <c r="BN109" s="2">
        <v>9074.56</v>
      </c>
      <c r="BO109" s="2">
        <v>7892.19</v>
      </c>
      <c r="BR109" s="1" t="s">
        <v>68</v>
      </c>
      <c r="BS109" s="2">
        <v>14.04</v>
      </c>
      <c r="BT109" s="2">
        <v>2.34</v>
      </c>
      <c r="BU109" s="2">
        <v>15.33</v>
      </c>
      <c r="BV109" s="2">
        <v>1.63</v>
      </c>
      <c r="BW109" s="2">
        <v>2.7</v>
      </c>
      <c r="BX109" s="2">
        <v>2.7</v>
      </c>
      <c r="BY109" s="2">
        <v>8.64</v>
      </c>
      <c r="BZ109" s="2">
        <v>7.15</v>
      </c>
      <c r="CA109" s="2">
        <v>10.8</v>
      </c>
      <c r="CB109" s="2">
        <v>8.34</v>
      </c>
      <c r="CC109" s="2">
        <v>19.440000000000001</v>
      </c>
      <c r="CD109" s="2">
        <v>15.43</v>
      </c>
      <c r="CE109" s="2">
        <v>15.66</v>
      </c>
      <c r="CF109" s="2">
        <v>12.74</v>
      </c>
      <c r="CG109" s="2">
        <v>20.52</v>
      </c>
      <c r="CH109" s="2">
        <v>15.39</v>
      </c>
      <c r="CI109" s="2">
        <v>16.25</v>
      </c>
      <c r="CJ109" s="2">
        <v>11.7</v>
      </c>
      <c r="CK109" s="2">
        <v>14.91</v>
      </c>
      <c r="CL109" s="2">
        <v>13.19</v>
      </c>
    </row>
    <row r="110" spans="2:90" x14ac:dyDescent="0.3">
      <c r="B110" s="1" t="s">
        <v>69</v>
      </c>
      <c r="C110" s="2">
        <v>5.1521376170240808E-2</v>
      </c>
      <c r="D110" s="2">
        <v>1.406500428141438E-2</v>
      </c>
      <c r="E110" s="2">
        <v>6.3575552245323547E-2</v>
      </c>
      <c r="F110" s="2">
        <v>1.111522573711031E-2</v>
      </c>
      <c r="G110" s="2">
        <v>7.3753260079969518E-2</v>
      </c>
      <c r="H110" s="2">
        <v>7.4382599711867448E-2</v>
      </c>
      <c r="I110" s="2">
        <v>0.1016216366505175</v>
      </c>
      <c r="J110" s="2">
        <v>4.1836400398159522E-2</v>
      </c>
      <c r="K110" s="2">
        <v>8.1272522783477852E-2</v>
      </c>
      <c r="L110" s="2">
        <v>3.1531297873152647E-2</v>
      </c>
      <c r="M110" s="2">
        <v>7.8841788922151337E-2</v>
      </c>
      <c r="N110" s="2">
        <v>3.1985810814391877E-2</v>
      </c>
      <c r="O110" s="2">
        <v>8.4388212011273597E-2</v>
      </c>
      <c r="P110" s="2">
        <v>3.6254647943603079E-2</v>
      </c>
      <c r="Q110" s="2">
        <v>6.7264729781874921E-2</v>
      </c>
      <c r="R110" s="2">
        <v>3.8758184320621641E-2</v>
      </c>
      <c r="S110" s="2">
        <v>4.8089913979662717E-2</v>
      </c>
      <c r="T110" s="2">
        <v>4.824920061597078E-2</v>
      </c>
      <c r="U110" s="2">
        <v>4.9374431448641863E-2</v>
      </c>
      <c r="V110" s="2">
        <v>5.4658839167035893E-2</v>
      </c>
      <c r="X110" s="1" t="s">
        <v>69</v>
      </c>
      <c r="Y110" s="2">
        <v>1282.99</v>
      </c>
      <c r="Z110" s="2">
        <v>575.24</v>
      </c>
      <c r="AA110" s="2">
        <v>1256.8499999999999</v>
      </c>
      <c r="AB110" s="2">
        <v>714.84</v>
      </c>
      <c r="AC110" s="2">
        <v>1120.04</v>
      </c>
      <c r="AD110" s="2">
        <v>1215.17</v>
      </c>
      <c r="AE110" s="2">
        <v>1272.0999999999999</v>
      </c>
      <c r="AF110" s="2">
        <v>935.22</v>
      </c>
      <c r="AG110" s="2">
        <v>1190.82</v>
      </c>
      <c r="AH110" s="2">
        <v>807.89</v>
      </c>
      <c r="AI110" s="2">
        <v>1185.74</v>
      </c>
      <c r="AJ110" s="2">
        <v>760.17</v>
      </c>
      <c r="AK110" s="2">
        <v>1158.4100000000001</v>
      </c>
      <c r="AL110" s="2">
        <v>779.43</v>
      </c>
      <c r="AM110" s="2">
        <v>930.33</v>
      </c>
      <c r="AN110" s="2">
        <v>735.69</v>
      </c>
      <c r="AO110" s="2">
        <v>754.83</v>
      </c>
      <c r="AP110" s="2">
        <v>663.31</v>
      </c>
      <c r="AQ110" s="2">
        <v>665.8</v>
      </c>
      <c r="AR110" s="2">
        <v>626.14</v>
      </c>
      <c r="AU110" s="1" t="s">
        <v>69</v>
      </c>
      <c r="AV110" s="2">
        <v>4307.8100000000004</v>
      </c>
      <c r="AW110" s="2">
        <v>2483.46</v>
      </c>
      <c r="AX110" s="2">
        <v>5232.87</v>
      </c>
      <c r="AY110" s="2">
        <v>2868.86</v>
      </c>
      <c r="AZ110" s="2">
        <v>3474.82</v>
      </c>
      <c r="BA110" s="2">
        <v>4922.1499999999996</v>
      </c>
      <c r="BB110" s="2">
        <v>4669.1099999999997</v>
      </c>
      <c r="BC110" s="2">
        <v>3793.16</v>
      </c>
      <c r="BD110" s="2">
        <v>4676.4399999999996</v>
      </c>
      <c r="BE110" s="2">
        <v>3529.03</v>
      </c>
      <c r="BF110" s="2">
        <v>4663.7299999999996</v>
      </c>
      <c r="BG110" s="2">
        <v>3343.32</v>
      </c>
      <c r="BH110" s="2">
        <v>4499.6099999999997</v>
      </c>
      <c r="BI110" s="2">
        <v>3413.97</v>
      </c>
      <c r="BJ110" s="2">
        <v>4216.57</v>
      </c>
      <c r="BK110" s="2">
        <v>3232.11</v>
      </c>
      <c r="BL110" s="2">
        <v>3313.67</v>
      </c>
      <c r="BM110" s="2">
        <v>2889.59</v>
      </c>
      <c r="BN110" s="2">
        <v>2915.5</v>
      </c>
      <c r="BO110" s="2">
        <v>2732.16</v>
      </c>
      <c r="BR110" s="1" t="s">
        <v>69</v>
      </c>
      <c r="BS110" s="2">
        <v>7.02</v>
      </c>
      <c r="BT110" s="2">
        <v>2.82</v>
      </c>
      <c r="BU110" s="2">
        <v>8.83</v>
      </c>
      <c r="BV110" s="2">
        <v>1.46</v>
      </c>
      <c r="BW110" s="2">
        <v>2.7</v>
      </c>
      <c r="BX110" s="2">
        <v>3.47</v>
      </c>
      <c r="BY110" s="2">
        <v>8.64</v>
      </c>
      <c r="BZ110" s="2">
        <v>5.85</v>
      </c>
      <c r="CA110" s="2">
        <v>10.8</v>
      </c>
      <c r="CB110" s="2">
        <v>6.28</v>
      </c>
      <c r="CC110" s="2">
        <v>19.440000000000001</v>
      </c>
      <c r="CD110" s="2">
        <v>10.92</v>
      </c>
      <c r="CE110" s="2">
        <v>15.66</v>
      </c>
      <c r="CF110" s="2">
        <v>8.94</v>
      </c>
      <c r="CG110" s="2">
        <v>18.690000000000001</v>
      </c>
      <c r="CH110" s="2">
        <v>10.48</v>
      </c>
      <c r="CI110" s="2">
        <v>9.19</v>
      </c>
      <c r="CJ110" s="2">
        <v>8.5399999999999991</v>
      </c>
      <c r="CK110" s="2">
        <v>10.9</v>
      </c>
      <c r="CL110" s="2">
        <v>10.14</v>
      </c>
    </row>
    <row r="111" spans="2:90" x14ac:dyDescent="0.3">
      <c r="B111" s="1" t="s">
        <v>70</v>
      </c>
      <c r="C111" s="2">
        <v>0.173459079236223</v>
      </c>
      <c r="D111" s="2">
        <v>0.27299494534165147</v>
      </c>
      <c r="E111" s="2">
        <v>0.2483618912104219</v>
      </c>
      <c r="F111" s="2">
        <v>0.16831064678180141</v>
      </c>
      <c r="G111" s="2">
        <v>0.28195554843235171</v>
      </c>
      <c r="H111" s="2">
        <v>0.23081551397301689</v>
      </c>
      <c r="I111" s="2">
        <v>0.15649096536582899</v>
      </c>
      <c r="J111" s="2">
        <v>0.30907495270767971</v>
      </c>
      <c r="K111" s="2">
        <v>0.28368292878772122</v>
      </c>
      <c r="L111" s="2">
        <v>0.29331423659970263</v>
      </c>
      <c r="M111" s="2">
        <v>0.2357171966744262</v>
      </c>
      <c r="N111" s="2">
        <v>0.22561740677747</v>
      </c>
      <c r="O111" s="2">
        <v>0.20357817051511301</v>
      </c>
      <c r="P111" s="2">
        <v>0.2198824154131937</v>
      </c>
      <c r="Q111" s="2">
        <v>0.16640691104534611</v>
      </c>
      <c r="R111" s="2">
        <v>0.2194672354697251</v>
      </c>
      <c r="S111" s="2">
        <v>0.2293978576390576</v>
      </c>
      <c r="T111" s="2">
        <v>0.24122588646383081</v>
      </c>
      <c r="U111" s="2">
        <v>0.2776773772199162</v>
      </c>
      <c r="V111" s="2">
        <v>0.26059387887256741</v>
      </c>
      <c r="X111" s="1" t="s">
        <v>70</v>
      </c>
      <c r="Y111" s="2">
        <v>4552.63</v>
      </c>
      <c r="Z111" s="2">
        <v>4907.21</v>
      </c>
      <c r="AA111" s="2">
        <v>6290.5</v>
      </c>
      <c r="AB111" s="2">
        <v>6666.36</v>
      </c>
      <c r="AC111" s="2">
        <v>4593.78</v>
      </c>
      <c r="AD111" s="2">
        <v>5104.05</v>
      </c>
      <c r="AE111" s="2">
        <v>5286.1</v>
      </c>
      <c r="AF111" s="2">
        <v>5069.59</v>
      </c>
      <c r="AG111" s="2">
        <v>5270.24</v>
      </c>
      <c r="AH111" s="2">
        <v>5307.89</v>
      </c>
      <c r="AI111" s="2">
        <v>4997.78</v>
      </c>
      <c r="AJ111" s="2">
        <v>5199.91</v>
      </c>
      <c r="AK111" s="2">
        <v>4688.63</v>
      </c>
      <c r="AL111" s="2">
        <v>5130.2</v>
      </c>
      <c r="AM111" s="2">
        <v>4233.2</v>
      </c>
      <c r="AN111" s="2">
        <v>4369.75</v>
      </c>
      <c r="AO111" s="2">
        <v>3857.9</v>
      </c>
      <c r="AP111" s="2">
        <v>4173.53</v>
      </c>
      <c r="AQ111" s="2">
        <v>3894.72</v>
      </c>
      <c r="AR111" s="2">
        <v>4462.2299999999996</v>
      </c>
      <c r="AU111" s="1" t="s">
        <v>70</v>
      </c>
      <c r="AV111" s="2">
        <v>15538.03</v>
      </c>
      <c r="AW111" s="2">
        <v>20783.79</v>
      </c>
      <c r="AX111" s="2">
        <v>24290.67</v>
      </c>
      <c r="AY111" s="2">
        <v>26908.14</v>
      </c>
      <c r="AZ111" s="2">
        <v>15398.37</v>
      </c>
      <c r="BA111" s="2">
        <v>17831.93</v>
      </c>
      <c r="BB111" s="2">
        <v>21217.4</v>
      </c>
      <c r="BC111" s="2">
        <v>20484.91</v>
      </c>
      <c r="BD111" s="2">
        <v>23130.26</v>
      </c>
      <c r="BE111" s="2">
        <v>23320.61</v>
      </c>
      <c r="BF111" s="2">
        <v>22273.22</v>
      </c>
      <c r="BG111" s="2">
        <v>23174.59</v>
      </c>
      <c r="BH111" s="2">
        <v>20526.37</v>
      </c>
      <c r="BI111" s="2">
        <v>22572.3</v>
      </c>
      <c r="BJ111" s="2">
        <v>18491.8</v>
      </c>
      <c r="BK111" s="2">
        <v>19124.75</v>
      </c>
      <c r="BL111" s="2">
        <v>16706.099999999999</v>
      </c>
      <c r="BM111" s="2">
        <v>18106.97</v>
      </c>
      <c r="BN111" s="2">
        <v>16953.28</v>
      </c>
      <c r="BO111" s="2">
        <v>19632.77</v>
      </c>
      <c r="BR111" s="1" t="s">
        <v>70</v>
      </c>
      <c r="BS111" s="2">
        <v>7.02</v>
      </c>
      <c r="BT111" s="2">
        <v>7.02</v>
      </c>
      <c r="BU111" s="2">
        <v>7.02</v>
      </c>
      <c r="BV111" s="2">
        <v>2.57</v>
      </c>
      <c r="BW111" s="2">
        <v>2.7</v>
      </c>
      <c r="BX111" s="2">
        <v>2.7</v>
      </c>
      <c r="BY111" s="2">
        <v>3.37</v>
      </c>
      <c r="BZ111" s="2">
        <v>8.49</v>
      </c>
      <c r="CA111" s="2">
        <v>8.94</v>
      </c>
      <c r="CB111" s="2">
        <v>9.8699999999999992</v>
      </c>
      <c r="CC111" s="2">
        <v>14.55</v>
      </c>
      <c r="CD111" s="2">
        <v>12.89</v>
      </c>
      <c r="CE111" s="2">
        <v>9.9700000000000006</v>
      </c>
      <c r="CF111" s="2">
        <v>9.23</v>
      </c>
      <c r="CG111" s="2">
        <v>10.83</v>
      </c>
      <c r="CH111" s="2">
        <v>11.03</v>
      </c>
      <c r="CI111" s="2">
        <v>8.8699999999999992</v>
      </c>
      <c r="CJ111" s="2">
        <v>7.78</v>
      </c>
      <c r="CK111" s="2">
        <v>11.24</v>
      </c>
      <c r="CL111" s="2">
        <v>7.53</v>
      </c>
    </row>
    <row r="112" spans="2:90" x14ac:dyDescent="0.3">
      <c r="B112" s="1" t="s">
        <v>71</v>
      </c>
      <c r="C112" s="2">
        <v>4.3885217505895843E-2</v>
      </c>
      <c r="D112" s="2">
        <v>6.5891815489344682E-2</v>
      </c>
      <c r="E112" s="2">
        <v>5.6171425932798502E-2</v>
      </c>
      <c r="F112" s="2">
        <v>9.5074044565140153E-2</v>
      </c>
      <c r="G112" s="2">
        <v>6.3925667054511248E-2</v>
      </c>
      <c r="H112" s="2">
        <v>5.276010670239626E-2</v>
      </c>
      <c r="I112" s="2">
        <v>2.9800738578985159E-2</v>
      </c>
      <c r="J112" s="2">
        <v>5.8062029282482962E-2</v>
      </c>
      <c r="K112" s="2">
        <v>2.4167111710850429E-2</v>
      </c>
      <c r="L112" s="2">
        <v>7.0490333959054477E-2</v>
      </c>
      <c r="M112" s="2">
        <v>3.071692653400545E-2</v>
      </c>
      <c r="N112" s="2">
        <v>8.0345933217701712E-2</v>
      </c>
      <c r="O112" s="2">
        <v>3.1612868566852977E-2</v>
      </c>
      <c r="P112" s="2">
        <v>6.9176131162751522E-2</v>
      </c>
      <c r="Q112" s="2">
        <v>3.3752297757021953E-2</v>
      </c>
      <c r="R112" s="2">
        <v>8.7952221028397254E-2</v>
      </c>
      <c r="S112" s="2">
        <v>4.850586476310817E-2</v>
      </c>
      <c r="T112" s="2">
        <v>0.10040186293275449</v>
      </c>
      <c r="U112" s="2">
        <v>4.9443846032510883E-2</v>
      </c>
      <c r="V112" s="2">
        <v>4.8885688967656181E-2</v>
      </c>
      <c r="X112" s="1" t="s">
        <v>71</v>
      </c>
      <c r="Y112" s="2">
        <v>1250.52</v>
      </c>
      <c r="Z112" s="2">
        <v>1309.3499999999999</v>
      </c>
      <c r="AA112" s="2">
        <v>1796.81</v>
      </c>
      <c r="AB112" s="2">
        <v>1854.31</v>
      </c>
      <c r="AC112" s="2">
        <v>1117.17</v>
      </c>
      <c r="AD112" s="2">
        <v>1295.1099999999999</v>
      </c>
      <c r="AE112" s="2">
        <v>1272.83</v>
      </c>
      <c r="AF112" s="2">
        <v>1058.5</v>
      </c>
      <c r="AG112" s="2">
        <v>1190.83</v>
      </c>
      <c r="AH112" s="2">
        <v>1498.75</v>
      </c>
      <c r="AI112" s="2">
        <v>1222.8</v>
      </c>
      <c r="AJ112" s="2">
        <v>1500.6</v>
      </c>
      <c r="AK112" s="2">
        <v>1226.2</v>
      </c>
      <c r="AL112" s="2">
        <v>1509.81</v>
      </c>
      <c r="AM112" s="2">
        <v>1192.1300000000001</v>
      </c>
      <c r="AN112" s="2">
        <v>1425.55</v>
      </c>
      <c r="AO112" s="2">
        <v>1117.5899999999999</v>
      </c>
      <c r="AP112" s="2">
        <v>1444.03</v>
      </c>
      <c r="AQ112" s="2">
        <v>1020.29</v>
      </c>
      <c r="AR112" s="2">
        <v>1048.47</v>
      </c>
      <c r="AU112" s="1" t="s">
        <v>71</v>
      </c>
      <c r="AV112" s="2">
        <v>3772.82</v>
      </c>
      <c r="AW112" s="2">
        <v>4045.84</v>
      </c>
      <c r="AX112" s="2">
        <v>5801.31</v>
      </c>
      <c r="AY112" s="2">
        <v>6022.1</v>
      </c>
      <c r="AZ112" s="2">
        <v>3220.54</v>
      </c>
      <c r="BA112" s="2">
        <v>3927.69</v>
      </c>
      <c r="BB112" s="2">
        <v>3908.47</v>
      </c>
      <c r="BC112" s="2">
        <v>3258.39</v>
      </c>
      <c r="BD112" s="2">
        <v>3972.17</v>
      </c>
      <c r="BE112" s="2">
        <v>5222.42</v>
      </c>
      <c r="BF112" s="2">
        <v>4210.3999999999996</v>
      </c>
      <c r="BG112" s="2">
        <v>5621.13</v>
      </c>
      <c r="BH112" s="2">
        <v>4168.58</v>
      </c>
      <c r="BI112" s="2">
        <v>5394.69</v>
      </c>
      <c r="BJ112" s="2">
        <v>4097.8999999999996</v>
      </c>
      <c r="BK112" s="2">
        <v>5207.32</v>
      </c>
      <c r="BL112" s="2">
        <v>3786.51</v>
      </c>
      <c r="BM112" s="2">
        <v>5125.78</v>
      </c>
      <c r="BN112" s="2">
        <v>3455.66</v>
      </c>
      <c r="BO112" s="2">
        <v>3554.03</v>
      </c>
      <c r="BR112" s="1" t="s">
        <v>71</v>
      </c>
      <c r="BS112" s="2">
        <v>7.02</v>
      </c>
      <c r="BT112" s="2">
        <v>7.02</v>
      </c>
      <c r="BU112" s="2">
        <v>5.85</v>
      </c>
      <c r="BV112" s="2">
        <v>5.6</v>
      </c>
      <c r="BW112" s="2">
        <v>2.7</v>
      </c>
      <c r="BX112" s="2">
        <v>2.67</v>
      </c>
      <c r="BY112" s="2">
        <v>2.94</v>
      </c>
      <c r="BZ112" s="2">
        <v>8.5500000000000007</v>
      </c>
      <c r="CA112" s="2">
        <v>3.75</v>
      </c>
      <c r="CB112" s="2">
        <v>9.27</v>
      </c>
      <c r="CC112" s="2">
        <v>8.44</v>
      </c>
      <c r="CD112" s="2">
        <v>17.690000000000001</v>
      </c>
      <c r="CE112" s="2">
        <v>6.57</v>
      </c>
      <c r="CF112" s="2">
        <v>11.17</v>
      </c>
      <c r="CG112" s="2">
        <v>8.6999999999999993</v>
      </c>
      <c r="CH112" s="2">
        <v>15.26</v>
      </c>
      <c r="CI112" s="2">
        <v>7.2</v>
      </c>
      <c r="CJ112" s="2">
        <v>10.78</v>
      </c>
      <c r="CK112" s="2">
        <v>8.4600000000000009</v>
      </c>
      <c r="CL112" s="2">
        <v>6.88</v>
      </c>
    </row>
    <row r="113" spans="2:90" x14ac:dyDescent="0.3">
      <c r="B113" s="1" t="s">
        <v>72</v>
      </c>
      <c r="C113" s="2">
        <v>0.32233056683048622</v>
      </c>
      <c r="D113" s="2">
        <v>0.50201427376229624</v>
      </c>
      <c r="E113" s="2">
        <v>0.19795933317257239</v>
      </c>
      <c r="F113" s="2">
        <v>0.65872618660202964</v>
      </c>
      <c r="G113" s="2">
        <v>0.22547472800577811</v>
      </c>
      <c r="H113" s="2">
        <v>0.39951386946802953</v>
      </c>
      <c r="I113" s="2">
        <v>0.2270321100143089</v>
      </c>
      <c r="J113" s="2">
        <v>0.29520221646644551</v>
      </c>
      <c r="K113" s="2">
        <v>0.13649514097975821</v>
      </c>
      <c r="L113" s="2">
        <v>0.35435318396772308</v>
      </c>
      <c r="M113" s="2">
        <v>0.1553730784447116</v>
      </c>
      <c r="N113" s="2">
        <v>0.38513997579985271</v>
      </c>
      <c r="O113" s="2">
        <v>0.1651724787783739</v>
      </c>
      <c r="P113" s="2">
        <v>0.3815205868266236</v>
      </c>
      <c r="Q113" s="2">
        <v>0.2129602517711762</v>
      </c>
      <c r="R113" s="2">
        <v>0.35002266267814319</v>
      </c>
      <c r="S113" s="2">
        <v>0.23178450033018769</v>
      </c>
      <c r="T113" s="2">
        <v>0.2844469389048313</v>
      </c>
      <c r="U113" s="2">
        <v>0.2461073813901932</v>
      </c>
      <c r="V113" s="2">
        <v>0.29294212876180092</v>
      </c>
      <c r="X113" s="1" t="s">
        <v>72</v>
      </c>
      <c r="Y113" s="2">
        <v>4830.8</v>
      </c>
      <c r="Z113" s="2">
        <v>4993.87</v>
      </c>
      <c r="AA113" s="2">
        <v>5364.66</v>
      </c>
      <c r="AB113" s="2">
        <v>5796.7</v>
      </c>
      <c r="AC113" s="2">
        <v>4053.91</v>
      </c>
      <c r="AD113" s="2">
        <v>4963.7700000000004</v>
      </c>
      <c r="AE113" s="2">
        <v>4383.79</v>
      </c>
      <c r="AF113" s="2">
        <v>5253.27</v>
      </c>
      <c r="AG113" s="2">
        <v>3827.9</v>
      </c>
      <c r="AH113" s="2">
        <v>6531.58</v>
      </c>
      <c r="AI113" s="2">
        <v>3834.59</v>
      </c>
      <c r="AJ113" s="2">
        <v>6581.94</v>
      </c>
      <c r="AK113" s="2">
        <v>3897.67</v>
      </c>
      <c r="AL113" s="2">
        <v>5909.03</v>
      </c>
      <c r="AM113" s="2">
        <v>3892.95</v>
      </c>
      <c r="AN113" s="2">
        <v>4217.9399999999996</v>
      </c>
      <c r="AO113" s="2">
        <v>3442.26</v>
      </c>
      <c r="AP113" s="2">
        <v>3671.52</v>
      </c>
      <c r="AQ113" s="2">
        <v>3210.32</v>
      </c>
      <c r="AR113" s="2">
        <v>3234.83</v>
      </c>
      <c r="AU113" s="1" t="s">
        <v>72</v>
      </c>
      <c r="AV113" s="2">
        <v>15495.16</v>
      </c>
      <c r="AW113" s="2">
        <v>16104.53</v>
      </c>
      <c r="AX113" s="2">
        <v>17043.98</v>
      </c>
      <c r="AY113" s="2">
        <v>20485.169999999998</v>
      </c>
      <c r="AZ113" s="2">
        <v>10291.450000000001</v>
      </c>
      <c r="BA113" s="2">
        <v>15467.08</v>
      </c>
      <c r="BB113" s="2">
        <v>13915.37</v>
      </c>
      <c r="BC113" s="2">
        <v>11085.86</v>
      </c>
      <c r="BD113" s="2">
        <v>13025.84</v>
      </c>
      <c r="BE113" s="2">
        <v>17340.27</v>
      </c>
      <c r="BF113" s="2">
        <v>13652.99</v>
      </c>
      <c r="BG113" s="2">
        <v>17651.310000000001</v>
      </c>
      <c r="BH113" s="2">
        <v>13625.28</v>
      </c>
      <c r="BI113" s="2">
        <v>17094.07</v>
      </c>
      <c r="BJ113" s="2">
        <v>14049.03</v>
      </c>
      <c r="BK113" s="2">
        <v>15350.21</v>
      </c>
      <c r="BL113" s="2">
        <v>11886.76</v>
      </c>
      <c r="BM113" s="2">
        <v>12784.29</v>
      </c>
      <c r="BN113" s="2">
        <v>11138.18</v>
      </c>
      <c r="BO113" s="2">
        <v>11230.38</v>
      </c>
      <c r="BR113" s="1" t="s">
        <v>72</v>
      </c>
      <c r="BS113" s="2">
        <v>14.04</v>
      </c>
      <c r="BT113" s="2">
        <v>14.04</v>
      </c>
      <c r="BU113" s="2">
        <v>7.02</v>
      </c>
      <c r="BV113" s="2">
        <v>12.41</v>
      </c>
      <c r="BW113" s="2">
        <v>2.7</v>
      </c>
      <c r="BX113" s="2">
        <v>5.25</v>
      </c>
      <c r="BY113" s="2">
        <v>6.63</v>
      </c>
      <c r="BZ113" s="2">
        <v>8.64</v>
      </c>
      <c r="CA113" s="2">
        <v>6.66</v>
      </c>
      <c r="CB113" s="2">
        <v>10.8</v>
      </c>
      <c r="CC113" s="2">
        <v>14.01</v>
      </c>
      <c r="CD113" s="2">
        <v>19.440000000000001</v>
      </c>
      <c r="CE113" s="2">
        <v>11.12</v>
      </c>
      <c r="CF113" s="2">
        <v>15.66</v>
      </c>
      <c r="CG113" s="2">
        <v>17.13</v>
      </c>
      <c r="CH113" s="2">
        <v>20.52</v>
      </c>
      <c r="CI113" s="2">
        <v>11.43</v>
      </c>
      <c r="CJ113" s="2">
        <v>11.69</v>
      </c>
      <c r="CK113" s="2">
        <v>13.79</v>
      </c>
      <c r="CL113" s="2">
        <v>13.16</v>
      </c>
    </row>
    <row r="114" spans="2:90" x14ac:dyDescent="0.3">
      <c r="B114" s="1" t="s">
        <v>73</v>
      </c>
      <c r="C114" s="2">
        <v>3.2374888750321927E-2</v>
      </c>
      <c r="D114" s="2">
        <v>7.7391364132730095E-2</v>
      </c>
      <c r="E114" s="2">
        <v>1.0425378116097931E-2</v>
      </c>
      <c r="F114" s="2">
        <v>1.9630007842726529E-2</v>
      </c>
      <c r="G114" s="2">
        <v>1.58076152137759E-2</v>
      </c>
      <c r="H114" s="2">
        <v>1.515657254833359E-2</v>
      </c>
      <c r="I114" s="2">
        <v>2.2623077465397112E-2</v>
      </c>
      <c r="J114" s="2">
        <v>0.10910099390014071</v>
      </c>
      <c r="K114" s="2">
        <v>4.8617147574854989E-2</v>
      </c>
      <c r="L114" s="2">
        <v>0.1010535628881455</v>
      </c>
      <c r="M114" s="2">
        <v>6.8540361593119728E-2</v>
      </c>
      <c r="N114" s="2">
        <v>0.1130565348347779</v>
      </c>
      <c r="O114" s="2">
        <v>8.1169926676565876E-2</v>
      </c>
      <c r="P114" s="2">
        <v>0.1053891912678661</v>
      </c>
      <c r="Q114" s="2">
        <v>7.4012071316173586E-2</v>
      </c>
      <c r="R114" s="2">
        <v>9.0647578318687111E-2</v>
      </c>
      <c r="S114" s="2">
        <v>0.10386834228604259</v>
      </c>
      <c r="T114" s="2">
        <v>9.8757832488267819E-2</v>
      </c>
      <c r="U114" s="2">
        <v>0.1127163196117537</v>
      </c>
      <c r="V114" s="2">
        <v>0.1143798779864354</v>
      </c>
      <c r="X114" s="1" t="s">
        <v>73</v>
      </c>
      <c r="Y114" s="2">
        <v>2370.88</v>
      </c>
      <c r="Z114" s="2">
        <v>3082.24</v>
      </c>
      <c r="AA114" s="2">
        <v>2576.38</v>
      </c>
      <c r="AB114" s="2">
        <v>2763.42</v>
      </c>
      <c r="AC114" s="2">
        <v>363.24</v>
      </c>
      <c r="AD114" s="2">
        <v>2877.9</v>
      </c>
      <c r="AE114" s="2">
        <v>1109.56</v>
      </c>
      <c r="AF114" s="2">
        <v>2879.84</v>
      </c>
      <c r="AG114" s="2">
        <v>1952.85</v>
      </c>
      <c r="AH114" s="2">
        <v>2770.35</v>
      </c>
      <c r="AI114" s="2">
        <v>1925.22</v>
      </c>
      <c r="AJ114" s="2">
        <v>2829.34</v>
      </c>
      <c r="AK114" s="2">
        <v>1896.58</v>
      </c>
      <c r="AL114" s="2">
        <v>2637.73</v>
      </c>
      <c r="AM114" s="2">
        <v>1825.5</v>
      </c>
      <c r="AN114" s="2">
        <v>2034.13</v>
      </c>
      <c r="AO114" s="2">
        <v>1688.42</v>
      </c>
      <c r="AP114" s="2">
        <v>1748.82</v>
      </c>
      <c r="AQ114" s="2">
        <v>1746.64</v>
      </c>
      <c r="AR114" s="2">
        <v>1796.54</v>
      </c>
      <c r="AU114" s="1" t="s">
        <v>73</v>
      </c>
      <c r="AV114" s="2">
        <v>7731.32</v>
      </c>
      <c r="AW114" s="2">
        <v>10105.76</v>
      </c>
      <c r="AX114" s="2">
        <v>8048.42</v>
      </c>
      <c r="AY114" s="2">
        <v>8509.3799999999992</v>
      </c>
      <c r="AZ114" s="2">
        <v>6342.66</v>
      </c>
      <c r="BA114" s="2">
        <v>8639.4</v>
      </c>
      <c r="BB114" s="2">
        <v>6343.64</v>
      </c>
      <c r="BC114" s="2">
        <v>8739.68</v>
      </c>
      <c r="BD114" s="2">
        <v>6366.15</v>
      </c>
      <c r="BE114" s="2">
        <v>9133.65</v>
      </c>
      <c r="BF114" s="2">
        <v>6298.68</v>
      </c>
      <c r="BG114" s="2">
        <v>9459.17</v>
      </c>
      <c r="BH114" s="2">
        <v>6197.72</v>
      </c>
      <c r="BI114" s="2">
        <v>8714.57</v>
      </c>
      <c r="BJ114" s="2">
        <v>5963.7</v>
      </c>
      <c r="BK114" s="2">
        <v>6663.47</v>
      </c>
      <c r="BL114" s="2">
        <v>5503.48</v>
      </c>
      <c r="BM114" s="2">
        <v>5701.38</v>
      </c>
      <c r="BN114" s="2">
        <v>5702.06</v>
      </c>
      <c r="BO114" s="2">
        <v>5868.46</v>
      </c>
      <c r="BR114" s="1" t="s">
        <v>73</v>
      </c>
      <c r="BS114" s="2">
        <v>2.8</v>
      </c>
      <c r="BT114" s="2">
        <v>3.61</v>
      </c>
      <c r="BU114" s="2">
        <v>0.78</v>
      </c>
      <c r="BV114" s="2">
        <v>0.78</v>
      </c>
      <c r="BW114" s="2">
        <v>1.4</v>
      </c>
      <c r="BX114" s="2">
        <v>0.35</v>
      </c>
      <c r="BY114" s="2">
        <v>2.2799999999999998</v>
      </c>
      <c r="BZ114" s="2">
        <v>6.18</v>
      </c>
      <c r="CA114" s="2">
        <v>4.54</v>
      </c>
      <c r="CB114" s="2">
        <v>7.59</v>
      </c>
      <c r="CC114" s="2">
        <v>12.11</v>
      </c>
      <c r="CD114" s="2">
        <v>13.68</v>
      </c>
      <c r="CE114" s="2">
        <v>10.92</v>
      </c>
      <c r="CF114" s="2">
        <v>9.7200000000000006</v>
      </c>
      <c r="CG114" s="2">
        <v>12.62</v>
      </c>
      <c r="CH114" s="2">
        <v>11.03</v>
      </c>
      <c r="CI114" s="2">
        <v>10.38</v>
      </c>
      <c r="CJ114" s="2">
        <v>8.31</v>
      </c>
      <c r="CK114" s="2">
        <v>11.49</v>
      </c>
      <c r="CL114" s="2">
        <v>8.8800000000000008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5" t="s">
        <v>63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 t="s">
        <v>64</v>
      </c>
      <c r="AJ118" s="5"/>
      <c r="AK118" s="5"/>
      <c r="AL118" s="5"/>
      <c r="AM118" s="5"/>
      <c r="AN118" s="5"/>
      <c r="AO118" s="5"/>
      <c r="AP118" s="5"/>
      <c r="AQ118" s="5"/>
      <c r="AR118" s="5"/>
      <c r="AU118" s="1" t="s">
        <v>6</v>
      </c>
      <c r="AV118" s="5" t="s">
        <v>63</v>
      </c>
      <c r="AW118" s="5"/>
      <c r="AX118" s="5"/>
      <c r="AY118" s="5"/>
      <c r="AZ118" s="5"/>
      <c r="BA118" s="5"/>
      <c r="BB118" s="5"/>
      <c r="BC118" s="5"/>
      <c r="BD118" s="5"/>
      <c r="BE118" s="5"/>
      <c r="BF118" s="5" t="s">
        <v>64</v>
      </c>
      <c r="BG118" s="5"/>
      <c r="BH118" s="5"/>
      <c r="BI118" s="5"/>
      <c r="BJ118" s="5"/>
      <c r="BK118" s="5"/>
      <c r="BL118" s="5"/>
      <c r="BM118" s="5"/>
      <c r="BN118" s="5"/>
      <c r="BO118" s="5"/>
      <c r="BR118" s="1" t="s">
        <v>6</v>
      </c>
      <c r="BS118" s="1" t="s">
        <v>63</v>
      </c>
      <c r="BT118" s="1" t="s">
        <v>64</v>
      </c>
      <c r="BU118" s="1" t="s">
        <v>63</v>
      </c>
      <c r="BV118" s="1" t="s">
        <v>64</v>
      </c>
      <c r="BW118" s="1" t="s">
        <v>63</v>
      </c>
      <c r="BX118" s="1" t="s">
        <v>64</v>
      </c>
      <c r="BY118" s="1" t="s">
        <v>63</v>
      </c>
      <c r="BZ118" s="1" t="s">
        <v>64</v>
      </c>
      <c r="CA118" s="1" t="s">
        <v>63</v>
      </c>
      <c r="CB118" s="1" t="s">
        <v>64</v>
      </c>
      <c r="CC118" s="1" t="s">
        <v>63</v>
      </c>
      <c r="CD118" s="1" t="s">
        <v>64</v>
      </c>
      <c r="CE118" s="1" t="s">
        <v>63</v>
      </c>
      <c r="CF118" s="1" t="s">
        <v>64</v>
      </c>
      <c r="CG118" s="1" t="s">
        <v>63</v>
      </c>
      <c r="CH118" s="1" t="s">
        <v>64</v>
      </c>
      <c r="CI118" s="1" t="s">
        <v>63</v>
      </c>
      <c r="CJ118" s="1" t="s">
        <v>64</v>
      </c>
      <c r="CK118" s="1" t="s">
        <v>63</v>
      </c>
      <c r="CL118" s="1" t="s">
        <v>64</v>
      </c>
    </row>
    <row r="119" spans="2:90" x14ac:dyDescent="0.3">
      <c r="X119" s="1" t="s">
        <v>65</v>
      </c>
      <c r="Y119" s="1" t="s">
        <v>53</v>
      </c>
      <c r="Z119" s="1" t="s">
        <v>62</v>
      </c>
      <c r="AA119" s="1" t="s">
        <v>54</v>
      </c>
      <c r="AB119" s="1" t="s">
        <v>55</v>
      </c>
      <c r="AC119" s="1" t="s">
        <v>56</v>
      </c>
      <c r="AD119" s="1" t="s">
        <v>57</v>
      </c>
      <c r="AE119" s="1" t="s">
        <v>58</v>
      </c>
      <c r="AF119" s="1" t="s">
        <v>59</v>
      </c>
      <c r="AG119" s="1" t="s">
        <v>60</v>
      </c>
      <c r="AH119" s="1" t="s">
        <v>61</v>
      </c>
      <c r="AI119" s="1" t="s">
        <v>53</v>
      </c>
      <c r="AJ119" s="1" t="s">
        <v>62</v>
      </c>
      <c r="AK119" s="1" t="s">
        <v>54</v>
      </c>
      <c r="AL119" s="1" t="s">
        <v>55</v>
      </c>
      <c r="AM119" s="1" t="s">
        <v>56</v>
      </c>
      <c r="AN119" s="1" t="s">
        <v>57</v>
      </c>
      <c r="AO119" s="1" t="s">
        <v>58</v>
      </c>
      <c r="AP119" s="1" t="s">
        <v>59</v>
      </c>
      <c r="AQ119" s="1" t="s">
        <v>60</v>
      </c>
      <c r="AR119" s="1" t="s">
        <v>61</v>
      </c>
      <c r="AU119" s="1" t="s">
        <v>65</v>
      </c>
      <c r="AV119" s="1" t="s">
        <v>53</v>
      </c>
      <c r="AW119" s="1" t="s">
        <v>62</v>
      </c>
      <c r="AX119" s="1" t="s">
        <v>54</v>
      </c>
      <c r="AY119" s="1" t="s">
        <v>55</v>
      </c>
      <c r="AZ119" s="1" t="s">
        <v>56</v>
      </c>
      <c r="BA119" s="1" t="s">
        <v>57</v>
      </c>
      <c r="BB119" s="1" t="s">
        <v>58</v>
      </c>
      <c r="BC119" s="1" t="s">
        <v>59</v>
      </c>
      <c r="BD119" s="1" t="s">
        <v>60</v>
      </c>
      <c r="BE119" s="1" t="s">
        <v>61</v>
      </c>
      <c r="BF119" s="1" t="s">
        <v>53</v>
      </c>
      <c r="BG119" s="1" t="s">
        <v>62</v>
      </c>
      <c r="BH119" s="1" t="s">
        <v>54</v>
      </c>
      <c r="BI119" s="1" t="s">
        <v>55</v>
      </c>
      <c r="BJ119" s="1" t="s">
        <v>56</v>
      </c>
      <c r="BK119" s="1" t="s">
        <v>57</v>
      </c>
      <c r="BL119" s="1" t="s">
        <v>58</v>
      </c>
      <c r="BM119" s="1" t="s">
        <v>59</v>
      </c>
      <c r="BN119" s="1" t="s">
        <v>60</v>
      </c>
      <c r="BO119" s="1" t="s">
        <v>61</v>
      </c>
      <c r="BR119" s="1" t="s">
        <v>65</v>
      </c>
      <c r="BS119" s="1" t="s">
        <v>53</v>
      </c>
      <c r="BT119" s="1" t="s">
        <v>53</v>
      </c>
      <c r="BU119" s="1" t="s">
        <v>54</v>
      </c>
      <c r="BV119" s="1" t="s">
        <v>54</v>
      </c>
      <c r="BW119" s="1" t="s">
        <v>55</v>
      </c>
      <c r="BX119" s="1" t="s">
        <v>55</v>
      </c>
      <c r="BY119" s="1" t="s">
        <v>56</v>
      </c>
      <c r="BZ119" s="1" t="s">
        <v>56</v>
      </c>
      <c r="CA119" s="1" t="s">
        <v>57</v>
      </c>
      <c r="CB119" s="1" t="s">
        <v>57</v>
      </c>
      <c r="CC119" s="1" t="s">
        <v>58</v>
      </c>
      <c r="CD119" s="1" t="s">
        <v>58</v>
      </c>
      <c r="CE119" s="1" t="s">
        <v>59</v>
      </c>
      <c r="CF119" s="1" t="s">
        <v>59</v>
      </c>
      <c r="CG119" s="1" t="s">
        <v>60</v>
      </c>
      <c r="CH119" s="1" t="s">
        <v>60</v>
      </c>
      <c r="CI119" s="1" t="s">
        <v>61</v>
      </c>
      <c r="CJ119" s="1" t="s">
        <v>61</v>
      </c>
      <c r="CK119" s="1" t="s">
        <v>62</v>
      </c>
      <c r="CL119" s="1" t="s">
        <v>62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66</v>
      </c>
      <c r="Y121" s="2">
        <v>49.02</v>
      </c>
      <c r="Z121" s="2">
        <v>28.86</v>
      </c>
      <c r="AA121" s="2">
        <v>17.16</v>
      </c>
      <c r="AB121" s="2">
        <v>7.02</v>
      </c>
      <c r="AC121" s="2">
        <v>23.91</v>
      </c>
      <c r="AD121" s="2">
        <v>35.020000000000003</v>
      </c>
      <c r="AE121" s="2">
        <v>111.99</v>
      </c>
      <c r="AF121" s="2">
        <v>116.11</v>
      </c>
      <c r="AG121" s="2">
        <v>106.84</v>
      </c>
      <c r="AH121" s="2">
        <v>10.83</v>
      </c>
      <c r="AI121" s="2">
        <v>60.78</v>
      </c>
      <c r="AJ121" s="2">
        <v>12.87</v>
      </c>
      <c r="AK121" s="2">
        <v>17.07</v>
      </c>
      <c r="AL121" s="2">
        <v>11.94</v>
      </c>
      <c r="AM121" s="2">
        <v>43.81</v>
      </c>
      <c r="AN121" s="2">
        <v>28.75</v>
      </c>
      <c r="AO121" s="2">
        <v>45.91</v>
      </c>
      <c r="AP121" s="2">
        <v>15.5</v>
      </c>
      <c r="AQ121" s="2">
        <v>36.14</v>
      </c>
      <c r="AR121" s="2">
        <v>8.7200000000000006</v>
      </c>
      <c r="AU121" s="1" t="s">
        <v>66</v>
      </c>
      <c r="AV121" s="2">
        <v>366.85</v>
      </c>
      <c r="AW121" s="2">
        <v>1382.34</v>
      </c>
      <c r="AX121" s="2">
        <v>262.20999999999998</v>
      </c>
      <c r="AY121" s="2">
        <v>107.78</v>
      </c>
      <c r="AZ121" s="2">
        <v>412.89</v>
      </c>
      <c r="BA121" s="2">
        <v>603.38</v>
      </c>
      <c r="BB121" s="2">
        <v>976.65</v>
      </c>
      <c r="BC121" s="2">
        <v>919.19</v>
      </c>
      <c r="BD121" s="2">
        <v>949.18</v>
      </c>
      <c r="BE121" s="2">
        <v>1043.51</v>
      </c>
      <c r="BF121" s="2">
        <v>377.84</v>
      </c>
      <c r="BG121" s="2">
        <v>1240.83</v>
      </c>
      <c r="BH121" s="2">
        <v>262.3</v>
      </c>
      <c r="BI121" s="2">
        <v>169.36</v>
      </c>
      <c r="BJ121" s="2">
        <v>590.11</v>
      </c>
      <c r="BK121" s="2">
        <v>557.85</v>
      </c>
      <c r="BL121" s="2">
        <v>1042.73</v>
      </c>
      <c r="BM121" s="2">
        <v>792.44</v>
      </c>
      <c r="BN121" s="2">
        <v>987.96</v>
      </c>
      <c r="BO121" s="2">
        <v>840.94</v>
      </c>
      <c r="BR121" s="1" t="s">
        <v>66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131.65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19204.41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19204.39</v>
      </c>
      <c r="CL121" s="2">
        <v>70231.73</v>
      </c>
    </row>
    <row r="122" spans="2:90" x14ac:dyDescent="0.3">
      <c r="X122" s="1" t="s">
        <v>67</v>
      </c>
      <c r="Y122" s="2">
        <v>45.03</v>
      </c>
      <c r="Z122" s="2">
        <v>149.44999999999999</v>
      </c>
      <c r="AA122" s="2">
        <v>24.92</v>
      </c>
      <c r="AB122" s="2">
        <v>9.98</v>
      </c>
      <c r="AC122" s="2">
        <v>47.52</v>
      </c>
      <c r="AD122" s="2">
        <v>60.03</v>
      </c>
      <c r="AE122" s="2">
        <v>106.67</v>
      </c>
      <c r="AF122" s="2">
        <v>87.71</v>
      </c>
      <c r="AG122" s="2">
        <v>109.1</v>
      </c>
      <c r="AH122" s="2">
        <v>83.35</v>
      </c>
      <c r="AI122" s="2">
        <v>35.840000000000003</v>
      </c>
      <c r="AJ122" s="2">
        <v>121.8</v>
      </c>
      <c r="AK122" s="2">
        <v>27.84</v>
      </c>
      <c r="AL122" s="2">
        <v>5.76</v>
      </c>
      <c r="AM122" s="2">
        <v>64.010000000000005</v>
      </c>
      <c r="AN122" s="2">
        <v>74.09</v>
      </c>
      <c r="AO122" s="2">
        <v>146.74</v>
      </c>
      <c r="AP122" s="2">
        <v>97.8</v>
      </c>
      <c r="AQ122" s="2">
        <v>109.81</v>
      </c>
      <c r="AR122" s="2">
        <v>92.23</v>
      </c>
      <c r="AU122" s="1" t="s">
        <v>67</v>
      </c>
      <c r="AV122" s="2">
        <v>197.42</v>
      </c>
      <c r="AW122" s="2">
        <v>679</v>
      </c>
      <c r="AX122" s="2">
        <v>101.44</v>
      </c>
      <c r="AY122" s="2">
        <v>39.92</v>
      </c>
      <c r="AZ122" s="2">
        <v>195.84</v>
      </c>
      <c r="BA122" s="2">
        <v>267.57</v>
      </c>
      <c r="BB122" s="2">
        <v>488.05</v>
      </c>
      <c r="BC122" s="2">
        <v>388.47</v>
      </c>
      <c r="BD122" s="2">
        <v>485.22</v>
      </c>
      <c r="BE122" s="2">
        <v>368.51</v>
      </c>
      <c r="BF122" s="2">
        <v>155.13</v>
      </c>
      <c r="BG122" s="2">
        <v>532.95000000000005</v>
      </c>
      <c r="BH122" s="2">
        <v>111.78</v>
      </c>
      <c r="BI122" s="2">
        <v>85.19</v>
      </c>
      <c r="BJ122" s="2">
        <v>257.91000000000003</v>
      </c>
      <c r="BK122" s="2">
        <v>322.31</v>
      </c>
      <c r="BL122" s="2">
        <v>643.46</v>
      </c>
      <c r="BM122" s="2">
        <v>428.84</v>
      </c>
      <c r="BN122" s="2">
        <v>484.51</v>
      </c>
      <c r="BO122" s="2">
        <v>401.45</v>
      </c>
      <c r="BR122" s="1" t="s">
        <v>67</v>
      </c>
      <c r="BS122" s="2">
        <v>257.06</v>
      </c>
      <c r="BT122" s="2">
        <v>288.27</v>
      </c>
      <c r="BU122" s="2">
        <v>244.73</v>
      </c>
      <c r="BV122" s="2">
        <v>235.79</v>
      </c>
      <c r="BW122" s="2">
        <v>343.18</v>
      </c>
      <c r="BX122" s="2">
        <v>775.74</v>
      </c>
      <c r="BY122" s="2">
        <v>272.75</v>
      </c>
      <c r="BZ122" s="2">
        <v>367.44</v>
      </c>
      <c r="CA122" s="2">
        <v>404.35</v>
      </c>
      <c r="CB122" s="2">
        <v>936.21</v>
      </c>
      <c r="CC122" s="2">
        <v>341.25</v>
      </c>
      <c r="CD122" s="2">
        <v>870.86</v>
      </c>
      <c r="CE122" s="2">
        <v>440.45</v>
      </c>
      <c r="CF122" s="2">
        <v>667.04</v>
      </c>
      <c r="CG122" s="2">
        <v>489.74</v>
      </c>
      <c r="CH122" s="2">
        <v>835.83</v>
      </c>
      <c r="CI122" s="2">
        <v>543.34</v>
      </c>
      <c r="CJ122" s="2">
        <v>1761.59</v>
      </c>
      <c r="CK122" s="2">
        <v>575.04999999999995</v>
      </c>
      <c r="CL122" s="2">
        <v>3771.2</v>
      </c>
    </row>
    <row r="123" spans="2:90" x14ac:dyDescent="0.3">
      <c r="X123" s="1" t="s">
        <v>68</v>
      </c>
      <c r="Y123" s="2">
        <v>235.1</v>
      </c>
      <c r="Z123" s="2">
        <v>481.31</v>
      </c>
      <c r="AA123" s="2">
        <v>178.65</v>
      </c>
      <c r="AB123" s="2">
        <v>111.43</v>
      </c>
      <c r="AC123" s="2">
        <v>340.28</v>
      </c>
      <c r="AD123" s="2">
        <v>526.95000000000005</v>
      </c>
      <c r="AE123" s="2">
        <v>915.26</v>
      </c>
      <c r="AF123" s="2">
        <v>783.09</v>
      </c>
      <c r="AG123" s="2">
        <v>962.05</v>
      </c>
      <c r="AH123" s="2">
        <v>428.08</v>
      </c>
      <c r="AI123" s="2">
        <v>101.22</v>
      </c>
      <c r="AJ123" s="2">
        <v>448.9</v>
      </c>
      <c r="AK123" s="2">
        <v>79.59</v>
      </c>
      <c r="AL123" s="2">
        <v>125.86</v>
      </c>
      <c r="AM123" s="2">
        <v>253.67</v>
      </c>
      <c r="AN123" s="2">
        <v>313.83</v>
      </c>
      <c r="AO123" s="2">
        <v>584.97</v>
      </c>
      <c r="AP123" s="2">
        <v>418.53</v>
      </c>
      <c r="AQ123" s="2">
        <v>478.27</v>
      </c>
      <c r="AR123" s="2">
        <v>465.11</v>
      </c>
      <c r="AU123" s="1" t="s">
        <v>68</v>
      </c>
      <c r="AV123" s="2">
        <v>823.25</v>
      </c>
      <c r="AW123" s="2">
        <v>2119.42</v>
      </c>
      <c r="AX123" s="2">
        <v>685.27</v>
      </c>
      <c r="AY123" s="2">
        <v>240.25</v>
      </c>
      <c r="AZ123" s="2">
        <v>988.14</v>
      </c>
      <c r="BA123" s="2">
        <v>1490.25</v>
      </c>
      <c r="BB123" s="2">
        <v>2543.42</v>
      </c>
      <c r="BC123" s="2">
        <v>2056.7800000000002</v>
      </c>
      <c r="BD123" s="2">
        <v>2471.8000000000002</v>
      </c>
      <c r="BE123" s="2">
        <v>1911.25</v>
      </c>
      <c r="BF123" s="2">
        <v>438.15</v>
      </c>
      <c r="BG123" s="2">
        <v>1964.26</v>
      </c>
      <c r="BH123" s="2">
        <v>319.38</v>
      </c>
      <c r="BI123" s="2">
        <v>389.12</v>
      </c>
      <c r="BJ123" s="2">
        <v>1032.8399999999999</v>
      </c>
      <c r="BK123" s="2">
        <v>1374.97</v>
      </c>
      <c r="BL123" s="2">
        <v>2593.06</v>
      </c>
      <c r="BM123" s="2">
        <v>1844.67</v>
      </c>
      <c r="BN123" s="2">
        <v>2120.98</v>
      </c>
      <c r="BO123" s="2">
        <v>2035.88</v>
      </c>
      <c r="BR123" s="1" t="s">
        <v>68</v>
      </c>
      <c r="BS123" s="2">
        <v>162.19</v>
      </c>
      <c r="BT123" s="2">
        <v>383.05</v>
      </c>
      <c r="BU123" s="2">
        <v>176.19</v>
      </c>
      <c r="BV123" s="2">
        <v>272.89999999999998</v>
      </c>
      <c r="BW123" s="2">
        <v>151.08000000000001</v>
      </c>
      <c r="BX123" s="2">
        <v>200.74</v>
      </c>
      <c r="BY123" s="2">
        <v>179.02</v>
      </c>
      <c r="BZ123" s="2">
        <v>431.35</v>
      </c>
      <c r="CA123" s="2">
        <v>174.99</v>
      </c>
      <c r="CB123" s="2">
        <v>767.03</v>
      </c>
      <c r="CC123" s="2">
        <v>171.2</v>
      </c>
      <c r="CD123" s="2">
        <v>761.88</v>
      </c>
      <c r="CE123" s="2">
        <v>171.38</v>
      </c>
      <c r="CF123" s="2">
        <v>719.26</v>
      </c>
      <c r="CG123" s="2">
        <v>173.28</v>
      </c>
      <c r="CH123" s="2">
        <v>858.07</v>
      </c>
      <c r="CI123" s="2">
        <v>588.07000000000005</v>
      </c>
      <c r="CJ123" s="2">
        <v>1441.72</v>
      </c>
      <c r="CK123" s="2">
        <v>1589.81</v>
      </c>
      <c r="CL123" s="2">
        <v>2561.0500000000002</v>
      </c>
    </row>
    <row r="124" spans="2:90" x14ac:dyDescent="0.3">
      <c r="X124" s="1" t="s">
        <v>69</v>
      </c>
      <c r="Y124" s="2">
        <v>74.03</v>
      </c>
      <c r="Z124" s="2">
        <v>160.74</v>
      </c>
      <c r="AA124" s="2">
        <v>44.39</v>
      </c>
      <c r="AB124" s="2">
        <v>23.89</v>
      </c>
      <c r="AC124" s="2">
        <v>98.84</v>
      </c>
      <c r="AD124" s="2">
        <v>112.1</v>
      </c>
      <c r="AE124" s="2">
        <v>213.64</v>
      </c>
      <c r="AF124" s="2">
        <v>180.06</v>
      </c>
      <c r="AG124" s="2">
        <v>193.25</v>
      </c>
      <c r="AH124" s="2">
        <v>132.33000000000001</v>
      </c>
      <c r="AI124" s="2">
        <v>30.21</v>
      </c>
      <c r="AJ124" s="2">
        <v>137.12</v>
      </c>
      <c r="AK124" s="2">
        <v>34.51</v>
      </c>
      <c r="AL124" s="2">
        <v>24.43</v>
      </c>
      <c r="AM124" s="2">
        <v>64.650000000000006</v>
      </c>
      <c r="AN124" s="2">
        <v>91.98</v>
      </c>
      <c r="AO124" s="2">
        <v>168.36</v>
      </c>
      <c r="AP124" s="2">
        <v>114.97</v>
      </c>
      <c r="AQ124" s="2">
        <v>154.34</v>
      </c>
      <c r="AR124" s="2">
        <v>115.07</v>
      </c>
      <c r="AU124" s="1" t="s">
        <v>69</v>
      </c>
      <c r="AV124" s="2">
        <v>247.95</v>
      </c>
      <c r="AW124" s="2">
        <v>701.46</v>
      </c>
      <c r="AX124" s="2">
        <v>183.51</v>
      </c>
      <c r="AY124" s="2">
        <v>74.05</v>
      </c>
      <c r="AZ124" s="2">
        <v>361.49</v>
      </c>
      <c r="BA124" s="2">
        <v>438.47</v>
      </c>
      <c r="BB124" s="2">
        <v>834.3</v>
      </c>
      <c r="BC124" s="2">
        <v>695.57</v>
      </c>
      <c r="BD124" s="2">
        <v>868.09</v>
      </c>
      <c r="BE124" s="2">
        <v>578.95000000000005</v>
      </c>
      <c r="BF124" s="2">
        <v>130.34</v>
      </c>
      <c r="BG124" s="2">
        <v>596.57000000000005</v>
      </c>
      <c r="BH124" s="2">
        <v>138.38999999999999</v>
      </c>
      <c r="BI124" s="2">
        <v>98.72</v>
      </c>
      <c r="BJ124" s="2">
        <v>261.42</v>
      </c>
      <c r="BK124" s="2">
        <v>400.78</v>
      </c>
      <c r="BL124" s="2">
        <v>737.58</v>
      </c>
      <c r="BM124" s="2">
        <v>501.86</v>
      </c>
      <c r="BN124" s="2">
        <v>675.58</v>
      </c>
      <c r="BO124" s="2">
        <v>499.99</v>
      </c>
      <c r="BR124" s="1" t="s">
        <v>69</v>
      </c>
      <c r="BS124" s="2">
        <v>164.33</v>
      </c>
      <c r="BT124" s="2">
        <v>382.5</v>
      </c>
      <c r="BU124" s="2">
        <v>189.11</v>
      </c>
      <c r="BV124" s="2">
        <v>238.6</v>
      </c>
      <c r="BW124" s="2">
        <v>176.2</v>
      </c>
      <c r="BX124" s="2">
        <v>182.79</v>
      </c>
      <c r="BY124" s="2">
        <v>189.55</v>
      </c>
      <c r="BZ124" s="2">
        <v>291.36</v>
      </c>
      <c r="CA124" s="2">
        <v>211.47</v>
      </c>
      <c r="CB124" s="2">
        <v>473.93</v>
      </c>
      <c r="CC124" s="2">
        <v>211.26</v>
      </c>
      <c r="CD124" s="2">
        <v>524.55999999999995</v>
      </c>
      <c r="CE124" s="2">
        <v>210.27</v>
      </c>
      <c r="CF124" s="2">
        <v>511.31</v>
      </c>
      <c r="CG124" s="2">
        <v>279.66000000000003</v>
      </c>
      <c r="CH124" s="2">
        <v>625.51</v>
      </c>
      <c r="CI124" s="2">
        <v>634.44000000000005</v>
      </c>
      <c r="CJ124" s="2">
        <v>829.83</v>
      </c>
      <c r="CK124" s="2">
        <v>877.69</v>
      </c>
      <c r="CL124" s="2">
        <v>1106.01</v>
      </c>
    </row>
    <row r="125" spans="2:90" x14ac:dyDescent="0.3">
      <c r="X125" s="1" t="s">
        <v>70</v>
      </c>
      <c r="Y125" s="2">
        <v>209.49</v>
      </c>
      <c r="Z125" s="2">
        <v>761.09</v>
      </c>
      <c r="AA125" s="2">
        <v>229.17</v>
      </c>
      <c r="AB125" s="2">
        <v>78.819999999999993</v>
      </c>
      <c r="AC125" s="2">
        <v>359.94</v>
      </c>
      <c r="AD125" s="2">
        <v>477.26</v>
      </c>
      <c r="AE125" s="2">
        <v>810.81</v>
      </c>
      <c r="AF125" s="2">
        <v>622.92999999999995</v>
      </c>
      <c r="AG125" s="2">
        <v>731.95</v>
      </c>
      <c r="AH125" s="2">
        <v>637.70000000000005</v>
      </c>
      <c r="AI125" s="2">
        <v>211.97</v>
      </c>
      <c r="AJ125" s="2">
        <v>733.91</v>
      </c>
      <c r="AK125" s="2">
        <v>253.12</v>
      </c>
      <c r="AL125" s="2">
        <v>78.48</v>
      </c>
      <c r="AM125" s="2">
        <v>338.51</v>
      </c>
      <c r="AN125" s="2">
        <v>419.68</v>
      </c>
      <c r="AO125" s="2">
        <v>720.46</v>
      </c>
      <c r="AP125" s="2">
        <v>547.1</v>
      </c>
      <c r="AQ125" s="2">
        <v>682.78</v>
      </c>
      <c r="AR125" s="2">
        <v>471.76</v>
      </c>
      <c r="AU125" s="1" t="s">
        <v>70</v>
      </c>
      <c r="AV125" s="2">
        <v>713.8</v>
      </c>
      <c r="AW125" s="2">
        <v>3297.91</v>
      </c>
      <c r="AX125" s="2">
        <v>882.22</v>
      </c>
      <c r="AY125" s="2">
        <v>264.01</v>
      </c>
      <c r="AZ125" s="2">
        <v>1440.86</v>
      </c>
      <c r="BA125" s="2">
        <v>2083.7399999999998</v>
      </c>
      <c r="BB125" s="2">
        <v>3584.79</v>
      </c>
      <c r="BC125" s="2">
        <v>2713.52</v>
      </c>
      <c r="BD125" s="2">
        <v>3182.05</v>
      </c>
      <c r="BE125" s="2">
        <v>2752.1</v>
      </c>
      <c r="BF125" s="2">
        <v>895.63</v>
      </c>
      <c r="BG125" s="2">
        <v>3212.59</v>
      </c>
      <c r="BH125" s="2">
        <v>1018.28</v>
      </c>
      <c r="BI125" s="2">
        <v>273.95</v>
      </c>
      <c r="BJ125" s="2">
        <v>1361.49</v>
      </c>
      <c r="BK125" s="2">
        <v>1833.32</v>
      </c>
      <c r="BL125" s="2">
        <v>3185.54</v>
      </c>
      <c r="BM125" s="2">
        <v>2393.5</v>
      </c>
      <c r="BN125" s="2">
        <v>2972.82</v>
      </c>
      <c r="BO125" s="2">
        <v>2039.14</v>
      </c>
      <c r="BR125" s="1" t="s">
        <v>70</v>
      </c>
      <c r="BS125" s="2">
        <v>195.96</v>
      </c>
      <c r="BT125" s="2">
        <v>217.03</v>
      </c>
      <c r="BU125" s="2">
        <v>196.65</v>
      </c>
      <c r="BV125" s="2">
        <v>240.38</v>
      </c>
      <c r="BW125" s="2">
        <v>204.32</v>
      </c>
      <c r="BX125" s="2">
        <v>201.12</v>
      </c>
      <c r="BY125" s="2">
        <v>326.88</v>
      </c>
      <c r="BZ125" s="2">
        <v>231.08</v>
      </c>
      <c r="CA125" s="2">
        <v>280.75</v>
      </c>
      <c r="CB125" s="2">
        <v>263.57</v>
      </c>
      <c r="CC125" s="2">
        <v>320.45999999999998</v>
      </c>
      <c r="CD125" s="2">
        <v>349.32</v>
      </c>
      <c r="CE125" s="2">
        <v>386.08</v>
      </c>
      <c r="CF125" s="2">
        <v>391.98</v>
      </c>
      <c r="CG125" s="2">
        <v>531.49</v>
      </c>
      <c r="CH125" s="2">
        <v>509.38</v>
      </c>
      <c r="CI125" s="2">
        <v>658.85</v>
      </c>
      <c r="CJ125" s="2">
        <v>771.95</v>
      </c>
      <c r="CK125" s="2">
        <v>706.26</v>
      </c>
      <c r="CL125" s="2">
        <v>1058.51</v>
      </c>
    </row>
    <row r="126" spans="2:90" x14ac:dyDescent="0.3">
      <c r="X126" s="1" t="s">
        <v>71</v>
      </c>
      <c r="Y126" s="2">
        <v>40</v>
      </c>
      <c r="Z126" s="2">
        <v>153.74</v>
      </c>
      <c r="AA126" s="2">
        <v>41.97</v>
      </c>
      <c r="AB126" s="2">
        <v>14.74</v>
      </c>
      <c r="AC126" s="2">
        <v>63.37</v>
      </c>
      <c r="AD126" s="2">
        <v>72.86</v>
      </c>
      <c r="AE126" s="2">
        <v>151.61000000000001</v>
      </c>
      <c r="AF126" s="2">
        <v>113.64</v>
      </c>
      <c r="AG126" s="2">
        <v>149.61000000000001</v>
      </c>
      <c r="AH126" s="2">
        <v>136.9</v>
      </c>
      <c r="AI126" s="2">
        <v>38.15</v>
      </c>
      <c r="AJ126" s="2">
        <v>128</v>
      </c>
      <c r="AK126" s="2">
        <v>48.83</v>
      </c>
      <c r="AL126" s="2">
        <v>12.09</v>
      </c>
      <c r="AM126" s="2">
        <v>39.369999999999997</v>
      </c>
      <c r="AN126" s="2">
        <v>80.819999999999993</v>
      </c>
      <c r="AO126" s="2">
        <v>144.07</v>
      </c>
      <c r="AP126" s="2">
        <v>100.26</v>
      </c>
      <c r="AQ126" s="2">
        <v>154.69999999999999</v>
      </c>
      <c r="AR126" s="2">
        <v>103.83</v>
      </c>
      <c r="AU126" s="1" t="s">
        <v>71</v>
      </c>
      <c r="AV126" s="2">
        <v>120.41</v>
      </c>
      <c r="AW126" s="2">
        <v>518.14</v>
      </c>
      <c r="AX126" s="2">
        <v>134.38</v>
      </c>
      <c r="AY126" s="2">
        <v>42.46</v>
      </c>
      <c r="AZ126" s="2">
        <v>194.07</v>
      </c>
      <c r="BA126" s="2">
        <v>242.34</v>
      </c>
      <c r="BB126" s="2">
        <v>518.71</v>
      </c>
      <c r="BC126" s="2">
        <v>384.38</v>
      </c>
      <c r="BD126" s="2">
        <v>511.03</v>
      </c>
      <c r="BE126" s="2">
        <v>461.64</v>
      </c>
      <c r="BF126" s="2">
        <v>117.62</v>
      </c>
      <c r="BG126" s="2">
        <v>431.8</v>
      </c>
      <c r="BH126" s="2">
        <v>157.22</v>
      </c>
      <c r="BI126" s="2">
        <v>36.590000000000003</v>
      </c>
      <c r="BJ126" s="2">
        <v>120.69</v>
      </c>
      <c r="BK126" s="2">
        <v>279.27999999999997</v>
      </c>
      <c r="BL126" s="2">
        <v>530.72</v>
      </c>
      <c r="BM126" s="2">
        <v>354.29</v>
      </c>
      <c r="BN126" s="2">
        <v>557.46</v>
      </c>
      <c r="BO126" s="2">
        <v>364.74</v>
      </c>
      <c r="BR126" s="1" t="s">
        <v>71</v>
      </c>
      <c r="BS126" s="2">
        <v>184.43</v>
      </c>
      <c r="BT126" s="2">
        <v>184.8</v>
      </c>
      <c r="BU126" s="2">
        <v>175.41</v>
      </c>
      <c r="BV126" s="2">
        <v>175.22</v>
      </c>
      <c r="BW126" s="2">
        <v>198.9</v>
      </c>
      <c r="BX126" s="2">
        <v>193.79</v>
      </c>
      <c r="BY126" s="2">
        <v>287.25</v>
      </c>
      <c r="BZ126" s="2">
        <v>226.66</v>
      </c>
      <c r="CA126" s="2">
        <v>547.4</v>
      </c>
      <c r="CB126" s="2">
        <v>221.75</v>
      </c>
      <c r="CC126" s="2">
        <v>420.48</v>
      </c>
      <c r="CD126" s="2">
        <v>223.94</v>
      </c>
      <c r="CE126" s="2">
        <v>431.06</v>
      </c>
      <c r="CF126" s="2">
        <v>249.05</v>
      </c>
      <c r="CG126" s="2">
        <v>446.21</v>
      </c>
      <c r="CH126" s="2">
        <v>253.02</v>
      </c>
      <c r="CI126" s="2">
        <v>515.73</v>
      </c>
      <c r="CJ126" s="2">
        <v>293.10000000000002</v>
      </c>
      <c r="CK126" s="2">
        <v>702.32</v>
      </c>
      <c r="CL126" s="2">
        <v>933.6</v>
      </c>
    </row>
    <row r="127" spans="2:90" x14ac:dyDescent="0.3">
      <c r="X127" s="1" t="s">
        <v>72</v>
      </c>
      <c r="Y127" s="2">
        <v>117.47</v>
      </c>
      <c r="Z127" s="2">
        <v>330.89</v>
      </c>
      <c r="AA127" s="2">
        <v>103.89</v>
      </c>
      <c r="AB127" s="2">
        <v>42.44</v>
      </c>
      <c r="AC127" s="2">
        <v>159.13999999999999</v>
      </c>
      <c r="AD127" s="2">
        <v>184.78</v>
      </c>
      <c r="AE127" s="2">
        <v>334.64</v>
      </c>
      <c r="AF127" s="2">
        <v>245.77</v>
      </c>
      <c r="AG127" s="2">
        <v>338.08</v>
      </c>
      <c r="AH127" s="2">
        <v>297.39999999999998</v>
      </c>
      <c r="AI127" s="2">
        <v>139.63999999999999</v>
      </c>
      <c r="AJ127" s="2">
        <v>320.23</v>
      </c>
      <c r="AK127" s="2">
        <v>108.36</v>
      </c>
      <c r="AL127" s="2">
        <v>41.73</v>
      </c>
      <c r="AM127" s="2">
        <v>188.81</v>
      </c>
      <c r="AN127" s="2">
        <v>287.05</v>
      </c>
      <c r="AO127" s="2">
        <v>485.77</v>
      </c>
      <c r="AP127" s="2">
        <v>310.47000000000003</v>
      </c>
      <c r="AQ127" s="2">
        <v>368.12</v>
      </c>
      <c r="AR127" s="2">
        <v>228.62</v>
      </c>
      <c r="AU127" s="1" t="s">
        <v>72</v>
      </c>
      <c r="AV127" s="2">
        <v>374.45</v>
      </c>
      <c r="AW127" s="2">
        <v>1138.21</v>
      </c>
      <c r="AX127" s="2">
        <v>327.44</v>
      </c>
      <c r="AY127" s="2">
        <v>107.66</v>
      </c>
      <c r="AZ127" s="2">
        <v>501.75</v>
      </c>
      <c r="BA127" s="2">
        <v>625.38</v>
      </c>
      <c r="BB127" s="2">
        <v>1178.33</v>
      </c>
      <c r="BC127" s="2">
        <v>851.43</v>
      </c>
      <c r="BD127" s="2">
        <v>1203.9000000000001</v>
      </c>
      <c r="BE127" s="2">
        <v>1019.12</v>
      </c>
      <c r="BF127" s="2">
        <v>447.44</v>
      </c>
      <c r="BG127" s="2">
        <v>1102.3399999999999</v>
      </c>
      <c r="BH127" s="2">
        <v>375.74</v>
      </c>
      <c r="BI127" s="2">
        <v>129.35</v>
      </c>
      <c r="BJ127" s="2">
        <v>397.2</v>
      </c>
      <c r="BK127" s="2">
        <v>757.8</v>
      </c>
      <c r="BL127" s="2">
        <v>1289.3499999999999</v>
      </c>
      <c r="BM127" s="2">
        <v>891</v>
      </c>
      <c r="BN127" s="2">
        <v>1318.51</v>
      </c>
      <c r="BO127" s="2">
        <v>789.05</v>
      </c>
      <c r="BR127" s="1" t="s">
        <v>72</v>
      </c>
      <c r="BS127" s="2">
        <v>175.2</v>
      </c>
      <c r="BT127" s="2">
        <v>172.29</v>
      </c>
      <c r="BU127" s="2">
        <v>215.92</v>
      </c>
      <c r="BV127" s="2">
        <v>182.54</v>
      </c>
      <c r="BW127" s="2">
        <v>237.69</v>
      </c>
      <c r="BX127" s="2">
        <v>179.5</v>
      </c>
      <c r="BY127" s="2">
        <v>305.38</v>
      </c>
      <c r="BZ127" s="2">
        <v>186.88</v>
      </c>
      <c r="CA127" s="2">
        <v>571.26</v>
      </c>
      <c r="CB127" s="2">
        <v>187.56</v>
      </c>
      <c r="CC127" s="2">
        <v>498.69</v>
      </c>
      <c r="CD127" s="2">
        <v>187.97</v>
      </c>
      <c r="CE127" s="2">
        <v>492.22</v>
      </c>
      <c r="CF127" s="2">
        <v>211.94</v>
      </c>
      <c r="CG127" s="2">
        <v>422.28</v>
      </c>
      <c r="CH127" s="2">
        <v>330.39</v>
      </c>
      <c r="CI127" s="2">
        <v>674.49</v>
      </c>
      <c r="CJ127" s="2">
        <v>621.37</v>
      </c>
      <c r="CK127" s="2">
        <v>887.29</v>
      </c>
      <c r="CL127" s="2">
        <v>954.8</v>
      </c>
    </row>
    <row r="128" spans="2:90" x14ac:dyDescent="0.3">
      <c r="X128" s="1" t="s">
        <v>73</v>
      </c>
      <c r="Y128" s="2">
        <v>57.7</v>
      </c>
      <c r="Z128" s="2">
        <v>129.99</v>
      </c>
      <c r="AA128" s="2">
        <v>26.65</v>
      </c>
      <c r="AB128" s="2">
        <v>2.78</v>
      </c>
      <c r="AC128" s="2">
        <v>26.58</v>
      </c>
      <c r="AD128" s="2">
        <v>67.66</v>
      </c>
      <c r="AE128" s="2">
        <v>87.38</v>
      </c>
      <c r="AF128" s="2">
        <v>76.16</v>
      </c>
      <c r="AG128" s="2">
        <v>79.760000000000005</v>
      </c>
      <c r="AH128" s="2">
        <v>100.22</v>
      </c>
      <c r="AI128" s="2">
        <v>43.99</v>
      </c>
      <c r="AJ128" s="2">
        <v>102.34</v>
      </c>
      <c r="AK128" s="2">
        <v>31.8</v>
      </c>
      <c r="AL128" s="2">
        <v>13.27</v>
      </c>
      <c r="AM128" s="2">
        <v>43.71</v>
      </c>
      <c r="AN128" s="2">
        <v>39.590000000000003</v>
      </c>
      <c r="AO128" s="2">
        <v>81.34</v>
      </c>
      <c r="AP128" s="2">
        <v>85.73</v>
      </c>
      <c r="AQ128" s="2">
        <v>92.95</v>
      </c>
      <c r="AR128" s="2">
        <v>70.709999999999994</v>
      </c>
      <c r="AU128" s="1" t="s">
        <v>73</v>
      </c>
      <c r="AV128" s="2">
        <v>188</v>
      </c>
      <c r="AW128" s="2">
        <v>423.51</v>
      </c>
      <c r="AX128" s="2">
        <v>82.94</v>
      </c>
      <c r="AY128" s="2">
        <v>46.42</v>
      </c>
      <c r="AZ128" s="2">
        <v>148.62</v>
      </c>
      <c r="BA128" s="2">
        <v>220.34</v>
      </c>
      <c r="BB128" s="2">
        <v>285.22000000000003</v>
      </c>
      <c r="BC128" s="2">
        <v>248.35</v>
      </c>
      <c r="BD128" s="2">
        <v>259.95999999999998</v>
      </c>
      <c r="BE128" s="2">
        <v>326.14</v>
      </c>
      <c r="BF128" s="2">
        <v>143.99</v>
      </c>
      <c r="BG128" s="2">
        <v>333.71</v>
      </c>
      <c r="BH128" s="2">
        <v>97.68</v>
      </c>
      <c r="BI128" s="2">
        <v>39.83</v>
      </c>
      <c r="BJ128" s="2">
        <v>132.31</v>
      </c>
      <c r="BK128" s="2">
        <v>130.16999999999999</v>
      </c>
      <c r="BL128" s="2">
        <v>270.48</v>
      </c>
      <c r="BM128" s="2">
        <v>282.27999999999997</v>
      </c>
      <c r="BN128" s="2">
        <v>303.77</v>
      </c>
      <c r="BO128" s="2">
        <v>230.19</v>
      </c>
      <c r="BR128" s="1" t="s">
        <v>73</v>
      </c>
      <c r="BS128" s="2">
        <v>342.79</v>
      </c>
      <c r="BT128" s="2">
        <v>287.89999999999998</v>
      </c>
      <c r="BU128" s="2">
        <v>131.08000000000001</v>
      </c>
      <c r="BV128" s="2">
        <v>130.72999999999999</v>
      </c>
      <c r="BW128" s="2">
        <v>610.08000000000004</v>
      </c>
      <c r="BX128" s="2">
        <v>152.84</v>
      </c>
      <c r="BY128" s="2">
        <v>428.65</v>
      </c>
      <c r="BZ128" s="2">
        <v>295.01</v>
      </c>
      <c r="CA128" s="2">
        <v>1187.8900000000001</v>
      </c>
      <c r="CB128" s="2">
        <v>379.99</v>
      </c>
      <c r="CC128" s="2">
        <v>579.12</v>
      </c>
      <c r="CD128" s="2">
        <v>375.76</v>
      </c>
      <c r="CE128" s="2">
        <v>488.31</v>
      </c>
      <c r="CF128" s="2">
        <v>453.94</v>
      </c>
      <c r="CG128" s="2">
        <v>617.85</v>
      </c>
      <c r="CH128" s="2">
        <v>716.4</v>
      </c>
      <c r="CI128" s="2">
        <v>758.55</v>
      </c>
      <c r="CJ128" s="2">
        <v>1192.5899999999999</v>
      </c>
      <c r="CK128" s="2">
        <v>1058.97</v>
      </c>
      <c r="CL128" s="2">
        <v>1828.46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63</v>
      </c>
      <c r="Z132" s="1" t="s">
        <v>64</v>
      </c>
      <c r="AA132" s="1" t="s">
        <v>63</v>
      </c>
      <c r="AB132" s="1" t="s">
        <v>64</v>
      </c>
      <c r="AC132" s="1" t="s">
        <v>63</v>
      </c>
      <c r="AD132" s="1" t="s">
        <v>64</v>
      </c>
      <c r="AE132" s="1" t="s">
        <v>63</v>
      </c>
      <c r="AF132" s="1" t="s">
        <v>64</v>
      </c>
      <c r="AG132" s="1" t="s">
        <v>63</v>
      </c>
      <c r="AH132" s="1" t="s">
        <v>64</v>
      </c>
      <c r="AI132" s="1" t="s">
        <v>63</v>
      </c>
      <c r="AJ132" s="1" t="s">
        <v>64</v>
      </c>
      <c r="AK132" s="1" t="s">
        <v>63</v>
      </c>
      <c r="AL132" s="1" t="s">
        <v>64</v>
      </c>
      <c r="AM132" s="1" t="s">
        <v>63</v>
      </c>
      <c r="AN132" s="1" t="s">
        <v>64</v>
      </c>
      <c r="AO132" s="1" t="s">
        <v>63</v>
      </c>
      <c r="AP132" s="1" t="s">
        <v>64</v>
      </c>
      <c r="AQ132" s="1" t="s">
        <v>63</v>
      </c>
      <c r="AR132" s="1" t="s">
        <v>64</v>
      </c>
      <c r="AU132" s="1" t="s">
        <v>6</v>
      </c>
      <c r="AV132" s="1" t="s">
        <v>63</v>
      </c>
      <c r="AW132" s="1" t="s">
        <v>64</v>
      </c>
      <c r="AX132" s="1" t="s">
        <v>63</v>
      </c>
      <c r="AY132" s="1" t="s">
        <v>64</v>
      </c>
      <c r="AZ132" s="1" t="s">
        <v>63</v>
      </c>
      <c r="BA132" s="1" t="s">
        <v>64</v>
      </c>
      <c r="BB132" s="1" t="s">
        <v>63</v>
      </c>
      <c r="BC132" s="1" t="s">
        <v>64</v>
      </c>
      <c r="BD132" s="1" t="s">
        <v>63</v>
      </c>
      <c r="BE132" s="1" t="s">
        <v>64</v>
      </c>
      <c r="BF132" s="1" t="s">
        <v>63</v>
      </c>
      <c r="BG132" s="1" t="s">
        <v>64</v>
      </c>
      <c r="BH132" s="1" t="s">
        <v>63</v>
      </c>
      <c r="BI132" s="1" t="s">
        <v>64</v>
      </c>
      <c r="BJ132" s="1" t="s">
        <v>63</v>
      </c>
      <c r="BK132" s="1" t="s">
        <v>64</v>
      </c>
      <c r="BL132" s="1" t="s">
        <v>63</v>
      </c>
      <c r="BM132" s="1" t="s">
        <v>64</v>
      </c>
      <c r="BN132" s="1" t="s">
        <v>63</v>
      </c>
      <c r="BO132" s="1" t="s">
        <v>64</v>
      </c>
    </row>
    <row r="133" spans="24:67" x14ac:dyDescent="0.3">
      <c r="X133" s="1" t="s">
        <v>65</v>
      </c>
      <c r="Y133" s="1" t="s">
        <v>53</v>
      </c>
      <c r="Z133" s="1" t="s">
        <v>53</v>
      </c>
      <c r="AA133" s="1" t="s">
        <v>54</v>
      </c>
      <c r="AB133" s="1" t="s">
        <v>54</v>
      </c>
      <c r="AC133" s="1" t="s">
        <v>55</v>
      </c>
      <c r="AD133" s="1" t="s">
        <v>55</v>
      </c>
      <c r="AE133" s="1" t="s">
        <v>56</v>
      </c>
      <c r="AF133" s="1" t="s">
        <v>56</v>
      </c>
      <c r="AG133" s="1" t="s">
        <v>57</v>
      </c>
      <c r="AH133" s="1" t="s">
        <v>57</v>
      </c>
      <c r="AI133" s="1" t="s">
        <v>58</v>
      </c>
      <c r="AJ133" s="1" t="s">
        <v>58</v>
      </c>
      <c r="AK133" s="1" t="s">
        <v>59</v>
      </c>
      <c r="AL133" s="1" t="s">
        <v>59</v>
      </c>
      <c r="AM133" s="1" t="s">
        <v>60</v>
      </c>
      <c r="AN133" s="1" t="s">
        <v>60</v>
      </c>
      <c r="AO133" s="1" t="s">
        <v>61</v>
      </c>
      <c r="AP133" s="1" t="s">
        <v>61</v>
      </c>
      <c r="AQ133" s="1" t="s">
        <v>62</v>
      </c>
      <c r="AR133" s="1" t="s">
        <v>62</v>
      </c>
      <c r="AU133" s="1" t="s">
        <v>65</v>
      </c>
      <c r="AV133" s="1" t="s">
        <v>53</v>
      </c>
      <c r="AW133" s="1" t="s">
        <v>53</v>
      </c>
      <c r="AX133" s="1" t="s">
        <v>54</v>
      </c>
      <c r="AY133" s="1" t="s">
        <v>54</v>
      </c>
      <c r="AZ133" s="1" t="s">
        <v>55</v>
      </c>
      <c r="BA133" s="1" t="s">
        <v>55</v>
      </c>
      <c r="BB133" s="1" t="s">
        <v>56</v>
      </c>
      <c r="BC133" s="1" t="s">
        <v>56</v>
      </c>
      <c r="BD133" s="1" t="s">
        <v>57</v>
      </c>
      <c r="BE133" s="1" t="s">
        <v>57</v>
      </c>
      <c r="BF133" s="1" t="s">
        <v>58</v>
      </c>
      <c r="BG133" s="1" t="s">
        <v>58</v>
      </c>
      <c r="BH133" s="1" t="s">
        <v>59</v>
      </c>
      <c r="BI133" s="1" t="s">
        <v>59</v>
      </c>
      <c r="BJ133" s="1" t="s">
        <v>60</v>
      </c>
      <c r="BK133" s="1" t="s">
        <v>60</v>
      </c>
      <c r="BL133" s="1" t="s">
        <v>61</v>
      </c>
      <c r="BM133" s="1" t="s">
        <v>61</v>
      </c>
      <c r="BN133" s="1" t="s">
        <v>62</v>
      </c>
      <c r="BO133" s="1" t="s">
        <v>62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66</v>
      </c>
      <c r="Y135" s="2">
        <v>37.700000000000003</v>
      </c>
      <c r="Z135" s="2">
        <v>46.76</v>
      </c>
      <c r="AA135" s="2">
        <v>13.2</v>
      </c>
      <c r="AB135" s="2">
        <v>13.13</v>
      </c>
      <c r="AC135" s="2">
        <v>14.04</v>
      </c>
      <c r="AD135" s="2">
        <v>23.88</v>
      </c>
      <c r="AE135" s="2">
        <v>14.95</v>
      </c>
      <c r="AF135" s="2">
        <v>27.38</v>
      </c>
      <c r="AG135" s="2">
        <v>17.510000000000002</v>
      </c>
      <c r="AH135" s="2">
        <v>14.37</v>
      </c>
      <c r="AI135" s="2">
        <v>31.11</v>
      </c>
      <c r="AJ135" s="2">
        <v>12.75</v>
      </c>
      <c r="AK135" s="2">
        <v>40.04</v>
      </c>
      <c r="AL135" s="2">
        <v>5.35</v>
      </c>
      <c r="AM135" s="2">
        <v>28.12</v>
      </c>
      <c r="AN135" s="2">
        <v>9.51</v>
      </c>
      <c r="AO135" s="2">
        <v>3.18</v>
      </c>
      <c r="AP135" s="2">
        <v>2.57</v>
      </c>
      <c r="AQ135" s="2">
        <v>6.41</v>
      </c>
      <c r="AR135" s="2">
        <v>2.86</v>
      </c>
      <c r="AU135" s="1" t="s">
        <v>66</v>
      </c>
      <c r="AV135" s="2">
        <v>282.2</v>
      </c>
      <c r="AW135" s="2">
        <v>290.64</v>
      </c>
      <c r="AX135" s="2">
        <v>201.7</v>
      </c>
      <c r="AY135" s="2">
        <v>201.77</v>
      </c>
      <c r="AZ135" s="2">
        <v>215.56</v>
      </c>
      <c r="BA135" s="2">
        <v>338.72</v>
      </c>
      <c r="BB135" s="2">
        <v>258.05</v>
      </c>
      <c r="BC135" s="2">
        <v>368.82</v>
      </c>
      <c r="BD135" s="2">
        <v>301.69</v>
      </c>
      <c r="BE135" s="2">
        <v>278.93</v>
      </c>
      <c r="BF135" s="2">
        <v>271.29000000000002</v>
      </c>
      <c r="BG135" s="2">
        <v>289.64999999999998</v>
      </c>
      <c r="BH135" s="2">
        <v>316.95999999999998</v>
      </c>
      <c r="BI135" s="2">
        <v>273.25</v>
      </c>
      <c r="BJ135" s="2">
        <v>249.78</v>
      </c>
      <c r="BK135" s="2">
        <v>259.99</v>
      </c>
      <c r="BL135" s="2">
        <v>306.92</v>
      </c>
      <c r="BM135" s="2">
        <v>247.33</v>
      </c>
      <c r="BN135" s="2">
        <v>307.19</v>
      </c>
      <c r="BO135" s="2">
        <v>275.74</v>
      </c>
    </row>
    <row r="136" spans="24:67" x14ac:dyDescent="0.3">
      <c r="X136" s="1" t="s">
        <v>67</v>
      </c>
      <c r="Y136" s="2">
        <v>34.64</v>
      </c>
      <c r="Z136" s="2">
        <v>27.57</v>
      </c>
      <c r="AA136" s="2">
        <v>19.170000000000002</v>
      </c>
      <c r="AB136" s="2">
        <v>21.41</v>
      </c>
      <c r="AC136" s="2">
        <v>19.97</v>
      </c>
      <c r="AD136" s="2">
        <v>11.51</v>
      </c>
      <c r="AE136" s="2">
        <v>29.7</v>
      </c>
      <c r="AF136" s="2">
        <v>40.01</v>
      </c>
      <c r="AG136" s="2">
        <v>30.02</v>
      </c>
      <c r="AH136" s="2">
        <v>37.049999999999997</v>
      </c>
      <c r="AI136" s="2">
        <v>29.63</v>
      </c>
      <c r="AJ136" s="2">
        <v>40.76</v>
      </c>
      <c r="AK136" s="2">
        <v>30.24</v>
      </c>
      <c r="AL136" s="2">
        <v>33.729999999999997</v>
      </c>
      <c r="AM136" s="2">
        <v>28.71</v>
      </c>
      <c r="AN136" s="2">
        <v>28.9</v>
      </c>
      <c r="AO136" s="2">
        <v>24.52</v>
      </c>
      <c r="AP136" s="2">
        <v>27.13</v>
      </c>
      <c r="AQ136" s="2">
        <v>33.21</v>
      </c>
      <c r="AR136" s="2">
        <v>27.07</v>
      </c>
      <c r="AU136" s="1" t="s">
        <v>67</v>
      </c>
      <c r="AV136" s="2">
        <v>151.86000000000001</v>
      </c>
      <c r="AW136" s="2">
        <v>119.33</v>
      </c>
      <c r="AX136" s="2">
        <v>78.03</v>
      </c>
      <c r="AY136" s="2">
        <v>85.99</v>
      </c>
      <c r="AZ136" s="2">
        <v>79.83</v>
      </c>
      <c r="BA136" s="2">
        <v>170.39</v>
      </c>
      <c r="BB136" s="2">
        <v>122.4</v>
      </c>
      <c r="BC136" s="2">
        <v>161.19</v>
      </c>
      <c r="BD136" s="2">
        <v>133.78</v>
      </c>
      <c r="BE136" s="2">
        <v>161.15</v>
      </c>
      <c r="BF136" s="2">
        <v>135.57</v>
      </c>
      <c r="BG136" s="2">
        <v>178.74</v>
      </c>
      <c r="BH136" s="2">
        <v>133.96</v>
      </c>
      <c r="BI136" s="2">
        <v>147.87</v>
      </c>
      <c r="BJ136" s="2">
        <v>127.69</v>
      </c>
      <c r="BK136" s="2">
        <v>127.5</v>
      </c>
      <c r="BL136" s="2">
        <v>108.38</v>
      </c>
      <c r="BM136" s="2">
        <v>118.07</v>
      </c>
      <c r="BN136" s="2">
        <v>150.88999999999999</v>
      </c>
      <c r="BO136" s="2">
        <v>118.43</v>
      </c>
    </row>
    <row r="137" spans="24:67" x14ac:dyDescent="0.3">
      <c r="X137" s="1" t="s">
        <v>68</v>
      </c>
      <c r="Y137" s="2">
        <v>180.84</v>
      </c>
      <c r="Z137" s="2">
        <v>77.86</v>
      </c>
      <c r="AA137" s="2">
        <v>137.41999999999999</v>
      </c>
      <c r="AB137" s="2">
        <v>61.22</v>
      </c>
      <c r="AC137" s="2">
        <v>222.87</v>
      </c>
      <c r="AD137" s="2">
        <v>251.72</v>
      </c>
      <c r="AE137" s="2">
        <v>212.68</v>
      </c>
      <c r="AF137" s="2">
        <v>158.54</v>
      </c>
      <c r="AG137" s="2">
        <v>263.47000000000003</v>
      </c>
      <c r="AH137" s="2">
        <v>156.91</v>
      </c>
      <c r="AI137" s="2">
        <v>254.24</v>
      </c>
      <c r="AJ137" s="2">
        <v>162.49</v>
      </c>
      <c r="AK137" s="2">
        <v>270.02999999999997</v>
      </c>
      <c r="AL137" s="2">
        <v>144.32</v>
      </c>
      <c r="AM137" s="2">
        <v>253.17</v>
      </c>
      <c r="AN137" s="2">
        <v>125.86</v>
      </c>
      <c r="AO137" s="2">
        <v>125.9</v>
      </c>
      <c r="AP137" s="2">
        <v>136.80000000000001</v>
      </c>
      <c r="AQ137" s="2">
        <v>106.96</v>
      </c>
      <c r="AR137" s="2">
        <v>99.76</v>
      </c>
      <c r="AU137" s="1" t="s">
        <v>68</v>
      </c>
      <c r="AV137" s="2">
        <v>633.27</v>
      </c>
      <c r="AW137" s="2">
        <v>337.04</v>
      </c>
      <c r="AX137" s="2">
        <v>527.13</v>
      </c>
      <c r="AY137" s="2">
        <v>245.68</v>
      </c>
      <c r="AZ137" s="2">
        <v>480.49</v>
      </c>
      <c r="BA137" s="2">
        <v>778.24</v>
      </c>
      <c r="BB137" s="2">
        <v>617.59</v>
      </c>
      <c r="BC137" s="2">
        <v>645.52</v>
      </c>
      <c r="BD137" s="2">
        <v>745.13</v>
      </c>
      <c r="BE137" s="2">
        <v>687.48</v>
      </c>
      <c r="BF137" s="2">
        <v>706.51</v>
      </c>
      <c r="BG137" s="2">
        <v>720.3</v>
      </c>
      <c r="BH137" s="2">
        <v>709.23</v>
      </c>
      <c r="BI137" s="2">
        <v>636.09</v>
      </c>
      <c r="BJ137" s="2">
        <v>650.47</v>
      </c>
      <c r="BK137" s="2">
        <v>558.15</v>
      </c>
      <c r="BL137" s="2">
        <v>562.13</v>
      </c>
      <c r="BM137" s="2">
        <v>598.79</v>
      </c>
      <c r="BN137" s="2">
        <v>470.98</v>
      </c>
      <c r="BO137" s="2">
        <v>436.5</v>
      </c>
    </row>
    <row r="138" spans="24:67" x14ac:dyDescent="0.3">
      <c r="X138" s="1" t="s">
        <v>69</v>
      </c>
      <c r="Y138" s="2">
        <v>56.94</v>
      </c>
      <c r="Z138" s="2">
        <v>23.24</v>
      </c>
      <c r="AA138" s="2">
        <v>34.15</v>
      </c>
      <c r="AB138" s="2">
        <v>26.55</v>
      </c>
      <c r="AC138" s="2">
        <v>47.77</v>
      </c>
      <c r="AD138" s="2">
        <v>48.87</v>
      </c>
      <c r="AE138" s="2">
        <v>61.78</v>
      </c>
      <c r="AF138" s="2">
        <v>40.409999999999997</v>
      </c>
      <c r="AG138" s="2">
        <v>56.05</v>
      </c>
      <c r="AH138" s="2">
        <v>45.99</v>
      </c>
      <c r="AI138" s="2">
        <v>59.35</v>
      </c>
      <c r="AJ138" s="2">
        <v>46.77</v>
      </c>
      <c r="AK138" s="2">
        <v>62.09</v>
      </c>
      <c r="AL138" s="2">
        <v>39.64</v>
      </c>
      <c r="AM138" s="2">
        <v>50.86</v>
      </c>
      <c r="AN138" s="2">
        <v>40.619999999999997</v>
      </c>
      <c r="AO138" s="2">
        <v>38.92</v>
      </c>
      <c r="AP138" s="2">
        <v>33.840000000000003</v>
      </c>
      <c r="AQ138" s="2">
        <v>35.72</v>
      </c>
      <c r="AR138" s="2">
        <v>30.47</v>
      </c>
      <c r="AU138" s="1" t="s">
        <v>69</v>
      </c>
      <c r="AV138" s="2">
        <v>190.73</v>
      </c>
      <c r="AW138" s="2">
        <v>100.26</v>
      </c>
      <c r="AX138" s="2">
        <v>141.16</v>
      </c>
      <c r="AY138" s="2">
        <v>106.45</v>
      </c>
      <c r="AZ138" s="2">
        <v>148.09</v>
      </c>
      <c r="BA138" s="2">
        <v>197.44</v>
      </c>
      <c r="BB138" s="2">
        <v>225.93</v>
      </c>
      <c r="BC138" s="2">
        <v>163.38999999999999</v>
      </c>
      <c r="BD138" s="2">
        <v>219.24</v>
      </c>
      <c r="BE138" s="2">
        <v>200.39</v>
      </c>
      <c r="BF138" s="2">
        <v>231.75</v>
      </c>
      <c r="BG138" s="2">
        <v>204.88</v>
      </c>
      <c r="BH138" s="2">
        <v>239.85</v>
      </c>
      <c r="BI138" s="2">
        <v>173.06</v>
      </c>
      <c r="BJ138" s="2">
        <v>228.44</v>
      </c>
      <c r="BK138" s="2">
        <v>177.78</v>
      </c>
      <c r="BL138" s="2">
        <v>170.28</v>
      </c>
      <c r="BM138" s="2">
        <v>147.06</v>
      </c>
      <c r="BN138" s="2">
        <v>155.88</v>
      </c>
      <c r="BO138" s="2">
        <v>132.57</v>
      </c>
    </row>
    <row r="139" spans="24:67" x14ac:dyDescent="0.3">
      <c r="X139" s="1" t="s">
        <v>70</v>
      </c>
      <c r="Y139" s="2">
        <v>161.15</v>
      </c>
      <c r="Z139" s="2">
        <v>163.05000000000001</v>
      </c>
      <c r="AA139" s="2">
        <v>176.28</v>
      </c>
      <c r="AB139" s="2">
        <v>194.7</v>
      </c>
      <c r="AC139" s="2">
        <v>157.63999999999999</v>
      </c>
      <c r="AD139" s="2">
        <v>156.96</v>
      </c>
      <c r="AE139" s="2">
        <v>224.96</v>
      </c>
      <c r="AF139" s="2">
        <v>211.57</v>
      </c>
      <c r="AG139" s="2">
        <v>238.63</v>
      </c>
      <c r="AH139" s="2">
        <v>209.84</v>
      </c>
      <c r="AI139" s="2">
        <v>225.23</v>
      </c>
      <c r="AJ139" s="2">
        <v>200.13</v>
      </c>
      <c r="AK139" s="2">
        <v>214.8</v>
      </c>
      <c r="AL139" s="2">
        <v>188.66</v>
      </c>
      <c r="AM139" s="2">
        <v>192.62</v>
      </c>
      <c r="AN139" s="2">
        <v>179.68</v>
      </c>
      <c r="AO139" s="2">
        <v>187.56</v>
      </c>
      <c r="AP139" s="2">
        <v>138.75</v>
      </c>
      <c r="AQ139" s="2">
        <v>169.13</v>
      </c>
      <c r="AR139" s="2">
        <v>163.09</v>
      </c>
      <c r="AU139" s="1" t="s">
        <v>70</v>
      </c>
      <c r="AV139" s="2">
        <v>549.08000000000004</v>
      </c>
      <c r="AW139" s="2">
        <v>688.95</v>
      </c>
      <c r="AX139" s="2">
        <v>678.63</v>
      </c>
      <c r="AY139" s="2">
        <v>783.3</v>
      </c>
      <c r="AZ139" s="2">
        <v>528.02</v>
      </c>
      <c r="BA139" s="2">
        <v>547.9</v>
      </c>
      <c r="BB139" s="2">
        <v>900.54</v>
      </c>
      <c r="BC139" s="2">
        <v>850.93</v>
      </c>
      <c r="BD139" s="2">
        <v>1041.8699999999999</v>
      </c>
      <c r="BE139" s="2">
        <v>916.66</v>
      </c>
      <c r="BF139" s="2">
        <v>995.77</v>
      </c>
      <c r="BG139" s="2">
        <v>884.87</v>
      </c>
      <c r="BH139" s="2">
        <v>935.7</v>
      </c>
      <c r="BI139" s="2">
        <v>825.34</v>
      </c>
      <c r="BJ139" s="2">
        <v>837.38</v>
      </c>
      <c r="BK139" s="2">
        <v>782.32</v>
      </c>
      <c r="BL139" s="2">
        <v>809.44</v>
      </c>
      <c r="BM139" s="2">
        <v>599.75</v>
      </c>
      <c r="BN139" s="2">
        <v>732.87</v>
      </c>
      <c r="BO139" s="2">
        <v>713.91</v>
      </c>
    </row>
    <row r="140" spans="24:67" x14ac:dyDescent="0.3">
      <c r="X140" s="1" t="s">
        <v>71</v>
      </c>
      <c r="Y140" s="2">
        <v>30.77</v>
      </c>
      <c r="Z140" s="2">
        <v>29.35</v>
      </c>
      <c r="AA140" s="2">
        <v>32.28</v>
      </c>
      <c r="AB140" s="2">
        <v>37.56</v>
      </c>
      <c r="AC140" s="2">
        <v>29.48</v>
      </c>
      <c r="AD140" s="2">
        <v>24.17</v>
      </c>
      <c r="AE140" s="2">
        <v>39.61</v>
      </c>
      <c r="AF140" s="2">
        <v>24.61</v>
      </c>
      <c r="AG140" s="2">
        <v>36.43</v>
      </c>
      <c r="AH140" s="2">
        <v>40.409999999999997</v>
      </c>
      <c r="AI140" s="2">
        <v>42.12</v>
      </c>
      <c r="AJ140" s="2">
        <v>40.020000000000003</v>
      </c>
      <c r="AK140" s="2">
        <v>39.19</v>
      </c>
      <c r="AL140" s="2">
        <v>34.57</v>
      </c>
      <c r="AM140" s="2">
        <v>39.369999999999997</v>
      </c>
      <c r="AN140" s="2">
        <v>40.71</v>
      </c>
      <c r="AO140" s="2">
        <v>40.270000000000003</v>
      </c>
      <c r="AP140" s="2">
        <v>30.54</v>
      </c>
      <c r="AQ140" s="2">
        <v>34.17</v>
      </c>
      <c r="AR140" s="2">
        <v>28.44</v>
      </c>
      <c r="AU140" s="1" t="s">
        <v>71</v>
      </c>
      <c r="AV140" s="2">
        <v>92.62</v>
      </c>
      <c r="AW140" s="2">
        <v>90.47</v>
      </c>
      <c r="AX140" s="2">
        <v>103.37</v>
      </c>
      <c r="AY140" s="2">
        <v>120.94</v>
      </c>
      <c r="AZ140" s="2">
        <v>84.92</v>
      </c>
      <c r="BA140" s="2">
        <v>73.180000000000007</v>
      </c>
      <c r="BB140" s="2">
        <v>121.29</v>
      </c>
      <c r="BC140" s="2">
        <v>75.430000000000007</v>
      </c>
      <c r="BD140" s="2">
        <v>121.17</v>
      </c>
      <c r="BE140" s="2">
        <v>139.63999999999999</v>
      </c>
      <c r="BF140" s="2">
        <v>144.08000000000001</v>
      </c>
      <c r="BG140" s="2">
        <v>147.41999999999999</v>
      </c>
      <c r="BH140" s="2">
        <v>132.54</v>
      </c>
      <c r="BI140" s="2">
        <v>122.17</v>
      </c>
      <c r="BJ140" s="2">
        <v>134.47999999999999</v>
      </c>
      <c r="BK140" s="2">
        <v>146.69999999999999</v>
      </c>
      <c r="BL140" s="2">
        <v>135.78</v>
      </c>
      <c r="BM140" s="2">
        <v>107.28</v>
      </c>
      <c r="BN140" s="2">
        <v>115.14</v>
      </c>
      <c r="BO140" s="2">
        <v>95.96</v>
      </c>
    </row>
    <row r="141" spans="24:67" x14ac:dyDescent="0.3">
      <c r="X141" s="1" t="s">
        <v>72</v>
      </c>
      <c r="Y141" s="2">
        <v>90.36</v>
      </c>
      <c r="Z141" s="2">
        <v>107.42</v>
      </c>
      <c r="AA141" s="2">
        <v>79.91</v>
      </c>
      <c r="AB141" s="2">
        <v>83.36</v>
      </c>
      <c r="AC141" s="2">
        <v>84.89</v>
      </c>
      <c r="AD141" s="2">
        <v>83.46</v>
      </c>
      <c r="AE141" s="2">
        <v>99.46</v>
      </c>
      <c r="AF141" s="2">
        <v>118</v>
      </c>
      <c r="AG141" s="2">
        <v>92.39</v>
      </c>
      <c r="AH141" s="2">
        <v>143.53</v>
      </c>
      <c r="AI141" s="2">
        <v>92.96</v>
      </c>
      <c r="AJ141" s="2">
        <v>134.94</v>
      </c>
      <c r="AK141" s="2">
        <v>84.75</v>
      </c>
      <c r="AL141" s="2">
        <v>107.06</v>
      </c>
      <c r="AM141" s="2">
        <v>88.97</v>
      </c>
      <c r="AN141" s="2">
        <v>96.87</v>
      </c>
      <c r="AO141" s="2">
        <v>87.47</v>
      </c>
      <c r="AP141" s="2">
        <v>67.239999999999995</v>
      </c>
      <c r="AQ141" s="2">
        <v>73.53</v>
      </c>
      <c r="AR141" s="2">
        <v>71.16</v>
      </c>
      <c r="AU141" s="1" t="s">
        <v>72</v>
      </c>
      <c r="AV141" s="2">
        <v>288.04000000000002</v>
      </c>
      <c r="AW141" s="2">
        <v>344.18</v>
      </c>
      <c r="AX141" s="2">
        <v>251.88</v>
      </c>
      <c r="AY141" s="2">
        <v>289.02999999999997</v>
      </c>
      <c r="AZ141" s="2">
        <v>215.31</v>
      </c>
      <c r="BA141" s="2">
        <v>258.7</v>
      </c>
      <c r="BB141" s="2">
        <v>313.58999999999997</v>
      </c>
      <c r="BC141" s="2">
        <v>248.25</v>
      </c>
      <c r="BD141" s="2">
        <v>312.69</v>
      </c>
      <c r="BE141" s="2">
        <v>378.9</v>
      </c>
      <c r="BF141" s="2">
        <v>327.31</v>
      </c>
      <c r="BG141" s="2">
        <v>358.15</v>
      </c>
      <c r="BH141" s="2">
        <v>293.60000000000002</v>
      </c>
      <c r="BI141" s="2">
        <v>307.24</v>
      </c>
      <c r="BJ141" s="2">
        <v>316.82</v>
      </c>
      <c r="BK141" s="2">
        <v>346.98</v>
      </c>
      <c r="BL141" s="2">
        <v>299.74</v>
      </c>
      <c r="BM141" s="2">
        <v>232.07</v>
      </c>
      <c r="BN141" s="2">
        <v>252.93</v>
      </c>
      <c r="BO141" s="2">
        <v>244.96</v>
      </c>
    </row>
    <row r="142" spans="24:67" x14ac:dyDescent="0.3">
      <c r="X142" s="1" t="s">
        <v>73</v>
      </c>
      <c r="Y142" s="2">
        <v>44.38</v>
      </c>
      <c r="Z142" s="2">
        <v>33.840000000000003</v>
      </c>
      <c r="AA142" s="2">
        <v>20.5</v>
      </c>
      <c r="AB142" s="2">
        <v>24.46</v>
      </c>
      <c r="AC142" s="2">
        <v>5.57</v>
      </c>
      <c r="AD142" s="2">
        <v>26.54</v>
      </c>
      <c r="AE142" s="2">
        <v>16.62</v>
      </c>
      <c r="AF142" s="2">
        <v>27.32</v>
      </c>
      <c r="AG142" s="2">
        <v>33.83</v>
      </c>
      <c r="AH142" s="2">
        <v>19.8</v>
      </c>
      <c r="AI142" s="2">
        <v>24.27</v>
      </c>
      <c r="AJ142" s="2">
        <v>22.59</v>
      </c>
      <c r="AK142" s="2">
        <v>26.26</v>
      </c>
      <c r="AL142" s="2">
        <v>29.56</v>
      </c>
      <c r="AM142" s="2">
        <v>20.99</v>
      </c>
      <c r="AN142" s="2">
        <v>24.46</v>
      </c>
      <c r="AO142" s="2">
        <v>29.48</v>
      </c>
      <c r="AP142" s="2">
        <v>20.8</v>
      </c>
      <c r="AQ142" s="2">
        <v>28.89</v>
      </c>
      <c r="AR142" s="2">
        <v>22.74</v>
      </c>
      <c r="AU142" s="1" t="s">
        <v>73</v>
      </c>
      <c r="AV142" s="2">
        <v>144.62</v>
      </c>
      <c r="AW142" s="2">
        <v>110.76</v>
      </c>
      <c r="AX142" s="2">
        <v>63.8</v>
      </c>
      <c r="AY142" s="2">
        <v>75.14</v>
      </c>
      <c r="AZ142" s="2">
        <v>92.83</v>
      </c>
      <c r="BA142" s="2">
        <v>79.66</v>
      </c>
      <c r="BB142" s="2">
        <v>92.88</v>
      </c>
      <c r="BC142" s="2">
        <v>82.7</v>
      </c>
      <c r="BD142" s="2">
        <v>110.17</v>
      </c>
      <c r="BE142" s="2">
        <v>65.08</v>
      </c>
      <c r="BF142" s="2">
        <v>79.23</v>
      </c>
      <c r="BG142" s="2">
        <v>75.13</v>
      </c>
      <c r="BH142" s="2">
        <v>85.64</v>
      </c>
      <c r="BI142" s="2">
        <v>97.34</v>
      </c>
      <c r="BJ142" s="2">
        <v>68.41</v>
      </c>
      <c r="BK142" s="2">
        <v>79.94</v>
      </c>
      <c r="BL142" s="2">
        <v>95.92</v>
      </c>
      <c r="BM142" s="2">
        <v>67.7</v>
      </c>
      <c r="BN142" s="2">
        <v>94.11</v>
      </c>
      <c r="BO142" s="2">
        <v>74.16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5" t="s">
        <v>63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 t="s">
        <v>64</v>
      </c>
      <c r="AJ146" s="5"/>
      <c r="AK146" s="5"/>
      <c r="AL146" s="5"/>
      <c r="AM146" s="5"/>
      <c r="AN146" s="5"/>
      <c r="AO146" s="5"/>
      <c r="AP146" s="5"/>
      <c r="AQ146" s="5"/>
      <c r="AR146" s="5"/>
      <c r="AU146" s="1" t="s">
        <v>6</v>
      </c>
      <c r="AV146" s="5" t="s">
        <v>63</v>
      </c>
      <c r="AW146" s="5"/>
      <c r="AX146" s="5"/>
      <c r="AY146" s="5"/>
      <c r="AZ146" s="5"/>
      <c r="BA146" s="5"/>
      <c r="BB146" s="5"/>
      <c r="BC146" s="5"/>
      <c r="BD146" s="5"/>
      <c r="BE146" s="5"/>
      <c r="BF146" s="5" t="s">
        <v>64</v>
      </c>
      <c r="BG146" s="5"/>
      <c r="BH146" s="5"/>
      <c r="BI146" s="5"/>
      <c r="BJ146" s="5"/>
      <c r="BK146" s="5"/>
      <c r="BL146" s="5"/>
      <c r="BM146" s="5"/>
      <c r="BN146" s="5"/>
      <c r="BO146" s="5"/>
    </row>
    <row r="147" spans="24:67" x14ac:dyDescent="0.3">
      <c r="X147" s="1" t="s">
        <v>65</v>
      </c>
      <c r="Y147" s="1" t="s">
        <v>53</v>
      </c>
      <c r="Z147" s="1" t="s">
        <v>62</v>
      </c>
      <c r="AA147" s="1" t="s">
        <v>54</v>
      </c>
      <c r="AB147" s="1" t="s">
        <v>55</v>
      </c>
      <c r="AC147" s="1" t="s">
        <v>56</v>
      </c>
      <c r="AD147" s="1" t="s">
        <v>57</v>
      </c>
      <c r="AE147" s="1" t="s">
        <v>58</v>
      </c>
      <c r="AF147" s="1" t="s">
        <v>59</v>
      </c>
      <c r="AG147" s="1" t="s">
        <v>60</v>
      </c>
      <c r="AH147" s="1" t="s">
        <v>61</v>
      </c>
      <c r="AI147" s="1" t="s">
        <v>53</v>
      </c>
      <c r="AJ147" s="1" t="s">
        <v>62</v>
      </c>
      <c r="AK147" s="1" t="s">
        <v>54</v>
      </c>
      <c r="AL147" s="1" t="s">
        <v>55</v>
      </c>
      <c r="AM147" s="1" t="s">
        <v>56</v>
      </c>
      <c r="AN147" s="1" t="s">
        <v>57</v>
      </c>
      <c r="AO147" s="1" t="s">
        <v>58</v>
      </c>
      <c r="AP147" s="1" t="s">
        <v>59</v>
      </c>
      <c r="AQ147" s="1" t="s">
        <v>60</v>
      </c>
      <c r="AR147" s="1" t="s">
        <v>61</v>
      </c>
      <c r="AU147" s="1" t="s">
        <v>65</v>
      </c>
      <c r="AV147" s="1" t="s">
        <v>53</v>
      </c>
      <c r="AW147" s="1" t="s">
        <v>62</v>
      </c>
      <c r="AX147" s="1" t="s">
        <v>54</v>
      </c>
      <c r="AY147" s="1" t="s">
        <v>55</v>
      </c>
      <c r="AZ147" s="1" t="s">
        <v>56</v>
      </c>
      <c r="BA147" s="1" t="s">
        <v>57</v>
      </c>
      <c r="BB147" s="1" t="s">
        <v>58</v>
      </c>
      <c r="BC147" s="1" t="s">
        <v>59</v>
      </c>
      <c r="BD147" s="1" t="s">
        <v>60</v>
      </c>
      <c r="BE147" s="1" t="s">
        <v>61</v>
      </c>
      <c r="BF147" s="1" t="s">
        <v>53</v>
      </c>
      <c r="BG147" s="1" t="s">
        <v>62</v>
      </c>
      <c r="BH147" s="1" t="s">
        <v>54</v>
      </c>
      <c r="BI147" s="1" t="s">
        <v>55</v>
      </c>
      <c r="BJ147" s="1" t="s">
        <v>56</v>
      </c>
      <c r="BK147" s="1" t="s">
        <v>57</v>
      </c>
      <c r="BL147" s="1" t="s">
        <v>58</v>
      </c>
      <c r="BM147" s="1" t="s">
        <v>59</v>
      </c>
      <c r="BN147" s="1" t="s">
        <v>60</v>
      </c>
      <c r="BO147" s="1" t="s">
        <v>61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66</v>
      </c>
      <c r="Y149" s="2">
        <v>14.33</v>
      </c>
      <c r="Z149" s="2">
        <v>2.2999999999999998</v>
      </c>
      <c r="AA149" s="2">
        <v>4.9800000000000004</v>
      </c>
      <c r="AB149" s="2">
        <v>1.63</v>
      </c>
      <c r="AC149" s="2">
        <v>22.43</v>
      </c>
      <c r="AD149" s="2">
        <v>15.45</v>
      </c>
      <c r="AE149" s="2">
        <v>18.329999999999998</v>
      </c>
      <c r="AF149" s="2">
        <v>26.59</v>
      </c>
      <c r="AG149" s="2">
        <v>19.38</v>
      </c>
      <c r="AH149" s="2">
        <v>1.2</v>
      </c>
      <c r="AI149" s="2">
        <v>24.11</v>
      </c>
      <c r="AJ149" s="2">
        <v>1.62</v>
      </c>
      <c r="AK149" s="2">
        <v>4.95</v>
      </c>
      <c r="AL149" s="2">
        <v>3.78</v>
      </c>
      <c r="AM149" s="2">
        <v>8.36</v>
      </c>
      <c r="AN149" s="2">
        <v>17.600000000000001</v>
      </c>
      <c r="AO149" s="2">
        <v>16.72</v>
      </c>
      <c r="AP149" s="2">
        <v>5.26</v>
      </c>
      <c r="AQ149" s="2">
        <v>6.79</v>
      </c>
      <c r="AR149" s="2">
        <v>2.1</v>
      </c>
      <c r="AU149" s="1" t="s">
        <v>66</v>
      </c>
      <c r="AV149" s="2">
        <v>97.6</v>
      </c>
      <c r="AW149" s="2">
        <v>114.25</v>
      </c>
      <c r="AX149" s="2">
        <v>76.010000000000005</v>
      </c>
      <c r="AY149" s="2">
        <v>24.97</v>
      </c>
      <c r="AZ149" s="2">
        <v>245.25</v>
      </c>
      <c r="BA149" s="2">
        <v>260.35000000000002</v>
      </c>
      <c r="BB149" s="2">
        <v>261.39</v>
      </c>
      <c r="BC149" s="2">
        <v>225.13</v>
      </c>
      <c r="BD149" s="2">
        <v>177.46</v>
      </c>
      <c r="BE149" s="2">
        <v>115.42</v>
      </c>
      <c r="BF149" s="2">
        <v>156.07</v>
      </c>
      <c r="BG149" s="2">
        <v>155.88</v>
      </c>
      <c r="BH149" s="2">
        <v>76.040000000000006</v>
      </c>
      <c r="BI149" s="2">
        <v>53.62</v>
      </c>
      <c r="BJ149" s="2">
        <v>118.2</v>
      </c>
      <c r="BK149" s="2">
        <v>345</v>
      </c>
      <c r="BL149" s="2">
        <v>386.48</v>
      </c>
      <c r="BM149" s="2">
        <v>272.85000000000002</v>
      </c>
      <c r="BN149" s="2">
        <v>190.05</v>
      </c>
      <c r="BO149" s="2">
        <v>202.58</v>
      </c>
    </row>
    <row r="150" spans="24:67" x14ac:dyDescent="0.3">
      <c r="X150" s="1" t="s">
        <v>67</v>
      </c>
      <c r="Y150" s="2">
        <v>23.57</v>
      </c>
      <c r="Z150" s="2">
        <v>46.46</v>
      </c>
      <c r="AA150" s="2">
        <v>16.72</v>
      </c>
      <c r="AB150" s="2">
        <v>3.91</v>
      </c>
      <c r="AC150" s="2">
        <v>22.78</v>
      </c>
      <c r="AD150" s="2">
        <v>25.73</v>
      </c>
      <c r="AE150" s="2">
        <v>35.85</v>
      </c>
      <c r="AF150" s="2">
        <v>30.56</v>
      </c>
      <c r="AG150" s="2">
        <v>41.59</v>
      </c>
      <c r="AH150" s="2">
        <v>30.11</v>
      </c>
      <c r="AI150" s="2">
        <v>15.96</v>
      </c>
      <c r="AJ150" s="2">
        <v>51.07</v>
      </c>
      <c r="AK150" s="2">
        <v>12.6</v>
      </c>
      <c r="AL150" s="2">
        <v>2.75</v>
      </c>
      <c r="AM150" s="2">
        <v>30.01</v>
      </c>
      <c r="AN150" s="2">
        <v>33.61</v>
      </c>
      <c r="AO150" s="2">
        <v>45.34</v>
      </c>
      <c r="AP150" s="2">
        <v>35.5</v>
      </c>
      <c r="AQ150" s="2">
        <v>39.26</v>
      </c>
      <c r="AR150" s="2">
        <v>38.31</v>
      </c>
      <c r="AU150" s="1" t="s">
        <v>67</v>
      </c>
      <c r="AV150" s="2">
        <v>103.31</v>
      </c>
      <c r="AW150" s="2">
        <v>210.94</v>
      </c>
      <c r="AX150" s="2">
        <v>68.040000000000006</v>
      </c>
      <c r="AY150" s="2">
        <v>15.64</v>
      </c>
      <c r="AZ150" s="2">
        <v>93.86</v>
      </c>
      <c r="BA150" s="2">
        <v>114.67</v>
      </c>
      <c r="BB150" s="2">
        <v>163.95</v>
      </c>
      <c r="BC150" s="2">
        <v>135.32</v>
      </c>
      <c r="BD150" s="2">
        <v>184.89</v>
      </c>
      <c r="BE150" s="2">
        <v>133.09</v>
      </c>
      <c r="BF150" s="2">
        <v>69.06</v>
      </c>
      <c r="BG150" s="2">
        <v>223.43</v>
      </c>
      <c r="BH150" s="2">
        <v>50.58</v>
      </c>
      <c r="BI150" s="2">
        <v>41.45</v>
      </c>
      <c r="BJ150" s="2">
        <v>120.87</v>
      </c>
      <c r="BK150" s="2">
        <v>146.19</v>
      </c>
      <c r="BL150" s="2">
        <v>198.74</v>
      </c>
      <c r="BM150" s="2">
        <v>155.61000000000001</v>
      </c>
      <c r="BN150" s="2">
        <v>173.16</v>
      </c>
      <c r="BO150" s="2">
        <v>166.71</v>
      </c>
    </row>
    <row r="151" spans="24:67" x14ac:dyDescent="0.3">
      <c r="X151" s="1" t="s">
        <v>68</v>
      </c>
      <c r="Y151" s="2">
        <v>58.2</v>
      </c>
      <c r="Z151" s="2">
        <v>143.77000000000001</v>
      </c>
      <c r="AA151" s="2">
        <v>45.82</v>
      </c>
      <c r="AB151" s="2">
        <v>20.73</v>
      </c>
      <c r="AC151" s="2">
        <v>114.44</v>
      </c>
      <c r="AD151" s="2">
        <v>139.08000000000001</v>
      </c>
      <c r="AE151" s="2">
        <v>237.45</v>
      </c>
      <c r="AF151" s="2">
        <v>213.18</v>
      </c>
      <c r="AG151" s="2">
        <v>271.92</v>
      </c>
      <c r="AH151" s="2">
        <v>108.18</v>
      </c>
      <c r="AI151" s="2">
        <v>35.28</v>
      </c>
      <c r="AJ151" s="2">
        <v>135.06</v>
      </c>
      <c r="AK151" s="2">
        <v>22.87</v>
      </c>
      <c r="AL151" s="2">
        <v>35.56</v>
      </c>
      <c r="AM151" s="2">
        <v>95.33</v>
      </c>
      <c r="AN151" s="2">
        <v>96.42</v>
      </c>
      <c r="AO151" s="2">
        <v>155</v>
      </c>
      <c r="AP151" s="2">
        <v>128.21</v>
      </c>
      <c r="AQ151" s="2">
        <v>146.46</v>
      </c>
      <c r="AR151" s="2">
        <v>133.19999999999999</v>
      </c>
      <c r="AU151" s="1" t="s">
        <v>68</v>
      </c>
      <c r="AV151" s="2">
        <v>203.68</v>
      </c>
      <c r="AW151" s="2">
        <v>632.65</v>
      </c>
      <c r="AX151" s="2">
        <v>175.65</v>
      </c>
      <c r="AY151" s="2">
        <v>44.69</v>
      </c>
      <c r="AZ151" s="2">
        <v>332.21</v>
      </c>
      <c r="BA151" s="2">
        <v>393.12</v>
      </c>
      <c r="BB151" s="2">
        <v>659.21</v>
      </c>
      <c r="BC151" s="2">
        <v>559.49</v>
      </c>
      <c r="BD151" s="2">
        <v>698.02</v>
      </c>
      <c r="BE151" s="2">
        <v>482.53</v>
      </c>
      <c r="BF151" s="2">
        <v>152.69999999999999</v>
      </c>
      <c r="BG151" s="2">
        <v>590.66</v>
      </c>
      <c r="BH151" s="2">
        <v>91.79</v>
      </c>
      <c r="BI151" s="2">
        <v>109.93</v>
      </c>
      <c r="BJ151" s="2">
        <v>387.95</v>
      </c>
      <c r="BK151" s="2">
        <v>422.2</v>
      </c>
      <c r="BL151" s="2">
        <v>686.34</v>
      </c>
      <c r="BM151" s="2">
        <v>564.66999999999996</v>
      </c>
      <c r="BN151" s="2">
        <v>648.99</v>
      </c>
      <c r="BO151" s="2">
        <v>582.67999999999995</v>
      </c>
    </row>
    <row r="152" spans="24:67" x14ac:dyDescent="0.3">
      <c r="X152" s="1" t="s">
        <v>69</v>
      </c>
      <c r="Y152" s="2">
        <v>20.55</v>
      </c>
      <c r="Z152" s="2">
        <v>63.69</v>
      </c>
      <c r="AA152" s="2">
        <v>15.49</v>
      </c>
      <c r="AB152" s="2">
        <v>6.04</v>
      </c>
      <c r="AC152" s="2">
        <v>41.76</v>
      </c>
      <c r="AD152" s="2">
        <v>52.25</v>
      </c>
      <c r="AE152" s="2">
        <v>86.32</v>
      </c>
      <c r="AF152" s="2">
        <v>75.760000000000005</v>
      </c>
      <c r="AG152" s="2">
        <v>87.66</v>
      </c>
      <c r="AH152" s="2">
        <v>59.98</v>
      </c>
      <c r="AI152" s="2">
        <v>11.79</v>
      </c>
      <c r="AJ152" s="2">
        <v>59.66</v>
      </c>
      <c r="AK152" s="2">
        <v>10.28</v>
      </c>
      <c r="AL152" s="2">
        <v>7.82</v>
      </c>
      <c r="AM152" s="2">
        <v>28.73</v>
      </c>
      <c r="AN152" s="2">
        <v>30.82</v>
      </c>
      <c r="AO152" s="2">
        <v>46.26</v>
      </c>
      <c r="AP152" s="2">
        <v>38.979999999999997</v>
      </c>
      <c r="AQ152" s="2">
        <v>63.2</v>
      </c>
      <c r="AR152" s="2">
        <v>41.48</v>
      </c>
      <c r="AU152" s="1" t="s">
        <v>69</v>
      </c>
      <c r="AV152" s="2">
        <v>68.819999999999993</v>
      </c>
      <c r="AW152" s="2">
        <v>277.86</v>
      </c>
      <c r="AX152" s="2">
        <v>64</v>
      </c>
      <c r="AY152" s="2">
        <v>18.71</v>
      </c>
      <c r="AZ152" s="2">
        <v>152.66</v>
      </c>
      <c r="BA152" s="2">
        <v>204.28</v>
      </c>
      <c r="BB152" s="2">
        <v>336.85</v>
      </c>
      <c r="BC152" s="2">
        <v>292.47000000000003</v>
      </c>
      <c r="BD152" s="2">
        <v>393.42</v>
      </c>
      <c r="BE152" s="2">
        <v>262.33999999999997</v>
      </c>
      <c r="BF152" s="2">
        <v>50.87</v>
      </c>
      <c r="BG152" s="2">
        <v>259.48</v>
      </c>
      <c r="BH152" s="2">
        <v>41.2</v>
      </c>
      <c r="BI152" s="2">
        <v>31.61</v>
      </c>
      <c r="BJ152" s="2">
        <v>116.14</v>
      </c>
      <c r="BK152" s="2">
        <v>134.24</v>
      </c>
      <c r="BL152" s="2">
        <v>202.55</v>
      </c>
      <c r="BM152" s="2">
        <v>170.11</v>
      </c>
      <c r="BN152" s="2">
        <v>276.52</v>
      </c>
      <c r="BO152" s="2">
        <v>180.2</v>
      </c>
    </row>
    <row r="153" spans="24:67" x14ac:dyDescent="0.3">
      <c r="X153" s="1" t="s">
        <v>70</v>
      </c>
      <c r="Y153" s="2">
        <v>57.2</v>
      </c>
      <c r="Z153" s="2">
        <v>267.57</v>
      </c>
      <c r="AA153" s="2">
        <v>56.04</v>
      </c>
      <c r="AB153" s="2">
        <v>20.09</v>
      </c>
      <c r="AC153" s="2">
        <v>134.66</v>
      </c>
      <c r="AD153" s="2">
        <v>160.71</v>
      </c>
      <c r="AE153" s="2">
        <v>229.6</v>
      </c>
      <c r="AF153" s="2">
        <v>198.8</v>
      </c>
      <c r="AG153" s="2">
        <v>255.93</v>
      </c>
      <c r="AH153" s="2">
        <v>228.41</v>
      </c>
      <c r="AI153" s="2">
        <v>66.06</v>
      </c>
      <c r="AJ153" s="2">
        <v>255.32</v>
      </c>
      <c r="AK153" s="2">
        <v>46.34</v>
      </c>
      <c r="AL153" s="2">
        <v>29.28</v>
      </c>
      <c r="AM153" s="2">
        <v>116.17</v>
      </c>
      <c r="AN153" s="2">
        <v>151.5</v>
      </c>
      <c r="AO153" s="2">
        <v>225.23</v>
      </c>
      <c r="AP153" s="2">
        <v>198.09</v>
      </c>
      <c r="AQ153" s="2">
        <v>250.99</v>
      </c>
      <c r="AR153" s="2">
        <v>192.64</v>
      </c>
      <c r="AU153" s="1" t="s">
        <v>70</v>
      </c>
      <c r="AV153" s="2">
        <v>194.87</v>
      </c>
      <c r="AW153" s="2">
        <v>1158.93</v>
      </c>
      <c r="AX153" s="2">
        <v>215.69</v>
      </c>
      <c r="AY153" s="2">
        <v>67.28</v>
      </c>
      <c r="AZ153" s="2">
        <v>538.94000000000005</v>
      </c>
      <c r="BA153" s="2">
        <v>701.29</v>
      </c>
      <c r="BB153" s="2">
        <v>1014.2</v>
      </c>
      <c r="BC153" s="2">
        <v>865.5</v>
      </c>
      <c r="BD153" s="2">
        <v>1112.07</v>
      </c>
      <c r="BE153" s="2">
        <v>985.39</v>
      </c>
      <c r="BF153" s="2">
        <v>279.08999999999997</v>
      </c>
      <c r="BG153" s="2">
        <v>1117.18</v>
      </c>
      <c r="BH153" s="2">
        <v>186.36</v>
      </c>
      <c r="BI153" s="2">
        <v>102.21</v>
      </c>
      <c r="BJ153" s="2">
        <v>467.03</v>
      </c>
      <c r="BK153" s="2">
        <v>661.5</v>
      </c>
      <c r="BL153" s="2">
        <v>995.17</v>
      </c>
      <c r="BM153" s="2">
        <v>866.21</v>
      </c>
      <c r="BN153" s="2">
        <v>1092.31</v>
      </c>
      <c r="BO153" s="2">
        <v>832.46</v>
      </c>
    </row>
    <row r="154" spans="24:67" x14ac:dyDescent="0.3">
      <c r="X154" s="1" t="s">
        <v>71</v>
      </c>
      <c r="Y154" s="2">
        <v>13.46</v>
      </c>
      <c r="Z154" s="2">
        <v>42.23</v>
      </c>
      <c r="AA154" s="2">
        <v>12.95</v>
      </c>
      <c r="AB154" s="2">
        <v>3.68</v>
      </c>
      <c r="AC154" s="2">
        <v>14.85</v>
      </c>
      <c r="AD154" s="2">
        <v>16.510000000000002</v>
      </c>
      <c r="AE154" s="2">
        <v>34.130000000000003</v>
      </c>
      <c r="AF154" s="2">
        <v>31.32</v>
      </c>
      <c r="AG154" s="2">
        <v>39.53</v>
      </c>
      <c r="AH154" s="2">
        <v>40.229999999999997</v>
      </c>
      <c r="AI154" s="2">
        <v>5.15</v>
      </c>
      <c r="AJ154" s="2">
        <v>32.01</v>
      </c>
      <c r="AK154" s="2">
        <v>4.72</v>
      </c>
      <c r="AL154" s="2">
        <v>2.82</v>
      </c>
      <c r="AM154" s="2">
        <v>9.1</v>
      </c>
      <c r="AN154" s="2">
        <v>18.41</v>
      </c>
      <c r="AO154" s="2">
        <v>28.28</v>
      </c>
      <c r="AP154" s="2">
        <v>22.28</v>
      </c>
      <c r="AQ154" s="2">
        <v>36.93</v>
      </c>
      <c r="AR154" s="2">
        <v>19.45</v>
      </c>
      <c r="AU154" s="1" t="s">
        <v>71</v>
      </c>
      <c r="AV154" s="2">
        <v>40.53</v>
      </c>
      <c r="AW154" s="2">
        <v>142.28</v>
      </c>
      <c r="AX154" s="2">
        <v>41.45</v>
      </c>
      <c r="AY154" s="2">
        <v>10.61</v>
      </c>
      <c r="AZ154" s="2">
        <v>45.47</v>
      </c>
      <c r="BA154" s="2">
        <v>54.89</v>
      </c>
      <c r="BB154" s="2">
        <v>116.71</v>
      </c>
      <c r="BC154" s="2">
        <v>105.88</v>
      </c>
      <c r="BD154" s="2">
        <v>134.94999999999999</v>
      </c>
      <c r="BE154" s="2">
        <v>135.6</v>
      </c>
      <c r="BF154" s="2">
        <v>15.87</v>
      </c>
      <c r="BG154" s="2">
        <v>107.94</v>
      </c>
      <c r="BH154" s="2">
        <v>15.18</v>
      </c>
      <c r="BI154" s="2">
        <v>8.5299999999999994</v>
      </c>
      <c r="BJ154" s="2">
        <v>27.9</v>
      </c>
      <c r="BK154" s="2">
        <v>63.56</v>
      </c>
      <c r="BL154" s="2">
        <v>104.05</v>
      </c>
      <c r="BM154" s="2">
        <v>78.67</v>
      </c>
      <c r="BN154" s="2">
        <v>132.94</v>
      </c>
      <c r="BO154" s="2">
        <v>68.28</v>
      </c>
    </row>
    <row r="155" spans="24:67" x14ac:dyDescent="0.3">
      <c r="X155" s="1" t="s">
        <v>72</v>
      </c>
      <c r="Y155" s="2">
        <v>25.73</v>
      </c>
      <c r="Z155" s="2">
        <v>79.849999999999994</v>
      </c>
      <c r="AA155" s="2">
        <v>20.82</v>
      </c>
      <c r="AB155" s="2">
        <v>9.17</v>
      </c>
      <c r="AC155" s="2">
        <v>39.36</v>
      </c>
      <c r="AD155" s="2">
        <v>46.14</v>
      </c>
      <c r="AE155" s="2">
        <v>68.86</v>
      </c>
      <c r="AF155" s="2">
        <v>54.68</v>
      </c>
      <c r="AG155" s="2">
        <v>86.97</v>
      </c>
      <c r="AH155" s="2">
        <v>74.44</v>
      </c>
      <c r="AI155" s="2">
        <v>26.57</v>
      </c>
      <c r="AJ155" s="2">
        <v>61</v>
      </c>
      <c r="AK155" s="2">
        <v>22.38</v>
      </c>
      <c r="AL155" s="2">
        <v>11.23</v>
      </c>
      <c r="AM155" s="2">
        <v>37.17</v>
      </c>
      <c r="AN155" s="2">
        <v>54.75</v>
      </c>
      <c r="AO155" s="2">
        <v>94.41</v>
      </c>
      <c r="AP155" s="2">
        <v>75.56</v>
      </c>
      <c r="AQ155" s="2">
        <v>84.24</v>
      </c>
      <c r="AR155" s="2">
        <v>53.67</v>
      </c>
      <c r="AU155" s="1" t="s">
        <v>72</v>
      </c>
      <c r="AV155" s="2">
        <v>81.99</v>
      </c>
      <c r="AW155" s="2">
        <v>274.52999999999997</v>
      </c>
      <c r="AX155" s="2">
        <v>65.61</v>
      </c>
      <c r="AY155" s="2">
        <v>23.26</v>
      </c>
      <c r="AZ155" s="2">
        <v>124.04</v>
      </c>
      <c r="BA155" s="2">
        <v>156.1</v>
      </c>
      <c r="BB155" s="2">
        <v>242.28</v>
      </c>
      <c r="BC155" s="2">
        <v>189.34</v>
      </c>
      <c r="BD155" s="2">
        <v>309.47000000000003</v>
      </c>
      <c r="BE155" s="2">
        <v>254.96</v>
      </c>
      <c r="BF155" s="2">
        <v>85.11</v>
      </c>
      <c r="BG155" s="2">
        <v>209.9</v>
      </c>
      <c r="BH155" s="2">
        <v>77.56</v>
      </c>
      <c r="BI155" s="2">
        <v>34.81</v>
      </c>
      <c r="BJ155" s="2">
        <v>78.19</v>
      </c>
      <c r="BK155" s="2">
        <v>144.5</v>
      </c>
      <c r="BL155" s="2">
        <v>250.46</v>
      </c>
      <c r="BM155" s="2">
        <v>216.76</v>
      </c>
      <c r="BN155" s="2">
        <v>301.44</v>
      </c>
      <c r="BO155" s="2">
        <v>185.18</v>
      </c>
    </row>
    <row r="156" spans="24:67" x14ac:dyDescent="0.3">
      <c r="X156" s="1" t="s">
        <v>73</v>
      </c>
      <c r="Y156" s="2">
        <v>5.68</v>
      </c>
      <c r="Z156" s="2">
        <v>15.85</v>
      </c>
      <c r="AA156" s="2">
        <v>3.6</v>
      </c>
      <c r="AB156" s="2">
        <v>0.31</v>
      </c>
      <c r="AC156" s="2">
        <v>8.26</v>
      </c>
      <c r="AD156" s="2">
        <v>10.43</v>
      </c>
      <c r="AE156" s="2">
        <v>21.78</v>
      </c>
      <c r="AF156" s="2">
        <v>17.760000000000002</v>
      </c>
      <c r="AG156" s="2">
        <v>13.38</v>
      </c>
      <c r="AH156" s="2">
        <v>5.99</v>
      </c>
      <c r="AI156" s="2">
        <v>10.130000000000001</v>
      </c>
      <c r="AJ156" s="2">
        <v>19.649999999999999</v>
      </c>
      <c r="AK156" s="2">
        <v>4.8899999999999997</v>
      </c>
      <c r="AL156" s="2">
        <v>1.91</v>
      </c>
      <c r="AM156" s="2">
        <v>6.85</v>
      </c>
      <c r="AN156" s="2">
        <v>14.27</v>
      </c>
      <c r="AO156" s="2">
        <v>17.45</v>
      </c>
      <c r="AP156" s="2">
        <v>10.130000000000001</v>
      </c>
      <c r="AQ156" s="2">
        <v>6.68</v>
      </c>
      <c r="AR156" s="2">
        <v>5.99</v>
      </c>
      <c r="AU156" s="1" t="s">
        <v>73</v>
      </c>
      <c r="AV156" s="2">
        <v>18.5</v>
      </c>
      <c r="AW156" s="2">
        <v>51.65</v>
      </c>
      <c r="AX156" s="2">
        <v>11.22</v>
      </c>
      <c r="AY156" s="2">
        <v>5.39</v>
      </c>
      <c r="AZ156" s="2">
        <v>45.98</v>
      </c>
      <c r="BA156" s="2">
        <v>33.97</v>
      </c>
      <c r="BB156" s="2">
        <v>71.099999999999994</v>
      </c>
      <c r="BC156" s="2">
        <v>57.93</v>
      </c>
      <c r="BD156" s="2">
        <v>43.62</v>
      </c>
      <c r="BE156" s="2">
        <v>19.510000000000002</v>
      </c>
      <c r="BF156" s="2">
        <v>33.159999999999997</v>
      </c>
      <c r="BG156" s="2">
        <v>64.05</v>
      </c>
      <c r="BH156" s="2">
        <v>15</v>
      </c>
      <c r="BI156" s="2">
        <v>5.74</v>
      </c>
      <c r="BJ156" s="2">
        <v>20.74</v>
      </c>
      <c r="BK156" s="2">
        <v>46.91</v>
      </c>
      <c r="BL156" s="2">
        <v>58.01</v>
      </c>
      <c r="BM156" s="2">
        <v>33.369999999999997</v>
      </c>
      <c r="BN156" s="2">
        <v>21.82</v>
      </c>
      <c r="BO156" s="2">
        <v>19.510000000000002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63</v>
      </c>
      <c r="Z160" s="1" t="s">
        <v>64</v>
      </c>
      <c r="AA160" s="1" t="s">
        <v>63</v>
      </c>
      <c r="AB160" s="1" t="s">
        <v>64</v>
      </c>
      <c r="AC160" s="1" t="s">
        <v>63</v>
      </c>
      <c r="AD160" s="1" t="s">
        <v>64</v>
      </c>
      <c r="AE160" s="1" t="s">
        <v>63</v>
      </c>
      <c r="AF160" s="1" t="s">
        <v>64</v>
      </c>
      <c r="AG160" s="1" t="s">
        <v>63</v>
      </c>
      <c r="AH160" s="1" t="s">
        <v>64</v>
      </c>
      <c r="AI160" s="1" t="s">
        <v>63</v>
      </c>
      <c r="AJ160" s="1" t="s">
        <v>64</v>
      </c>
      <c r="AK160" s="1" t="s">
        <v>63</v>
      </c>
      <c r="AL160" s="1" t="s">
        <v>64</v>
      </c>
      <c r="AM160" s="1" t="s">
        <v>63</v>
      </c>
      <c r="AN160" s="1" t="s">
        <v>64</v>
      </c>
      <c r="AO160" s="1" t="s">
        <v>63</v>
      </c>
      <c r="AP160" s="1" t="s">
        <v>64</v>
      </c>
      <c r="AQ160" s="1" t="s">
        <v>63</v>
      </c>
      <c r="AR160" s="1" t="s">
        <v>64</v>
      </c>
      <c r="AU160" s="1" t="s">
        <v>6</v>
      </c>
      <c r="AV160" s="1" t="s">
        <v>63</v>
      </c>
      <c r="AW160" s="1" t="s">
        <v>64</v>
      </c>
      <c r="AX160" s="1" t="s">
        <v>63</v>
      </c>
      <c r="AY160" s="1" t="s">
        <v>64</v>
      </c>
      <c r="AZ160" s="1" t="s">
        <v>63</v>
      </c>
      <c r="BA160" s="1" t="s">
        <v>64</v>
      </c>
      <c r="BB160" s="1" t="s">
        <v>63</v>
      </c>
      <c r="BC160" s="1" t="s">
        <v>64</v>
      </c>
      <c r="BD160" s="1" t="s">
        <v>63</v>
      </c>
      <c r="BE160" s="1" t="s">
        <v>64</v>
      </c>
      <c r="BF160" s="1" t="s">
        <v>63</v>
      </c>
      <c r="BG160" s="1" t="s">
        <v>64</v>
      </c>
      <c r="BH160" s="1" t="s">
        <v>63</v>
      </c>
      <c r="BI160" s="1" t="s">
        <v>64</v>
      </c>
      <c r="BJ160" s="1" t="s">
        <v>63</v>
      </c>
      <c r="BK160" s="1" t="s">
        <v>64</v>
      </c>
      <c r="BL160" s="1" t="s">
        <v>63</v>
      </c>
      <c r="BM160" s="1" t="s">
        <v>64</v>
      </c>
      <c r="BN160" s="1" t="s">
        <v>63</v>
      </c>
      <c r="BO160" s="1" t="s">
        <v>64</v>
      </c>
    </row>
    <row r="161" spans="24:67" x14ac:dyDescent="0.3">
      <c r="X161" s="1" t="s">
        <v>65</v>
      </c>
      <c r="Y161" s="1" t="s">
        <v>53</v>
      </c>
      <c r="Z161" s="1" t="s">
        <v>53</v>
      </c>
      <c r="AA161" s="1" t="s">
        <v>54</v>
      </c>
      <c r="AB161" s="1" t="s">
        <v>54</v>
      </c>
      <c r="AC161" s="1" t="s">
        <v>55</v>
      </c>
      <c r="AD161" s="1" t="s">
        <v>55</v>
      </c>
      <c r="AE161" s="1" t="s">
        <v>56</v>
      </c>
      <c r="AF161" s="1" t="s">
        <v>56</v>
      </c>
      <c r="AG161" s="1" t="s">
        <v>57</v>
      </c>
      <c r="AH161" s="1" t="s">
        <v>57</v>
      </c>
      <c r="AI161" s="1" t="s">
        <v>58</v>
      </c>
      <c r="AJ161" s="1" t="s">
        <v>58</v>
      </c>
      <c r="AK161" s="1" t="s">
        <v>59</v>
      </c>
      <c r="AL161" s="1" t="s">
        <v>59</v>
      </c>
      <c r="AM161" s="1" t="s">
        <v>60</v>
      </c>
      <c r="AN161" s="1" t="s">
        <v>60</v>
      </c>
      <c r="AO161" s="1" t="s">
        <v>61</v>
      </c>
      <c r="AP161" s="1" t="s">
        <v>61</v>
      </c>
      <c r="AQ161" s="1" t="s">
        <v>62</v>
      </c>
      <c r="AR161" s="1" t="s">
        <v>62</v>
      </c>
      <c r="AU161" s="1" t="s">
        <v>65</v>
      </c>
      <c r="AV161" s="1" t="s">
        <v>53</v>
      </c>
      <c r="AW161" s="1" t="s">
        <v>53</v>
      </c>
      <c r="AX161" s="1" t="s">
        <v>54</v>
      </c>
      <c r="AY161" s="1" t="s">
        <v>54</v>
      </c>
      <c r="AZ161" s="1" t="s">
        <v>55</v>
      </c>
      <c r="BA161" s="1" t="s">
        <v>55</v>
      </c>
      <c r="BB161" s="1" t="s">
        <v>56</v>
      </c>
      <c r="BC161" s="1" t="s">
        <v>56</v>
      </c>
      <c r="BD161" s="1" t="s">
        <v>57</v>
      </c>
      <c r="BE161" s="1" t="s">
        <v>57</v>
      </c>
      <c r="BF161" s="1" t="s">
        <v>58</v>
      </c>
      <c r="BG161" s="1" t="s">
        <v>58</v>
      </c>
      <c r="BH161" s="1" t="s">
        <v>59</v>
      </c>
      <c r="BI161" s="1" t="s">
        <v>59</v>
      </c>
      <c r="BJ161" s="1" t="s">
        <v>60</v>
      </c>
      <c r="BK161" s="1" t="s">
        <v>60</v>
      </c>
      <c r="BL161" s="1" t="s">
        <v>61</v>
      </c>
      <c r="BM161" s="1" t="s">
        <v>61</v>
      </c>
      <c r="BN161" s="1" t="s">
        <v>62</v>
      </c>
      <c r="BO161" s="1" t="s">
        <v>62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66</v>
      </c>
      <c r="Y163" s="2">
        <v>11.02</v>
      </c>
      <c r="Z163" s="2">
        <v>18.55</v>
      </c>
      <c r="AA163" s="2">
        <v>3.83</v>
      </c>
      <c r="AB163" s="2">
        <v>3.81</v>
      </c>
      <c r="AC163" s="2">
        <v>3.25</v>
      </c>
      <c r="AD163" s="2">
        <v>7.57</v>
      </c>
      <c r="AE163" s="2">
        <v>14.02</v>
      </c>
      <c r="AF163" s="2">
        <v>5.22</v>
      </c>
      <c r="AG163" s="2">
        <v>7.72</v>
      </c>
      <c r="AH163" s="2">
        <v>8.8000000000000007</v>
      </c>
      <c r="AI163" s="2">
        <v>5.09</v>
      </c>
      <c r="AJ163" s="2">
        <v>4.6500000000000004</v>
      </c>
      <c r="AK163" s="2">
        <v>9.17</v>
      </c>
      <c r="AL163" s="2">
        <v>1.81</v>
      </c>
      <c r="AM163" s="2">
        <v>5.0999999999999996</v>
      </c>
      <c r="AN163" s="2">
        <v>1.79</v>
      </c>
      <c r="AO163" s="2">
        <v>0.35</v>
      </c>
      <c r="AP163" s="2">
        <v>0.62</v>
      </c>
      <c r="AQ163" s="2">
        <v>0.51</v>
      </c>
      <c r="AR163" s="2">
        <v>0.36</v>
      </c>
      <c r="AU163" s="1" t="s">
        <v>66</v>
      </c>
      <c r="AV163" s="2">
        <v>75.08</v>
      </c>
      <c r="AW163" s="2">
        <v>120.05</v>
      </c>
      <c r="AX163" s="2">
        <v>58.47</v>
      </c>
      <c r="AY163" s="2">
        <v>58.49</v>
      </c>
      <c r="AZ163" s="2">
        <v>49.95</v>
      </c>
      <c r="BA163" s="2">
        <v>107.23</v>
      </c>
      <c r="BB163" s="2">
        <v>153.28</v>
      </c>
      <c r="BC163" s="2">
        <v>73.88</v>
      </c>
      <c r="BD163" s="2">
        <v>130.18</v>
      </c>
      <c r="BE163" s="2">
        <v>172.5</v>
      </c>
      <c r="BF163" s="2">
        <v>72.61</v>
      </c>
      <c r="BG163" s="2">
        <v>107.35</v>
      </c>
      <c r="BH163" s="2">
        <v>77.63</v>
      </c>
      <c r="BI163" s="2">
        <v>94.09</v>
      </c>
      <c r="BJ163" s="2">
        <v>46.7</v>
      </c>
      <c r="BK163" s="2">
        <v>50.01</v>
      </c>
      <c r="BL163" s="2">
        <v>33.950000000000003</v>
      </c>
      <c r="BM163" s="2">
        <v>59.58</v>
      </c>
      <c r="BN163" s="2">
        <v>25.39</v>
      </c>
      <c r="BO163" s="2">
        <v>34.64</v>
      </c>
    </row>
    <row r="164" spans="24:67" x14ac:dyDescent="0.3">
      <c r="X164" s="1" t="s">
        <v>67</v>
      </c>
      <c r="Y164" s="2">
        <v>18.13</v>
      </c>
      <c r="Z164" s="2">
        <v>12.28</v>
      </c>
      <c r="AA164" s="2">
        <v>12.86</v>
      </c>
      <c r="AB164" s="2">
        <v>9.69</v>
      </c>
      <c r="AC164" s="2">
        <v>7.82</v>
      </c>
      <c r="AD164" s="2">
        <v>5.49</v>
      </c>
      <c r="AE164" s="2">
        <v>14.24</v>
      </c>
      <c r="AF164" s="2">
        <v>18.75</v>
      </c>
      <c r="AG164" s="2">
        <v>12.87</v>
      </c>
      <c r="AH164" s="2">
        <v>16.809999999999999</v>
      </c>
      <c r="AI164" s="2">
        <v>9.9600000000000009</v>
      </c>
      <c r="AJ164" s="2">
        <v>12.6</v>
      </c>
      <c r="AK164" s="2">
        <v>10.54</v>
      </c>
      <c r="AL164" s="2">
        <v>12.24</v>
      </c>
      <c r="AM164" s="2">
        <v>10.94</v>
      </c>
      <c r="AN164" s="2">
        <v>10.33</v>
      </c>
      <c r="AO164" s="2">
        <v>8.86</v>
      </c>
      <c r="AP164" s="2">
        <v>11.27</v>
      </c>
      <c r="AQ164" s="2">
        <v>10.32</v>
      </c>
      <c r="AR164" s="2">
        <v>11.35</v>
      </c>
      <c r="AU164" s="1" t="s">
        <v>67</v>
      </c>
      <c r="AV164" s="2">
        <v>79.47</v>
      </c>
      <c r="AW164" s="2">
        <v>53.12</v>
      </c>
      <c r="AX164" s="2">
        <v>52.34</v>
      </c>
      <c r="AY164" s="2">
        <v>38.909999999999997</v>
      </c>
      <c r="AZ164" s="2">
        <v>31.28</v>
      </c>
      <c r="BA164" s="2">
        <v>82.91</v>
      </c>
      <c r="BB164" s="2">
        <v>58.66</v>
      </c>
      <c r="BC164" s="2">
        <v>75.55</v>
      </c>
      <c r="BD164" s="2">
        <v>57.33</v>
      </c>
      <c r="BE164" s="2">
        <v>73.09</v>
      </c>
      <c r="BF164" s="2">
        <v>45.54</v>
      </c>
      <c r="BG164" s="2">
        <v>55.2</v>
      </c>
      <c r="BH164" s="2">
        <v>46.66</v>
      </c>
      <c r="BI164" s="2">
        <v>53.66</v>
      </c>
      <c r="BJ164" s="2">
        <v>48.66</v>
      </c>
      <c r="BK164" s="2">
        <v>45.57</v>
      </c>
      <c r="BL164" s="2">
        <v>39.14</v>
      </c>
      <c r="BM164" s="2">
        <v>49.03</v>
      </c>
      <c r="BN164" s="2">
        <v>46.88</v>
      </c>
      <c r="BO164" s="2">
        <v>49.65</v>
      </c>
    </row>
    <row r="165" spans="24:67" x14ac:dyDescent="0.3">
      <c r="X165" s="1" t="s">
        <v>68</v>
      </c>
      <c r="Y165" s="2">
        <v>44.77</v>
      </c>
      <c r="Z165" s="2">
        <v>27.14</v>
      </c>
      <c r="AA165" s="2">
        <v>35.24</v>
      </c>
      <c r="AB165" s="2">
        <v>17.600000000000001</v>
      </c>
      <c r="AC165" s="2">
        <v>41.46</v>
      </c>
      <c r="AD165" s="2">
        <v>71.12</v>
      </c>
      <c r="AE165" s="2">
        <v>71.53</v>
      </c>
      <c r="AF165" s="2">
        <v>59.58</v>
      </c>
      <c r="AG165" s="2">
        <v>69.540000000000006</v>
      </c>
      <c r="AH165" s="2">
        <v>48.21</v>
      </c>
      <c r="AI165" s="2">
        <v>65.959999999999994</v>
      </c>
      <c r="AJ165" s="2">
        <v>43.06</v>
      </c>
      <c r="AK165" s="2">
        <v>73.510000000000005</v>
      </c>
      <c r="AL165" s="2">
        <v>44.21</v>
      </c>
      <c r="AM165" s="2">
        <v>71.56</v>
      </c>
      <c r="AN165" s="2">
        <v>38.54</v>
      </c>
      <c r="AO165" s="2">
        <v>31.82</v>
      </c>
      <c r="AP165" s="2">
        <v>39.18</v>
      </c>
      <c r="AQ165" s="2">
        <v>31.95</v>
      </c>
      <c r="AR165" s="2">
        <v>30.01</v>
      </c>
      <c r="AU165" s="1" t="s">
        <v>68</v>
      </c>
      <c r="AV165" s="2">
        <v>156.68</v>
      </c>
      <c r="AW165" s="2">
        <v>117.46</v>
      </c>
      <c r="AX165" s="2">
        <v>135.11000000000001</v>
      </c>
      <c r="AY165" s="2">
        <v>70.599999999999994</v>
      </c>
      <c r="AZ165" s="2">
        <v>89.37</v>
      </c>
      <c r="BA165" s="2">
        <v>219.86</v>
      </c>
      <c r="BB165" s="2">
        <v>207.63</v>
      </c>
      <c r="BC165" s="2">
        <v>242.47</v>
      </c>
      <c r="BD165" s="2">
        <v>196.56</v>
      </c>
      <c r="BE165" s="2">
        <v>211.1</v>
      </c>
      <c r="BF165" s="2">
        <v>183.11</v>
      </c>
      <c r="BG165" s="2">
        <v>190.65</v>
      </c>
      <c r="BH165" s="2">
        <v>192.93</v>
      </c>
      <c r="BI165" s="2">
        <v>194.72</v>
      </c>
      <c r="BJ165" s="2">
        <v>183.69</v>
      </c>
      <c r="BK165" s="2">
        <v>170.79</v>
      </c>
      <c r="BL165" s="2">
        <v>141.91999999999999</v>
      </c>
      <c r="BM165" s="2">
        <v>171.38</v>
      </c>
      <c r="BN165" s="2">
        <v>140.59</v>
      </c>
      <c r="BO165" s="2">
        <v>131.26</v>
      </c>
    </row>
    <row r="166" spans="24:67" x14ac:dyDescent="0.3">
      <c r="X166" s="1" t="s">
        <v>69</v>
      </c>
      <c r="Y166" s="2">
        <v>15.81</v>
      </c>
      <c r="Z166" s="2">
        <v>9.07</v>
      </c>
      <c r="AA166" s="2">
        <v>11.91</v>
      </c>
      <c r="AB166" s="2">
        <v>7.9</v>
      </c>
      <c r="AC166" s="2">
        <v>12.07</v>
      </c>
      <c r="AD166" s="2">
        <v>15.65</v>
      </c>
      <c r="AE166" s="2">
        <v>26.1</v>
      </c>
      <c r="AF166" s="2">
        <v>17.95</v>
      </c>
      <c r="AG166" s="2">
        <v>26.12</v>
      </c>
      <c r="AH166" s="2">
        <v>15.41</v>
      </c>
      <c r="AI166" s="2">
        <v>23.98</v>
      </c>
      <c r="AJ166" s="2">
        <v>12.85</v>
      </c>
      <c r="AK166" s="2">
        <v>26.12</v>
      </c>
      <c r="AL166" s="2">
        <v>13.44</v>
      </c>
      <c r="AM166" s="2">
        <v>23.07</v>
      </c>
      <c r="AN166" s="2">
        <v>16.63</v>
      </c>
      <c r="AO166" s="2">
        <v>17.64</v>
      </c>
      <c r="AP166" s="2">
        <v>12.2</v>
      </c>
      <c r="AQ166" s="2">
        <v>14.15</v>
      </c>
      <c r="AR166" s="2">
        <v>13.26</v>
      </c>
      <c r="AU166" s="1" t="s">
        <v>69</v>
      </c>
      <c r="AV166" s="2">
        <v>52.94</v>
      </c>
      <c r="AW166" s="2">
        <v>39.130000000000003</v>
      </c>
      <c r="AX166" s="2">
        <v>49.23</v>
      </c>
      <c r="AY166" s="2">
        <v>31.7</v>
      </c>
      <c r="AZ166" s="2">
        <v>37.42</v>
      </c>
      <c r="BA166" s="2">
        <v>63.21</v>
      </c>
      <c r="BB166" s="2">
        <v>95.41</v>
      </c>
      <c r="BC166" s="2">
        <v>72.59</v>
      </c>
      <c r="BD166" s="2">
        <v>102.14</v>
      </c>
      <c r="BE166" s="2">
        <v>67.12</v>
      </c>
      <c r="BF166" s="2">
        <v>93.57</v>
      </c>
      <c r="BG166" s="2">
        <v>56.26</v>
      </c>
      <c r="BH166" s="2">
        <v>100.85</v>
      </c>
      <c r="BI166" s="2">
        <v>58.66</v>
      </c>
      <c r="BJ166" s="2">
        <v>103.53</v>
      </c>
      <c r="BK166" s="2">
        <v>72.77</v>
      </c>
      <c r="BL166" s="2">
        <v>77.16</v>
      </c>
      <c r="BM166" s="2">
        <v>53</v>
      </c>
      <c r="BN166" s="2">
        <v>61.75</v>
      </c>
      <c r="BO166" s="2">
        <v>57.66</v>
      </c>
    </row>
    <row r="167" spans="24:67" x14ac:dyDescent="0.3">
      <c r="X167" s="1" t="s">
        <v>70</v>
      </c>
      <c r="Y167" s="2">
        <v>44</v>
      </c>
      <c r="Z167" s="2">
        <v>50.82</v>
      </c>
      <c r="AA167" s="2">
        <v>43.11</v>
      </c>
      <c r="AB167" s="2">
        <v>35.64</v>
      </c>
      <c r="AC167" s="2">
        <v>40.18</v>
      </c>
      <c r="AD167" s="2">
        <v>58.57</v>
      </c>
      <c r="AE167" s="2">
        <v>84.16</v>
      </c>
      <c r="AF167" s="2">
        <v>72.599999999999994</v>
      </c>
      <c r="AG167" s="2">
        <v>80.349999999999994</v>
      </c>
      <c r="AH167" s="2">
        <v>75.75</v>
      </c>
      <c r="AI167" s="2">
        <v>63.78</v>
      </c>
      <c r="AJ167" s="2">
        <v>62.56</v>
      </c>
      <c r="AK167" s="2">
        <v>68.55</v>
      </c>
      <c r="AL167" s="2">
        <v>68.31</v>
      </c>
      <c r="AM167" s="2">
        <v>67.349999999999994</v>
      </c>
      <c r="AN167" s="2">
        <v>66.05</v>
      </c>
      <c r="AO167" s="2">
        <v>67.180000000000007</v>
      </c>
      <c r="AP167" s="2">
        <v>56.66</v>
      </c>
      <c r="AQ167" s="2">
        <v>59.46</v>
      </c>
      <c r="AR167" s="2">
        <v>56.74</v>
      </c>
      <c r="AU167" s="1" t="s">
        <v>70</v>
      </c>
      <c r="AV167" s="2">
        <v>149.9</v>
      </c>
      <c r="AW167" s="2">
        <v>214.68</v>
      </c>
      <c r="AX167" s="2">
        <v>165.91</v>
      </c>
      <c r="AY167" s="2">
        <v>143.36000000000001</v>
      </c>
      <c r="AZ167" s="2">
        <v>134.57</v>
      </c>
      <c r="BA167" s="2">
        <v>204.43</v>
      </c>
      <c r="BB167" s="2">
        <v>336.84</v>
      </c>
      <c r="BC167" s="2">
        <v>291.89999999999998</v>
      </c>
      <c r="BD167" s="2">
        <v>350.65</v>
      </c>
      <c r="BE167" s="2">
        <v>330.75</v>
      </c>
      <c r="BF167" s="2">
        <v>281.72000000000003</v>
      </c>
      <c r="BG167" s="2">
        <v>276.44</v>
      </c>
      <c r="BH167" s="2">
        <v>298.45</v>
      </c>
      <c r="BI167" s="2">
        <v>298.69</v>
      </c>
      <c r="BJ167" s="2">
        <v>292.64999999999998</v>
      </c>
      <c r="BK167" s="2">
        <v>287.45</v>
      </c>
      <c r="BL167" s="2">
        <v>289.82</v>
      </c>
      <c r="BM167" s="2">
        <v>244.84</v>
      </c>
      <c r="BN167" s="2">
        <v>257.54000000000002</v>
      </c>
      <c r="BO167" s="2">
        <v>248.26</v>
      </c>
    </row>
    <row r="168" spans="24:67" x14ac:dyDescent="0.3">
      <c r="X168" s="1" t="s">
        <v>71</v>
      </c>
      <c r="Y168" s="2">
        <v>10.36</v>
      </c>
      <c r="Z168" s="2">
        <v>3.96</v>
      </c>
      <c r="AA168" s="2">
        <v>9.9600000000000009</v>
      </c>
      <c r="AB168" s="2">
        <v>3.63</v>
      </c>
      <c r="AC168" s="2">
        <v>7.37</v>
      </c>
      <c r="AD168" s="2">
        <v>5.63</v>
      </c>
      <c r="AE168" s="2">
        <v>9.2799999999999994</v>
      </c>
      <c r="AF168" s="2">
        <v>5.69</v>
      </c>
      <c r="AG168" s="2">
        <v>8.25</v>
      </c>
      <c r="AH168" s="2">
        <v>9.1999999999999993</v>
      </c>
      <c r="AI168" s="2">
        <v>9.48</v>
      </c>
      <c r="AJ168" s="2">
        <v>7.86</v>
      </c>
      <c r="AK168" s="2">
        <v>10.8</v>
      </c>
      <c r="AL168" s="2">
        <v>7.68</v>
      </c>
      <c r="AM168" s="2">
        <v>10.4</v>
      </c>
      <c r="AN168" s="2">
        <v>9.7200000000000006</v>
      </c>
      <c r="AO168" s="2">
        <v>11.83</v>
      </c>
      <c r="AP168" s="2">
        <v>5.72</v>
      </c>
      <c r="AQ168" s="2">
        <v>9.39</v>
      </c>
      <c r="AR168" s="2">
        <v>7.11</v>
      </c>
      <c r="AU168" s="1" t="s">
        <v>71</v>
      </c>
      <c r="AV168" s="2">
        <v>31.18</v>
      </c>
      <c r="AW168" s="2">
        <v>12.21</v>
      </c>
      <c r="AX168" s="2">
        <v>31.89</v>
      </c>
      <c r="AY168" s="2">
        <v>11.67</v>
      </c>
      <c r="AZ168" s="2">
        <v>21.21</v>
      </c>
      <c r="BA168" s="2">
        <v>17.059999999999999</v>
      </c>
      <c r="BB168" s="2">
        <v>28.42</v>
      </c>
      <c r="BC168" s="2">
        <v>17.440000000000001</v>
      </c>
      <c r="BD168" s="2">
        <v>27.45</v>
      </c>
      <c r="BE168" s="2">
        <v>31.78</v>
      </c>
      <c r="BF168" s="2">
        <v>32.42</v>
      </c>
      <c r="BG168" s="2">
        <v>28.9</v>
      </c>
      <c r="BH168" s="2">
        <v>36.51</v>
      </c>
      <c r="BI168" s="2">
        <v>27.13</v>
      </c>
      <c r="BJ168" s="2">
        <v>35.51</v>
      </c>
      <c r="BK168" s="2">
        <v>34.979999999999997</v>
      </c>
      <c r="BL168" s="2">
        <v>39.880000000000003</v>
      </c>
      <c r="BM168" s="2">
        <v>20.079999999999998</v>
      </c>
      <c r="BN168" s="2">
        <v>31.62</v>
      </c>
      <c r="BO168" s="2">
        <v>23.99</v>
      </c>
    </row>
    <row r="169" spans="24:67" x14ac:dyDescent="0.3">
      <c r="X169" s="1" t="s">
        <v>72</v>
      </c>
      <c r="Y169" s="2">
        <v>19.79</v>
      </c>
      <c r="Z169" s="2">
        <v>20.440000000000001</v>
      </c>
      <c r="AA169" s="2">
        <v>16.02</v>
      </c>
      <c r="AB169" s="2">
        <v>17.22</v>
      </c>
      <c r="AC169" s="2">
        <v>18.34</v>
      </c>
      <c r="AD169" s="2">
        <v>22.47</v>
      </c>
      <c r="AE169" s="2">
        <v>24.6</v>
      </c>
      <c r="AF169" s="2">
        <v>23.23</v>
      </c>
      <c r="AG169" s="2">
        <v>23.07</v>
      </c>
      <c r="AH169" s="2">
        <v>27.38</v>
      </c>
      <c r="AI169" s="2">
        <v>19.13</v>
      </c>
      <c r="AJ169" s="2">
        <v>26.23</v>
      </c>
      <c r="AK169" s="2">
        <v>18.850000000000001</v>
      </c>
      <c r="AL169" s="2">
        <v>26.05</v>
      </c>
      <c r="AM169" s="2">
        <v>22.89</v>
      </c>
      <c r="AN169" s="2">
        <v>22.17</v>
      </c>
      <c r="AO169" s="2">
        <v>21.89</v>
      </c>
      <c r="AP169" s="2">
        <v>15.79</v>
      </c>
      <c r="AQ169" s="2">
        <v>17.739999999999998</v>
      </c>
      <c r="AR169" s="2">
        <v>13.56</v>
      </c>
      <c r="AU169" s="1" t="s">
        <v>72</v>
      </c>
      <c r="AV169" s="2">
        <v>63.07</v>
      </c>
      <c r="AW169" s="2">
        <v>65.47</v>
      </c>
      <c r="AX169" s="2">
        <v>50.47</v>
      </c>
      <c r="AY169" s="2">
        <v>59.66</v>
      </c>
      <c r="AZ169" s="2">
        <v>46.51</v>
      </c>
      <c r="BA169" s="2">
        <v>69.63</v>
      </c>
      <c r="BB169" s="2">
        <v>77.53</v>
      </c>
      <c r="BC169" s="2">
        <v>48.87</v>
      </c>
      <c r="BD169" s="2">
        <v>78.05</v>
      </c>
      <c r="BE169" s="2">
        <v>72.25</v>
      </c>
      <c r="BF169" s="2">
        <v>67.3</v>
      </c>
      <c r="BG169" s="2">
        <v>69.569999999999993</v>
      </c>
      <c r="BH169" s="2">
        <v>65.290000000000006</v>
      </c>
      <c r="BI169" s="2">
        <v>74.75</v>
      </c>
      <c r="BJ169" s="2">
        <v>81.44</v>
      </c>
      <c r="BK169" s="2">
        <v>79.33</v>
      </c>
      <c r="BL169" s="2">
        <v>74.989999999999995</v>
      </c>
      <c r="BM169" s="2">
        <v>54.46</v>
      </c>
      <c r="BN169" s="2">
        <v>61.01</v>
      </c>
      <c r="BO169" s="2">
        <v>46.64</v>
      </c>
    </row>
    <row r="170" spans="24:67" x14ac:dyDescent="0.3">
      <c r="X170" s="1" t="s">
        <v>73</v>
      </c>
      <c r="Y170" s="2">
        <v>4.37</v>
      </c>
      <c r="Z170" s="2">
        <v>7.79</v>
      </c>
      <c r="AA170" s="2">
        <v>2.77</v>
      </c>
      <c r="AB170" s="2">
        <v>3.76</v>
      </c>
      <c r="AC170" s="2">
        <v>0.62</v>
      </c>
      <c r="AD170" s="2">
        <v>3.82</v>
      </c>
      <c r="AE170" s="2">
        <v>5.16</v>
      </c>
      <c r="AF170" s="2">
        <v>4.28</v>
      </c>
      <c r="AG170" s="2">
        <v>5.22</v>
      </c>
      <c r="AH170" s="2">
        <v>7.13</v>
      </c>
      <c r="AI170" s="2">
        <v>6.05</v>
      </c>
      <c r="AJ170" s="2">
        <v>4.8499999999999996</v>
      </c>
      <c r="AK170" s="2">
        <v>6.13</v>
      </c>
      <c r="AL170" s="2">
        <v>3.49</v>
      </c>
      <c r="AM170" s="2">
        <v>3.52</v>
      </c>
      <c r="AN170" s="2">
        <v>1.76</v>
      </c>
      <c r="AO170" s="2">
        <v>1.76</v>
      </c>
      <c r="AP170" s="2">
        <v>1.76</v>
      </c>
      <c r="AQ170" s="2">
        <v>3.52</v>
      </c>
      <c r="AR170" s="2">
        <v>4.37</v>
      </c>
      <c r="AU170" s="1" t="s">
        <v>73</v>
      </c>
      <c r="AV170" s="2">
        <v>14.23</v>
      </c>
      <c r="AW170" s="2">
        <v>25.51</v>
      </c>
      <c r="AX170" s="2">
        <v>8.6300000000000008</v>
      </c>
      <c r="AY170" s="2">
        <v>11.54</v>
      </c>
      <c r="AZ170" s="2">
        <v>10.78</v>
      </c>
      <c r="BA170" s="2">
        <v>11.48</v>
      </c>
      <c r="BB170" s="2">
        <v>28.74</v>
      </c>
      <c r="BC170" s="2">
        <v>12.96</v>
      </c>
      <c r="BD170" s="2">
        <v>16.98</v>
      </c>
      <c r="BE170" s="2">
        <v>23.46</v>
      </c>
      <c r="BF170" s="2">
        <v>19.75</v>
      </c>
      <c r="BG170" s="2">
        <v>16.12</v>
      </c>
      <c r="BH170" s="2">
        <v>19.97</v>
      </c>
      <c r="BI170" s="2">
        <v>11.51</v>
      </c>
      <c r="BJ170" s="2">
        <v>11.48</v>
      </c>
      <c r="BK170" s="2">
        <v>5.74</v>
      </c>
      <c r="BL170" s="2">
        <v>5.74</v>
      </c>
      <c r="BM170" s="2">
        <v>5.74</v>
      </c>
      <c r="BN170" s="2">
        <v>11.48</v>
      </c>
      <c r="BO170" s="2">
        <v>14.23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5" t="s">
        <v>63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 t="s">
        <v>64</v>
      </c>
      <c r="AJ174" s="5"/>
      <c r="AK174" s="5"/>
      <c r="AL174" s="5"/>
      <c r="AM174" s="5"/>
      <c r="AN174" s="5"/>
      <c r="AO174" s="5"/>
      <c r="AP174" s="5"/>
      <c r="AQ174" s="5"/>
      <c r="AR174" s="5"/>
      <c r="AU174" s="1" t="s">
        <v>6</v>
      </c>
      <c r="AV174" s="5" t="s">
        <v>63</v>
      </c>
      <c r="AW174" s="5"/>
      <c r="AX174" s="5"/>
      <c r="AY174" s="5"/>
      <c r="AZ174" s="5"/>
      <c r="BA174" s="5"/>
      <c r="BB174" s="5"/>
      <c r="BC174" s="5"/>
      <c r="BD174" s="5"/>
      <c r="BE174" s="5"/>
      <c r="BF174" s="5" t="s">
        <v>64</v>
      </c>
      <c r="BG174" s="5"/>
      <c r="BH174" s="5"/>
      <c r="BI174" s="5"/>
      <c r="BJ174" s="5"/>
      <c r="BK174" s="5"/>
      <c r="BL174" s="5"/>
      <c r="BM174" s="5"/>
      <c r="BN174" s="5"/>
      <c r="BO174" s="5"/>
    </row>
    <row r="175" spans="24:67" x14ac:dyDescent="0.3">
      <c r="X175" s="1" t="s">
        <v>65</v>
      </c>
      <c r="Y175" s="1" t="s">
        <v>53</v>
      </c>
      <c r="Z175" s="1" t="s">
        <v>62</v>
      </c>
      <c r="AA175" s="1" t="s">
        <v>54</v>
      </c>
      <c r="AB175" s="1" t="s">
        <v>55</v>
      </c>
      <c r="AC175" s="1" t="s">
        <v>56</v>
      </c>
      <c r="AD175" s="1" t="s">
        <v>57</v>
      </c>
      <c r="AE175" s="1" t="s">
        <v>58</v>
      </c>
      <c r="AF175" s="1" t="s">
        <v>59</v>
      </c>
      <c r="AG175" s="1" t="s">
        <v>60</v>
      </c>
      <c r="AH175" s="1" t="s">
        <v>61</v>
      </c>
      <c r="AI175" s="1" t="s">
        <v>53</v>
      </c>
      <c r="AJ175" s="1" t="s">
        <v>62</v>
      </c>
      <c r="AK175" s="1" t="s">
        <v>54</v>
      </c>
      <c r="AL175" s="1" t="s">
        <v>55</v>
      </c>
      <c r="AM175" s="1" t="s">
        <v>56</v>
      </c>
      <c r="AN175" s="1" t="s">
        <v>57</v>
      </c>
      <c r="AO175" s="1" t="s">
        <v>58</v>
      </c>
      <c r="AP175" s="1" t="s">
        <v>59</v>
      </c>
      <c r="AQ175" s="1" t="s">
        <v>60</v>
      </c>
      <c r="AR175" s="1" t="s">
        <v>61</v>
      </c>
      <c r="AU175" s="1" t="s">
        <v>65</v>
      </c>
      <c r="AV175" s="1" t="s">
        <v>53</v>
      </c>
      <c r="AW175" s="1" t="s">
        <v>62</v>
      </c>
      <c r="AX175" s="1" t="s">
        <v>54</v>
      </c>
      <c r="AY175" s="1" t="s">
        <v>55</v>
      </c>
      <c r="AZ175" s="1" t="s">
        <v>56</v>
      </c>
      <c r="BA175" s="1" t="s">
        <v>57</v>
      </c>
      <c r="BB175" s="1" t="s">
        <v>58</v>
      </c>
      <c r="BC175" s="1" t="s">
        <v>59</v>
      </c>
      <c r="BD175" s="1" t="s">
        <v>60</v>
      </c>
      <c r="BE175" s="1" t="s">
        <v>61</v>
      </c>
      <c r="BF175" s="1" t="s">
        <v>53</v>
      </c>
      <c r="BG175" s="1" t="s">
        <v>62</v>
      </c>
      <c r="BH175" s="1" t="s">
        <v>54</v>
      </c>
      <c r="BI175" s="1" t="s">
        <v>55</v>
      </c>
      <c r="BJ175" s="1" t="s">
        <v>56</v>
      </c>
      <c r="BK175" s="1" t="s">
        <v>57</v>
      </c>
      <c r="BL175" s="1" t="s">
        <v>58</v>
      </c>
      <c r="BM175" s="1" t="s">
        <v>59</v>
      </c>
      <c r="BN175" s="1" t="s">
        <v>60</v>
      </c>
      <c r="BO175" s="1" t="s">
        <v>61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66</v>
      </c>
      <c r="Y177" s="2">
        <v>413.4</v>
      </c>
      <c r="Z177" s="2">
        <v>226.37</v>
      </c>
      <c r="AA177" s="2">
        <v>12.88</v>
      </c>
      <c r="AB177" s="2">
        <v>7.89</v>
      </c>
      <c r="AC177" s="2">
        <v>258.2</v>
      </c>
      <c r="AD177" s="2">
        <v>430.09</v>
      </c>
      <c r="AE177" s="2">
        <v>858.3</v>
      </c>
      <c r="AF177" s="2">
        <v>700.38</v>
      </c>
      <c r="AG177" s="2">
        <v>740.75</v>
      </c>
      <c r="AH177" s="2">
        <v>55.65</v>
      </c>
      <c r="AI177" s="2">
        <v>408.73</v>
      </c>
      <c r="AJ177" s="2">
        <v>90.12</v>
      </c>
      <c r="AK177" s="2">
        <v>13.6</v>
      </c>
      <c r="AL177" s="2">
        <v>33.11</v>
      </c>
      <c r="AM177" s="2">
        <v>192.59</v>
      </c>
      <c r="AN177" s="2">
        <v>198.2</v>
      </c>
      <c r="AO177" s="2">
        <v>293.79000000000002</v>
      </c>
      <c r="AP177" s="2">
        <v>113.02</v>
      </c>
      <c r="AQ177" s="2">
        <v>277.83</v>
      </c>
      <c r="AR177" s="2">
        <v>58.34</v>
      </c>
      <c r="AU177" s="1" t="s">
        <v>66</v>
      </c>
      <c r="AV177" s="2">
        <v>2373.02</v>
      </c>
      <c r="AW177" s="2">
        <v>8395.18</v>
      </c>
      <c r="AX177" s="2">
        <v>1266.58</v>
      </c>
      <c r="AY177" s="2">
        <v>752.31</v>
      </c>
      <c r="AZ177" s="2">
        <v>2614.6</v>
      </c>
      <c r="BA177" s="2">
        <v>3258.91</v>
      </c>
      <c r="BB177" s="2">
        <v>5915.46</v>
      </c>
      <c r="BC177" s="2">
        <v>4652.7299999999996</v>
      </c>
      <c r="BD177" s="2">
        <v>6422.63</v>
      </c>
      <c r="BE177" s="2">
        <v>5363.61</v>
      </c>
      <c r="BF177" s="2">
        <v>2400.44</v>
      </c>
      <c r="BG177" s="2">
        <v>8685.7800000000007</v>
      </c>
      <c r="BH177" s="2">
        <v>1301.3499999999999</v>
      </c>
      <c r="BI177" s="2">
        <v>789.04</v>
      </c>
      <c r="BJ177" s="2">
        <v>2722.77</v>
      </c>
      <c r="BK177" s="2">
        <v>3370.4</v>
      </c>
      <c r="BL177" s="2">
        <v>6107.01</v>
      </c>
      <c r="BM177" s="2">
        <v>5341.59</v>
      </c>
      <c r="BN177" s="2">
        <v>6688.71</v>
      </c>
      <c r="BO177" s="2">
        <v>5622.72</v>
      </c>
    </row>
    <row r="178" spans="24:67" x14ac:dyDescent="0.3">
      <c r="X178" s="1" t="s">
        <v>67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67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68</v>
      </c>
      <c r="Y179" s="2">
        <v>127.82</v>
      </c>
      <c r="Z179" s="2">
        <v>254.74</v>
      </c>
      <c r="AA179" s="2">
        <v>51.54</v>
      </c>
      <c r="AB179" s="2">
        <v>69.94</v>
      </c>
      <c r="AC179" s="2">
        <v>163.49</v>
      </c>
      <c r="AD179" s="2">
        <v>229.86</v>
      </c>
      <c r="AE179" s="2">
        <v>430.45</v>
      </c>
      <c r="AF179" s="2">
        <v>400.98</v>
      </c>
      <c r="AG179" s="2">
        <v>516.24</v>
      </c>
      <c r="AH179" s="2">
        <v>206.3</v>
      </c>
      <c r="AI179" s="2">
        <v>59.54</v>
      </c>
      <c r="AJ179" s="2">
        <v>249.79</v>
      </c>
      <c r="AK179" s="2">
        <v>29.17</v>
      </c>
      <c r="AL179" s="2">
        <v>40.47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68</v>
      </c>
      <c r="AV179" s="2">
        <v>2008.5</v>
      </c>
      <c r="AW179" s="2">
        <v>5165.26</v>
      </c>
      <c r="AX179" s="2">
        <v>934.43</v>
      </c>
      <c r="AY179" s="2">
        <v>629.37</v>
      </c>
      <c r="AZ179" s="2">
        <v>2106.75</v>
      </c>
      <c r="BA179" s="2">
        <v>2769.54</v>
      </c>
      <c r="BB179" s="2">
        <v>5085.6400000000003</v>
      </c>
      <c r="BC179" s="2">
        <v>4419.1099999999997</v>
      </c>
      <c r="BD179" s="2">
        <v>5543.18</v>
      </c>
      <c r="BE179" s="2">
        <v>4183.13</v>
      </c>
      <c r="BF179" s="2">
        <v>1207.18</v>
      </c>
      <c r="BG179" s="2">
        <v>5064.8599999999997</v>
      </c>
      <c r="BH179" s="2">
        <v>554.27</v>
      </c>
      <c r="BI179" s="2">
        <v>562.05999999999995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</row>
    <row r="180" spans="24:67" x14ac:dyDescent="0.3">
      <c r="X180" s="1" t="s">
        <v>69</v>
      </c>
      <c r="Y180" s="2">
        <v>53.62</v>
      </c>
      <c r="Z180" s="2">
        <v>107.34</v>
      </c>
      <c r="AA180" s="2">
        <v>19.68</v>
      </c>
      <c r="AB180" s="2">
        <v>17.2</v>
      </c>
      <c r="AC180" s="2">
        <v>48.2</v>
      </c>
      <c r="AD180" s="2">
        <v>59.58</v>
      </c>
      <c r="AE180" s="2">
        <v>107.89</v>
      </c>
      <c r="AF180" s="2">
        <v>93.94</v>
      </c>
      <c r="AG180" s="2">
        <v>100.64</v>
      </c>
      <c r="AH180" s="2">
        <v>73.94</v>
      </c>
      <c r="AI180" s="2">
        <v>26.79</v>
      </c>
      <c r="AJ180" s="2">
        <v>107.89</v>
      </c>
      <c r="AK180" s="2">
        <v>15.7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69</v>
      </c>
      <c r="AV180" s="2">
        <v>796.06</v>
      </c>
      <c r="AW180" s="2">
        <v>2176.41</v>
      </c>
      <c r="AX180" s="2">
        <v>373.84</v>
      </c>
      <c r="AY180" s="2">
        <v>239.74</v>
      </c>
      <c r="AZ180" s="2">
        <v>824.79</v>
      </c>
      <c r="BA180" s="2">
        <v>1074.1600000000001</v>
      </c>
      <c r="BB180" s="2">
        <v>1946.68</v>
      </c>
      <c r="BC180" s="2">
        <v>1670.66</v>
      </c>
      <c r="BD180" s="2">
        <v>2040.66</v>
      </c>
      <c r="BE180" s="2">
        <v>1499.24</v>
      </c>
      <c r="BF180" s="2">
        <v>543.13</v>
      </c>
      <c r="BG180" s="2">
        <v>2187.7199999999998</v>
      </c>
      <c r="BH180" s="2">
        <v>298.38</v>
      </c>
      <c r="BI180" s="2">
        <v>273.32</v>
      </c>
      <c r="BJ180" s="2">
        <v>837.45</v>
      </c>
      <c r="BK180" s="2">
        <v>990.68</v>
      </c>
      <c r="BL180" s="2">
        <v>1866.02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70</v>
      </c>
      <c r="Y181" s="2">
        <v>162.02000000000001</v>
      </c>
      <c r="Z181" s="2">
        <v>509.08</v>
      </c>
      <c r="AA181" s="2">
        <v>81.02</v>
      </c>
      <c r="AB181" s="2">
        <v>52.08</v>
      </c>
      <c r="AC181" s="2">
        <v>159.44</v>
      </c>
      <c r="AD181" s="2">
        <v>209.48</v>
      </c>
      <c r="AE181" s="2">
        <v>372.41</v>
      </c>
      <c r="AF181" s="2">
        <v>301.77</v>
      </c>
      <c r="AG181" s="2">
        <v>386.76</v>
      </c>
      <c r="AH181" s="2">
        <v>342.21</v>
      </c>
      <c r="AI181" s="2">
        <v>159.91999999999999</v>
      </c>
      <c r="AJ181" s="2">
        <v>544.61</v>
      </c>
      <c r="AK181" s="2">
        <v>86.42</v>
      </c>
      <c r="AL181" s="2">
        <v>49.24</v>
      </c>
      <c r="AM181" s="2">
        <v>171.48</v>
      </c>
      <c r="AN181" s="2">
        <v>217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70</v>
      </c>
      <c r="AV181" s="2">
        <v>2495.6999999999998</v>
      </c>
      <c r="AW181" s="2">
        <v>10322.42</v>
      </c>
      <c r="AX181" s="2">
        <v>1499.77</v>
      </c>
      <c r="AY181" s="2">
        <v>811.28</v>
      </c>
      <c r="AZ181" s="2">
        <v>3029.36</v>
      </c>
      <c r="BA181" s="2">
        <v>4247.5200000000004</v>
      </c>
      <c r="BB181" s="2">
        <v>7551.19</v>
      </c>
      <c r="BC181" s="2">
        <v>6118.83</v>
      </c>
      <c r="BD181" s="2">
        <v>7842.14</v>
      </c>
      <c r="BE181" s="2">
        <v>6938.89</v>
      </c>
      <c r="BF181" s="2">
        <v>3227.23</v>
      </c>
      <c r="BG181" s="2">
        <v>11042.89</v>
      </c>
      <c r="BH181" s="2">
        <v>1641.93</v>
      </c>
      <c r="BI181" s="2">
        <v>807.16</v>
      </c>
      <c r="BJ181" s="2">
        <v>3258.12</v>
      </c>
      <c r="BK181" s="2">
        <v>4400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71</v>
      </c>
      <c r="Y182" s="2">
        <v>30.21</v>
      </c>
      <c r="Z182" s="2">
        <v>82.87</v>
      </c>
      <c r="AA182" s="2">
        <v>15.91</v>
      </c>
      <c r="AB182" s="2">
        <v>8.58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27.23</v>
      </c>
      <c r="AJ182" s="2">
        <v>53.68</v>
      </c>
      <c r="AK182" s="2">
        <v>10.3</v>
      </c>
      <c r="AL182" s="2">
        <v>7.92</v>
      </c>
      <c r="AM182" s="2">
        <v>23.04</v>
      </c>
      <c r="AN182" s="2">
        <v>37.71</v>
      </c>
      <c r="AO182" s="2">
        <v>58.42</v>
      </c>
      <c r="AP182" s="2">
        <v>42.91</v>
      </c>
      <c r="AQ182" s="2">
        <v>63.17</v>
      </c>
      <c r="AR182" s="2">
        <v>48.19</v>
      </c>
      <c r="AU182" s="1" t="s">
        <v>71</v>
      </c>
      <c r="AV182" s="2">
        <v>556.32000000000005</v>
      </c>
      <c r="AW182" s="2">
        <v>1680.33</v>
      </c>
      <c r="AX182" s="2">
        <v>302.25</v>
      </c>
      <c r="AY182" s="2">
        <v>155.36000000000001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517.12</v>
      </c>
      <c r="BG182" s="2">
        <v>1088.42</v>
      </c>
      <c r="BH182" s="2">
        <v>195.75</v>
      </c>
      <c r="BI182" s="2">
        <v>150.49</v>
      </c>
      <c r="BJ182" s="2">
        <v>437.8</v>
      </c>
      <c r="BK182" s="2">
        <v>764.64</v>
      </c>
      <c r="BL182" s="2">
        <v>1184.47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72</v>
      </c>
      <c r="Y183" s="2">
        <v>92.13</v>
      </c>
      <c r="Z183" s="2">
        <v>270.7</v>
      </c>
      <c r="AA183" s="2">
        <v>46.08</v>
      </c>
      <c r="AB183" s="2">
        <v>28.18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102.27</v>
      </c>
      <c r="AJ183" s="2">
        <v>241.15</v>
      </c>
      <c r="AK183" s="2">
        <v>46.67</v>
      </c>
      <c r="AL183" s="2">
        <v>33.4</v>
      </c>
      <c r="AM183" s="2">
        <v>136.75</v>
      </c>
      <c r="AN183" s="2">
        <v>179.2</v>
      </c>
      <c r="AO183" s="2">
        <v>302.58</v>
      </c>
      <c r="AP183" s="2">
        <v>216.91</v>
      </c>
      <c r="AQ183" s="2">
        <v>231</v>
      </c>
      <c r="AR183" s="2">
        <v>183.6</v>
      </c>
      <c r="AU183" s="1" t="s">
        <v>72</v>
      </c>
      <c r="AV183" s="2">
        <v>1832.67</v>
      </c>
      <c r="AW183" s="2">
        <v>5488.92</v>
      </c>
      <c r="AX183" s="2">
        <v>875.6</v>
      </c>
      <c r="AY183" s="2">
        <v>434.14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2050.2399999999998</v>
      </c>
      <c r="BG183" s="2">
        <v>4889.6099999999997</v>
      </c>
      <c r="BH183" s="2">
        <v>886.78</v>
      </c>
      <c r="BI183" s="2">
        <v>634.59</v>
      </c>
      <c r="BJ183" s="2">
        <v>1669.02</v>
      </c>
      <c r="BK183" s="2">
        <v>2789.57</v>
      </c>
      <c r="BL183" s="2">
        <v>4754.54</v>
      </c>
      <c r="BM183" s="2">
        <v>3765.95</v>
      </c>
      <c r="BN183" s="2">
        <v>4683.82</v>
      </c>
      <c r="BO183" s="2">
        <v>3722.77</v>
      </c>
    </row>
    <row r="184" spans="24:67" x14ac:dyDescent="0.3">
      <c r="X184" s="1" t="s">
        <v>73</v>
      </c>
      <c r="Y184" s="2">
        <v>59.98</v>
      </c>
      <c r="Z184" s="2">
        <v>188.64</v>
      </c>
      <c r="AA184" s="2">
        <v>27.18</v>
      </c>
      <c r="AB184" s="2">
        <v>16.86</v>
      </c>
      <c r="AC184" s="2">
        <v>64.27</v>
      </c>
      <c r="AD184" s="2">
        <v>79.16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29.17</v>
      </c>
      <c r="AL184" s="2">
        <v>18.850000000000001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73</v>
      </c>
      <c r="AV184" s="2">
        <v>1216.0999999999999</v>
      </c>
      <c r="AW184" s="2">
        <v>3824.91</v>
      </c>
      <c r="AX184" s="2">
        <v>516.48</v>
      </c>
      <c r="AY184" s="2">
        <v>320.33999999999997</v>
      </c>
      <c r="AZ184" s="2">
        <v>1221.17</v>
      </c>
      <c r="BA184" s="2">
        <v>1605.04</v>
      </c>
      <c r="BB184" s="2">
        <v>2944.65</v>
      </c>
      <c r="BC184" s="2">
        <v>2402.7600000000002</v>
      </c>
      <c r="BD184" s="2">
        <v>3114.77</v>
      </c>
      <c r="BE184" s="2">
        <v>2739.26</v>
      </c>
      <c r="BF184" s="2">
        <v>1303.45</v>
      </c>
      <c r="BG184" s="2">
        <v>4433.45</v>
      </c>
      <c r="BH184" s="2">
        <v>554.27</v>
      </c>
      <c r="BI184" s="2">
        <v>358.1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63</v>
      </c>
      <c r="Z188" s="1" t="s">
        <v>64</v>
      </c>
      <c r="AA188" s="1" t="s">
        <v>63</v>
      </c>
      <c r="AB188" s="1" t="s">
        <v>64</v>
      </c>
      <c r="AC188" s="1" t="s">
        <v>63</v>
      </c>
      <c r="AD188" s="1" t="s">
        <v>64</v>
      </c>
      <c r="AE188" s="1" t="s">
        <v>63</v>
      </c>
      <c r="AF188" s="1" t="s">
        <v>64</v>
      </c>
      <c r="AG188" s="1" t="s">
        <v>63</v>
      </c>
      <c r="AH188" s="1" t="s">
        <v>64</v>
      </c>
      <c r="AI188" s="1" t="s">
        <v>63</v>
      </c>
      <c r="AJ188" s="1" t="s">
        <v>64</v>
      </c>
      <c r="AK188" s="1" t="s">
        <v>63</v>
      </c>
      <c r="AL188" s="1" t="s">
        <v>64</v>
      </c>
      <c r="AM188" s="1" t="s">
        <v>63</v>
      </c>
      <c r="AN188" s="1" t="s">
        <v>64</v>
      </c>
      <c r="AO188" s="1" t="s">
        <v>63</v>
      </c>
      <c r="AP188" s="1" t="s">
        <v>64</v>
      </c>
      <c r="AQ188" s="1" t="s">
        <v>63</v>
      </c>
      <c r="AR188" s="1" t="s">
        <v>64</v>
      </c>
      <c r="AU188" s="1" t="s">
        <v>6</v>
      </c>
      <c r="AV188" s="1" t="s">
        <v>63</v>
      </c>
      <c r="AW188" s="1" t="s">
        <v>64</v>
      </c>
      <c r="AX188" s="1" t="s">
        <v>63</v>
      </c>
      <c r="AY188" s="1" t="s">
        <v>64</v>
      </c>
      <c r="AZ188" s="1" t="s">
        <v>63</v>
      </c>
      <c r="BA188" s="1" t="s">
        <v>64</v>
      </c>
      <c r="BB188" s="1" t="s">
        <v>63</v>
      </c>
      <c r="BC188" s="1" t="s">
        <v>64</v>
      </c>
      <c r="BD188" s="1" t="s">
        <v>63</v>
      </c>
      <c r="BE188" s="1" t="s">
        <v>64</v>
      </c>
      <c r="BF188" s="1" t="s">
        <v>63</v>
      </c>
      <c r="BG188" s="1" t="s">
        <v>64</v>
      </c>
      <c r="BH188" s="1" t="s">
        <v>63</v>
      </c>
      <c r="BI188" s="1" t="s">
        <v>64</v>
      </c>
      <c r="BJ188" s="1" t="s">
        <v>63</v>
      </c>
      <c r="BK188" s="1" t="s">
        <v>64</v>
      </c>
      <c r="BL188" s="1" t="s">
        <v>63</v>
      </c>
      <c r="BM188" s="1" t="s">
        <v>64</v>
      </c>
      <c r="BN188" s="1" t="s">
        <v>63</v>
      </c>
      <c r="BO188" s="1" t="s">
        <v>64</v>
      </c>
    </row>
    <row r="189" spans="24:67" x14ac:dyDescent="0.3">
      <c r="X189" s="1" t="s">
        <v>65</v>
      </c>
      <c r="Y189" s="1" t="s">
        <v>53</v>
      </c>
      <c r="Z189" s="1" t="s">
        <v>53</v>
      </c>
      <c r="AA189" s="1" t="s">
        <v>54</v>
      </c>
      <c r="AB189" s="1" t="s">
        <v>54</v>
      </c>
      <c r="AC189" s="1" t="s">
        <v>55</v>
      </c>
      <c r="AD189" s="1" t="s">
        <v>55</v>
      </c>
      <c r="AE189" s="1" t="s">
        <v>56</v>
      </c>
      <c r="AF189" s="1" t="s">
        <v>56</v>
      </c>
      <c r="AG189" s="1" t="s">
        <v>57</v>
      </c>
      <c r="AH189" s="1" t="s">
        <v>57</v>
      </c>
      <c r="AI189" s="1" t="s">
        <v>58</v>
      </c>
      <c r="AJ189" s="1" t="s">
        <v>58</v>
      </c>
      <c r="AK189" s="1" t="s">
        <v>59</v>
      </c>
      <c r="AL189" s="1" t="s">
        <v>59</v>
      </c>
      <c r="AM189" s="1" t="s">
        <v>60</v>
      </c>
      <c r="AN189" s="1" t="s">
        <v>60</v>
      </c>
      <c r="AO189" s="1" t="s">
        <v>61</v>
      </c>
      <c r="AP189" s="1" t="s">
        <v>61</v>
      </c>
      <c r="AQ189" s="1" t="s">
        <v>62</v>
      </c>
      <c r="AR189" s="1" t="s">
        <v>62</v>
      </c>
      <c r="AU189" s="1" t="s">
        <v>65</v>
      </c>
      <c r="AV189" s="1" t="s">
        <v>53</v>
      </c>
      <c r="AW189" s="1" t="s">
        <v>53</v>
      </c>
      <c r="AX189" s="1" t="s">
        <v>54</v>
      </c>
      <c r="AY189" s="1" t="s">
        <v>54</v>
      </c>
      <c r="AZ189" s="1" t="s">
        <v>55</v>
      </c>
      <c r="BA189" s="1" t="s">
        <v>55</v>
      </c>
      <c r="BB189" s="1" t="s">
        <v>56</v>
      </c>
      <c r="BC189" s="1" t="s">
        <v>56</v>
      </c>
      <c r="BD189" s="1" t="s">
        <v>57</v>
      </c>
      <c r="BE189" s="1" t="s">
        <v>57</v>
      </c>
      <c r="BF189" s="1" t="s">
        <v>58</v>
      </c>
      <c r="BG189" s="1" t="s">
        <v>58</v>
      </c>
      <c r="BH189" s="1" t="s">
        <v>59</v>
      </c>
      <c r="BI189" s="1" t="s">
        <v>59</v>
      </c>
      <c r="BJ189" s="1" t="s">
        <v>60</v>
      </c>
      <c r="BK189" s="1" t="s">
        <v>60</v>
      </c>
      <c r="BL189" s="1" t="s">
        <v>61</v>
      </c>
      <c r="BM189" s="1" t="s">
        <v>61</v>
      </c>
      <c r="BN189" s="1" t="s">
        <v>62</v>
      </c>
      <c r="BO189" s="1" t="s">
        <v>62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66</v>
      </c>
      <c r="Y191" s="2">
        <v>318</v>
      </c>
      <c r="Z191" s="2">
        <v>314.41000000000003</v>
      </c>
      <c r="AA191" s="2">
        <v>9.9</v>
      </c>
      <c r="AB191" s="2">
        <v>10.46</v>
      </c>
      <c r="AC191" s="2">
        <v>15.78</v>
      </c>
      <c r="AD191" s="2">
        <v>66.22</v>
      </c>
      <c r="AE191" s="2">
        <v>161.38</v>
      </c>
      <c r="AF191" s="2">
        <v>120.37</v>
      </c>
      <c r="AG191" s="2">
        <v>215.04</v>
      </c>
      <c r="AH191" s="2">
        <v>99.1</v>
      </c>
      <c r="AI191" s="2">
        <v>238.42</v>
      </c>
      <c r="AJ191" s="2">
        <v>81.61</v>
      </c>
      <c r="AK191" s="2">
        <v>241.51</v>
      </c>
      <c r="AL191" s="2">
        <v>38.97</v>
      </c>
      <c r="AM191" s="2">
        <v>194.93</v>
      </c>
      <c r="AN191" s="2">
        <v>73.11</v>
      </c>
      <c r="AO191" s="2">
        <v>16.37</v>
      </c>
      <c r="AP191" s="2">
        <v>17.16</v>
      </c>
      <c r="AQ191" s="2">
        <v>50.3</v>
      </c>
      <c r="AR191" s="2">
        <v>20.03</v>
      </c>
      <c r="AU191" s="1" t="s">
        <v>66</v>
      </c>
      <c r="AV191" s="2">
        <v>1825.4</v>
      </c>
      <c r="AW191" s="2">
        <v>1846.49</v>
      </c>
      <c r="AX191" s="2">
        <v>974.3</v>
      </c>
      <c r="AY191" s="2">
        <v>1001.04</v>
      </c>
      <c r="AZ191" s="2">
        <v>1504.62</v>
      </c>
      <c r="BA191" s="2">
        <v>1578.08</v>
      </c>
      <c r="BB191" s="2">
        <v>1634.12</v>
      </c>
      <c r="BC191" s="2">
        <v>1701.73</v>
      </c>
      <c r="BD191" s="2">
        <v>1629.46</v>
      </c>
      <c r="BE191" s="2">
        <v>1685.2</v>
      </c>
      <c r="BF191" s="2">
        <v>1643.18</v>
      </c>
      <c r="BG191" s="2">
        <v>1696.39</v>
      </c>
      <c r="BH191" s="2">
        <v>1604.39</v>
      </c>
      <c r="BI191" s="2">
        <v>1841.93</v>
      </c>
      <c r="BJ191" s="2">
        <v>1690.17</v>
      </c>
      <c r="BK191" s="2">
        <v>1760.19</v>
      </c>
      <c r="BL191" s="2">
        <v>1577.53</v>
      </c>
      <c r="BM191" s="2">
        <v>1653.74</v>
      </c>
      <c r="BN191" s="2">
        <v>1865.6</v>
      </c>
      <c r="BO191" s="2">
        <v>1930.17</v>
      </c>
    </row>
    <row r="192" spans="24:67" x14ac:dyDescent="0.3">
      <c r="X192" s="1" t="s">
        <v>67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67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68</v>
      </c>
      <c r="Y193" s="2">
        <v>98.32</v>
      </c>
      <c r="Z193" s="2">
        <v>45.8</v>
      </c>
      <c r="AA193" s="2">
        <v>39.64</v>
      </c>
      <c r="AB193" s="2">
        <v>22.44</v>
      </c>
      <c r="AC193" s="2">
        <v>139.88999999999999</v>
      </c>
      <c r="AD193" s="2">
        <v>80.95</v>
      </c>
      <c r="AE193" s="2">
        <v>102.18</v>
      </c>
      <c r="AF193" s="2">
        <v>63.61</v>
      </c>
      <c r="AG193" s="2">
        <v>114.93</v>
      </c>
      <c r="AH193" s="2">
        <v>59.54</v>
      </c>
      <c r="AI193" s="2">
        <v>119.57</v>
      </c>
      <c r="AJ193" s="2">
        <v>62.58</v>
      </c>
      <c r="AK193" s="2">
        <v>138.27000000000001</v>
      </c>
      <c r="AL193" s="2">
        <v>66.33</v>
      </c>
      <c r="AM193" s="2">
        <v>135.85</v>
      </c>
      <c r="AN193" s="2">
        <v>59.22</v>
      </c>
      <c r="AO193" s="2">
        <v>60.68</v>
      </c>
      <c r="AP193" s="2">
        <v>62.37</v>
      </c>
      <c r="AQ193" s="2">
        <v>56.61</v>
      </c>
      <c r="AR193" s="2">
        <v>55.51</v>
      </c>
      <c r="AU193" s="1" t="s">
        <v>68</v>
      </c>
      <c r="AV193" s="2">
        <v>1545</v>
      </c>
      <c r="AW193" s="2">
        <v>928.6</v>
      </c>
      <c r="AX193" s="2">
        <v>718.79</v>
      </c>
      <c r="AY193" s="2">
        <v>426.36</v>
      </c>
      <c r="AZ193" s="2">
        <v>1258.73</v>
      </c>
      <c r="BA193" s="2">
        <v>1124.1099999999999</v>
      </c>
      <c r="BB193" s="2">
        <v>1316.72</v>
      </c>
      <c r="BC193" s="2">
        <v>1208.55</v>
      </c>
      <c r="BD193" s="2">
        <v>1384.77</v>
      </c>
      <c r="BE193" s="2">
        <v>1207.21</v>
      </c>
      <c r="BF193" s="2">
        <v>1412.68</v>
      </c>
      <c r="BG193" s="2">
        <v>1268.97</v>
      </c>
      <c r="BH193" s="2">
        <v>1523.83</v>
      </c>
      <c r="BI193" s="2">
        <v>1345.01</v>
      </c>
      <c r="BJ193" s="2">
        <v>1458.73</v>
      </c>
      <c r="BK193" s="2">
        <v>1200.68</v>
      </c>
      <c r="BL193" s="2">
        <v>1230.33</v>
      </c>
      <c r="BM193" s="2">
        <v>1264.6300000000001</v>
      </c>
      <c r="BN193" s="2">
        <v>1147.8399999999999</v>
      </c>
      <c r="BO193" s="2">
        <v>1125.52</v>
      </c>
    </row>
    <row r="194" spans="24:67" x14ac:dyDescent="0.3">
      <c r="X194" s="1" t="s">
        <v>69</v>
      </c>
      <c r="Y194" s="2">
        <v>41.24</v>
      </c>
      <c r="Z194" s="2">
        <v>20.6</v>
      </c>
      <c r="AA194" s="2">
        <v>15.14</v>
      </c>
      <c r="AB194" s="2">
        <v>12.08</v>
      </c>
      <c r="AC194" s="2">
        <v>34.409999999999997</v>
      </c>
      <c r="AD194" s="2">
        <v>28.77</v>
      </c>
      <c r="AE194" s="2">
        <v>30.13</v>
      </c>
      <c r="AF194" s="2">
        <v>27.55</v>
      </c>
      <c r="AG194" s="2">
        <v>29.79</v>
      </c>
      <c r="AH194" s="2">
        <v>24.43</v>
      </c>
      <c r="AI194" s="2">
        <v>29.97</v>
      </c>
      <c r="AJ194" s="2">
        <v>25.56</v>
      </c>
      <c r="AK194" s="2">
        <v>32.39</v>
      </c>
      <c r="AL194" s="2">
        <v>26.43</v>
      </c>
      <c r="AM194" s="2">
        <v>26.48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69</v>
      </c>
      <c r="AV194" s="2">
        <v>612.36</v>
      </c>
      <c r="AW194" s="2">
        <v>417.8</v>
      </c>
      <c r="AX194" s="2">
        <v>287.57</v>
      </c>
      <c r="AY194" s="2">
        <v>229.52</v>
      </c>
      <c r="AZ194" s="2">
        <v>479.47</v>
      </c>
      <c r="BA194" s="2">
        <v>546.64</v>
      </c>
      <c r="BB194" s="2">
        <v>515.5</v>
      </c>
      <c r="BC194" s="2">
        <v>523.41</v>
      </c>
      <c r="BD194" s="2">
        <v>537.08000000000004</v>
      </c>
      <c r="BE194" s="2">
        <v>495.34</v>
      </c>
      <c r="BF194" s="2">
        <v>540.74</v>
      </c>
      <c r="BG194" s="2">
        <v>518.34</v>
      </c>
      <c r="BH194" s="2">
        <v>576.09</v>
      </c>
      <c r="BI194" s="2">
        <v>535.87</v>
      </c>
      <c r="BJ194" s="2">
        <v>537.02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7" x14ac:dyDescent="0.3">
      <c r="X195" s="1" t="s">
        <v>70</v>
      </c>
      <c r="Y195" s="2">
        <v>124.63</v>
      </c>
      <c r="Z195" s="2">
        <v>123.02</v>
      </c>
      <c r="AA195" s="2">
        <v>62.33</v>
      </c>
      <c r="AB195" s="2">
        <v>66.48</v>
      </c>
      <c r="AC195" s="2">
        <v>104.16</v>
      </c>
      <c r="AD195" s="2">
        <v>98.49</v>
      </c>
      <c r="AE195" s="2">
        <v>99.65</v>
      </c>
      <c r="AF195" s="2">
        <v>107.18</v>
      </c>
      <c r="AG195" s="2">
        <v>104.74</v>
      </c>
      <c r="AH195" s="2">
        <v>108.5</v>
      </c>
      <c r="AI195" s="2">
        <v>103.45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70</v>
      </c>
      <c r="AV195" s="2">
        <v>1919.77</v>
      </c>
      <c r="AW195" s="2">
        <v>2482.48</v>
      </c>
      <c r="AX195" s="2">
        <v>1153.67</v>
      </c>
      <c r="AY195" s="2">
        <v>1263.02</v>
      </c>
      <c r="AZ195" s="2">
        <v>1622.57</v>
      </c>
      <c r="BA195" s="2">
        <v>1614.32</v>
      </c>
      <c r="BB195" s="2">
        <v>1893.35</v>
      </c>
      <c r="BC195" s="2">
        <v>2036.32</v>
      </c>
      <c r="BD195" s="2">
        <v>2123.7600000000002</v>
      </c>
      <c r="BE195" s="2">
        <v>2200</v>
      </c>
      <c r="BF195" s="2">
        <v>2097.5500000000002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71</v>
      </c>
      <c r="Y196" s="2">
        <v>23.23</v>
      </c>
      <c r="Z196" s="2">
        <v>20.95</v>
      </c>
      <c r="AA196" s="2">
        <v>12.24</v>
      </c>
      <c r="AB196" s="2">
        <v>7.93</v>
      </c>
      <c r="AC196" s="2">
        <v>17.16</v>
      </c>
      <c r="AD196" s="2">
        <v>15.84</v>
      </c>
      <c r="AE196" s="2">
        <v>13.64</v>
      </c>
      <c r="AF196" s="2">
        <v>14.4</v>
      </c>
      <c r="AG196" s="2">
        <v>13.71</v>
      </c>
      <c r="AH196" s="2">
        <v>18.86</v>
      </c>
      <c r="AI196" s="2">
        <v>15.65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71</v>
      </c>
      <c r="AV196" s="2">
        <v>427.94</v>
      </c>
      <c r="AW196" s="2">
        <v>397.78</v>
      </c>
      <c r="AX196" s="2">
        <v>232.5</v>
      </c>
      <c r="AY196" s="2">
        <v>150.58000000000001</v>
      </c>
      <c r="AZ196" s="2">
        <v>310.73</v>
      </c>
      <c r="BA196" s="2">
        <v>300.97000000000003</v>
      </c>
      <c r="BB196" s="2">
        <v>259.16000000000003</v>
      </c>
      <c r="BC196" s="2">
        <v>273.63</v>
      </c>
      <c r="BD196" s="2">
        <v>278.08999999999997</v>
      </c>
      <c r="BE196" s="2">
        <v>382.32</v>
      </c>
      <c r="BF196" s="2">
        <v>317.25</v>
      </c>
      <c r="BG196" s="2">
        <v>329.02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72</v>
      </c>
      <c r="Y197" s="2">
        <v>70.87</v>
      </c>
      <c r="Z197" s="2">
        <v>78.67</v>
      </c>
      <c r="AA197" s="2">
        <v>35.450000000000003</v>
      </c>
      <c r="AB197" s="2">
        <v>35.9</v>
      </c>
      <c r="AC197" s="2">
        <v>56.36</v>
      </c>
      <c r="AD197" s="2">
        <v>66.8</v>
      </c>
      <c r="AE197" s="2">
        <v>52.54</v>
      </c>
      <c r="AF197" s="2">
        <v>85.47</v>
      </c>
      <c r="AG197" s="2">
        <v>48.47</v>
      </c>
      <c r="AH197" s="2">
        <v>89.6</v>
      </c>
      <c r="AI197" s="2">
        <v>51.51</v>
      </c>
      <c r="AJ197" s="2">
        <v>84.05</v>
      </c>
      <c r="AK197" s="2">
        <v>53.51</v>
      </c>
      <c r="AL197" s="2">
        <v>74.8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72</v>
      </c>
      <c r="AV197" s="2">
        <v>1409.75</v>
      </c>
      <c r="AW197" s="2">
        <v>1577.11</v>
      </c>
      <c r="AX197" s="2">
        <v>673.54</v>
      </c>
      <c r="AY197" s="2">
        <v>682.14</v>
      </c>
      <c r="AZ197" s="2">
        <v>868.27</v>
      </c>
      <c r="BA197" s="2">
        <v>1269.18</v>
      </c>
      <c r="BB197" s="2">
        <v>998.3</v>
      </c>
      <c r="BC197" s="2">
        <v>1043.1400000000001</v>
      </c>
      <c r="BD197" s="2">
        <v>982.81</v>
      </c>
      <c r="BE197" s="2">
        <v>1394.79</v>
      </c>
      <c r="BF197" s="2">
        <v>1044.3599999999999</v>
      </c>
      <c r="BG197" s="2">
        <v>1320.7</v>
      </c>
      <c r="BH197" s="2">
        <v>1084.9000000000001</v>
      </c>
      <c r="BI197" s="2">
        <v>1298.5999999999999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73</v>
      </c>
      <c r="Y198" s="2">
        <v>46.14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39.049999999999997</v>
      </c>
      <c r="AG198" s="2">
        <v>39.58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73</v>
      </c>
      <c r="AV198" s="2">
        <v>935.46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741.99</v>
      </c>
      <c r="BD198" s="2">
        <v>802.52</v>
      </c>
      <c r="BE198" s="2">
        <v>760.07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819.68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63</v>
      </c>
      <c r="Z202" s="1" t="s">
        <v>64</v>
      </c>
      <c r="AA202" s="1" t="s">
        <v>63</v>
      </c>
      <c r="AB202" s="1" t="s">
        <v>64</v>
      </c>
      <c r="AC202" s="1" t="s">
        <v>63</v>
      </c>
      <c r="AD202" s="1" t="s">
        <v>64</v>
      </c>
      <c r="AE202" s="1" t="s">
        <v>63</v>
      </c>
      <c r="AF202" s="1" t="s">
        <v>64</v>
      </c>
      <c r="AG202" s="1" t="s">
        <v>63</v>
      </c>
      <c r="AH202" s="1" t="s">
        <v>64</v>
      </c>
      <c r="AI202" s="1" t="s">
        <v>63</v>
      </c>
      <c r="AJ202" s="1" t="s">
        <v>64</v>
      </c>
      <c r="AK202" s="1" t="s">
        <v>63</v>
      </c>
      <c r="AL202" s="1" t="s">
        <v>64</v>
      </c>
      <c r="AM202" s="1" t="s">
        <v>63</v>
      </c>
      <c r="AN202" s="1" t="s">
        <v>64</v>
      </c>
      <c r="AO202" s="1" t="s">
        <v>63</v>
      </c>
      <c r="AP202" s="1" t="s">
        <v>64</v>
      </c>
      <c r="AQ202" s="1" t="s">
        <v>63</v>
      </c>
      <c r="AR202" s="1" t="s">
        <v>64</v>
      </c>
      <c r="AU202" s="1" t="s">
        <v>6</v>
      </c>
      <c r="AV202" s="5" t="s">
        <v>63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 t="s">
        <v>64</v>
      </c>
      <c r="BG202" s="5"/>
      <c r="BH202" s="5"/>
      <c r="BI202" s="5"/>
      <c r="BJ202" s="5"/>
      <c r="BK202" s="5"/>
      <c r="BL202" s="5"/>
      <c r="BM202" s="5"/>
      <c r="BN202" s="5"/>
      <c r="BO202" s="5"/>
    </row>
    <row r="203" spans="24:67" x14ac:dyDescent="0.3">
      <c r="X203" s="1" t="s">
        <v>65</v>
      </c>
      <c r="Y203" s="1" t="s">
        <v>53</v>
      </c>
      <c r="Z203" s="1" t="s">
        <v>53</v>
      </c>
      <c r="AA203" s="1" t="s">
        <v>54</v>
      </c>
      <c r="AB203" s="1" t="s">
        <v>54</v>
      </c>
      <c r="AC203" s="1" t="s">
        <v>55</v>
      </c>
      <c r="AD203" s="1" t="s">
        <v>55</v>
      </c>
      <c r="AE203" s="1" t="s">
        <v>56</v>
      </c>
      <c r="AF203" s="1" t="s">
        <v>56</v>
      </c>
      <c r="AG203" s="1" t="s">
        <v>57</v>
      </c>
      <c r="AH203" s="1" t="s">
        <v>57</v>
      </c>
      <c r="AI203" s="1" t="s">
        <v>58</v>
      </c>
      <c r="AJ203" s="1" t="s">
        <v>58</v>
      </c>
      <c r="AK203" s="1" t="s">
        <v>59</v>
      </c>
      <c r="AL203" s="1" t="s">
        <v>59</v>
      </c>
      <c r="AM203" s="1" t="s">
        <v>60</v>
      </c>
      <c r="AN203" s="1" t="s">
        <v>60</v>
      </c>
      <c r="AO203" s="1" t="s">
        <v>61</v>
      </c>
      <c r="AP203" s="1" t="s">
        <v>61</v>
      </c>
      <c r="AQ203" s="1" t="s">
        <v>62</v>
      </c>
      <c r="AR203" s="1" t="s">
        <v>62</v>
      </c>
      <c r="AU203" s="1" t="s">
        <v>65</v>
      </c>
      <c r="AV203" s="1" t="s">
        <v>53</v>
      </c>
      <c r="AW203" s="1" t="s">
        <v>62</v>
      </c>
      <c r="AX203" s="1" t="s">
        <v>54</v>
      </c>
      <c r="AY203" s="1" t="s">
        <v>55</v>
      </c>
      <c r="AZ203" s="1" t="s">
        <v>56</v>
      </c>
      <c r="BA203" s="1" t="s">
        <v>57</v>
      </c>
      <c r="BB203" s="1" t="s">
        <v>58</v>
      </c>
      <c r="BC203" s="1" t="s">
        <v>59</v>
      </c>
      <c r="BD203" s="1" t="s">
        <v>60</v>
      </c>
      <c r="BE203" s="1" t="s">
        <v>61</v>
      </c>
      <c r="BF203" s="1" t="s">
        <v>53</v>
      </c>
      <c r="BG203" s="1" t="s">
        <v>62</v>
      </c>
      <c r="BH203" s="1" t="s">
        <v>54</v>
      </c>
      <c r="BI203" s="1" t="s">
        <v>55</v>
      </c>
      <c r="BJ203" s="1" t="s">
        <v>56</v>
      </c>
      <c r="BK203" s="1" t="s">
        <v>57</v>
      </c>
      <c r="BL203" s="1" t="s">
        <v>58</v>
      </c>
      <c r="BM203" s="1" t="s">
        <v>59</v>
      </c>
      <c r="BN203" s="1" t="s">
        <v>60</v>
      </c>
      <c r="BO203" s="1" t="s">
        <v>61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66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66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67</v>
      </c>
      <c r="Y206" s="2">
        <v>0.26</v>
      </c>
      <c r="Z206" s="2">
        <v>0.23</v>
      </c>
      <c r="AA206" s="2">
        <v>0.28000000000000003</v>
      </c>
      <c r="AB206" s="2">
        <v>0.28999999999999998</v>
      </c>
      <c r="AC206" s="2">
        <v>0.2</v>
      </c>
      <c r="AD206" s="2">
        <v>0.14000000000000001</v>
      </c>
      <c r="AE206" s="2">
        <v>0.25</v>
      </c>
      <c r="AF206" s="2">
        <v>0.18</v>
      </c>
      <c r="AG206" s="2">
        <v>0.17</v>
      </c>
      <c r="AH206" s="2">
        <v>7.0000000000000007E-2</v>
      </c>
      <c r="AI206" s="2">
        <v>0.2</v>
      </c>
      <c r="AJ206" s="2">
        <v>0.08</v>
      </c>
      <c r="AK206" s="2">
        <v>0.16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67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68</v>
      </c>
      <c r="Y207" s="2">
        <v>0.38</v>
      </c>
      <c r="Z207" s="2">
        <v>0.18</v>
      </c>
      <c r="AA207" s="2">
        <v>0.38</v>
      </c>
      <c r="AB207" s="2">
        <v>0.25</v>
      </c>
      <c r="AC207" s="2">
        <v>0.34</v>
      </c>
      <c r="AD207" s="2">
        <v>0.3</v>
      </c>
      <c r="AE207" s="2">
        <v>0.33</v>
      </c>
      <c r="AF207" s="2">
        <v>0.16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68</v>
      </c>
      <c r="AV207" s="2">
        <v>49.25</v>
      </c>
      <c r="AW207" s="2">
        <v>236.18</v>
      </c>
      <c r="AX207" s="2">
        <v>18.04</v>
      </c>
      <c r="AY207" s="2">
        <v>16.350000000000001</v>
      </c>
      <c r="AZ207" s="2">
        <v>54.27</v>
      </c>
      <c r="BA207" s="2">
        <v>140.4</v>
      </c>
      <c r="BB207" s="2">
        <v>252.82</v>
      </c>
      <c r="BC207" s="2">
        <v>241.51</v>
      </c>
      <c r="BD207" s="2">
        <v>256.05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20.8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69</v>
      </c>
      <c r="Y208" s="2">
        <v>0.37</v>
      </c>
      <c r="Z208" s="2">
        <v>0.18</v>
      </c>
      <c r="AA208" s="2">
        <v>0.36</v>
      </c>
      <c r="AB208" s="2">
        <v>0.28000000000000003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0.14000000000000001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69</v>
      </c>
      <c r="AV208" s="2">
        <v>25.5</v>
      </c>
      <c r="AW208" s="2">
        <v>72.900000000000006</v>
      </c>
      <c r="AX208" s="2">
        <v>5.29</v>
      </c>
      <c r="AY208" s="2">
        <v>11.02</v>
      </c>
      <c r="AZ208" s="2">
        <v>39.61</v>
      </c>
      <c r="BA208" s="2">
        <v>67.64</v>
      </c>
      <c r="BB208" s="2">
        <v>110.96</v>
      </c>
      <c r="BC208" s="2">
        <v>106.12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6.82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70</v>
      </c>
      <c r="Y209" s="2">
        <v>0.31</v>
      </c>
      <c r="Z209" s="2">
        <v>0.31</v>
      </c>
      <c r="AA209" s="2">
        <v>0.34</v>
      </c>
      <c r="AB209" s="2">
        <v>0.28000000000000003</v>
      </c>
      <c r="AC209" s="2">
        <v>0.31</v>
      </c>
      <c r="AD209" s="2">
        <v>0.32</v>
      </c>
      <c r="AE209" s="2">
        <v>0.21</v>
      </c>
      <c r="AF209" s="2">
        <v>0.28999999999999998</v>
      </c>
      <c r="AG209" s="2">
        <v>0.24</v>
      </c>
      <c r="AH209" s="2">
        <v>0.26</v>
      </c>
      <c r="AI209" s="2">
        <v>0.21</v>
      </c>
      <c r="AJ209" s="2">
        <v>0.19</v>
      </c>
      <c r="AK209" s="2">
        <v>0.18</v>
      </c>
      <c r="AL209" s="2">
        <v>0.17</v>
      </c>
      <c r="AM209" s="2">
        <v>0.13</v>
      </c>
      <c r="AN209" s="2">
        <v>0.13</v>
      </c>
      <c r="AO209" s="2">
        <v>0.1</v>
      </c>
      <c r="AP209" s="2">
        <v>0.09</v>
      </c>
      <c r="AQ209" s="2">
        <v>0.1</v>
      </c>
      <c r="AR209" s="2">
        <v>0.06</v>
      </c>
      <c r="AU209" s="1" t="s">
        <v>70</v>
      </c>
      <c r="AV209" s="2">
        <v>77.040000000000006</v>
      </c>
      <c r="AW209" s="2">
        <v>391.5</v>
      </c>
      <c r="AX209" s="2">
        <v>74.05</v>
      </c>
      <c r="AY209" s="2">
        <v>24.93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22.41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71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0.23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71</v>
      </c>
      <c r="AV210" s="2">
        <v>15.23</v>
      </c>
      <c r="AW210" s="2">
        <v>67.05</v>
      </c>
      <c r="AX210" s="2">
        <v>6.57</v>
      </c>
      <c r="AY210" s="2">
        <v>4.4000000000000004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8.41</v>
      </c>
      <c r="BG210" s="2">
        <v>50.4</v>
      </c>
      <c r="BH210" s="2">
        <v>2.89</v>
      </c>
      <c r="BI210" s="2">
        <v>3.77</v>
      </c>
      <c r="BJ210" s="2">
        <v>10.37</v>
      </c>
      <c r="BK210" s="2">
        <v>47.46</v>
      </c>
      <c r="BL210" s="2">
        <v>59.93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72</v>
      </c>
      <c r="Y211" s="2">
        <v>0.37</v>
      </c>
      <c r="Z211" s="2">
        <v>0.38</v>
      </c>
      <c r="AA211" s="2">
        <v>0.31</v>
      </c>
      <c r="AB211" s="2">
        <v>0.38</v>
      </c>
      <c r="AC211" s="2">
        <v>0.26</v>
      </c>
      <c r="AD211" s="2">
        <v>0.37</v>
      </c>
      <c r="AE211" s="2">
        <v>0.22</v>
      </c>
      <c r="AF211" s="2">
        <v>0.31</v>
      </c>
      <c r="AG211" s="2">
        <v>0.12</v>
      </c>
      <c r="AH211" s="2">
        <v>0.32</v>
      </c>
      <c r="AI211" s="2">
        <v>0.13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72</v>
      </c>
      <c r="AV211" s="2">
        <v>65.61</v>
      </c>
      <c r="AW211" s="2">
        <v>135.78</v>
      </c>
      <c r="AX211" s="2">
        <v>26.98</v>
      </c>
      <c r="AY211" s="2">
        <v>15.4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93.19</v>
      </c>
      <c r="BG211" s="2">
        <v>236.87</v>
      </c>
      <c r="BH211" s="2">
        <v>39.82</v>
      </c>
      <c r="BI211" s="2">
        <v>34.97</v>
      </c>
      <c r="BJ211" s="2">
        <v>115.37</v>
      </c>
      <c r="BK211" s="2">
        <v>192.56</v>
      </c>
      <c r="BL211" s="2">
        <v>318.98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73</v>
      </c>
      <c r="Y212" s="2">
        <v>0.19</v>
      </c>
      <c r="Z212" s="2">
        <v>0.23</v>
      </c>
      <c r="AA212" s="2">
        <v>0.51</v>
      </c>
      <c r="AB212" s="2">
        <v>0.5</v>
      </c>
      <c r="AC212" s="2">
        <v>0.18</v>
      </c>
      <c r="AD212" s="2">
        <v>0.43</v>
      </c>
      <c r="AE212" s="2">
        <v>0.19</v>
      </c>
      <c r="AF212" s="2">
        <v>0.22</v>
      </c>
      <c r="AG212" s="2">
        <v>0.06</v>
      </c>
      <c r="AH212" s="2">
        <v>0.17</v>
      </c>
      <c r="AI212" s="2">
        <v>0.11</v>
      </c>
      <c r="AJ212" s="2">
        <v>0.18</v>
      </c>
      <c r="AK212" s="2">
        <v>0.13</v>
      </c>
      <c r="AL212" s="2">
        <v>0.14000000000000001</v>
      </c>
      <c r="AM212" s="2">
        <v>0.11</v>
      </c>
      <c r="AN212" s="2">
        <v>0.09</v>
      </c>
      <c r="AO212" s="2">
        <v>0.09</v>
      </c>
      <c r="AP212" s="2">
        <v>0.05</v>
      </c>
      <c r="AQ212" s="2">
        <v>0.06</v>
      </c>
      <c r="AR212" s="2">
        <v>0.04</v>
      </c>
      <c r="AU212" s="1" t="s">
        <v>73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63</v>
      </c>
      <c r="Z216" s="1" t="s">
        <v>64</v>
      </c>
      <c r="AA216" s="1" t="s">
        <v>63</v>
      </c>
      <c r="AB216" s="1" t="s">
        <v>64</v>
      </c>
      <c r="AC216" s="1" t="s">
        <v>63</v>
      </c>
      <c r="AD216" s="1" t="s">
        <v>64</v>
      </c>
      <c r="AE216" s="1" t="s">
        <v>63</v>
      </c>
      <c r="AF216" s="1" t="s">
        <v>64</v>
      </c>
      <c r="AG216" s="1" t="s">
        <v>63</v>
      </c>
      <c r="AH216" s="1" t="s">
        <v>64</v>
      </c>
      <c r="AI216" s="1" t="s">
        <v>63</v>
      </c>
      <c r="AJ216" s="1" t="s">
        <v>64</v>
      </c>
      <c r="AK216" s="1" t="s">
        <v>63</v>
      </c>
      <c r="AL216" s="1" t="s">
        <v>64</v>
      </c>
      <c r="AM216" s="1" t="s">
        <v>63</v>
      </c>
      <c r="AN216" s="1" t="s">
        <v>64</v>
      </c>
      <c r="AO216" s="1" t="s">
        <v>63</v>
      </c>
      <c r="AP216" s="1" t="s">
        <v>64</v>
      </c>
      <c r="AQ216" s="1" t="s">
        <v>63</v>
      </c>
      <c r="AR216" s="1" t="s">
        <v>64</v>
      </c>
      <c r="AU216" s="1" t="s">
        <v>6</v>
      </c>
      <c r="AV216" s="1" t="s">
        <v>63</v>
      </c>
      <c r="AW216" s="1" t="s">
        <v>64</v>
      </c>
      <c r="AX216" s="1" t="s">
        <v>63</v>
      </c>
      <c r="AY216" s="1" t="s">
        <v>64</v>
      </c>
      <c r="AZ216" s="1" t="s">
        <v>63</v>
      </c>
      <c r="BA216" s="1" t="s">
        <v>64</v>
      </c>
      <c r="BB216" s="1" t="s">
        <v>63</v>
      </c>
      <c r="BC216" s="1" t="s">
        <v>64</v>
      </c>
      <c r="BD216" s="1" t="s">
        <v>63</v>
      </c>
      <c r="BE216" s="1" t="s">
        <v>64</v>
      </c>
      <c r="BF216" s="1" t="s">
        <v>63</v>
      </c>
      <c r="BG216" s="1" t="s">
        <v>64</v>
      </c>
      <c r="BH216" s="1" t="s">
        <v>63</v>
      </c>
      <c r="BI216" s="1" t="s">
        <v>64</v>
      </c>
      <c r="BJ216" s="1" t="s">
        <v>63</v>
      </c>
      <c r="BK216" s="1" t="s">
        <v>64</v>
      </c>
      <c r="BL216" s="1" t="s">
        <v>63</v>
      </c>
      <c r="BM216" s="1" t="s">
        <v>64</v>
      </c>
      <c r="BN216" s="1" t="s">
        <v>63</v>
      </c>
      <c r="BO216" s="1" t="s">
        <v>64</v>
      </c>
    </row>
    <row r="217" spans="24:67" x14ac:dyDescent="0.3">
      <c r="X217" s="1" t="s">
        <v>65</v>
      </c>
      <c r="Y217" s="1" t="s">
        <v>53</v>
      </c>
      <c r="Z217" s="1" t="s">
        <v>53</v>
      </c>
      <c r="AA217" s="1" t="s">
        <v>54</v>
      </c>
      <c r="AB217" s="1" t="s">
        <v>54</v>
      </c>
      <c r="AC217" s="1" t="s">
        <v>55</v>
      </c>
      <c r="AD217" s="1" t="s">
        <v>55</v>
      </c>
      <c r="AE217" s="1" t="s">
        <v>56</v>
      </c>
      <c r="AF217" s="1" t="s">
        <v>56</v>
      </c>
      <c r="AG217" s="1" t="s">
        <v>57</v>
      </c>
      <c r="AH217" s="1" t="s">
        <v>57</v>
      </c>
      <c r="AI217" s="1" t="s">
        <v>58</v>
      </c>
      <c r="AJ217" s="1" t="s">
        <v>58</v>
      </c>
      <c r="AK217" s="1" t="s">
        <v>59</v>
      </c>
      <c r="AL217" s="1" t="s">
        <v>59</v>
      </c>
      <c r="AM217" s="1" t="s">
        <v>60</v>
      </c>
      <c r="AN217" s="1" t="s">
        <v>60</v>
      </c>
      <c r="AO217" s="1" t="s">
        <v>61</v>
      </c>
      <c r="AP217" s="1" t="s">
        <v>61</v>
      </c>
      <c r="AQ217" s="1" t="s">
        <v>62</v>
      </c>
      <c r="AR217" s="1" t="s">
        <v>62</v>
      </c>
      <c r="AU217" s="1" t="s">
        <v>65</v>
      </c>
      <c r="AV217" s="1" t="s">
        <v>53</v>
      </c>
      <c r="AW217" s="1" t="s">
        <v>53</v>
      </c>
      <c r="AX217" s="1" t="s">
        <v>54</v>
      </c>
      <c r="AY217" s="1" t="s">
        <v>54</v>
      </c>
      <c r="AZ217" s="1" t="s">
        <v>55</v>
      </c>
      <c r="BA217" s="1" t="s">
        <v>55</v>
      </c>
      <c r="BB217" s="1" t="s">
        <v>56</v>
      </c>
      <c r="BC217" s="1" t="s">
        <v>56</v>
      </c>
      <c r="BD217" s="1" t="s">
        <v>57</v>
      </c>
      <c r="BE217" s="1" t="s">
        <v>57</v>
      </c>
      <c r="BF217" s="1" t="s">
        <v>58</v>
      </c>
      <c r="BG217" s="1" t="s">
        <v>58</v>
      </c>
      <c r="BH217" s="1" t="s">
        <v>59</v>
      </c>
      <c r="BI217" s="1" t="s">
        <v>59</v>
      </c>
      <c r="BJ217" s="1" t="s">
        <v>60</v>
      </c>
      <c r="BK217" s="1" t="s">
        <v>60</v>
      </c>
      <c r="BL217" s="1" t="s">
        <v>61</v>
      </c>
      <c r="BM217" s="1" t="s">
        <v>61</v>
      </c>
      <c r="BN217" s="1" t="s">
        <v>62</v>
      </c>
      <c r="BO217" s="1" t="s">
        <v>62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66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66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67</v>
      </c>
      <c r="Y220" s="2">
        <v>0.09</v>
      </c>
      <c r="Z220" s="2">
        <v>0.01</v>
      </c>
      <c r="AA220" s="2">
        <v>0.05</v>
      </c>
      <c r="AB220" s="2">
        <v>0</v>
      </c>
      <c r="AC220" s="2">
        <v>0.01</v>
      </c>
      <c r="AD220" s="2">
        <v>0.02</v>
      </c>
      <c r="AE220" s="2">
        <v>0.11</v>
      </c>
      <c r="AF220" s="2">
        <v>0.1</v>
      </c>
      <c r="AG220" s="2">
        <v>0.18</v>
      </c>
      <c r="AH220" s="2">
        <v>0.06</v>
      </c>
      <c r="AI220" s="2">
        <v>0.5</v>
      </c>
      <c r="AJ220" s="2">
        <v>0.13</v>
      </c>
      <c r="AK220" s="2">
        <v>0.28000000000000003</v>
      </c>
      <c r="AL220" s="2">
        <v>0.15</v>
      </c>
      <c r="AM220" s="2">
        <v>0.32</v>
      </c>
      <c r="AN220" s="2">
        <v>0.14000000000000001</v>
      </c>
      <c r="AO220" s="2">
        <v>0.24</v>
      </c>
      <c r="AP220" s="2">
        <v>0.05</v>
      </c>
      <c r="AQ220" s="2">
        <v>0.24</v>
      </c>
      <c r="AR220" s="2">
        <v>0.02</v>
      </c>
      <c r="AU220" s="1" t="s">
        <v>67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68</v>
      </c>
      <c r="Y221" s="2">
        <v>1.1499999999999999</v>
      </c>
      <c r="Z221" s="2">
        <v>0</v>
      </c>
      <c r="AA221" s="2">
        <v>1.1499999999999999</v>
      </c>
      <c r="AB221" s="2">
        <v>0</v>
      </c>
      <c r="AC221" s="2">
        <v>0.23</v>
      </c>
      <c r="AD221" s="2">
        <v>0.16</v>
      </c>
      <c r="AE221" s="2">
        <v>0.67</v>
      </c>
      <c r="AF221" s="2">
        <v>0.16</v>
      </c>
      <c r="AG221" s="2">
        <v>0.99</v>
      </c>
      <c r="AH221" s="2">
        <v>0.15</v>
      </c>
      <c r="AI221" s="2">
        <v>1.84</v>
      </c>
      <c r="AJ221" s="2">
        <v>0.28000000000000003</v>
      </c>
      <c r="AK221" s="2">
        <v>1.42</v>
      </c>
      <c r="AL221" s="2">
        <v>0.25</v>
      </c>
      <c r="AM221" s="2">
        <v>1.81</v>
      </c>
      <c r="AN221" s="2">
        <v>0.25</v>
      </c>
      <c r="AO221" s="2">
        <v>0.39</v>
      </c>
      <c r="AP221" s="2">
        <v>0.11</v>
      </c>
      <c r="AQ221" s="2">
        <v>0.13</v>
      </c>
      <c r="AR221" s="2">
        <v>7.0000000000000007E-2</v>
      </c>
      <c r="AU221" s="1" t="s">
        <v>68</v>
      </c>
      <c r="AV221" s="2">
        <v>37.89</v>
      </c>
      <c r="AW221" s="2">
        <v>36.9</v>
      </c>
      <c r="AX221" s="2">
        <v>13.88</v>
      </c>
      <c r="AY221" s="2">
        <v>19.2</v>
      </c>
      <c r="AZ221" s="2">
        <v>32.71</v>
      </c>
      <c r="BA221" s="2">
        <v>41.6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70.23</v>
      </c>
      <c r="BG221" s="2">
        <v>96.55</v>
      </c>
      <c r="BH221" s="2">
        <v>83.28</v>
      </c>
      <c r="BI221" s="2">
        <v>100.85</v>
      </c>
      <c r="BJ221" s="2">
        <v>67.38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69</v>
      </c>
      <c r="Y222" s="2">
        <v>0.53</v>
      </c>
      <c r="Z222" s="2">
        <v>0.02</v>
      </c>
      <c r="AA222" s="2">
        <v>0.57999999999999996</v>
      </c>
      <c r="AB222" s="2">
        <v>0</v>
      </c>
      <c r="AC222" s="2">
        <v>0.18</v>
      </c>
      <c r="AD222" s="2">
        <v>0.24</v>
      </c>
      <c r="AE222" s="2">
        <v>0.56999999999999995</v>
      </c>
      <c r="AF222" s="2">
        <v>0.21</v>
      </c>
      <c r="AG222" s="2">
        <v>0.72</v>
      </c>
      <c r="AH222" s="2">
        <v>0.19</v>
      </c>
      <c r="AI222" s="2">
        <v>1.3</v>
      </c>
      <c r="AJ222" s="2">
        <v>0.28999999999999998</v>
      </c>
      <c r="AK222" s="2">
        <v>1.05</v>
      </c>
      <c r="AL222" s="2">
        <v>0.25</v>
      </c>
      <c r="AM222" s="2">
        <v>0.94</v>
      </c>
      <c r="AN222" s="2">
        <v>0.24</v>
      </c>
      <c r="AO222" s="2">
        <v>0.2</v>
      </c>
      <c r="AP222" s="2">
        <v>0.14000000000000001</v>
      </c>
      <c r="AQ222" s="2">
        <v>0.17</v>
      </c>
      <c r="AR222" s="2">
        <v>0.13</v>
      </c>
      <c r="AU222" s="1" t="s">
        <v>69</v>
      </c>
      <c r="AV222" s="2">
        <v>19.62</v>
      </c>
      <c r="AW222" s="2">
        <v>13.6</v>
      </c>
      <c r="AX222" s="2">
        <v>4.07</v>
      </c>
      <c r="AY222" s="2">
        <v>8.9</v>
      </c>
      <c r="AZ222" s="2">
        <v>22.04</v>
      </c>
      <c r="BA222" s="2">
        <v>13.65</v>
      </c>
      <c r="BB222" s="2">
        <v>24.76</v>
      </c>
      <c r="BC222" s="2">
        <v>18.91</v>
      </c>
      <c r="BD222" s="2">
        <v>33.82</v>
      </c>
      <c r="BE222" s="2">
        <v>16.010000000000002</v>
      </c>
      <c r="BF222" s="2">
        <v>30.82</v>
      </c>
      <c r="BG222" s="2">
        <v>17.3</v>
      </c>
      <c r="BH222" s="2">
        <v>36.590000000000003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70</v>
      </c>
      <c r="Y223" s="2">
        <v>0.42</v>
      </c>
      <c r="Z223" s="2">
        <v>0.37</v>
      </c>
      <c r="AA223" s="2">
        <v>0.42</v>
      </c>
      <c r="AB223" s="2">
        <v>7.0000000000000007E-2</v>
      </c>
      <c r="AC223" s="2">
        <v>0.15</v>
      </c>
      <c r="AD223" s="2">
        <v>0.16</v>
      </c>
      <c r="AE223" s="2">
        <v>7.0000000000000007E-2</v>
      </c>
      <c r="AF223" s="2">
        <v>0.44</v>
      </c>
      <c r="AG223" s="2">
        <v>0.45</v>
      </c>
      <c r="AH223" s="2">
        <v>0.53</v>
      </c>
      <c r="AI223" s="2">
        <v>0.64</v>
      </c>
      <c r="AJ223" s="2">
        <v>0.52</v>
      </c>
      <c r="AK223" s="2">
        <v>0.36</v>
      </c>
      <c r="AL223" s="2">
        <v>0.33</v>
      </c>
      <c r="AM223" s="2">
        <v>0.28999999999999998</v>
      </c>
      <c r="AN223" s="2">
        <v>0.31</v>
      </c>
      <c r="AO223" s="2">
        <v>0.19</v>
      </c>
      <c r="AP223" s="2">
        <v>0.14000000000000001</v>
      </c>
      <c r="AQ223" s="2">
        <v>0.22</v>
      </c>
      <c r="AR223" s="2">
        <v>0.1</v>
      </c>
      <c r="AU223" s="1" t="s">
        <v>70</v>
      </c>
      <c r="AV223" s="2">
        <v>59.26</v>
      </c>
      <c r="AW223" s="2">
        <v>61.5</v>
      </c>
      <c r="AX223" s="2">
        <v>56.96</v>
      </c>
      <c r="AY223" s="2">
        <v>57.5</v>
      </c>
      <c r="AZ223" s="2">
        <v>49.86</v>
      </c>
      <c r="BA223" s="2">
        <v>44.82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71</v>
      </c>
      <c r="Y224" s="2">
        <v>0.45</v>
      </c>
      <c r="Z224" s="2">
        <v>0.45</v>
      </c>
      <c r="AA224" s="2">
        <v>0.42</v>
      </c>
      <c r="AB224" s="2">
        <v>0.4</v>
      </c>
      <c r="AC224" s="2">
        <v>0.16</v>
      </c>
      <c r="AD224" s="2">
        <v>0.16</v>
      </c>
      <c r="AE224" s="2">
        <v>7.0000000000000007E-2</v>
      </c>
      <c r="AF224" s="2">
        <v>0.46</v>
      </c>
      <c r="AG224" s="2">
        <v>0.1</v>
      </c>
      <c r="AH224" s="2">
        <v>0.6</v>
      </c>
      <c r="AI224" s="2">
        <v>0.28999999999999998</v>
      </c>
      <c r="AJ224" s="2">
        <v>1.1399999999999999</v>
      </c>
      <c r="AK224" s="2">
        <v>0.22</v>
      </c>
      <c r="AL224" s="2">
        <v>0.65</v>
      </c>
      <c r="AM224" s="2">
        <v>0.28000000000000003</v>
      </c>
      <c r="AN224" s="2">
        <v>0.87</v>
      </c>
      <c r="AO224" s="2">
        <v>0.2</v>
      </c>
      <c r="AP224" s="2">
        <v>0.53</v>
      </c>
      <c r="AQ224" s="2">
        <v>0.17</v>
      </c>
      <c r="AR224" s="2">
        <v>0.11</v>
      </c>
      <c r="AU224" s="1" t="s">
        <v>71</v>
      </c>
      <c r="AV224" s="2">
        <v>11.72</v>
      </c>
      <c r="AW224" s="2">
        <v>6.47</v>
      </c>
      <c r="AX224" s="2">
        <v>5.0599999999999996</v>
      </c>
      <c r="AY224" s="2">
        <v>2.2200000000000002</v>
      </c>
      <c r="AZ224" s="2">
        <v>8.8000000000000007</v>
      </c>
      <c r="BA224" s="2">
        <v>7.54</v>
      </c>
      <c r="BB224" s="2">
        <v>10.1</v>
      </c>
      <c r="BC224" s="2">
        <v>6.48</v>
      </c>
      <c r="BD224" s="2">
        <v>12.3</v>
      </c>
      <c r="BE224" s="2">
        <v>23.73</v>
      </c>
      <c r="BF224" s="2">
        <v>12.3</v>
      </c>
      <c r="BG224" s="2">
        <v>16.649999999999999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72</v>
      </c>
      <c r="Y225" s="2">
        <v>1.06</v>
      </c>
      <c r="Z225" s="2">
        <v>1.08</v>
      </c>
      <c r="AA225" s="2">
        <v>0.4</v>
      </c>
      <c r="AB225" s="2">
        <v>0.91</v>
      </c>
      <c r="AC225" s="2">
        <v>0.13</v>
      </c>
      <c r="AD225" s="2">
        <v>0.39</v>
      </c>
      <c r="AE225" s="2">
        <v>0.24</v>
      </c>
      <c r="AF225" s="2">
        <v>0.61</v>
      </c>
      <c r="AG225" s="2">
        <v>0.17</v>
      </c>
      <c r="AH225" s="2">
        <v>0.97</v>
      </c>
      <c r="AI225" s="2">
        <v>0.4</v>
      </c>
      <c r="AJ225" s="2">
        <v>1.75</v>
      </c>
      <c r="AK225" s="2">
        <v>0.33</v>
      </c>
      <c r="AL225" s="2">
        <v>1.1499999999999999</v>
      </c>
      <c r="AM225" s="2">
        <v>0.57999999999999996</v>
      </c>
      <c r="AN225" s="2">
        <v>0.89</v>
      </c>
      <c r="AO225" s="2">
        <v>0.24</v>
      </c>
      <c r="AP225" s="2">
        <v>0.27</v>
      </c>
      <c r="AQ225" s="2">
        <v>0.22</v>
      </c>
      <c r="AR225" s="2">
        <v>0.2</v>
      </c>
      <c r="AU225" s="1" t="s">
        <v>72</v>
      </c>
      <c r="AV225" s="2">
        <v>50.47</v>
      </c>
      <c r="AW225" s="2">
        <v>71.69</v>
      </c>
      <c r="AX225" s="2">
        <v>20.76</v>
      </c>
      <c r="AY225" s="2">
        <v>30.63</v>
      </c>
      <c r="AZ225" s="2">
        <v>30.8</v>
      </c>
      <c r="BA225" s="2">
        <v>69.95</v>
      </c>
      <c r="BB225" s="2">
        <v>49.11</v>
      </c>
      <c r="BC225" s="2">
        <v>72.099999999999994</v>
      </c>
      <c r="BD225" s="2">
        <v>56.35</v>
      </c>
      <c r="BE225" s="2">
        <v>96.28</v>
      </c>
      <c r="BF225" s="2">
        <v>59.95</v>
      </c>
      <c r="BG225" s="2">
        <v>88.61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73</v>
      </c>
      <c r="Y226" s="2">
        <v>0.03</v>
      </c>
      <c r="Z226" s="2">
        <v>0.09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0.22</v>
      </c>
      <c r="AG226" s="2">
        <v>0.05</v>
      </c>
      <c r="AH226" s="2">
        <v>0.28000000000000003</v>
      </c>
      <c r="AI226" s="2">
        <v>0.28999999999999998</v>
      </c>
      <c r="AJ226" s="2">
        <v>0.51</v>
      </c>
      <c r="AK226" s="2">
        <v>0.31</v>
      </c>
      <c r="AL226" s="2">
        <v>0.3</v>
      </c>
      <c r="AM226" s="2">
        <v>0.28999999999999998</v>
      </c>
      <c r="AN226" s="2">
        <v>0.22</v>
      </c>
      <c r="AO226" s="2">
        <v>0.19</v>
      </c>
      <c r="AP226" s="2">
        <v>0.1</v>
      </c>
      <c r="AQ226" s="2">
        <v>0.15</v>
      </c>
      <c r="AR226" s="2">
        <v>7.0000000000000007E-2</v>
      </c>
      <c r="AU226" s="1" t="s">
        <v>73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1" t="s">
        <v>6</v>
      </c>
      <c r="Y230" s="1" t="s">
        <v>63</v>
      </c>
      <c r="Z230" s="1" t="s">
        <v>64</v>
      </c>
      <c r="AA230" s="1" t="s">
        <v>63</v>
      </c>
      <c r="AB230" s="1" t="s">
        <v>64</v>
      </c>
      <c r="AC230" s="1" t="s">
        <v>63</v>
      </c>
      <c r="AD230" s="1" t="s">
        <v>64</v>
      </c>
      <c r="AE230" s="1" t="s">
        <v>63</v>
      </c>
      <c r="AF230" s="1" t="s">
        <v>64</v>
      </c>
      <c r="AG230" s="1" t="s">
        <v>63</v>
      </c>
      <c r="AH230" s="1" t="s">
        <v>64</v>
      </c>
      <c r="AI230" s="1" t="s">
        <v>63</v>
      </c>
      <c r="AJ230" s="1" t="s">
        <v>64</v>
      </c>
      <c r="AK230" s="1" t="s">
        <v>63</v>
      </c>
      <c r="AL230" s="1" t="s">
        <v>64</v>
      </c>
      <c r="AM230" s="1" t="s">
        <v>63</v>
      </c>
      <c r="AN230" s="1" t="s">
        <v>64</v>
      </c>
      <c r="AO230" s="1" t="s">
        <v>63</v>
      </c>
      <c r="AP230" s="1" t="s">
        <v>64</v>
      </c>
      <c r="AQ230" s="1" t="s">
        <v>63</v>
      </c>
      <c r="AR230" s="1" t="s">
        <v>64</v>
      </c>
    </row>
    <row r="231" spans="24:67" x14ac:dyDescent="0.3">
      <c r="X231" s="1" t="s">
        <v>65</v>
      </c>
      <c r="Y231" s="1" t="s">
        <v>53</v>
      </c>
      <c r="Z231" s="1" t="s">
        <v>53</v>
      </c>
      <c r="AA231" s="1" t="s">
        <v>54</v>
      </c>
      <c r="AB231" s="1" t="s">
        <v>54</v>
      </c>
      <c r="AC231" s="1" t="s">
        <v>55</v>
      </c>
      <c r="AD231" s="1" t="s">
        <v>55</v>
      </c>
      <c r="AE231" s="1" t="s">
        <v>56</v>
      </c>
      <c r="AF231" s="1" t="s">
        <v>56</v>
      </c>
      <c r="AG231" s="1" t="s">
        <v>57</v>
      </c>
      <c r="AH231" s="1" t="s">
        <v>57</v>
      </c>
      <c r="AI231" s="1" t="s">
        <v>58</v>
      </c>
      <c r="AJ231" s="1" t="s">
        <v>58</v>
      </c>
      <c r="AK231" s="1" t="s">
        <v>59</v>
      </c>
      <c r="AL231" s="1" t="s">
        <v>59</v>
      </c>
      <c r="AM231" s="1" t="s">
        <v>60</v>
      </c>
      <c r="AN231" s="1" t="s">
        <v>60</v>
      </c>
      <c r="AO231" s="1" t="s">
        <v>61</v>
      </c>
      <c r="AP231" s="1" t="s">
        <v>61</v>
      </c>
      <c r="AQ231" s="1" t="s">
        <v>62</v>
      </c>
      <c r="AR231" s="1" t="s">
        <v>62</v>
      </c>
    </row>
    <row r="232" spans="24:67" x14ac:dyDescent="0.3">
      <c r="X232" s="1" t="s">
        <v>7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1" t="s">
        <v>66</v>
      </c>
      <c r="Y233" s="6">
        <f>Y191/(AV191+AV219)</f>
        <v>0.15256188831318365</v>
      </c>
      <c r="Z233" s="6">
        <f t="shared" ref="Z233:AR240" si="0">Z191/(AW191+AW219)</f>
        <v>0.15052975788652218</v>
      </c>
      <c r="AA233" s="6">
        <f t="shared" si="0"/>
        <v>9.1547993341964135E-3</v>
      </c>
      <c r="AB233" s="6">
        <f t="shared" si="0"/>
        <v>9.5113390437739833E-3</v>
      </c>
      <c r="AC233" s="6">
        <f t="shared" si="0"/>
        <v>9.0991915673905282E-3</v>
      </c>
      <c r="AD233" s="6">
        <f t="shared" si="0"/>
        <v>3.7179688728187395E-2</v>
      </c>
      <c r="AE233" s="6">
        <f t="shared" si="0"/>
        <v>8.1972042748587923E-2</v>
      </c>
      <c r="AF233" s="6">
        <f t="shared" si="0"/>
        <v>6.0419730653589195E-2</v>
      </c>
      <c r="AG233" s="6">
        <f t="shared" si="0"/>
        <v>0.10987910437084197</v>
      </c>
      <c r="AH233" s="6">
        <f t="shared" si="0"/>
        <v>4.9876692334792888E-2</v>
      </c>
      <c r="AI233" s="6">
        <f t="shared" si="0"/>
        <v>0.12478933098849564</v>
      </c>
      <c r="AJ233" s="6">
        <f t="shared" si="0"/>
        <v>4.1365712229267722E-2</v>
      </c>
      <c r="AK233" s="6">
        <f t="shared" si="0"/>
        <v>0.12424056916800846</v>
      </c>
      <c r="AL233" s="6">
        <f t="shared" si="0"/>
        <v>1.884402063799848E-2</v>
      </c>
      <c r="AM233" s="6">
        <f t="shared" si="0"/>
        <v>0.10036711513410257</v>
      </c>
      <c r="AN233" s="6">
        <f t="shared" si="0"/>
        <v>3.680731413841886E-2</v>
      </c>
      <c r="AO233" s="6">
        <f t="shared" si="0"/>
        <v>9.2192630221386226E-3</v>
      </c>
      <c r="AP233" s="6">
        <f t="shared" si="0"/>
        <v>9.2664593053395552E-3</v>
      </c>
      <c r="AQ233" s="6">
        <f t="shared" si="0"/>
        <v>2.3943259710586445E-2</v>
      </c>
      <c r="AR233" s="6">
        <f t="shared" si="0"/>
        <v>9.4799964029968729E-3</v>
      </c>
    </row>
    <row r="234" spans="24:67" x14ac:dyDescent="0.3">
      <c r="X234" s="1" t="s">
        <v>67</v>
      </c>
      <c r="Y234" s="6">
        <f t="shared" ref="Y234:Y240" si="1">Y192/(AV192+AV220)</f>
        <v>4.7024710035300045E-2</v>
      </c>
      <c r="Z234" s="6">
        <f t="shared" si="0"/>
        <v>4.674582894934616E-2</v>
      </c>
      <c r="AA234" s="6">
        <f t="shared" si="0"/>
        <v>5.0947421257372318E-2</v>
      </c>
      <c r="AB234" s="6">
        <f t="shared" si="0"/>
        <v>5.1262034868592245E-2</v>
      </c>
      <c r="AC234" s="6">
        <f t="shared" si="0"/>
        <v>4.9723756906077346E-2</v>
      </c>
      <c r="AD234" s="6">
        <f t="shared" si="0"/>
        <v>4.9665517940401374E-2</v>
      </c>
      <c r="AE234" s="6">
        <f t="shared" si="0"/>
        <v>4.8731953088615096E-2</v>
      </c>
      <c r="AF234" s="6">
        <f t="shared" si="0"/>
        <v>4.9100437264261151E-2</v>
      </c>
      <c r="AG234" s="6">
        <f t="shared" si="0"/>
        <v>4.5997259737717754E-2</v>
      </c>
      <c r="AH234" s="6">
        <f t="shared" si="0"/>
        <v>4.3924115535805844E-2</v>
      </c>
      <c r="AI234" s="6">
        <f t="shared" si="0"/>
        <v>4.6853318096481918E-2</v>
      </c>
      <c r="AJ234" s="6">
        <f t="shared" si="0"/>
        <v>4.5184994198788193E-2</v>
      </c>
      <c r="AK234" s="6">
        <f t="shared" si="0"/>
        <v>4.7272459932362891E-2</v>
      </c>
      <c r="AL234" s="6">
        <f t="shared" si="0"/>
        <v>4.4790527060943428E-2</v>
      </c>
      <c r="AM234" s="6">
        <f t="shared" si="0"/>
        <v>4.7373623270262642E-2</v>
      </c>
      <c r="AN234" s="6">
        <f t="shared" si="0"/>
        <v>4.6610892948608498E-2</v>
      </c>
      <c r="AO234" s="6">
        <f t="shared" si="0"/>
        <v>4.6309747369167001E-2</v>
      </c>
      <c r="AP234" s="6">
        <f t="shared" si="0"/>
        <v>4.7903187958834768E-2</v>
      </c>
      <c r="AQ234" s="6">
        <f t="shared" si="0"/>
        <v>4.7322540473225407E-2</v>
      </c>
      <c r="AR234" s="6">
        <f t="shared" si="0"/>
        <v>4.8258229466283158E-2</v>
      </c>
    </row>
    <row r="235" spans="24:67" x14ac:dyDescent="0.3">
      <c r="X235" s="1" t="s">
        <v>68</v>
      </c>
      <c r="Y235" s="6">
        <f t="shared" si="1"/>
        <v>6.2114234090808573E-2</v>
      </c>
      <c r="Z235" s="6">
        <f t="shared" si="0"/>
        <v>4.7436561367167271E-2</v>
      </c>
      <c r="AA235" s="6">
        <f t="shared" si="0"/>
        <v>5.4103484515539056E-2</v>
      </c>
      <c r="AB235" s="6">
        <f t="shared" si="0"/>
        <v>5.0363587395636955E-2</v>
      </c>
      <c r="AC235" s="6">
        <f t="shared" si="0"/>
        <v>0.10832094406244192</v>
      </c>
      <c r="AD235" s="6">
        <f t="shared" si="0"/>
        <v>6.9442657264671331E-2</v>
      </c>
      <c r="AE235" s="6">
        <f t="shared" si="0"/>
        <v>7.5653023751702894E-2</v>
      </c>
      <c r="AF235" s="6">
        <f t="shared" si="0"/>
        <v>5.0272662609657792E-2</v>
      </c>
      <c r="AG235" s="6">
        <f t="shared" si="0"/>
        <v>7.8991319408647606E-2</v>
      </c>
      <c r="AH235" s="6">
        <f t="shared" si="0"/>
        <v>4.5804932838921113E-2</v>
      </c>
      <c r="AI235" s="6">
        <f t="shared" si="0"/>
        <v>8.0632000593427774E-2</v>
      </c>
      <c r="AJ235" s="6">
        <f t="shared" si="0"/>
        <v>4.5828695295565061E-2</v>
      </c>
      <c r="AK235" s="6">
        <f t="shared" si="0"/>
        <v>8.6036425633590749E-2</v>
      </c>
      <c r="AL235" s="6">
        <f t="shared" si="0"/>
        <v>4.5875810936051899E-2</v>
      </c>
      <c r="AM235" s="6">
        <f t="shared" si="0"/>
        <v>8.9017174384546316E-2</v>
      </c>
      <c r="AN235" s="6">
        <f t="shared" si="0"/>
        <v>4.6842742222538619E-2</v>
      </c>
      <c r="AO235" s="6">
        <f t="shared" si="0"/>
        <v>4.6652878900874169E-2</v>
      </c>
      <c r="AP235" s="6">
        <f t="shared" si="0"/>
        <v>4.6722250938265493E-2</v>
      </c>
      <c r="AQ235" s="6">
        <f t="shared" si="0"/>
        <v>4.7162030441628554E-2</v>
      </c>
      <c r="AR235" s="6">
        <f t="shared" si="0"/>
        <v>4.712344117422345E-2</v>
      </c>
    </row>
    <row r="236" spans="24:67" x14ac:dyDescent="0.3">
      <c r="X236" s="1" t="s">
        <v>69</v>
      </c>
      <c r="Y236" s="6">
        <f t="shared" si="1"/>
        <v>6.5255229595873293E-2</v>
      </c>
      <c r="Z236" s="6">
        <f t="shared" si="0"/>
        <v>4.775150672229949E-2</v>
      </c>
      <c r="AA236" s="6">
        <f t="shared" si="0"/>
        <v>5.1913317789055002E-2</v>
      </c>
      <c r="AB236" s="6">
        <f t="shared" si="0"/>
        <v>5.0666890361546847E-2</v>
      </c>
      <c r="AC236" s="6">
        <f t="shared" si="0"/>
        <v>6.8612789376084213E-2</v>
      </c>
      <c r="AD236" s="6">
        <f t="shared" si="0"/>
        <v>5.1348408859697658E-2</v>
      </c>
      <c r="AE236" s="6">
        <f t="shared" si="0"/>
        <v>5.5769444341613295E-2</v>
      </c>
      <c r="AF236" s="6">
        <f t="shared" si="0"/>
        <v>5.0800265525888781E-2</v>
      </c>
      <c r="AG236" s="6">
        <f t="shared" si="0"/>
        <v>5.2180767209668931E-2</v>
      </c>
      <c r="AH236" s="6">
        <f t="shared" si="0"/>
        <v>4.777549623545517E-2</v>
      </c>
      <c r="AI236" s="6">
        <f t="shared" si="0"/>
        <v>5.243543984883476E-2</v>
      </c>
      <c r="AJ236" s="6">
        <f t="shared" si="0"/>
        <v>4.7718616981554773E-2</v>
      </c>
      <c r="AK236" s="6">
        <f t="shared" si="0"/>
        <v>5.2866096494091526E-2</v>
      </c>
      <c r="AL236" s="6">
        <f t="shared" si="0"/>
        <v>4.7658546261067129E-2</v>
      </c>
      <c r="AM236" s="6">
        <f t="shared" si="0"/>
        <v>4.7023724960931948E-2</v>
      </c>
      <c r="AN236" s="6">
        <f t="shared" si="0"/>
        <v>4.7598043147004568E-2</v>
      </c>
      <c r="AO236" s="6">
        <f t="shared" si="0"/>
        <v>4.6839668353612578E-2</v>
      </c>
      <c r="AP236" s="6">
        <f t="shared" si="0"/>
        <v>4.7332778039329303E-2</v>
      </c>
      <c r="AQ236" s="6">
        <f t="shared" si="0"/>
        <v>4.7714314294288296E-2</v>
      </c>
      <c r="AR236" s="6">
        <f t="shared" si="0"/>
        <v>4.7497375562025872E-2</v>
      </c>
    </row>
    <row r="237" spans="24:67" x14ac:dyDescent="0.3">
      <c r="X237" s="1" t="s">
        <v>70</v>
      </c>
      <c r="Y237" s="6">
        <f t="shared" si="1"/>
        <v>6.2975295978332818E-2</v>
      </c>
      <c r="Z237" s="6">
        <f t="shared" si="0"/>
        <v>4.8357298406434011E-2</v>
      </c>
      <c r="AA237" s="6">
        <f t="shared" si="0"/>
        <v>5.1485590147278687E-2</v>
      </c>
      <c r="AB237" s="6">
        <f t="shared" si="0"/>
        <v>5.0343803956017327E-2</v>
      </c>
      <c r="AC237" s="6">
        <f t="shared" si="0"/>
        <v>6.2280633569117991E-2</v>
      </c>
      <c r="AD237" s="6">
        <f t="shared" si="0"/>
        <v>5.9362079149438869E-2</v>
      </c>
      <c r="AE237" s="6">
        <f t="shared" si="0"/>
        <v>5.0936693331970255E-2</v>
      </c>
      <c r="AF237" s="6">
        <f t="shared" si="0"/>
        <v>5.0909125453612765E-2</v>
      </c>
      <c r="AG237" s="6">
        <f t="shared" si="0"/>
        <v>4.7259798038136312E-2</v>
      </c>
      <c r="AH237" s="6">
        <f t="shared" si="0"/>
        <v>4.7204698716554278E-2</v>
      </c>
      <c r="AI237" s="6">
        <f t="shared" si="0"/>
        <v>4.7366131727753481E-2</v>
      </c>
      <c r="AJ237" s="6">
        <f t="shared" si="0"/>
        <v>4.7286151212248211E-2</v>
      </c>
      <c r="AK237" s="6">
        <f t="shared" si="0"/>
        <v>4.736588163536555E-2</v>
      </c>
      <c r="AL237" s="6">
        <f t="shared" si="0"/>
        <v>4.726615212637561E-2</v>
      </c>
      <c r="AM237" s="6">
        <f t="shared" si="0"/>
        <v>4.7467144229603311E-2</v>
      </c>
      <c r="AN237" s="6">
        <f t="shared" si="0"/>
        <v>4.7559838358719304E-2</v>
      </c>
      <c r="AO237" s="6">
        <f t="shared" si="0"/>
        <v>4.7323506594259122E-2</v>
      </c>
      <c r="AP237" s="6">
        <f t="shared" si="0"/>
        <v>4.7425428775550317E-2</v>
      </c>
      <c r="AQ237" s="6">
        <f t="shared" si="0"/>
        <v>4.7516244062044549E-2</v>
      </c>
      <c r="AR237" s="6">
        <f t="shared" si="0"/>
        <v>4.7744154763172744E-2</v>
      </c>
    </row>
    <row r="238" spans="24:67" x14ac:dyDescent="0.3">
      <c r="X238" s="1" t="s">
        <v>71</v>
      </c>
      <c r="Y238" s="6">
        <f t="shared" si="1"/>
        <v>5.283628258199518E-2</v>
      </c>
      <c r="Z238" s="6">
        <f t="shared" si="0"/>
        <v>5.1824366110080393E-2</v>
      </c>
      <c r="AA238" s="6">
        <f t="shared" si="0"/>
        <v>5.1523825559858565E-2</v>
      </c>
      <c r="AB238" s="6">
        <f t="shared" si="0"/>
        <v>5.1897905759162297E-2</v>
      </c>
      <c r="AC238" s="6">
        <f t="shared" si="0"/>
        <v>5.3703877570181198E-2</v>
      </c>
      <c r="AD238" s="6">
        <f t="shared" si="0"/>
        <v>5.1343554503905861E-2</v>
      </c>
      <c r="AE238" s="6">
        <f t="shared" si="0"/>
        <v>5.0657357201218146E-2</v>
      </c>
      <c r="AF238" s="6">
        <f t="shared" si="0"/>
        <v>5.1408375281139548E-2</v>
      </c>
      <c r="AG238" s="6">
        <f t="shared" si="0"/>
        <v>4.721236957195496E-2</v>
      </c>
      <c r="AH238" s="6">
        <f t="shared" si="0"/>
        <v>4.6447481837212166E-2</v>
      </c>
      <c r="AI238" s="6">
        <f t="shared" si="0"/>
        <v>4.7489000151722048E-2</v>
      </c>
      <c r="AJ238" s="6">
        <f t="shared" si="0"/>
        <v>4.6952295541990922E-2</v>
      </c>
      <c r="AK238" s="6">
        <f t="shared" si="0"/>
        <v>4.7667739316110791E-2</v>
      </c>
      <c r="AL238" s="6">
        <f t="shared" si="0"/>
        <v>4.6775672854928993E-2</v>
      </c>
      <c r="AM238" s="6">
        <f t="shared" si="0"/>
        <v>4.6838001732601789E-2</v>
      </c>
      <c r="AN238" s="6">
        <f t="shared" si="0"/>
        <v>4.7056824938418416E-2</v>
      </c>
      <c r="AO238" s="6">
        <f t="shared" si="0"/>
        <v>4.6894161556918154E-2</v>
      </c>
      <c r="AP238" s="6">
        <f t="shared" si="0"/>
        <v>4.7684748956790951E-2</v>
      </c>
      <c r="AQ238" s="6">
        <f t="shared" si="0"/>
        <v>4.743632664623626E-2</v>
      </c>
      <c r="AR238" s="6">
        <f t="shared" si="0"/>
        <v>4.7141107203540519E-2</v>
      </c>
    </row>
    <row r="239" spans="24:67" x14ac:dyDescent="0.3">
      <c r="X239" s="1" t="s">
        <v>72</v>
      </c>
      <c r="Y239" s="6">
        <f t="shared" si="1"/>
        <v>4.8533782580707022E-2</v>
      </c>
      <c r="Z239" s="6">
        <f t="shared" si="0"/>
        <v>4.7713488597768076E-2</v>
      </c>
      <c r="AA239" s="6">
        <f t="shared" si="0"/>
        <v>5.105862019300015E-2</v>
      </c>
      <c r="AB239" s="6">
        <f t="shared" si="0"/>
        <v>5.0366878516211397E-2</v>
      </c>
      <c r="AC239" s="6">
        <f t="shared" si="0"/>
        <v>6.2686998787636117E-2</v>
      </c>
      <c r="AD239" s="6">
        <f t="shared" si="0"/>
        <v>4.9883133078939303E-2</v>
      </c>
      <c r="AE239" s="6">
        <f t="shared" si="0"/>
        <v>5.01618277465367E-2</v>
      </c>
      <c r="AF239" s="6">
        <f t="shared" si="0"/>
        <v>7.6638212402711528E-2</v>
      </c>
      <c r="AG239" s="6">
        <f t="shared" si="0"/>
        <v>4.6643442780707499E-2</v>
      </c>
      <c r="AH239" s="6">
        <f t="shared" si="0"/>
        <v>6.0091075536359791E-2</v>
      </c>
      <c r="AI239" s="6">
        <f t="shared" si="0"/>
        <v>4.6644511052150214E-2</v>
      </c>
      <c r="AJ239" s="6">
        <f t="shared" si="0"/>
        <v>5.9639114176440952E-2</v>
      </c>
      <c r="AK239" s="6">
        <f t="shared" si="0"/>
        <v>4.6542576324258497E-2</v>
      </c>
      <c r="AL239" s="6">
        <f t="shared" si="0"/>
        <v>5.3878844630123171E-2</v>
      </c>
      <c r="AM239" s="6">
        <f t="shared" si="0"/>
        <v>4.7100380405248034E-2</v>
      </c>
      <c r="AN239" s="6">
        <f t="shared" si="0"/>
        <v>4.6887051491685434E-2</v>
      </c>
      <c r="AO239" s="6">
        <f t="shared" si="0"/>
        <v>4.7513725490196078E-2</v>
      </c>
      <c r="AP239" s="6">
        <f t="shared" si="0"/>
        <v>4.634477076503201E-2</v>
      </c>
      <c r="AQ239" s="6">
        <f t="shared" si="0"/>
        <v>4.8130695318937856E-2</v>
      </c>
      <c r="AR239" s="6">
        <f t="shared" si="0"/>
        <v>4.7040957848352383E-2</v>
      </c>
    </row>
    <row r="240" spans="24:67" x14ac:dyDescent="0.3">
      <c r="X240" s="1" t="s">
        <v>73</v>
      </c>
      <c r="Y240" s="6">
        <f t="shared" si="1"/>
        <v>4.4243714400782459E-2</v>
      </c>
      <c r="Z240" s="6">
        <f t="shared" si="0"/>
        <v>4.5456634646320729E-2</v>
      </c>
      <c r="AA240" s="6">
        <f t="shared" si="0"/>
        <v>4.8426318349197528E-2</v>
      </c>
      <c r="AB240" s="6">
        <f t="shared" si="0"/>
        <v>4.8282984766331014E-2</v>
      </c>
      <c r="AC240" s="6">
        <f t="shared" si="0"/>
        <v>4.6339050131926122E-2</v>
      </c>
      <c r="AD240" s="6">
        <f t="shared" si="0"/>
        <v>4.7595000631233432E-2</v>
      </c>
      <c r="AE240" s="6">
        <f t="shared" si="0"/>
        <v>4.5449916839211159E-2</v>
      </c>
      <c r="AF240" s="6">
        <f t="shared" si="0"/>
        <v>4.6964448934430171E-2</v>
      </c>
      <c r="AG240" s="6">
        <f t="shared" si="0"/>
        <v>4.1975989479489245E-2</v>
      </c>
      <c r="AH240" s="6">
        <f t="shared" si="0"/>
        <v>4.4911650194669063E-2</v>
      </c>
      <c r="AI240" s="6">
        <f t="shared" si="0"/>
        <v>4.3950057743010917E-2</v>
      </c>
      <c r="AJ240" s="6">
        <f t="shared" si="0"/>
        <v>4.6114043981400558E-2</v>
      </c>
      <c r="AK240" s="6">
        <f t="shared" si="0"/>
        <v>4.3103993923666054E-2</v>
      </c>
      <c r="AL240" s="6">
        <f t="shared" si="0"/>
        <v>4.5175000804971513E-2</v>
      </c>
      <c r="AM240" s="6">
        <f t="shared" si="0"/>
        <v>4.4462533550402611E-2</v>
      </c>
      <c r="AN240" s="6">
        <f t="shared" si="0"/>
        <v>4.5617977528089888E-2</v>
      </c>
      <c r="AO240" s="6">
        <f t="shared" si="0"/>
        <v>4.6344792189158608E-2</v>
      </c>
      <c r="AP240" s="6">
        <f t="shared" si="0"/>
        <v>4.4517998465291538E-2</v>
      </c>
      <c r="AQ240" s="6">
        <f t="shared" si="0"/>
        <v>4.5334602240775186E-2</v>
      </c>
      <c r="AR240" s="6">
        <f t="shared" si="0"/>
        <v>4.5843515015425836E-2</v>
      </c>
    </row>
    <row r="241" spans="24:45" x14ac:dyDescent="0.3">
      <c r="AS241" s="7">
        <f>AVERAGE(Y233:AR240)</f>
        <v>5.1878141540684E-2</v>
      </c>
    </row>
    <row r="242" spans="24:45" x14ac:dyDescent="0.3">
      <c r="AS242" s="7"/>
    </row>
    <row r="243" spans="24:45" x14ac:dyDescent="0.3">
      <c r="AS243" s="7"/>
    </row>
    <row r="244" spans="24:45" x14ac:dyDescent="0.3">
      <c r="X244" t="s">
        <v>75</v>
      </c>
      <c r="AS244" s="7"/>
    </row>
    <row r="245" spans="24:45" x14ac:dyDescent="0.3">
      <c r="X245" s="1" t="s">
        <v>6</v>
      </c>
      <c r="Y245" s="1" t="s">
        <v>63</v>
      </c>
      <c r="Z245" s="1" t="s">
        <v>64</v>
      </c>
      <c r="AA245" s="1" t="s">
        <v>63</v>
      </c>
      <c r="AB245" s="1" t="s">
        <v>64</v>
      </c>
      <c r="AC245" s="1" t="s">
        <v>63</v>
      </c>
      <c r="AD245" s="1" t="s">
        <v>64</v>
      </c>
      <c r="AE245" s="1" t="s">
        <v>63</v>
      </c>
      <c r="AF245" s="1" t="s">
        <v>64</v>
      </c>
      <c r="AG245" s="1" t="s">
        <v>63</v>
      </c>
      <c r="AH245" s="1" t="s">
        <v>64</v>
      </c>
      <c r="AI245" s="1" t="s">
        <v>63</v>
      </c>
      <c r="AJ245" s="1" t="s">
        <v>64</v>
      </c>
      <c r="AK245" s="1" t="s">
        <v>63</v>
      </c>
      <c r="AL245" s="1" t="s">
        <v>64</v>
      </c>
      <c r="AM245" s="1" t="s">
        <v>63</v>
      </c>
      <c r="AN245" s="1" t="s">
        <v>64</v>
      </c>
      <c r="AO245" s="1" t="s">
        <v>63</v>
      </c>
      <c r="AP245" s="1" t="s">
        <v>64</v>
      </c>
      <c r="AQ245" s="1" t="s">
        <v>63</v>
      </c>
      <c r="AR245" s="1" t="s">
        <v>64</v>
      </c>
      <c r="AS245" s="7"/>
    </row>
    <row r="246" spans="24:45" x14ac:dyDescent="0.3">
      <c r="X246" s="1" t="s">
        <v>65</v>
      </c>
      <c r="Y246" s="1" t="s">
        <v>53</v>
      </c>
      <c r="Z246" s="1" t="s">
        <v>53</v>
      </c>
      <c r="AA246" s="1" t="s">
        <v>54</v>
      </c>
      <c r="AB246" s="1" t="s">
        <v>54</v>
      </c>
      <c r="AC246" s="1" t="s">
        <v>55</v>
      </c>
      <c r="AD246" s="1" t="s">
        <v>55</v>
      </c>
      <c r="AE246" s="1" t="s">
        <v>56</v>
      </c>
      <c r="AF246" s="1" t="s">
        <v>56</v>
      </c>
      <c r="AG246" s="1" t="s">
        <v>57</v>
      </c>
      <c r="AH246" s="1" t="s">
        <v>57</v>
      </c>
      <c r="AI246" s="1" t="s">
        <v>58</v>
      </c>
      <c r="AJ246" s="1" t="s">
        <v>58</v>
      </c>
      <c r="AK246" s="1" t="s">
        <v>59</v>
      </c>
      <c r="AL246" s="1" t="s">
        <v>59</v>
      </c>
      <c r="AM246" s="1" t="s">
        <v>60</v>
      </c>
      <c r="AN246" s="1" t="s">
        <v>60</v>
      </c>
      <c r="AO246" s="1" t="s">
        <v>61</v>
      </c>
      <c r="AP246" s="1" t="s">
        <v>61</v>
      </c>
      <c r="AQ246" s="1" t="s">
        <v>62</v>
      </c>
      <c r="AR246" s="1" t="s">
        <v>62</v>
      </c>
      <c r="AS246" s="7"/>
    </row>
    <row r="247" spans="24:45" x14ac:dyDescent="0.3">
      <c r="X247" s="1" t="s">
        <v>7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7"/>
    </row>
    <row r="248" spans="24:45" x14ac:dyDescent="0.3">
      <c r="X248" s="1" t="s">
        <v>66</v>
      </c>
      <c r="Y248" s="6">
        <f>(Y163+Y135)/(Y163+Y135+AV135+AV163)</f>
        <v>0.12000000000000001</v>
      </c>
      <c r="Z248" s="6">
        <f t="shared" ref="Z248:AO255" si="2">(Z163+Z135)/(Z163+Z135+AW135+AW163)</f>
        <v>0.13720588235294118</v>
      </c>
      <c r="AA248" s="6">
        <f t="shared" si="2"/>
        <v>6.1435786435786441E-2</v>
      </c>
      <c r="AB248" s="6">
        <f t="shared" si="2"/>
        <v>6.1111111111111116E-2</v>
      </c>
      <c r="AC248" s="6">
        <f t="shared" si="2"/>
        <v>6.113861386138613E-2</v>
      </c>
      <c r="AD248" s="6">
        <f t="shared" si="2"/>
        <v>6.5877670716380385E-2</v>
      </c>
      <c r="AE248" s="6">
        <f t="shared" si="2"/>
        <v>6.5796048148989331E-2</v>
      </c>
      <c r="AF248" s="6">
        <f t="shared" si="2"/>
        <v>6.8588260046286556E-2</v>
      </c>
      <c r="AG248" s="6">
        <f t="shared" si="2"/>
        <v>5.5195799606213083E-2</v>
      </c>
      <c r="AH248" s="6">
        <f t="shared" si="2"/>
        <v>4.882005899705015E-2</v>
      </c>
      <c r="AI248" s="6">
        <f t="shared" si="2"/>
        <v>9.5238095238095247E-2</v>
      </c>
      <c r="AJ248" s="6">
        <f t="shared" si="2"/>
        <v>4.1988416988416988E-2</v>
      </c>
      <c r="AK248" s="6">
        <f t="shared" si="2"/>
        <v>0.1108832807570978</v>
      </c>
      <c r="AL248" s="6">
        <f t="shared" si="2"/>
        <v>1.9118825100133512E-2</v>
      </c>
      <c r="AM248" s="6">
        <f t="shared" si="2"/>
        <v>0.10075826508947527</v>
      </c>
      <c r="AN248" s="6">
        <f t="shared" si="2"/>
        <v>3.516962340491752E-2</v>
      </c>
      <c r="AO248" s="6">
        <f>(AO163+AO135)/(AO163+AO135+BL135+BL163)</f>
        <v>1.0249709639953544E-2</v>
      </c>
      <c r="AP248" s="6">
        <f t="shared" ref="AP248:AR255" si="3">(AP163+AP135)/(AP163+AP135+BM135+BM163)</f>
        <v>1.0287004192196065E-2</v>
      </c>
      <c r="AQ248" s="6">
        <f t="shared" si="3"/>
        <v>2.0382916053019146E-2</v>
      </c>
      <c r="AR248" s="6">
        <f t="shared" si="3"/>
        <v>1.0267857142857141E-2</v>
      </c>
      <c r="AS248" s="7"/>
    </row>
    <row r="249" spans="24:45" x14ac:dyDescent="0.3">
      <c r="X249" s="1" t="s">
        <v>67</v>
      </c>
      <c r="Y249" s="6">
        <f t="shared" ref="Y249:Y255" si="4">(Y164+Y136)/(Y164+Y136+AV136+AV164)</f>
        <v>0.18574445617740229</v>
      </c>
      <c r="Z249" s="6">
        <f t="shared" si="2"/>
        <v>0.18770607630711258</v>
      </c>
      <c r="AA249" s="6">
        <f t="shared" si="2"/>
        <v>0.19722906403940887</v>
      </c>
      <c r="AB249" s="6">
        <f t="shared" si="2"/>
        <v>0.19935897435897437</v>
      </c>
      <c r="AC249" s="6">
        <f t="shared" si="2"/>
        <v>0.20007199424046074</v>
      </c>
      <c r="AD249" s="6">
        <f t="shared" si="2"/>
        <v>6.2893081761006303E-2</v>
      </c>
      <c r="AE249" s="6">
        <f t="shared" si="2"/>
        <v>0.19528888888888887</v>
      </c>
      <c r="AF249" s="6">
        <f t="shared" si="2"/>
        <v>0.19884940778341792</v>
      </c>
      <c r="AG249" s="6">
        <f t="shared" si="2"/>
        <v>0.18329059829059829</v>
      </c>
      <c r="AH249" s="6">
        <f t="shared" si="2"/>
        <v>0.18694897604998262</v>
      </c>
      <c r="AI249" s="6">
        <f t="shared" si="2"/>
        <v>0.17938377888536478</v>
      </c>
      <c r="AJ249" s="6">
        <f t="shared" si="2"/>
        <v>0.18572920292377304</v>
      </c>
      <c r="AK249" s="6">
        <f t="shared" si="2"/>
        <v>0.18419150858175248</v>
      </c>
      <c r="AL249" s="6">
        <f t="shared" si="2"/>
        <v>0.18573737373737373</v>
      </c>
      <c r="AM249" s="6">
        <f t="shared" si="2"/>
        <v>0.18356481481481482</v>
      </c>
      <c r="AN249" s="6">
        <f t="shared" si="2"/>
        <v>0.18478568064060291</v>
      </c>
      <c r="AO249" s="6">
        <f t="shared" si="2"/>
        <v>0.18452183526810392</v>
      </c>
      <c r="AP249" s="6">
        <f t="shared" si="3"/>
        <v>0.18686131386861313</v>
      </c>
      <c r="AQ249" s="6">
        <f t="shared" si="3"/>
        <v>0.18039784500621633</v>
      </c>
      <c r="AR249" s="6">
        <f t="shared" si="3"/>
        <v>0.18605326876513315</v>
      </c>
      <c r="AS249" s="7"/>
    </row>
    <row r="250" spans="24:45" x14ac:dyDescent="0.3">
      <c r="X250" s="1" t="s">
        <v>68</v>
      </c>
      <c r="Y250" s="6">
        <f t="shared" si="4"/>
        <v>0.22215329473393991</v>
      </c>
      <c r="Z250" s="6">
        <f t="shared" si="2"/>
        <v>0.1876675603217158</v>
      </c>
      <c r="AA250" s="6">
        <f t="shared" si="2"/>
        <v>0.2068032099652653</v>
      </c>
      <c r="AB250" s="6">
        <f t="shared" si="2"/>
        <v>0.19949379903821815</v>
      </c>
      <c r="AC250" s="6">
        <f t="shared" si="2"/>
        <v>0.31687025737541807</v>
      </c>
      <c r="AD250" s="6">
        <f t="shared" si="2"/>
        <v>0.24440171393098856</v>
      </c>
      <c r="AE250" s="6">
        <f t="shared" si="2"/>
        <v>0.25617659518852026</v>
      </c>
      <c r="AF250" s="6">
        <f t="shared" si="2"/>
        <v>0.19719557729339759</v>
      </c>
      <c r="AG250" s="6">
        <f t="shared" si="2"/>
        <v>0.26124578332156589</v>
      </c>
      <c r="AH250" s="6">
        <f t="shared" si="2"/>
        <v>0.18584760351544805</v>
      </c>
      <c r="AI250" s="6">
        <f t="shared" si="2"/>
        <v>0.26466747119406187</v>
      </c>
      <c r="AJ250" s="6">
        <f t="shared" si="2"/>
        <v>0.18410210479175998</v>
      </c>
      <c r="AK250" s="6">
        <f t="shared" si="2"/>
        <v>0.27578068555832058</v>
      </c>
      <c r="AL250" s="6">
        <f t="shared" si="2"/>
        <v>0.1849530088096219</v>
      </c>
      <c r="AM250" s="6">
        <f t="shared" si="2"/>
        <v>0.28020778503568067</v>
      </c>
      <c r="AN250" s="6">
        <f t="shared" si="2"/>
        <v>0.18402847739942241</v>
      </c>
      <c r="AO250" s="6">
        <f t="shared" si="2"/>
        <v>0.18301867087505946</v>
      </c>
      <c r="AP250" s="6">
        <f t="shared" si="3"/>
        <v>0.18599587803202455</v>
      </c>
      <c r="AQ250" s="6">
        <f t="shared" si="3"/>
        <v>0.18509487261485982</v>
      </c>
      <c r="AR250" s="6">
        <f t="shared" si="3"/>
        <v>0.18604217739738796</v>
      </c>
      <c r="AS250" s="7"/>
    </row>
    <row r="251" spans="24:45" x14ac:dyDescent="0.3">
      <c r="X251" s="1" t="s">
        <v>69</v>
      </c>
      <c r="Y251" s="6">
        <f t="shared" si="4"/>
        <v>0.22991593451741354</v>
      </c>
      <c r="Z251" s="6">
        <f t="shared" si="2"/>
        <v>0.18817705299941762</v>
      </c>
      <c r="AA251" s="6">
        <f t="shared" si="2"/>
        <v>0.19479805455698881</v>
      </c>
      <c r="AB251" s="6">
        <f t="shared" si="2"/>
        <v>0.19959443800695251</v>
      </c>
      <c r="AC251" s="6">
        <f t="shared" si="2"/>
        <v>0.24389647442429183</v>
      </c>
      <c r="AD251" s="6">
        <f t="shared" si="2"/>
        <v>0.19841928837223607</v>
      </c>
      <c r="AE251" s="6">
        <f t="shared" si="2"/>
        <v>0.21475001221836662</v>
      </c>
      <c r="AF251" s="6">
        <f t="shared" si="2"/>
        <v>0.19827410477678872</v>
      </c>
      <c r="AG251" s="6">
        <f t="shared" si="2"/>
        <v>0.20361789121546275</v>
      </c>
      <c r="AH251" s="6">
        <f t="shared" si="2"/>
        <v>0.18667720653066192</v>
      </c>
      <c r="AI251" s="6">
        <f t="shared" si="2"/>
        <v>0.20391533096782088</v>
      </c>
      <c r="AJ251" s="6">
        <f t="shared" si="2"/>
        <v>0.18587105624142664</v>
      </c>
      <c r="AK251" s="6">
        <f t="shared" si="2"/>
        <v>0.20566086125294356</v>
      </c>
      <c r="AL251" s="6">
        <f t="shared" si="2"/>
        <v>0.18637640449438206</v>
      </c>
      <c r="AM251" s="6">
        <f t="shared" si="2"/>
        <v>0.18213845774821388</v>
      </c>
      <c r="AN251" s="6">
        <f t="shared" si="2"/>
        <v>0.18599740090968161</v>
      </c>
      <c r="AO251" s="6">
        <f t="shared" si="2"/>
        <v>0.18605263157894739</v>
      </c>
      <c r="AP251" s="6">
        <f t="shared" si="3"/>
        <v>0.18707842340511988</v>
      </c>
      <c r="AQ251" s="6">
        <f t="shared" si="3"/>
        <v>0.18642990654205607</v>
      </c>
      <c r="AR251" s="6">
        <f t="shared" si="3"/>
        <v>0.18691229269960677</v>
      </c>
      <c r="AS251" s="7"/>
    </row>
    <row r="252" spans="24:45" x14ac:dyDescent="0.3">
      <c r="X252" s="1" t="s">
        <v>70</v>
      </c>
      <c r="Y252" s="6">
        <f t="shared" si="4"/>
        <v>0.22690321082145268</v>
      </c>
      <c r="Z252" s="6">
        <f t="shared" si="2"/>
        <v>0.19138255033557047</v>
      </c>
      <c r="AA252" s="6">
        <f t="shared" si="2"/>
        <v>0.20620717528408822</v>
      </c>
      <c r="AB252" s="6">
        <f t="shared" si="2"/>
        <v>0.19908383751080377</v>
      </c>
      <c r="AC252" s="6">
        <f t="shared" si="2"/>
        <v>0.22991364582001608</v>
      </c>
      <c r="AD252" s="6">
        <f t="shared" si="2"/>
        <v>0.22268716549914247</v>
      </c>
      <c r="AE252" s="6">
        <f t="shared" si="2"/>
        <v>0.19988360814742973</v>
      </c>
      <c r="AF252" s="6">
        <f t="shared" si="2"/>
        <v>0.19913805185704272</v>
      </c>
      <c r="AG252" s="6">
        <f t="shared" si="2"/>
        <v>0.1863745252702308</v>
      </c>
      <c r="AH252" s="6">
        <f t="shared" si="2"/>
        <v>0.18629484670580562</v>
      </c>
      <c r="AI252" s="6">
        <f t="shared" si="2"/>
        <v>0.18449409511650175</v>
      </c>
      <c r="AJ252" s="6">
        <f t="shared" si="2"/>
        <v>0.18447331460674157</v>
      </c>
      <c r="AK252" s="6">
        <f t="shared" si="2"/>
        <v>0.18672158154859966</v>
      </c>
      <c r="AL252" s="6">
        <f t="shared" si="2"/>
        <v>0.18607530774800871</v>
      </c>
      <c r="AM252" s="6">
        <f t="shared" si="2"/>
        <v>0.1870287769784173</v>
      </c>
      <c r="AN252" s="6">
        <f t="shared" si="2"/>
        <v>0.18679589509692129</v>
      </c>
      <c r="AO252" s="6">
        <f t="shared" si="2"/>
        <v>0.18813884785819793</v>
      </c>
      <c r="AP252" s="6">
        <f t="shared" si="3"/>
        <v>0.18789423076923076</v>
      </c>
      <c r="AQ252" s="6">
        <f t="shared" si="3"/>
        <v>0.18752255947497951</v>
      </c>
      <c r="AR252" s="6">
        <f t="shared" si="3"/>
        <v>0.18598138747884943</v>
      </c>
      <c r="AS252" s="7"/>
    </row>
    <row r="253" spans="24:45" x14ac:dyDescent="0.3">
      <c r="X253" s="1" t="s">
        <v>71</v>
      </c>
      <c r="Y253" s="6">
        <f t="shared" si="4"/>
        <v>0.24937852422239734</v>
      </c>
      <c r="Z253" s="6">
        <f t="shared" si="2"/>
        <v>0.2449444812118538</v>
      </c>
      <c r="AA253" s="6">
        <f t="shared" si="2"/>
        <v>0.23797183098591551</v>
      </c>
      <c r="AB253" s="6">
        <f t="shared" si="2"/>
        <v>0.23699654775604148</v>
      </c>
      <c r="AC253" s="6">
        <f t="shared" si="2"/>
        <v>0.2577283536158903</v>
      </c>
      <c r="AD253" s="6">
        <f t="shared" si="2"/>
        <v>0.24825058313895368</v>
      </c>
      <c r="AE253" s="6">
        <f t="shared" si="2"/>
        <v>0.24617321248741186</v>
      </c>
      <c r="AF253" s="6">
        <f t="shared" si="2"/>
        <v>0.24600146139482018</v>
      </c>
      <c r="AG253" s="6">
        <f t="shared" si="2"/>
        <v>0.23114330056906365</v>
      </c>
      <c r="AH253" s="6">
        <f t="shared" si="2"/>
        <v>0.22444916979595531</v>
      </c>
      <c r="AI253" s="6">
        <f t="shared" si="2"/>
        <v>0.22621657167908807</v>
      </c>
      <c r="AJ253" s="6">
        <f t="shared" si="2"/>
        <v>0.21355932203389832</v>
      </c>
      <c r="AK253" s="6">
        <f t="shared" si="2"/>
        <v>0.22822315558802048</v>
      </c>
      <c r="AL253" s="6">
        <f t="shared" si="2"/>
        <v>0.22056904202558078</v>
      </c>
      <c r="AM253" s="6">
        <f t="shared" si="2"/>
        <v>0.22647433563887875</v>
      </c>
      <c r="AN253" s="6">
        <f t="shared" si="2"/>
        <v>0.21726767480935766</v>
      </c>
      <c r="AO253" s="6">
        <f t="shared" si="2"/>
        <v>0.22874956094134177</v>
      </c>
      <c r="AP253" s="6">
        <f t="shared" si="3"/>
        <v>0.22161104999388825</v>
      </c>
      <c r="AQ253" s="6">
        <f t="shared" si="3"/>
        <v>0.22887767969735184</v>
      </c>
      <c r="AR253" s="6">
        <f t="shared" si="3"/>
        <v>0.22861736334405147</v>
      </c>
      <c r="AS253" s="7"/>
    </row>
    <row r="254" spans="24:45" x14ac:dyDescent="0.3">
      <c r="X254" s="1" t="s">
        <v>72</v>
      </c>
      <c r="Y254" s="6">
        <f t="shared" si="4"/>
        <v>0.23880241078784198</v>
      </c>
      <c r="Z254" s="6">
        <f t="shared" si="2"/>
        <v>0.23787464419266618</v>
      </c>
      <c r="AA254" s="6">
        <f t="shared" si="2"/>
        <v>0.24086070101436174</v>
      </c>
      <c r="AB254" s="6">
        <f t="shared" si="2"/>
        <v>0.22387428495114298</v>
      </c>
      <c r="AC254" s="6">
        <f t="shared" si="2"/>
        <v>0.28278318038624844</v>
      </c>
      <c r="AD254" s="6">
        <f t="shared" si="2"/>
        <v>0.24393220651222769</v>
      </c>
      <c r="AE254" s="6">
        <f t="shared" si="2"/>
        <v>0.24080903761791997</v>
      </c>
      <c r="AF254" s="6">
        <f t="shared" si="2"/>
        <v>0.32218546823314698</v>
      </c>
      <c r="AG254" s="6">
        <f t="shared" si="2"/>
        <v>0.22809166337416042</v>
      </c>
      <c r="AH254" s="6">
        <f t="shared" si="2"/>
        <v>0.2747484165514581</v>
      </c>
      <c r="AI254" s="6">
        <f t="shared" si="2"/>
        <v>0.22121570949279651</v>
      </c>
      <c r="AJ254" s="6">
        <f t="shared" si="2"/>
        <v>0.27368438927473726</v>
      </c>
      <c r="AK254" s="6">
        <f t="shared" si="2"/>
        <v>0.22400484334796425</v>
      </c>
      <c r="AL254" s="6">
        <f t="shared" si="2"/>
        <v>0.25841584158415842</v>
      </c>
      <c r="AM254" s="6">
        <f t="shared" si="2"/>
        <v>0.21928173763036149</v>
      </c>
      <c r="AN254" s="6">
        <f t="shared" si="2"/>
        <v>0.21828183735215917</v>
      </c>
      <c r="AO254" s="6">
        <f t="shared" si="2"/>
        <v>0.22590840546179428</v>
      </c>
      <c r="AP254" s="6">
        <f t="shared" si="3"/>
        <v>0.22467258361294512</v>
      </c>
      <c r="AQ254" s="6">
        <f t="shared" si="3"/>
        <v>0.2252412329409442</v>
      </c>
      <c r="AR254" s="6">
        <f t="shared" si="3"/>
        <v>0.22512755102040816</v>
      </c>
      <c r="AS254" s="7"/>
    </row>
    <row r="255" spans="24:45" x14ac:dyDescent="0.3">
      <c r="X255" s="1" t="s">
        <v>73</v>
      </c>
      <c r="Y255" s="6">
        <f t="shared" si="4"/>
        <v>0.23482658959537572</v>
      </c>
      <c r="Z255" s="6">
        <f t="shared" si="2"/>
        <v>0.23400786958965711</v>
      </c>
      <c r="AA255" s="6">
        <f t="shared" si="2"/>
        <v>0.24315569487983282</v>
      </c>
      <c r="AB255" s="6">
        <f t="shared" si="2"/>
        <v>0.2456048738033072</v>
      </c>
      <c r="AC255" s="6">
        <f t="shared" si="2"/>
        <v>5.6375227686703104E-2</v>
      </c>
      <c r="AD255" s="6">
        <f t="shared" si="2"/>
        <v>0.24987654320987654</v>
      </c>
      <c r="AE255" s="6">
        <f t="shared" si="2"/>
        <v>0.15188284518828452</v>
      </c>
      <c r="AF255" s="6">
        <f t="shared" si="2"/>
        <v>0.2483105453402483</v>
      </c>
      <c r="AG255" s="6">
        <f t="shared" si="2"/>
        <v>0.23495788206979543</v>
      </c>
      <c r="AH255" s="6">
        <f t="shared" si="2"/>
        <v>0.23322074997834935</v>
      </c>
      <c r="AI255" s="6">
        <f t="shared" si="2"/>
        <v>0.23449342614075791</v>
      </c>
      <c r="AJ255" s="6">
        <f t="shared" si="2"/>
        <v>0.2311904962507372</v>
      </c>
      <c r="AK255" s="6">
        <f t="shared" si="2"/>
        <v>0.23471014492753622</v>
      </c>
      <c r="AL255" s="6">
        <f t="shared" si="2"/>
        <v>0.23291050035236083</v>
      </c>
      <c r="AM255" s="6">
        <f t="shared" si="2"/>
        <v>0.23477011494252872</v>
      </c>
      <c r="AN255" s="6">
        <f t="shared" si="2"/>
        <v>0.23431635388739949</v>
      </c>
      <c r="AO255" s="6">
        <f t="shared" si="2"/>
        <v>0.23506395786305492</v>
      </c>
      <c r="AP255" s="6">
        <f t="shared" si="3"/>
        <v>0.23500000000000001</v>
      </c>
      <c r="AQ255" s="6">
        <f t="shared" si="3"/>
        <v>0.23485507246376813</v>
      </c>
      <c r="AR255" s="6">
        <f t="shared" si="3"/>
        <v>0.23471861471861472</v>
      </c>
      <c r="AS255" s="7"/>
    </row>
    <row r="256" spans="24:45" x14ac:dyDescent="0.3">
      <c r="AS256" s="7">
        <f>AVERAGE(Y248:AR255)</f>
        <v>0.19427914123880125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2026-01-23T15:54:23Z</dcterms:created>
  <dcterms:modified xsi:type="dcterms:W3CDTF">2026-01-26T11:32:58Z</dcterms:modified>
</cp:coreProperties>
</file>