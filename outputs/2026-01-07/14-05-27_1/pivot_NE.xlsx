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fae\Infrastructure in motion\GIT IIM\I24_python_model\outputs\2026-01-07\14-05-27_1\"/>
    </mc:Choice>
  </mc:AlternateContent>
  <xr:revisionPtr revIDLastSave="0" documentId="13_ncr:1_{08C675D6-28AA-4FEE-824C-DDFD30DC9715}" xr6:coauthVersionLast="47" xr6:coauthVersionMax="47" xr10:uidLastSave="{00000000-0000-0000-0000-000000000000}"/>
  <bookViews>
    <workbookView xWindow="9510" yWindow="0" windowWidth="9780" windowHeight="11370" firstSheet="2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3" l="1"/>
  <c r="Y31" i="3"/>
  <c r="X31" i="3"/>
  <c r="W31" i="3"/>
  <c r="Z45" i="3"/>
  <c r="Y45" i="3"/>
  <c r="X45" i="3"/>
  <c r="W45" i="3"/>
  <c r="X17" i="3"/>
  <c r="Y17" i="3"/>
  <c r="Z17" i="3"/>
  <c r="W17" i="3"/>
  <c r="F45" i="3"/>
  <c r="E45" i="3"/>
  <c r="D45" i="3"/>
  <c r="C45" i="3"/>
  <c r="F45" i="4"/>
  <c r="E45" i="4"/>
  <c r="D45" i="4"/>
  <c r="C45" i="4"/>
  <c r="F45" i="2"/>
  <c r="E45" i="2"/>
  <c r="D45" i="2"/>
  <c r="C45" i="2"/>
  <c r="F45" i="1"/>
  <c r="E45" i="1"/>
  <c r="D45" i="1"/>
  <c r="C45" i="1"/>
</calcChain>
</file>

<file path=xl/sharedStrings.xml><?xml version="1.0" encoding="utf-8"?>
<sst xmlns="http://schemas.openxmlformats.org/spreadsheetml/2006/main" count="3944" uniqueCount="67">
  <si>
    <t>Lenght</t>
  </si>
  <si>
    <t>11</t>
  </si>
  <si>
    <t>12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</si>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</sst>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0" xfId="1" applyNumberFormat="1" applyFon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" fontId="0" fillId="0" borderId="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topLeftCell="A27" workbookViewId="0">
      <selection activeCell="C45" sqref="C45:F45"/>
    </sheetView>
  </sheetViews>
  <sheetFormatPr defaultRowHeight="14.5" x14ac:dyDescent="0.35"/>
  <cols>
    <col min="3" max="3" width="12.54296875" bestFit="1" customWidth="1"/>
    <col min="4" max="4" width="10" bestFit="1" customWidth="1"/>
    <col min="5" max="5" width="11.81640625" bestFit="1" customWidth="1"/>
    <col min="6" max="6" width="10" bestFit="1" customWidth="1"/>
  </cols>
  <sheetData>
    <row r="1" spans="2:26" x14ac:dyDescent="0.35">
      <c r="B1" t="s">
        <v>0</v>
      </c>
    </row>
    <row r="2" spans="2:26" x14ac:dyDescent="0.35">
      <c r="C2" s="1" t="s">
        <v>1</v>
      </c>
      <c r="D2" s="1" t="s">
        <v>2</v>
      </c>
    </row>
    <row r="3" spans="2:26" x14ac:dyDescent="0.35">
      <c r="B3" s="1" t="s">
        <v>3</v>
      </c>
      <c r="C3">
        <v>2.8</v>
      </c>
      <c r="D3">
        <v>2.5</v>
      </c>
    </row>
    <row r="5" spans="2:26" x14ac:dyDescent="0.35">
      <c r="B5" t="s">
        <v>4</v>
      </c>
      <c r="H5" t="s">
        <v>5</v>
      </c>
      <c r="O5" t="s">
        <v>6</v>
      </c>
      <c r="V5" t="s">
        <v>7</v>
      </c>
    </row>
    <row r="6" spans="2:26" x14ac:dyDescent="0.35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5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5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5">
      <c r="B9" s="1" t="s">
        <v>13</v>
      </c>
      <c r="C9" s="2">
        <v>0.34</v>
      </c>
      <c r="D9" s="2">
        <v>0.34</v>
      </c>
      <c r="E9" s="2">
        <v>0.34</v>
      </c>
      <c r="F9" s="2">
        <v>0.34</v>
      </c>
      <c r="H9" s="1" t="s">
        <v>13</v>
      </c>
      <c r="I9" s="2">
        <v>3009.92</v>
      </c>
      <c r="J9" s="2">
        <v>2428.98</v>
      </c>
      <c r="K9" s="2">
        <v>2309.21</v>
      </c>
      <c r="L9" s="2">
        <v>1851.5</v>
      </c>
      <c r="O9" s="1" t="s">
        <v>13</v>
      </c>
      <c r="P9" s="2">
        <v>57579.56</v>
      </c>
      <c r="Q9" s="2">
        <v>46876.78</v>
      </c>
      <c r="R9" s="2">
        <v>44174.29</v>
      </c>
      <c r="S9" s="2">
        <v>35756</v>
      </c>
      <c r="V9" s="1" t="s">
        <v>13</v>
      </c>
      <c r="W9" s="2">
        <v>60589.48</v>
      </c>
      <c r="X9" s="2">
        <v>49305.760000000002</v>
      </c>
      <c r="Y9" s="2">
        <v>46483.5</v>
      </c>
      <c r="Z9" s="2">
        <v>37607.5</v>
      </c>
    </row>
    <row r="10" spans="2:26" x14ac:dyDescent="0.35">
      <c r="B10" s="1" t="s">
        <v>14</v>
      </c>
      <c r="C10" s="2">
        <v>0.68</v>
      </c>
      <c r="D10" s="2">
        <v>0.71</v>
      </c>
      <c r="E10" s="2">
        <v>0.3</v>
      </c>
      <c r="F10" s="2">
        <v>1.55</v>
      </c>
      <c r="H10" s="1" t="s">
        <v>14</v>
      </c>
      <c r="I10" s="2">
        <v>3364.35</v>
      </c>
      <c r="J10" s="2">
        <v>2439.2600000000002</v>
      </c>
      <c r="K10" s="2">
        <v>2731.54</v>
      </c>
      <c r="L10" s="2">
        <v>1634.14</v>
      </c>
      <c r="O10" s="1" t="s">
        <v>14</v>
      </c>
      <c r="P10" s="2">
        <v>20251.13</v>
      </c>
      <c r="Q10" s="2">
        <v>15084.82</v>
      </c>
      <c r="R10" s="2">
        <v>16349.21</v>
      </c>
      <c r="S10" s="2">
        <v>10077.950000000001</v>
      </c>
      <c r="V10" s="1" t="s">
        <v>14</v>
      </c>
      <c r="W10" s="2">
        <v>23615.48</v>
      </c>
      <c r="X10" s="2">
        <v>17524.080000000002</v>
      </c>
      <c r="Y10" s="2">
        <v>19080.75</v>
      </c>
      <c r="Z10" s="2">
        <v>11712.09</v>
      </c>
    </row>
    <row r="11" spans="2:26" x14ac:dyDescent="0.35">
      <c r="B11" s="1" t="s">
        <v>15</v>
      </c>
      <c r="C11" s="2">
        <v>1.39</v>
      </c>
      <c r="D11" s="2">
        <v>1.55</v>
      </c>
      <c r="E11" s="2">
        <v>0.61</v>
      </c>
      <c r="F11" s="2">
        <v>1.6</v>
      </c>
      <c r="H11" s="1" t="s">
        <v>15</v>
      </c>
      <c r="I11" s="2">
        <v>7350.79</v>
      </c>
      <c r="J11" s="2">
        <v>8514.76</v>
      </c>
      <c r="K11" s="2">
        <v>9028.7099999999991</v>
      </c>
      <c r="L11" s="2">
        <v>9445.8700000000008</v>
      </c>
      <c r="O11" s="1" t="s">
        <v>15</v>
      </c>
      <c r="P11" s="2">
        <v>45653.63</v>
      </c>
      <c r="Q11" s="2">
        <v>54118.32</v>
      </c>
      <c r="R11" s="2">
        <v>56939.79</v>
      </c>
      <c r="S11" s="2">
        <v>38129.629999999997</v>
      </c>
      <c r="V11" s="1" t="s">
        <v>15</v>
      </c>
      <c r="W11" s="2">
        <v>53004.42</v>
      </c>
      <c r="X11" s="2">
        <v>62633.08</v>
      </c>
      <c r="Y11" s="2">
        <v>65968.5</v>
      </c>
      <c r="Z11" s="2">
        <v>47575.5</v>
      </c>
    </row>
    <row r="12" spans="2:26" x14ac:dyDescent="0.35">
      <c r="B12" s="1" t="s">
        <v>16</v>
      </c>
      <c r="C12" s="2">
        <v>1.03</v>
      </c>
      <c r="D12" s="2">
        <v>0.93</v>
      </c>
      <c r="E12" s="2">
        <v>0.5</v>
      </c>
      <c r="F12" s="2">
        <v>1.27</v>
      </c>
      <c r="H12" s="1" t="s">
        <v>16</v>
      </c>
      <c r="I12" s="2">
        <v>2215.5100000000002</v>
      </c>
      <c r="J12" s="2">
        <v>2174.42</v>
      </c>
      <c r="K12" s="2">
        <v>2579.5500000000002</v>
      </c>
      <c r="L12" s="2">
        <v>3082.44</v>
      </c>
      <c r="O12" s="1" t="s">
        <v>16</v>
      </c>
      <c r="P12" s="2">
        <v>15314.17</v>
      </c>
      <c r="Q12" s="2">
        <v>14089.8</v>
      </c>
      <c r="R12" s="2">
        <v>17935.2</v>
      </c>
      <c r="S12" s="2">
        <v>20239.560000000001</v>
      </c>
      <c r="V12" s="1" t="s">
        <v>16</v>
      </c>
      <c r="W12" s="2">
        <v>17529.68</v>
      </c>
      <c r="X12" s="2">
        <v>16264.22</v>
      </c>
      <c r="Y12" s="2">
        <v>20514.75</v>
      </c>
      <c r="Z12" s="2">
        <v>23322</v>
      </c>
    </row>
    <row r="13" spans="2:26" x14ac:dyDescent="0.35">
      <c r="B13" s="1" t="s">
        <v>17</v>
      </c>
      <c r="C13" s="2">
        <v>1.21</v>
      </c>
      <c r="D13" s="2">
        <v>1.48</v>
      </c>
      <c r="E13" s="2">
        <v>0.77</v>
      </c>
      <c r="F13" s="2">
        <v>0.92</v>
      </c>
      <c r="H13" s="1" t="s">
        <v>17</v>
      </c>
      <c r="I13" s="2">
        <v>13657.86</v>
      </c>
      <c r="J13" s="2">
        <v>14927.03</v>
      </c>
      <c r="K13" s="2">
        <v>11444.29</v>
      </c>
      <c r="L13" s="2">
        <v>12131.02</v>
      </c>
      <c r="O13" s="1" t="s">
        <v>17</v>
      </c>
      <c r="P13" s="2">
        <v>91931.37</v>
      </c>
      <c r="Q13" s="2">
        <v>95420.97</v>
      </c>
      <c r="R13" s="2">
        <v>76843.210000000006</v>
      </c>
      <c r="S13" s="2">
        <v>77068.98</v>
      </c>
      <c r="V13" s="1" t="s">
        <v>17</v>
      </c>
      <c r="W13" s="2">
        <v>105589.24</v>
      </c>
      <c r="X13" s="2">
        <v>110348</v>
      </c>
      <c r="Y13" s="2">
        <v>88287.5</v>
      </c>
      <c r="Z13" s="2">
        <v>89200</v>
      </c>
    </row>
    <row r="14" spans="2:26" x14ac:dyDescent="0.35">
      <c r="B14" s="1" t="s">
        <v>18</v>
      </c>
      <c r="C14" s="2">
        <v>1.4</v>
      </c>
      <c r="D14" s="2">
        <v>1.43</v>
      </c>
      <c r="E14" s="2">
        <v>0.63</v>
      </c>
      <c r="F14" s="2">
        <v>0.52</v>
      </c>
      <c r="H14" s="1" t="s">
        <v>18</v>
      </c>
      <c r="I14" s="2">
        <v>3625.23</v>
      </c>
      <c r="J14" s="2">
        <v>2466.42</v>
      </c>
      <c r="K14" s="2">
        <v>3221.22</v>
      </c>
      <c r="L14" s="2">
        <v>3673.51</v>
      </c>
      <c r="O14" s="1" t="s">
        <v>18</v>
      </c>
      <c r="P14" s="2">
        <v>19894.77</v>
      </c>
      <c r="Q14" s="2">
        <v>11673.72</v>
      </c>
      <c r="R14" s="2">
        <v>17550.88</v>
      </c>
      <c r="S14" s="2">
        <v>17614.740000000002</v>
      </c>
      <c r="V14" s="1" t="s">
        <v>18</v>
      </c>
      <c r="W14" s="2">
        <v>23520</v>
      </c>
      <c r="X14" s="2">
        <v>14140.14</v>
      </c>
      <c r="Y14" s="2">
        <v>20772.099999999999</v>
      </c>
      <c r="Z14" s="2">
        <v>21288.25</v>
      </c>
    </row>
    <row r="15" spans="2:26" x14ac:dyDescent="0.35">
      <c r="B15" s="1" t="s">
        <v>19</v>
      </c>
      <c r="C15" s="2">
        <v>1.6</v>
      </c>
      <c r="D15" s="2">
        <v>1.41</v>
      </c>
      <c r="E15" s="2">
        <v>0.92</v>
      </c>
      <c r="F15" s="2">
        <v>0.66</v>
      </c>
      <c r="H15" s="1" t="s">
        <v>19</v>
      </c>
      <c r="I15" s="2">
        <v>6194.51</v>
      </c>
      <c r="J15" s="2">
        <v>7741.66</v>
      </c>
      <c r="K15" s="2">
        <v>8367.73</v>
      </c>
      <c r="L15" s="2">
        <v>9037.7900000000009</v>
      </c>
      <c r="O15" s="1" t="s">
        <v>19</v>
      </c>
      <c r="P15" s="2">
        <v>32880.19</v>
      </c>
      <c r="Q15" s="2">
        <v>39476.42</v>
      </c>
      <c r="R15" s="2">
        <v>44555.27</v>
      </c>
      <c r="S15" s="2">
        <v>46526.71</v>
      </c>
      <c r="V15" s="1" t="s">
        <v>19</v>
      </c>
      <c r="W15" s="2">
        <v>39074.699999999997</v>
      </c>
      <c r="X15" s="2">
        <v>47218.080000000002</v>
      </c>
      <c r="Y15" s="2">
        <v>52923</v>
      </c>
      <c r="Z15" s="2">
        <v>55564.5</v>
      </c>
    </row>
    <row r="16" spans="2:26" x14ac:dyDescent="0.35">
      <c r="B16" s="1" t="s">
        <v>20</v>
      </c>
      <c r="C16" s="2">
        <v>0.39</v>
      </c>
      <c r="D16" s="2">
        <v>0.24</v>
      </c>
      <c r="E16" s="2">
        <v>0.9</v>
      </c>
      <c r="F16" s="2">
        <v>0.9</v>
      </c>
      <c r="H16" s="1" t="s">
        <v>20</v>
      </c>
      <c r="I16" s="2">
        <v>5116.8599999999997</v>
      </c>
      <c r="J16" s="2">
        <v>6116.47</v>
      </c>
      <c r="K16" s="2">
        <v>1254.04</v>
      </c>
      <c r="L16" s="2">
        <v>1425.9</v>
      </c>
      <c r="O16" s="1" t="s">
        <v>20</v>
      </c>
      <c r="P16" s="2">
        <v>30912.84</v>
      </c>
      <c r="Q16" s="2">
        <v>33057.35</v>
      </c>
      <c r="R16" s="2">
        <v>25942.080000000002</v>
      </c>
      <c r="S16" s="2">
        <v>28221.22</v>
      </c>
      <c r="V16" s="1" t="s">
        <v>20</v>
      </c>
      <c r="W16" s="2">
        <v>36029.699999999997</v>
      </c>
      <c r="X16" s="2">
        <v>39173.82</v>
      </c>
      <c r="Y16" s="2">
        <v>27196.13</v>
      </c>
      <c r="Z16" s="2">
        <v>29647.119999999999</v>
      </c>
    </row>
    <row r="19" spans="2:26" x14ac:dyDescent="0.35">
      <c r="B19" t="s">
        <v>21</v>
      </c>
      <c r="H19" t="s">
        <v>22</v>
      </c>
      <c r="O19" t="s">
        <v>23</v>
      </c>
      <c r="V19" t="s">
        <v>24</v>
      </c>
    </row>
    <row r="20" spans="2:26" x14ac:dyDescent="0.35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5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5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5">
      <c r="B23" s="1" t="s">
        <v>13</v>
      </c>
      <c r="C23" s="2">
        <v>0.05</v>
      </c>
      <c r="D23" s="2">
        <v>0.05</v>
      </c>
      <c r="E23" s="2">
        <v>0.05</v>
      </c>
      <c r="F23" s="2">
        <v>0.05</v>
      </c>
      <c r="H23" s="1" t="s">
        <v>13</v>
      </c>
      <c r="I23" s="2">
        <v>1074.97</v>
      </c>
      <c r="J23" s="2">
        <v>867.49</v>
      </c>
      <c r="K23" s="2">
        <v>923.69</v>
      </c>
      <c r="L23" s="2">
        <v>740.6</v>
      </c>
      <c r="O23" s="1" t="s">
        <v>13</v>
      </c>
      <c r="P23" s="2">
        <v>20564.13</v>
      </c>
      <c r="Q23" s="2">
        <v>16741.71</v>
      </c>
      <c r="R23" s="2">
        <v>17669.71</v>
      </c>
      <c r="S23" s="2">
        <v>14302.4</v>
      </c>
      <c r="V23" s="1" t="s">
        <v>13</v>
      </c>
      <c r="W23" s="2">
        <v>21639.1</v>
      </c>
      <c r="X23" s="2">
        <v>17609.2</v>
      </c>
      <c r="Y23" s="2">
        <v>18593.400000000001</v>
      </c>
      <c r="Z23" s="2">
        <v>15043</v>
      </c>
    </row>
    <row r="24" spans="2:26" x14ac:dyDescent="0.35">
      <c r="B24" s="1" t="s">
        <v>14</v>
      </c>
      <c r="C24" s="2">
        <v>0.16</v>
      </c>
      <c r="D24" s="2">
        <v>0.17</v>
      </c>
      <c r="E24" s="2">
        <v>0.16</v>
      </c>
      <c r="F24" s="2">
        <v>0.17</v>
      </c>
      <c r="H24" s="1" t="s">
        <v>14</v>
      </c>
      <c r="I24" s="2">
        <v>1201.55</v>
      </c>
      <c r="J24" s="2">
        <v>871.16</v>
      </c>
      <c r="K24" s="2">
        <v>1092.6099999999999</v>
      </c>
      <c r="L24" s="2">
        <v>653.66</v>
      </c>
      <c r="O24" s="1" t="s">
        <v>14</v>
      </c>
      <c r="P24" s="2">
        <v>7232.55</v>
      </c>
      <c r="Q24" s="2">
        <v>5387.44</v>
      </c>
      <c r="R24" s="2">
        <v>6539.69</v>
      </c>
      <c r="S24" s="2">
        <v>4031.18</v>
      </c>
      <c r="V24" s="1" t="s">
        <v>14</v>
      </c>
      <c r="W24" s="2">
        <v>8434.1</v>
      </c>
      <c r="X24" s="2">
        <v>6258.6</v>
      </c>
      <c r="Y24" s="2">
        <v>7632.3</v>
      </c>
      <c r="Z24" s="2">
        <v>4684.84</v>
      </c>
    </row>
    <row r="25" spans="2:26" x14ac:dyDescent="0.35">
      <c r="B25" s="1" t="s">
        <v>15</v>
      </c>
      <c r="C25" s="2">
        <v>0.16</v>
      </c>
      <c r="D25" s="2">
        <v>0.17</v>
      </c>
      <c r="E25" s="2">
        <v>0.16</v>
      </c>
      <c r="F25" s="2">
        <v>0.25</v>
      </c>
      <c r="H25" s="1" t="s">
        <v>15</v>
      </c>
      <c r="I25" s="2">
        <v>2625.28</v>
      </c>
      <c r="J25" s="2">
        <v>3040.99</v>
      </c>
      <c r="K25" s="2">
        <v>3611.48</v>
      </c>
      <c r="L25" s="2">
        <v>3778.35</v>
      </c>
      <c r="O25" s="1" t="s">
        <v>15</v>
      </c>
      <c r="P25" s="2">
        <v>16304.87</v>
      </c>
      <c r="Q25" s="2">
        <v>19327.97</v>
      </c>
      <c r="R25" s="2">
        <v>22775.919999999998</v>
      </c>
      <c r="S25" s="2">
        <v>15251.85</v>
      </c>
      <c r="V25" s="1" t="s">
        <v>15</v>
      </c>
      <c r="W25" s="2">
        <v>18930.150000000001</v>
      </c>
      <c r="X25" s="2">
        <v>22368.959999999999</v>
      </c>
      <c r="Y25" s="2">
        <v>26387.4</v>
      </c>
      <c r="Z25" s="2">
        <v>19030.2</v>
      </c>
    </row>
    <row r="26" spans="2:26" x14ac:dyDescent="0.35">
      <c r="B26" s="1" t="s">
        <v>16</v>
      </c>
      <c r="C26" s="2">
        <v>0.16</v>
      </c>
      <c r="D26" s="2">
        <v>0.17</v>
      </c>
      <c r="E26" s="2">
        <v>0.16</v>
      </c>
      <c r="F26" s="2">
        <v>0.17</v>
      </c>
      <c r="H26" s="1" t="s">
        <v>16</v>
      </c>
      <c r="I26" s="2">
        <v>791.25</v>
      </c>
      <c r="J26" s="2">
        <v>776.58</v>
      </c>
      <c r="K26" s="2">
        <v>1031.82</v>
      </c>
      <c r="L26" s="2">
        <v>1232.98</v>
      </c>
      <c r="O26" s="1" t="s">
        <v>16</v>
      </c>
      <c r="P26" s="2">
        <v>5469.35</v>
      </c>
      <c r="Q26" s="2">
        <v>5032.07</v>
      </c>
      <c r="R26" s="2">
        <v>7174.08</v>
      </c>
      <c r="S26" s="2">
        <v>8095.82</v>
      </c>
      <c r="V26" s="1" t="s">
        <v>16</v>
      </c>
      <c r="W26" s="2">
        <v>6260.6</v>
      </c>
      <c r="X26" s="2">
        <v>5808.65</v>
      </c>
      <c r="Y26" s="2">
        <v>8205.9</v>
      </c>
      <c r="Z26" s="2">
        <v>9328.7999999999993</v>
      </c>
    </row>
    <row r="27" spans="2:26" x14ac:dyDescent="0.35">
      <c r="B27" s="1" t="s">
        <v>17</v>
      </c>
      <c r="C27" s="2">
        <v>0.16</v>
      </c>
      <c r="D27" s="2">
        <v>0.17</v>
      </c>
      <c r="E27" s="2">
        <v>0.16</v>
      </c>
      <c r="F27" s="2">
        <v>0.17</v>
      </c>
      <c r="H27" s="1" t="s">
        <v>17</v>
      </c>
      <c r="I27" s="2">
        <v>4877.8100000000004</v>
      </c>
      <c r="J27" s="2">
        <v>5331.08</v>
      </c>
      <c r="K27" s="2">
        <v>4577.72</v>
      </c>
      <c r="L27" s="2">
        <v>4852.41</v>
      </c>
      <c r="O27" s="1" t="s">
        <v>17</v>
      </c>
      <c r="P27" s="2">
        <v>32832.629999999997</v>
      </c>
      <c r="Q27" s="2">
        <v>34078.92</v>
      </c>
      <c r="R27" s="2">
        <v>30737.279999999999</v>
      </c>
      <c r="S27" s="2">
        <v>30827.59</v>
      </c>
      <c r="V27" s="1" t="s">
        <v>17</v>
      </c>
      <c r="W27" s="2">
        <v>37710.44</v>
      </c>
      <c r="X27" s="2">
        <v>39410</v>
      </c>
      <c r="Y27" s="2">
        <v>35315</v>
      </c>
      <c r="Z27" s="2">
        <v>35680</v>
      </c>
    </row>
    <row r="28" spans="2:26" x14ac:dyDescent="0.35">
      <c r="B28" s="1" t="s">
        <v>18</v>
      </c>
      <c r="C28" s="2">
        <v>0.2</v>
      </c>
      <c r="D28" s="2">
        <v>0.21</v>
      </c>
      <c r="E28" s="2">
        <v>0.2</v>
      </c>
      <c r="F28" s="2">
        <v>0.2</v>
      </c>
      <c r="H28" s="1" t="s">
        <v>18</v>
      </c>
      <c r="I28" s="2">
        <v>1294.73</v>
      </c>
      <c r="J28" s="2">
        <v>880.86</v>
      </c>
      <c r="K28" s="2">
        <v>1288.49</v>
      </c>
      <c r="L28" s="2">
        <v>1469.4</v>
      </c>
      <c r="O28" s="1" t="s">
        <v>18</v>
      </c>
      <c r="P28" s="2">
        <v>7105.27</v>
      </c>
      <c r="Q28" s="2">
        <v>4169.1899999999996</v>
      </c>
      <c r="R28" s="2">
        <v>7020.35</v>
      </c>
      <c r="S28" s="2">
        <v>7045.9</v>
      </c>
      <c r="V28" s="1" t="s">
        <v>18</v>
      </c>
      <c r="W28" s="2">
        <v>8400</v>
      </c>
      <c r="X28" s="2">
        <v>5050.05</v>
      </c>
      <c r="Y28" s="2">
        <v>8308.84</v>
      </c>
      <c r="Z28" s="2">
        <v>8515.2999999999993</v>
      </c>
    </row>
    <row r="29" spans="2:26" x14ac:dyDescent="0.35">
      <c r="B29" s="1" t="s">
        <v>19</v>
      </c>
      <c r="C29" s="2">
        <v>0.2</v>
      </c>
      <c r="D29" s="2">
        <v>0.21</v>
      </c>
      <c r="E29" s="2">
        <v>0.2</v>
      </c>
      <c r="F29" s="2">
        <v>0.21</v>
      </c>
      <c r="H29" s="1" t="s">
        <v>19</v>
      </c>
      <c r="I29" s="2">
        <v>2212.3200000000002</v>
      </c>
      <c r="J29" s="2">
        <v>2764.88</v>
      </c>
      <c r="K29" s="2">
        <v>3347.09</v>
      </c>
      <c r="L29" s="2">
        <v>3615.12</v>
      </c>
      <c r="O29" s="1" t="s">
        <v>19</v>
      </c>
      <c r="P29" s="2">
        <v>11742.93</v>
      </c>
      <c r="Q29" s="2">
        <v>14098.72</v>
      </c>
      <c r="R29" s="2">
        <v>17822.11</v>
      </c>
      <c r="S29" s="2">
        <v>18610.68</v>
      </c>
      <c r="V29" s="1" t="s">
        <v>19</v>
      </c>
      <c r="W29" s="2">
        <v>13955.25</v>
      </c>
      <c r="X29" s="2">
        <v>16863.599999999999</v>
      </c>
      <c r="Y29" s="2">
        <v>21169.200000000001</v>
      </c>
      <c r="Z29" s="2">
        <v>22225.8</v>
      </c>
    </row>
    <row r="30" spans="2:26" x14ac:dyDescent="0.35">
      <c r="B30" s="1" t="s">
        <v>20</v>
      </c>
      <c r="C30" s="2">
        <v>0.2</v>
      </c>
      <c r="D30" s="2">
        <v>0.21</v>
      </c>
      <c r="E30" s="2">
        <v>0.05</v>
      </c>
      <c r="F30" s="2">
        <v>0.05</v>
      </c>
      <c r="H30" s="1" t="s">
        <v>20</v>
      </c>
      <c r="I30" s="2">
        <v>1827.45</v>
      </c>
      <c r="J30" s="2">
        <v>2184.4499999999998</v>
      </c>
      <c r="K30" s="2">
        <v>501.62</v>
      </c>
      <c r="L30" s="2">
        <v>570.36</v>
      </c>
      <c r="O30" s="1" t="s">
        <v>20</v>
      </c>
      <c r="P30" s="2">
        <v>11040.3</v>
      </c>
      <c r="Q30" s="2">
        <v>11806.2</v>
      </c>
      <c r="R30" s="2">
        <v>10376.83</v>
      </c>
      <c r="S30" s="2">
        <v>11288.49</v>
      </c>
      <c r="V30" s="1" t="s">
        <v>20</v>
      </c>
      <c r="W30" s="2">
        <v>12867.75</v>
      </c>
      <c r="X30" s="2">
        <v>13990.65</v>
      </c>
      <c r="Y30" s="2">
        <v>10878.45</v>
      </c>
      <c r="Z30" s="2">
        <v>11858.85</v>
      </c>
    </row>
    <row r="33" spans="2:26" x14ac:dyDescent="0.35">
      <c r="B33" t="s">
        <v>25</v>
      </c>
      <c r="H33" t="s">
        <v>26</v>
      </c>
      <c r="O33" t="s">
        <v>27</v>
      </c>
      <c r="V33" t="s">
        <v>28</v>
      </c>
    </row>
    <row r="34" spans="2:26" x14ac:dyDescent="0.35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5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5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5">
      <c r="B37" s="1" t="s">
        <v>13</v>
      </c>
      <c r="C37" s="2">
        <v>1023.34</v>
      </c>
      <c r="D37" s="2">
        <v>825.84</v>
      </c>
      <c r="E37" s="2">
        <v>785.11</v>
      </c>
      <c r="F37" s="2">
        <v>629.5</v>
      </c>
      <c r="H37" s="1" t="s">
        <v>13</v>
      </c>
      <c r="I37" s="2">
        <v>153.57</v>
      </c>
      <c r="J37" s="2">
        <v>123.93</v>
      </c>
      <c r="K37" s="2">
        <v>131.96</v>
      </c>
      <c r="L37" s="2">
        <v>105.8</v>
      </c>
      <c r="O37" s="1" t="s">
        <v>13</v>
      </c>
      <c r="P37" s="2">
        <v>2937.73</v>
      </c>
      <c r="Q37" s="2">
        <v>2391.67</v>
      </c>
      <c r="R37" s="2">
        <v>2524.2399999999998</v>
      </c>
      <c r="S37" s="2">
        <v>2043.2</v>
      </c>
      <c r="V37" s="1" t="s">
        <v>13</v>
      </c>
      <c r="W37" s="2">
        <v>3091.3</v>
      </c>
      <c r="X37" s="2">
        <v>2515.6</v>
      </c>
      <c r="Y37" s="2">
        <v>2656.2</v>
      </c>
      <c r="Z37" s="2">
        <v>2149</v>
      </c>
    </row>
    <row r="38" spans="2:26" x14ac:dyDescent="0.35">
      <c r="B38" s="1" t="s">
        <v>14</v>
      </c>
      <c r="C38" s="2">
        <v>2274.15</v>
      </c>
      <c r="D38" s="2">
        <v>1737.94</v>
      </c>
      <c r="E38" s="2">
        <v>828.82</v>
      </c>
      <c r="F38" s="2">
        <v>2533.6999999999998</v>
      </c>
      <c r="H38" s="1" t="s">
        <v>14</v>
      </c>
      <c r="I38" s="2">
        <v>1201.55</v>
      </c>
      <c r="J38" s="2">
        <v>871.16</v>
      </c>
      <c r="K38" s="2">
        <v>1092.6099999999999</v>
      </c>
      <c r="L38" s="2">
        <v>653.66</v>
      </c>
      <c r="O38" s="1" t="s">
        <v>14</v>
      </c>
      <c r="P38" s="2">
        <v>7232.55</v>
      </c>
      <c r="Q38" s="2">
        <v>5387.44</v>
      </c>
      <c r="R38" s="2">
        <v>6539.69</v>
      </c>
      <c r="S38" s="2">
        <v>4031.18</v>
      </c>
      <c r="V38" s="1" t="s">
        <v>14</v>
      </c>
      <c r="W38" s="2">
        <v>8434.1</v>
      </c>
      <c r="X38" s="2">
        <v>6258.6</v>
      </c>
      <c r="Y38" s="2">
        <v>7632.3</v>
      </c>
      <c r="Z38" s="2">
        <v>4684.84</v>
      </c>
    </row>
    <row r="39" spans="2:26" x14ac:dyDescent="0.35">
      <c r="B39" s="1" t="s">
        <v>15</v>
      </c>
      <c r="C39" s="2">
        <v>10248.86</v>
      </c>
      <c r="D39" s="2">
        <v>13223.11</v>
      </c>
      <c r="E39" s="2">
        <v>5486.38</v>
      </c>
      <c r="F39" s="2">
        <v>15113.39</v>
      </c>
      <c r="H39" s="1" t="s">
        <v>15</v>
      </c>
      <c r="I39" s="2">
        <v>875.09</v>
      </c>
      <c r="J39" s="2">
        <v>1013.66</v>
      </c>
      <c r="K39" s="2">
        <v>1203.83</v>
      </c>
      <c r="L39" s="2">
        <v>1259.45</v>
      </c>
      <c r="O39" s="1" t="s">
        <v>15</v>
      </c>
      <c r="P39" s="2">
        <v>5434.96</v>
      </c>
      <c r="Q39" s="2">
        <v>6442.66</v>
      </c>
      <c r="R39" s="2">
        <v>7591.97</v>
      </c>
      <c r="S39" s="2">
        <v>5083.95</v>
      </c>
      <c r="V39" s="1" t="s">
        <v>15</v>
      </c>
      <c r="W39" s="2">
        <v>6310.05</v>
      </c>
      <c r="X39" s="2">
        <v>7456.32</v>
      </c>
      <c r="Y39" s="2">
        <v>8795.7999999999993</v>
      </c>
      <c r="Z39" s="2">
        <v>6343.4</v>
      </c>
    </row>
    <row r="40" spans="2:26" x14ac:dyDescent="0.35">
      <c r="B40" s="1" t="s">
        <v>16</v>
      </c>
      <c r="C40" s="2">
        <v>2285.46</v>
      </c>
      <c r="D40" s="2">
        <v>2019.01</v>
      </c>
      <c r="E40" s="2">
        <v>1296.46</v>
      </c>
      <c r="F40" s="2">
        <v>3929.22</v>
      </c>
      <c r="H40" s="1" t="s">
        <v>16</v>
      </c>
      <c r="I40" s="2">
        <v>791.25</v>
      </c>
      <c r="J40" s="2">
        <v>776.58</v>
      </c>
      <c r="K40" s="2">
        <v>1031.82</v>
      </c>
      <c r="L40" s="2">
        <v>1232.98</v>
      </c>
      <c r="O40" s="1" t="s">
        <v>16</v>
      </c>
      <c r="P40" s="2">
        <v>5469.35</v>
      </c>
      <c r="Q40" s="2">
        <v>5032.07</v>
      </c>
      <c r="R40" s="2">
        <v>7174.08</v>
      </c>
      <c r="S40" s="2">
        <v>8095.82</v>
      </c>
      <c r="V40" s="1" t="s">
        <v>16</v>
      </c>
      <c r="W40" s="2">
        <v>6260.6</v>
      </c>
      <c r="X40" s="2">
        <v>5808.65</v>
      </c>
      <c r="Y40" s="2">
        <v>8205.9</v>
      </c>
      <c r="Z40" s="2">
        <v>9328.7999999999993</v>
      </c>
    </row>
    <row r="41" spans="2:26" x14ac:dyDescent="0.35">
      <c r="B41" s="1" t="s">
        <v>17</v>
      </c>
      <c r="C41" s="2">
        <v>16563.79</v>
      </c>
      <c r="D41" s="2">
        <v>22087.94</v>
      </c>
      <c r="E41" s="2">
        <v>8758.4500000000007</v>
      </c>
      <c r="F41" s="2">
        <v>11218.39</v>
      </c>
      <c r="H41" s="1" t="s">
        <v>17</v>
      </c>
      <c r="I41" s="2">
        <v>975.56</v>
      </c>
      <c r="J41" s="2">
        <v>1066.22</v>
      </c>
      <c r="K41" s="2">
        <v>915.54</v>
      </c>
      <c r="L41" s="2">
        <v>970.48</v>
      </c>
      <c r="O41" s="1" t="s">
        <v>17</v>
      </c>
      <c r="P41" s="2">
        <v>6566.53</v>
      </c>
      <c r="Q41" s="2">
        <v>6815.78</v>
      </c>
      <c r="R41" s="2">
        <v>6147.46</v>
      </c>
      <c r="S41" s="2">
        <v>6165.52</v>
      </c>
      <c r="V41" s="1" t="s">
        <v>17</v>
      </c>
      <c r="W41" s="2">
        <v>7542.09</v>
      </c>
      <c r="X41" s="2">
        <v>7882</v>
      </c>
      <c r="Y41" s="2">
        <v>7063</v>
      </c>
      <c r="Z41" s="2">
        <v>7136</v>
      </c>
    </row>
    <row r="42" spans="2:26" x14ac:dyDescent="0.35">
      <c r="B42" s="1" t="s">
        <v>18</v>
      </c>
      <c r="C42" s="2">
        <v>5084.78</v>
      </c>
      <c r="D42" s="2">
        <v>3529.02</v>
      </c>
      <c r="E42" s="2">
        <v>2020.57</v>
      </c>
      <c r="F42" s="2">
        <v>1896.71</v>
      </c>
      <c r="H42" s="1" t="s">
        <v>18</v>
      </c>
      <c r="I42" s="2">
        <v>1294.73</v>
      </c>
      <c r="J42" s="2">
        <v>880.86</v>
      </c>
      <c r="K42" s="2">
        <v>1288.49</v>
      </c>
      <c r="L42" s="2">
        <v>1469.4</v>
      </c>
      <c r="O42" s="1" t="s">
        <v>18</v>
      </c>
      <c r="P42" s="2">
        <v>7105.27</v>
      </c>
      <c r="Q42" s="2">
        <v>4169.1899999999996</v>
      </c>
      <c r="R42" s="2">
        <v>7020.35</v>
      </c>
      <c r="S42" s="2">
        <v>7045.9</v>
      </c>
      <c r="V42" s="1" t="s">
        <v>18</v>
      </c>
      <c r="W42" s="2">
        <v>8400</v>
      </c>
      <c r="X42" s="2">
        <v>5050.05</v>
      </c>
      <c r="Y42" s="2">
        <v>8308.84</v>
      </c>
      <c r="Z42" s="2">
        <v>8515.2999999999993</v>
      </c>
    </row>
    <row r="43" spans="2:26" x14ac:dyDescent="0.35">
      <c r="B43" s="1" t="s">
        <v>19</v>
      </c>
      <c r="C43" s="2">
        <v>9911.19</v>
      </c>
      <c r="D43" s="2">
        <v>10888.23</v>
      </c>
      <c r="E43" s="2">
        <v>7728.13</v>
      </c>
      <c r="F43" s="2">
        <v>5984.12</v>
      </c>
      <c r="H43" s="1" t="s">
        <v>19</v>
      </c>
      <c r="I43" s="2">
        <v>737.44</v>
      </c>
      <c r="J43" s="2">
        <v>921.63</v>
      </c>
      <c r="K43" s="2">
        <v>1115.7</v>
      </c>
      <c r="L43" s="2">
        <v>1205.04</v>
      </c>
      <c r="O43" s="1" t="s">
        <v>19</v>
      </c>
      <c r="P43" s="2">
        <v>3914.31</v>
      </c>
      <c r="Q43" s="2">
        <v>4699.57</v>
      </c>
      <c r="R43" s="2">
        <v>5940.7</v>
      </c>
      <c r="S43" s="2">
        <v>6203.56</v>
      </c>
      <c r="V43" s="1" t="s">
        <v>19</v>
      </c>
      <c r="W43" s="2">
        <v>4651.75</v>
      </c>
      <c r="X43" s="2">
        <v>5621.2</v>
      </c>
      <c r="Y43" s="2">
        <v>7056.4</v>
      </c>
      <c r="Z43" s="2">
        <v>7408.6</v>
      </c>
    </row>
    <row r="44" spans="2:26" x14ac:dyDescent="0.35">
      <c r="B44" s="1" t="s">
        <v>20</v>
      </c>
      <c r="C44" s="2">
        <v>1996.71</v>
      </c>
      <c r="D44" s="2">
        <v>1458.48</v>
      </c>
      <c r="E44" s="2">
        <v>1128.6400000000001</v>
      </c>
      <c r="F44" s="2">
        <v>1283.31</v>
      </c>
      <c r="H44" s="1" t="s">
        <v>20</v>
      </c>
      <c r="I44" s="2">
        <v>609.15</v>
      </c>
      <c r="J44" s="2">
        <v>728.15</v>
      </c>
      <c r="K44" s="2">
        <v>167.21</v>
      </c>
      <c r="L44" s="2">
        <v>190.12</v>
      </c>
      <c r="O44" s="1" t="s">
        <v>20</v>
      </c>
      <c r="P44" s="2">
        <v>3680.1</v>
      </c>
      <c r="Q44" s="2">
        <v>3935.4</v>
      </c>
      <c r="R44" s="2">
        <v>3458.94</v>
      </c>
      <c r="S44" s="2">
        <v>3762.83</v>
      </c>
      <c r="V44" s="1" t="s">
        <v>20</v>
      </c>
      <c r="W44" s="2">
        <v>4289.25</v>
      </c>
      <c r="X44" s="2">
        <v>4663.55</v>
      </c>
      <c r="Y44" s="2">
        <v>3626.15</v>
      </c>
      <c r="Z44" s="2">
        <v>3952.95</v>
      </c>
    </row>
    <row r="45" spans="2:26" x14ac:dyDescent="0.35">
      <c r="C45" s="3">
        <f>SUM(C37:C44)/C3*296</f>
        <v>5221046.7428571442</v>
      </c>
      <c r="D45" s="3">
        <f>SUM(D37:D44)/C3*296</f>
        <v>5895640.2571428576</v>
      </c>
      <c r="E45" s="3">
        <f>SUM(E37:E44)/D3*296</f>
        <v>3319055.1040000003</v>
      </c>
      <c r="F45" s="3">
        <f>SUM(F37:F44)/D3*296</f>
        <v>5042459.4560000002</v>
      </c>
    </row>
    <row r="47" spans="2:26" x14ac:dyDescent="0.35">
      <c r="B47" t="s">
        <v>29</v>
      </c>
      <c r="H47" t="s">
        <v>30</v>
      </c>
      <c r="O47" t="s">
        <v>31</v>
      </c>
      <c r="V47" t="s">
        <v>32</v>
      </c>
    </row>
    <row r="48" spans="2:26" x14ac:dyDescent="0.35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5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5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5">
      <c r="B51" s="1" t="s">
        <v>13</v>
      </c>
      <c r="C51" s="2">
        <v>545.70000000000005</v>
      </c>
      <c r="D51" s="2">
        <v>354.84</v>
      </c>
      <c r="E51" s="2">
        <v>424.77</v>
      </c>
      <c r="F51" s="2">
        <v>268.94</v>
      </c>
      <c r="H51" s="1" t="s">
        <v>13</v>
      </c>
      <c r="I51" s="2">
        <v>0.04</v>
      </c>
      <c r="J51" s="2">
        <v>0.03</v>
      </c>
      <c r="K51" s="2">
        <v>0.04</v>
      </c>
      <c r="L51" s="2">
        <v>0.03</v>
      </c>
      <c r="O51" s="1" t="s">
        <v>13</v>
      </c>
      <c r="P51" s="2">
        <v>0.28000000000000003</v>
      </c>
      <c r="Q51" s="2">
        <v>0.23</v>
      </c>
      <c r="R51" s="2">
        <v>0.23</v>
      </c>
      <c r="S51" s="2">
        <v>0.23</v>
      </c>
      <c r="V51" s="1" t="s">
        <v>13</v>
      </c>
      <c r="W51" s="2">
        <v>0.3</v>
      </c>
      <c r="X51" s="2">
        <v>0.24</v>
      </c>
      <c r="Y51" s="2">
        <v>0.24</v>
      </c>
      <c r="Z51" s="2">
        <v>0.24</v>
      </c>
    </row>
    <row r="52" spans="2:26" x14ac:dyDescent="0.35">
      <c r="B52" s="1" t="s">
        <v>14</v>
      </c>
      <c r="C52" s="2">
        <v>1914.99</v>
      </c>
      <c r="D52" s="2">
        <v>1290.1600000000001</v>
      </c>
      <c r="E52" s="2">
        <v>698.31</v>
      </c>
      <c r="F52" s="2">
        <v>1881.18</v>
      </c>
      <c r="H52" s="1" t="s">
        <v>14</v>
      </c>
      <c r="I52" s="2">
        <v>0.33</v>
      </c>
      <c r="J52" s="2">
        <v>0.24</v>
      </c>
      <c r="K52" s="2">
        <v>0.3</v>
      </c>
      <c r="L52" s="2">
        <v>0.18</v>
      </c>
      <c r="O52" s="1" t="s">
        <v>14</v>
      </c>
      <c r="P52" s="2">
        <v>0.7</v>
      </c>
      <c r="Q52" s="2">
        <v>0.66</v>
      </c>
      <c r="R52" s="2">
        <v>0.5</v>
      </c>
      <c r="S52" s="2">
        <v>0.86</v>
      </c>
      <c r="V52" s="1" t="s">
        <v>14</v>
      </c>
      <c r="W52" s="2">
        <v>0.81</v>
      </c>
      <c r="X52" s="2">
        <v>0.77</v>
      </c>
      <c r="Y52" s="2">
        <v>0.59</v>
      </c>
      <c r="Z52" s="2">
        <v>1</v>
      </c>
    </row>
    <row r="53" spans="2:26" x14ac:dyDescent="0.35">
      <c r="B53" s="1" t="s">
        <v>15</v>
      </c>
      <c r="C53" s="2">
        <v>8300.2900000000009</v>
      </c>
      <c r="D53" s="2">
        <v>9986.7800000000007</v>
      </c>
      <c r="E53" s="2">
        <v>4440.18</v>
      </c>
      <c r="F53" s="2">
        <v>10917.52</v>
      </c>
      <c r="H53" s="1" t="s">
        <v>15</v>
      </c>
      <c r="I53" s="2">
        <v>0.24</v>
      </c>
      <c r="J53" s="2">
        <v>0.28000000000000003</v>
      </c>
      <c r="K53" s="2">
        <v>0.33</v>
      </c>
      <c r="L53" s="2">
        <v>0.35</v>
      </c>
      <c r="O53" s="1" t="s">
        <v>15</v>
      </c>
      <c r="P53" s="2">
        <v>0.75</v>
      </c>
      <c r="Q53" s="2">
        <v>0.81</v>
      </c>
      <c r="R53" s="2">
        <v>0.57999999999999996</v>
      </c>
      <c r="S53" s="2">
        <v>0.89</v>
      </c>
      <c r="V53" s="1" t="s">
        <v>15</v>
      </c>
      <c r="W53" s="2">
        <v>0.88</v>
      </c>
      <c r="X53" s="2">
        <v>0.93</v>
      </c>
      <c r="Y53" s="2">
        <v>0.68</v>
      </c>
      <c r="Z53" s="2">
        <v>1.1200000000000001</v>
      </c>
    </row>
    <row r="54" spans="2:26" x14ac:dyDescent="0.35">
      <c r="B54" s="1" t="s">
        <v>16</v>
      </c>
      <c r="C54" s="2">
        <v>1679.42</v>
      </c>
      <c r="D54" s="2">
        <v>1450.56</v>
      </c>
      <c r="E54" s="2">
        <v>951.65</v>
      </c>
      <c r="F54" s="2">
        <v>2819.33</v>
      </c>
      <c r="H54" s="1" t="s">
        <v>16</v>
      </c>
      <c r="I54" s="2">
        <v>0.22</v>
      </c>
      <c r="J54" s="2">
        <v>0.22</v>
      </c>
      <c r="K54" s="2">
        <v>0.28999999999999998</v>
      </c>
      <c r="L54" s="2">
        <v>0.34</v>
      </c>
      <c r="O54" s="1" t="s">
        <v>16</v>
      </c>
      <c r="P54" s="2">
        <v>0.76</v>
      </c>
      <c r="Q54" s="2">
        <v>0.73</v>
      </c>
      <c r="R54" s="2">
        <v>0.6</v>
      </c>
      <c r="S54" s="2">
        <v>0.85</v>
      </c>
      <c r="V54" s="1" t="s">
        <v>16</v>
      </c>
      <c r="W54" s="2">
        <v>0.87</v>
      </c>
      <c r="X54" s="2">
        <v>0.84</v>
      </c>
      <c r="Y54" s="2">
        <v>0.68</v>
      </c>
      <c r="Z54" s="2">
        <v>0.98</v>
      </c>
    </row>
    <row r="55" spans="2:26" x14ac:dyDescent="0.35">
      <c r="B55" s="1" t="s">
        <v>17</v>
      </c>
      <c r="C55" s="2">
        <v>12482.6</v>
      </c>
      <c r="D55" s="2">
        <v>16901.53</v>
      </c>
      <c r="E55" s="2">
        <v>6594.59</v>
      </c>
      <c r="F55" s="2">
        <v>8590.5</v>
      </c>
      <c r="H55" s="1" t="s">
        <v>17</v>
      </c>
      <c r="I55" s="2">
        <v>0.27</v>
      </c>
      <c r="J55" s="2">
        <v>0.3</v>
      </c>
      <c r="K55" s="2">
        <v>0.25</v>
      </c>
      <c r="L55" s="2">
        <v>0.27</v>
      </c>
      <c r="O55" s="1" t="s">
        <v>17</v>
      </c>
      <c r="P55" s="2">
        <v>0.82</v>
      </c>
      <c r="Q55" s="2">
        <v>0.88</v>
      </c>
      <c r="R55" s="2">
        <v>0.69</v>
      </c>
      <c r="S55" s="2">
        <v>0.75</v>
      </c>
      <c r="V55" s="1" t="s">
        <v>17</v>
      </c>
      <c r="W55" s="2">
        <v>0.94</v>
      </c>
      <c r="X55" s="2">
        <v>1.01</v>
      </c>
      <c r="Y55" s="2">
        <v>0.79</v>
      </c>
      <c r="Z55" s="2">
        <v>0.87</v>
      </c>
    </row>
    <row r="56" spans="2:26" x14ac:dyDescent="0.35">
      <c r="B56" s="1" t="s">
        <v>18</v>
      </c>
      <c r="C56" s="2">
        <v>4150.4399999999996</v>
      </c>
      <c r="D56" s="2">
        <v>3072.34</v>
      </c>
      <c r="E56" s="2">
        <v>1650.06</v>
      </c>
      <c r="F56" s="2">
        <v>1650.38</v>
      </c>
      <c r="H56" s="1" t="s">
        <v>18</v>
      </c>
      <c r="I56" s="2">
        <v>0.36</v>
      </c>
      <c r="J56" s="2">
        <v>0.24</v>
      </c>
      <c r="K56" s="2">
        <v>0.36</v>
      </c>
      <c r="L56" s="2">
        <v>0.41</v>
      </c>
      <c r="O56" s="1" t="s">
        <v>18</v>
      </c>
      <c r="P56" s="2">
        <v>0.89</v>
      </c>
      <c r="Q56" s="2">
        <v>0.87</v>
      </c>
      <c r="R56" s="2">
        <v>0.7</v>
      </c>
      <c r="S56" s="2">
        <v>0.69</v>
      </c>
      <c r="V56" s="1" t="s">
        <v>18</v>
      </c>
      <c r="W56" s="2">
        <v>1.05</v>
      </c>
      <c r="X56" s="2">
        <v>1.05</v>
      </c>
      <c r="Y56" s="2">
        <v>0.83</v>
      </c>
      <c r="Z56" s="2">
        <v>0.83</v>
      </c>
    </row>
    <row r="57" spans="2:26" x14ac:dyDescent="0.35">
      <c r="B57" s="1" t="s">
        <v>19</v>
      </c>
      <c r="C57" s="2">
        <v>8389.73</v>
      </c>
      <c r="D57" s="2">
        <v>9336.39</v>
      </c>
      <c r="E57" s="2">
        <v>6585.08</v>
      </c>
      <c r="F57" s="2">
        <v>5130.2</v>
      </c>
      <c r="H57" s="1" t="s">
        <v>19</v>
      </c>
      <c r="I57" s="2">
        <v>0.2</v>
      </c>
      <c r="J57" s="2">
        <v>0.26</v>
      </c>
      <c r="K57" s="2">
        <v>0.31</v>
      </c>
      <c r="L57" s="2">
        <v>0.33</v>
      </c>
      <c r="O57" s="1" t="s">
        <v>19</v>
      </c>
      <c r="P57" s="2">
        <v>0.8</v>
      </c>
      <c r="Q57" s="2">
        <v>0.78</v>
      </c>
      <c r="R57" s="2">
        <v>0.68</v>
      </c>
      <c r="S57" s="2">
        <v>0.62</v>
      </c>
      <c r="V57" s="1" t="s">
        <v>19</v>
      </c>
      <c r="W57" s="2">
        <v>0.95</v>
      </c>
      <c r="X57" s="2">
        <v>0.93</v>
      </c>
      <c r="Y57" s="2">
        <v>0.81</v>
      </c>
      <c r="Z57" s="2">
        <v>0.73</v>
      </c>
    </row>
    <row r="58" spans="2:26" x14ac:dyDescent="0.35">
      <c r="B58" s="1" t="s">
        <v>20</v>
      </c>
      <c r="C58" s="2">
        <v>1633.43</v>
      </c>
      <c r="D58" s="2">
        <v>1254.57</v>
      </c>
      <c r="E58" s="2">
        <v>655.81</v>
      </c>
      <c r="F58" s="2">
        <v>830.82</v>
      </c>
      <c r="H58" s="1" t="s">
        <v>20</v>
      </c>
      <c r="I58" s="2">
        <v>0.17</v>
      </c>
      <c r="J58" s="2">
        <v>0.2</v>
      </c>
      <c r="K58" s="2">
        <v>0.05</v>
      </c>
      <c r="L58" s="2">
        <v>0.05</v>
      </c>
      <c r="O58" s="1" t="s">
        <v>20</v>
      </c>
      <c r="P58" s="2">
        <v>0.45</v>
      </c>
      <c r="Q58" s="2">
        <v>0.38</v>
      </c>
      <c r="R58" s="2">
        <v>0.27</v>
      </c>
      <c r="S58" s="2">
        <v>0.28999999999999998</v>
      </c>
      <c r="V58" s="1" t="s">
        <v>20</v>
      </c>
      <c r="W58" s="2">
        <v>0.53</v>
      </c>
      <c r="X58" s="2">
        <v>0.45</v>
      </c>
      <c r="Y58" s="2">
        <v>0.28000000000000003</v>
      </c>
      <c r="Z58" s="2">
        <v>0.3</v>
      </c>
    </row>
    <row r="61" spans="2:26" x14ac:dyDescent="0.35">
      <c r="B61" t="s">
        <v>33</v>
      </c>
      <c r="H61" t="s">
        <v>34</v>
      </c>
      <c r="O61" t="s">
        <v>35</v>
      </c>
      <c r="V61" t="s">
        <v>36</v>
      </c>
    </row>
    <row r="62" spans="2:26" x14ac:dyDescent="0.35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5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5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5">
      <c r="B65" s="1" t="s">
        <v>13</v>
      </c>
      <c r="C65" s="2">
        <v>50.33</v>
      </c>
      <c r="D65" s="2">
        <v>61.72</v>
      </c>
      <c r="E65" s="2">
        <v>39</v>
      </c>
      <c r="F65" s="2">
        <v>46.41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59.97</v>
      </c>
      <c r="Q65" s="2">
        <v>59.99</v>
      </c>
      <c r="R65" s="2">
        <v>59.99</v>
      </c>
      <c r="S65" s="2">
        <v>59.99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5">
      <c r="B66" s="1" t="s">
        <v>14</v>
      </c>
      <c r="C66" s="2">
        <v>174.22</v>
      </c>
      <c r="D66" s="2">
        <v>156.62</v>
      </c>
      <c r="E66" s="2">
        <v>63.42</v>
      </c>
      <c r="F66" s="2">
        <v>229.38</v>
      </c>
      <c r="H66" s="1" t="s">
        <v>14</v>
      </c>
      <c r="I66" s="2">
        <v>59.9</v>
      </c>
      <c r="J66" s="2">
        <v>59.99</v>
      </c>
      <c r="K66" s="2">
        <v>59.95</v>
      </c>
      <c r="L66" s="2">
        <v>60</v>
      </c>
      <c r="O66" s="1" t="s">
        <v>14</v>
      </c>
      <c r="P66" s="2">
        <v>53.9</v>
      </c>
      <c r="Q66" s="2">
        <v>55.34</v>
      </c>
      <c r="R66" s="2">
        <v>59.04</v>
      </c>
      <c r="S66" s="2">
        <v>42.68</v>
      </c>
      <c r="V66" s="1" t="s">
        <v>14</v>
      </c>
      <c r="W66" s="2">
        <v>-0.31</v>
      </c>
      <c r="X66" s="2">
        <v>-0.24</v>
      </c>
      <c r="Y66" s="2">
        <v>-0.04</v>
      </c>
      <c r="Z66" s="2">
        <v>-1.01</v>
      </c>
    </row>
    <row r="67" spans="2:26" x14ac:dyDescent="0.35">
      <c r="B67" s="1" t="s">
        <v>15</v>
      </c>
      <c r="C67" s="2">
        <v>967.64</v>
      </c>
      <c r="D67" s="2">
        <v>1286.4000000000001</v>
      </c>
      <c r="E67" s="2">
        <v>516.95000000000005</v>
      </c>
      <c r="F67" s="2">
        <v>1530.93</v>
      </c>
      <c r="H67" s="1" t="s">
        <v>15</v>
      </c>
      <c r="I67" s="2">
        <v>59.99</v>
      </c>
      <c r="J67" s="2">
        <v>59.97</v>
      </c>
      <c r="K67" s="2">
        <v>59.9</v>
      </c>
      <c r="L67" s="2">
        <v>59.87</v>
      </c>
      <c r="O67" s="1" t="s">
        <v>15</v>
      </c>
      <c r="P67" s="2">
        <v>50.63</v>
      </c>
      <c r="Q67" s="2">
        <v>47.14</v>
      </c>
      <c r="R67" s="2">
        <v>57.71</v>
      </c>
      <c r="S67" s="2">
        <v>39.67</v>
      </c>
      <c r="V67" s="1" t="s">
        <v>15</v>
      </c>
      <c r="W67" s="2">
        <v>-0.52</v>
      </c>
      <c r="X67" s="2">
        <v>-0.76</v>
      </c>
      <c r="Y67" s="2">
        <v>-0.1</v>
      </c>
      <c r="Z67" s="2">
        <v>-1.28</v>
      </c>
    </row>
    <row r="68" spans="2:26" x14ac:dyDescent="0.35">
      <c r="B68" s="1" t="s">
        <v>16</v>
      </c>
      <c r="C68" s="2">
        <v>259.52</v>
      </c>
      <c r="D68" s="2">
        <v>235.62</v>
      </c>
      <c r="E68" s="2">
        <v>147.13</v>
      </c>
      <c r="F68" s="2">
        <v>457.29</v>
      </c>
      <c r="H68" s="1" t="s">
        <v>16</v>
      </c>
      <c r="I68" s="2">
        <v>59.99</v>
      </c>
      <c r="J68" s="2">
        <v>59.99</v>
      </c>
      <c r="K68" s="2">
        <v>59.96</v>
      </c>
      <c r="L68" s="2">
        <v>59.89</v>
      </c>
      <c r="O68" s="1" t="s">
        <v>16</v>
      </c>
      <c r="P68" s="2">
        <v>50.45</v>
      </c>
      <c r="Q68" s="2">
        <v>52.36</v>
      </c>
      <c r="R68" s="2">
        <v>57.39</v>
      </c>
      <c r="S68" s="2">
        <v>43.54</v>
      </c>
      <c r="V68" s="1" t="s">
        <v>16</v>
      </c>
      <c r="W68" s="2">
        <v>-0.53</v>
      </c>
      <c r="X68" s="2">
        <v>-0.41</v>
      </c>
      <c r="Y68" s="2">
        <v>-0.11</v>
      </c>
      <c r="Z68" s="2">
        <v>-0.94</v>
      </c>
    </row>
    <row r="69" spans="2:26" x14ac:dyDescent="0.35">
      <c r="B69" s="1" t="s">
        <v>17</v>
      </c>
      <c r="C69" s="2">
        <v>1782.24</v>
      </c>
      <c r="D69" s="2">
        <v>2249.2600000000002</v>
      </c>
      <c r="E69" s="2">
        <v>947.44</v>
      </c>
      <c r="F69" s="2">
        <v>1142.22</v>
      </c>
      <c r="H69" s="1" t="s">
        <v>17</v>
      </c>
      <c r="I69" s="2">
        <v>59.97</v>
      </c>
      <c r="J69" s="2">
        <v>59.96</v>
      </c>
      <c r="K69" s="2">
        <v>59.98</v>
      </c>
      <c r="L69" s="2">
        <v>59.98</v>
      </c>
      <c r="O69" s="1" t="s">
        <v>17</v>
      </c>
      <c r="P69" s="2">
        <v>45.95</v>
      </c>
      <c r="Q69" s="2">
        <v>41.22</v>
      </c>
      <c r="R69" s="2">
        <v>54.11</v>
      </c>
      <c r="S69" s="2">
        <v>51</v>
      </c>
      <c r="V69" s="1" t="s">
        <v>17</v>
      </c>
      <c r="W69" s="2">
        <v>-0.86</v>
      </c>
      <c r="X69" s="2">
        <v>-1.27</v>
      </c>
      <c r="Y69" s="2">
        <v>-0.27</v>
      </c>
      <c r="Z69" s="2">
        <v>-0.44</v>
      </c>
    </row>
    <row r="70" spans="2:26" x14ac:dyDescent="0.35">
      <c r="B70" s="1" t="s">
        <v>18</v>
      </c>
      <c r="C70" s="2">
        <v>367.78</v>
      </c>
      <c r="D70" s="2">
        <v>167.14</v>
      </c>
      <c r="E70" s="2">
        <v>145.66</v>
      </c>
      <c r="F70" s="2">
        <v>89.77</v>
      </c>
      <c r="H70" s="1" t="s">
        <v>18</v>
      </c>
      <c r="I70" s="2">
        <v>59.85</v>
      </c>
      <c r="J70" s="2">
        <v>59.99</v>
      </c>
      <c r="K70" s="2">
        <v>59.85</v>
      </c>
      <c r="L70" s="2">
        <v>59.66</v>
      </c>
      <c r="O70" s="1" t="s">
        <v>18</v>
      </c>
      <c r="P70" s="2">
        <v>40.25</v>
      </c>
      <c r="Q70" s="2">
        <v>42.13</v>
      </c>
      <c r="R70" s="2">
        <v>53.58</v>
      </c>
      <c r="S70" s="2">
        <v>54.33</v>
      </c>
      <c r="V70" s="1" t="s">
        <v>18</v>
      </c>
      <c r="W70" s="2">
        <v>-1.37</v>
      </c>
      <c r="X70" s="2">
        <v>-1.19</v>
      </c>
      <c r="Y70" s="2">
        <v>-0.28999999999999998</v>
      </c>
      <c r="Z70" s="2">
        <v>-0.25</v>
      </c>
    </row>
    <row r="71" spans="2:26" x14ac:dyDescent="0.35">
      <c r="B71" s="1" t="s">
        <v>19</v>
      </c>
      <c r="C71" s="2">
        <v>622.38</v>
      </c>
      <c r="D71" s="2">
        <v>559.61</v>
      </c>
      <c r="E71" s="2">
        <v>472.9</v>
      </c>
      <c r="F71" s="2">
        <v>307.83</v>
      </c>
      <c r="H71" s="1" t="s">
        <v>19</v>
      </c>
      <c r="I71" s="2">
        <v>60</v>
      </c>
      <c r="J71" s="2">
        <v>59.98</v>
      </c>
      <c r="K71" s="2">
        <v>59.94</v>
      </c>
      <c r="L71" s="2">
        <v>59.9</v>
      </c>
      <c r="O71" s="1" t="s">
        <v>19</v>
      </c>
      <c r="P71" s="2">
        <v>47.55</v>
      </c>
      <c r="Q71" s="2">
        <v>49.01</v>
      </c>
      <c r="R71" s="2">
        <v>54.44</v>
      </c>
      <c r="S71" s="2">
        <v>56.91</v>
      </c>
      <c r="V71" s="1" t="s">
        <v>19</v>
      </c>
      <c r="W71" s="2">
        <v>-0.73</v>
      </c>
      <c r="X71" s="2">
        <v>-0.63</v>
      </c>
      <c r="Y71" s="2">
        <v>-0.25</v>
      </c>
      <c r="Z71" s="2">
        <v>-0.13</v>
      </c>
    </row>
    <row r="72" spans="2:26" x14ac:dyDescent="0.35">
      <c r="B72" s="1" t="s">
        <v>20</v>
      </c>
      <c r="C72" s="2">
        <v>107.57</v>
      </c>
      <c r="D72" s="2">
        <v>46.44</v>
      </c>
      <c r="E72" s="2">
        <v>42.98</v>
      </c>
      <c r="F72" s="2">
        <v>30.6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59.48</v>
      </c>
      <c r="Q72" s="2">
        <v>59.82</v>
      </c>
      <c r="R72" s="2">
        <v>59.98</v>
      </c>
      <c r="S72" s="2">
        <v>59.96</v>
      </c>
      <c r="V72" s="1" t="s">
        <v>20</v>
      </c>
      <c r="W72" s="2">
        <v>-0.02</v>
      </c>
      <c r="X72" s="2">
        <v>-0.01</v>
      </c>
      <c r="Y72" s="2">
        <v>0</v>
      </c>
      <c r="Z72" s="2">
        <v>0</v>
      </c>
    </row>
    <row r="75" spans="2:26" x14ac:dyDescent="0.35">
      <c r="B75" t="s">
        <v>37</v>
      </c>
      <c r="H75" t="s">
        <v>38</v>
      </c>
      <c r="O75" t="s">
        <v>39</v>
      </c>
      <c r="V75" t="s">
        <v>40</v>
      </c>
    </row>
    <row r="76" spans="2:26" x14ac:dyDescent="0.35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5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5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5">
      <c r="B79" s="1" t="s">
        <v>13</v>
      </c>
      <c r="C79" s="2">
        <v>4.75</v>
      </c>
      <c r="D79" s="2">
        <v>9.5</v>
      </c>
      <c r="E79" s="2">
        <v>3.39</v>
      </c>
      <c r="F79" s="2">
        <v>7.14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5">
      <c r="B80" s="1" t="s">
        <v>14</v>
      </c>
      <c r="C80" s="2">
        <v>71.44</v>
      </c>
      <c r="D80" s="2">
        <v>148.93</v>
      </c>
      <c r="E80" s="2">
        <v>25.93</v>
      </c>
      <c r="F80" s="2">
        <v>216</v>
      </c>
      <c r="H80" s="1" t="s">
        <v>14</v>
      </c>
      <c r="I80" s="2">
        <v>2.8</v>
      </c>
      <c r="J80" s="2">
        <v>2.8</v>
      </c>
      <c r="K80" s="2">
        <v>2.5</v>
      </c>
      <c r="L80" s="2">
        <v>2.5</v>
      </c>
      <c r="O80" s="1" t="s">
        <v>14</v>
      </c>
      <c r="P80" s="2">
        <v>3.12</v>
      </c>
      <c r="Q80" s="2">
        <v>3.04</v>
      </c>
      <c r="R80" s="2">
        <v>2.54</v>
      </c>
      <c r="S80" s="2">
        <v>3.51</v>
      </c>
      <c r="V80" s="1" t="s">
        <v>14</v>
      </c>
      <c r="W80" s="2">
        <v>-0.1</v>
      </c>
      <c r="X80" s="2">
        <v>-0.08</v>
      </c>
      <c r="Y80" s="2">
        <v>-0.02</v>
      </c>
      <c r="Z80" s="2">
        <v>-0.28999999999999998</v>
      </c>
    </row>
    <row r="81" spans="2:26" x14ac:dyDescent="0.35">
      <c r="B81" s="1" t="s">
        <v>15</v>
      </c>
      <c r="C81" s="2">
        <v>296.3</v>
      </c>
      <c r="D81" s="2">
        <v>756.9</v>
      </c>
      <c r="E81" s="2">
        <v>158.69</v>
      </c>
      <c r="F81" s="2">
        <v>918.67</v>
      </c>
      <c r="H81" s="1" t="s">
        <v>15</v>
      </c>
      <c r="I81" s="2">
        <v>2.8</v>
      </c>
      <c r="J81" s="2">
        <v>2.8</v>
      </c>
      <c r="K81" s="2">
        <v>2.5</v>
      </c>
      <c r="L81" s="2">
        <v>2.5099999999999998</v>
      </c>
      <c r="O81" s="1" t="s">
        <v>15</v>
      </c>
      <c r="P81" s="2">
        <v>3.32</v>
      </c>
      <c r="Q81" s="2">
        <v>3.56</v>
      </c>
      <c r="R81" s="2">
        <v>2.6</v>
      </c>
      <c r="S81" s="2">
        <v>3.78</v>
      </c>
      <c r="V81" s="1" t="s">
        <v>15</v>
      </c>
      <c r="W81" s="2">
        <v>-0.16</v>
      </c>
      <c r="X81" s="2">
        <v>-0.21</v>
      </c>
      <c r="Y81" s="2">
        <v>-0.04</v>
      </c>
      <c r="Z81" s="2">
        <v>-0.34</v>
      </c>
    </row>
    <row r="82" spans="2:26" x14ac:dyDescent="0.35">
      <c r="B82" s="1" t="s">
        <v>16</v>
      </c>
      <c r="C82" s="2">
        <v>84.89</v>
      </c>
      <c r="D82" s="2">
        <v>123.15</v>
      </c>
      <c r="E82" s="2">
        <v>48.53</v>
      </c>
      <c r="F82" s="2">
        <v>239.79</v>
      </c>
      <c r="H82" s="1" t="s">
        <v>16</v>
      </c>
      <c r="I82" s="2">
        <v>2.8</v>
      </c>
      <c r="J82" s="2">
        <v>2.8</v>
      </c>
      <c r="K82" s="2">
        <v>2.5</v>
      </c>
      <c r="L82" s="2">
        <v>2.5</v>
      </c>
      <c r="O82" s="1" t="s">
        <v>16</v>
      </c>
      <c r="P82" s="2">
        <v>3.33</v>
      </c>
      <c r="Q82" s="2">
        <v>3.21</v>
      </c>
      <c r="R82" s="2">
        <v>2.61</v>
      </c>
      <c r="S82" s="2">
        <v>3.45</v>
      </c>
      <c r="V82" s="1" t="s">
        <v>16</v>
      </c>
      <c r="W82" s="2">
        <v>-0.16</v>
      </c>
      <c r="X82" s="2">
        <v>-0.13</v>
      </c>
      <c r="Y82" s="2">
        <v>-0.04</v>
      </c>
      <c r="Z82" s="2">
        <v>-0.27</v>
      </c>
    </row>
    <row r="83" spans="2:26" x14ac:dyDescent="0.35">
      <c r="B83" s="1" t="s">
        <v>17</v>
      </c>
      <c r="C83" s="2">
        <v>578.21</v>
      </c>
      <c r="D83" s="2">
        <v>792.33</v>
      </c>
      <c r="E83" s="2">
        <v>307.97000000000003</v>
      </c>
      <c r="F83" s="2">
        <v>402.53</v>
      </c>
      <c r="H83" s="1" t="s">
        <v>17</v>
      </c>
      <c r="I83" s="2">
        <v>2.8</v>
      </c>
      <c r="J83" s="2">
        <v>2.8</v>
      </c>
      <c r="K83" s="2">
        <v>2.5</v>
      </c>
      <c r="L83" s="2">
        <v>2.5</v>
      </c>
      <c r="O83" s="1" t="s">
        <v>17</v>
      </c>
      <c r="P83" s="2">
        <v>3.66</v>
      </c>
      <c r="Q83" s="2">
        <v>4.08</v>
      </c>
      <c r="R83" s="2">
        <v>2.77</v>
      </c>
      <c r="S83" s="2">
        <v>2.94</v>
      </c>
      <c r="V83" s="1" t="s">
        <v>17</v>
      </c>
      <c r="W83" s="2">
        <v>-0.23</v>
      </c>
      <c r="X83" s="2">
        <v>-0.31</v>
      </c>
      <c r="Y83" s="2">
        <v>-0.1</v>
      </c>
      <c r="Z83" s="2">
        <v>-0.15</v>
      </c>
    </row>
    <row r="84" spans="2:26" x14ac:dyDescent="0.35">
      <c r="B84" s="1" t="s">
        <v>18</v>
      </c>
      <c r="C84" s="2">
        <v>126.61</v>
      </c>
      <c r="D84" s="2">
        <v>93.13</v>
      </c>
      <c r="E84" s="2">
        <v>51.04</v>
      </c>
      <c r="F84" s="2">
        <v>49.95</v>
      </c>
      <c r="H84" s="1" t="s">
        <v>18</v>
      </c>
      <c r="I84" s="2">
        <v>2.81</v>
      </c>
      <c r="J84" s="2">
        <v>2.8</v>
      </c>
      <c r="K84" s="2">
        <v>2.5099999999999998</v>
      </c>
      <c r="L84" s="2">
        <v>2.5099999999999998</v>
      </c>
      <c r="O84" s="1" t="s">
        <v>18</v>
      </c>
      <c r="P84" s="2">
        <v>4.17</v>
      </c>
      <c r="Q84" s="2">
        <v>3.99</v>
      </c>
      <c r="R84" s="2">
        <v>2.8</v>
      </c>
      <c r="S84" s="2">
        <v>2.76</v>
      </c>
      <c r="V84" s="1" t="s">
        <v>18</v>
      </c>
      <c r="W84" s="2">
        <v>-0.33</v>
      </c>
      <c r="X84" s="2">
        <v>-0.3</v>
      </c>
      <c r="Y84" s="2">
        <v>-0.1</v>
      </c>
      <c r="Z84" s="2">
        <v>-0.09</v>
      </c>
    </row>
    <row r="85" spans="2:26" x14ac:dyDescent="0.35">
      <c r="B85" s="1" t="s">
        <v>19</v>
      </c>
      <c r="C85" s="2">
        <v>84.88</v>
      </c>
      <c r="D85" s="2">
        <v>135.68</v>
      </c>
      <c r="E85" s="2">
        <v>71.66</v>
      </c>
      <c r="F85" s="2">
        <v>73.06</v>
      </c>
      <c r="H85" s="1" t="s">
        <v>19</v>
      </c>
      <c r="I85" s="2">
        <v>2.8</v>
      </c>
      <c r="J85" s="2">
        <v>2.8</v>
      </c>
      <c r="K85" s="2">
        <v>2.5</v>
      </c>
      <c r="L85" s="2">
        <v>2.5</v>
      </c>
      <c r="O85" s="1" t="s">
        <v>19</v>
      </c>
      <c r="P85" s="2">
        <v>3.53</v>
      </c>
      <c r="Q85" s="2">
        <v>3.43</v>
      </c>
      <c r="R85" s="2">
        <v>2.76</v>
      </c>
      <c r="S85" s="2">
        <v>2.64</v>
      </c>
      <c r="V85" s="1" t="s">
        <v>19</v>
      </c>
      <c r="W85" s="2">
        <v>-0.21</v>
      </c>
      <c r="X85" s="2">
        <v>-0.18</v>
      </c>
      <c r="Y85" s="2">
        <v>-0.09</v>
      </c>
      <c r="Z85" s="2">
        <v>-0.05</v>
      </c>
    </row>
    <row r="86" spans="2:26" x14ac:dyDescent="0.35">
      <c r="B86" s="1" t="s">
        <v>20</v>
      </c>
      <c r="C86" s="2">
        <v>11.32</v>
      </c>
      <c r="D86" s="2">
        <v>11.91</v>
      </c>
      <c r="E86" s="2">
        <v>4.4800000000000004</v>
      </c>
      <c r="F86" s="2">
        <v>8.35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2.82</v>
      </c>
      <c r="Q86" s="2">
        <v>2.81</v>
      </c>
      <c r="R86" s="2">
        <v>2.5</v>
      </c>
      <c r="S86" s="2">
        <v>2.5</v>
      </c>
      <c r="V86" s="1" t="s">
        <v>20</v>
      </c>
      <c r="W86" s="2">
        <v>-0.01</v>
      </c>
      <c r="X86" s="2">
        <v>0</v>
      </c>
      <c r="Y86" s="2">
        <v>0</v>
      </c>
      <c r="Z86" s="2">
        <v>0</v>
      </c>
    </row>
    <row r="89" spans="2:26" x14ac:dyDescent="0.35">
      <c r="B89" t="s">
        <v>41</v>
      </c>
      <c r="H89" t="s">
        <v>42</v>
      </c>
      <c r="O89" t="s">
        <v>43</v>
      </c>
      <c r="V89" t="s">
        <v>44</v>
      </c>
    </row>
    <row r="90" spans="2:26" x14ac:dyDescent="0.35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5" t="s">
        <v>9</v>
      </c>
      <c r="J90" s="5"/>
      <c r="K90" s="5" t="s">
        <v>10</v>
      </c>
      <c r="L90" s="5"/>
      <c r="O90" s="1" t="s">
        <v>8</v>
      </c>
      <c r="P90" s="5" t="s">
        <v>9</v>
      </c>
      <c r="Q90" s="5"/>
      <c r="R90" s="5" t="s">
        <v>10</v>
      </c>
      <c r="S90" s="5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5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5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5">
      <c r="B93" s="1" t="s">
        <v>13</v>
      </c>
      <c r="C93" s="2">
        <v>422.57</v>
      </c>
      <c r="D93" s="2">
        <v>399.78</v>
      </c>
      <c r="E93" s="2">
        <v>317.94</v>
      </c>
      <c r="F93" s="2">
        <v>307.02</v>
      </c>
      <c r="H93" s="1" t="s">
        <v>13</v>
      </c>
      <c r="I93" s="2">
        <v>1605.04</v>
      </c>
      <c r="J93" s="2">
        <v>1249.3699999999999</v>
      </c>
      <c r="K93" s="2">
        <v>1043.6500000000001</v>
      </c>
      <c r="L93" s="2">
        <v>791</v>
      </c>
      <c r="O93" s="1" t="s">
        <v>13</v>
      </c>
      <c r="P93" s="2">
        <v>1605.04</v>
      </c>
      <c r="Q93" s="2">
        <v>1249.3699999999999</v>
      </c>
      <c r="R93" s="2">
        <v>1043.6500000000001</v>
      </c>
      <c r="S93" s="2">
        <v>791</v>
      </c>
      <c r="V93" s="1" t="s">
        <v>13</v>
      </c>
      <c r="W93" s="2">
        <v>0.95</v>
      </c>
      <c r="X93" s="2">
        <v>0.95</v>
      </c>
      <c r="Y93" s="2">
        <v>0.85</v>
      </c>
      <c r="Z93" s="2">
        <v>0.85</v>
      </c>
    </row>
    <row r="94" spans="2:26" x14ac:dyDescent="0.35">
      <c r="B94" s="1" t="s">
        <v>14</v>
      </c>
      <c r="C94" s="2">
        <v>113.5</v>
      </c>
      <c r="D94" s="2">
        <v>142.22999999999999</v>
      </c>
      <c r="E94" s="2">
        <v>41.16</v>
      </c>
      <c r="F94" s="2">
        <v>207.13</v>
      </c>
      <c r="H94" s="1" t="s">
        <v>14</v>
      </c>
      <c r="I94" s="2">
        <v>2833.01</v>
      </c>
      <c r="J94" s="2">
        <v>2301.4</v>
      </c>
      <c r="K94" s="2">
        <v>1810.79</v>
      </c>
      <c r="L94" s="2">
        <v>1213.29</v>
      </c>
      <c r="O94" s="1" t="s">
        <v>14</v>
      </c>
      <c r="P94" s="2">
        <v>2833.01</v>
      </c>
      <c r="Q94" s="2">
        <v>2301.4</v>
      </c>
      <c r="R94" s="2">
        <v>1810.79</v>
      </c>
      <c r="S94" s="2">
        <v>1213.29</v>
      </c>
      <c r="V94" s="1" t="s">
        <v>14</v>
      </c>
      <c r="W94" s="2">
        <v>1.89</v>
      </c>
      <c r="X94" s="2">
        <v>1.99</v>
      </c>
      <c r="Y94" s="2">
        <v>0.76</v>
      </c>
      <c r="Z94" s="2">
        <v>3.88</v>
      </c>
    </row>
    <row r="95" spans="2:26" x14ac:dyDescent="0.35">
      <c r="B95" s="1" t="s">
        <v>15</v>
      </c>
      <c r="C95" s="2">
        <v>684.64</v>
      </c>
      <c r="D95" s="2">
        <v>1193.03</v>
      </c>
      <c r="E95" s="2">
        <v>370.57</v>
      </c>
      <c r="F95" s="2">
        <v>1746.26</v>
      </c>
      <c r="H95" s="1" t="s">
        <v>15</v>
      </c>
      <c r="I95" s="2">
        <v>5953.21</v>
      </c>
      <c r="J95" s="2">
        <v>7307.01</v>
      </c>
      <c r="K95" s="2">
        <v>6430.79</v>
      </c>
      <c r="L95" s="2">
        <v>6823.45</v>
      </c>
      <c r="O95" s="1" t="s">
        <v>15</v>
      </c>
      <c r="P95" s="2">
        <v>5953.21</v>
      </c>
      <c r="Q95" s="2">
        <v>7307.01</v>
      </c>
      <c r="R95" s="2">
        <v>6430.79</v>
      </c>
      <c r="S95" s="2">
        <v>6823.45</v>
      </c>
      <c r="V95" s="1" t="s">
        <v>15</v>
      </c>
      <c r="W95" s="2">
        <v>3.9</v>
      </c>
      <c r="X95" s="2">
        <v>4.3499999999999996</v>
      </c>
      <c r="Y95" s="2">
        <v>1.52</v>
      </c>
      <c r="Z95" s="2">
        <v>4</v>
      </c>
    </row>
    <row r="96" spans="2:26" x14ac:dyDescent="0.35">
      <c r="B96" s="1" t="s">
        <v>16</v>
      </c>
      <c r="C96" s="2">
        <v>261.62</v>
      </c>
      <c r="D96" s="2">
        <v>209.68</v>
      </c>
      <c r="E96" s="2">
        <v>149.15</v>
      </c>
      <c r="F96" s="2">
        <v>412.81</v>
      </c>
      <c r="H96" s="1" t="s">
        <v>16</v>
      </c>
      <c r="I96" s="2">
        <v>1628.02</v>
      </c>
      <c r="J96" s="2">
        <v>1893.49</v>
      </c>
      <c r="K96" s="2">
        <v>1562.21</v>
      </c>
      <c r="L96" s="2">
        <v>2211.7399999999998</v>
      </c>
      <c r="O96" s="1" t="s">
        <v>16</v>
      </c>
      <c r="P96" s="2">
        <v>1628.02</v>
      </c>
      <c r="Q96" s="2">
        <v>1893.49</v>
      </c>
      <c r="R96" s="2">
        <v>1562.21</v>
      </c>
      <c r="S96" s="2">
        <v>2211.7399999999998</v>
      </c>
      <c r="V96" s="1" t="s">
        <v>16</v>
      </c>
      <c r="W96" s="2">
        <v>2.89</v>
      </c>
      <c r="X96" s="2">
        <v>2.6</v>
      </c>
      <c r="Y96" s="2">
        <v>1.26</v>
      </c>
      <c r="Z96" s="2">
        <v>3.19</v>
      </c>
    </row>
    <row r="97" spans="2:26" x14ac:dyDescent="0.35">
      <c r="B97" s="1" t="s">
        <v>17</v>
      </c>
      <c r="C97" s="2">
        <v>1720.73</v>
      </c>
      <c r="D97" s="2">
        <v>2144.8200000000002</v>
      </c>
      <c r="E97" s="2">
        <v>908.44</v>
      </c>
      <c r="F97" s="2">
        <v>1083.1500000000001</v>
      </c>
      <c r="H97" s="1" t="s">
        <v>17</v>
      </c>
      <c r="I97" s="2">
        <v>10292.68</v>
      </c>
      <c r="J97" s="2">
        <v>8616.8700000000008</v>
      </c>
      <c r="K97" s="2">
        <v>11422.05</v>
      </c>
      <c r="L97" s="2">
        <v>9289.35</v>
      </c>
      <c r="O97" s="1" t="s">
        <v>17</v>
      </c>
      <c r="P97" s="2">
        <v>10292.68</v>
      </c>
      <c r="Q97" s="2">
        <v>8616.8700000000008</v>
      </c>
      <c r="R97" s="2">
        <v>11422.05</v>
      </c>
      <c r="S97" s="2">
        <v>9289.35</v>
      </c>
      <c r="V97" s="1" t="s">
        <v>17</v>
      </c>
      <c r="W97" s="2">
        <v>3.4</v>
      </c>
      <c r="X97" s="2">
        <v>4.1399999999999997</v>
      </c>
      <c r="Y97" s="2">
        <v>1.91</v>
      </c>
      <c r="Z97" s="2">
        <v>2.31</v>
      </c>
    </row>
    <row r="98" spans="2:26" x14ac:dyDescent="0.35">
      <c r="B98" s="1" t="s">
        <v>18</v>
      </c>
      <c r="C98" s="2">
        <v>439.96</v>
      </c>
      <c r="D98" s="2">
        <v>196.41</v>
      </c>
      <c r="E98" s="2">
        <v>173.81</v>
      </c>
      <c r="F98" s="2">
        <v>106.61</v>
      </c>
      <c r="H98" s="1" t="s">
        <v>18</v>
      </c>
      <c r="I98" s="2">
        <v>2959.08</v>
      </c>
      <c r="J98" s="2">
        <v>2630.55</v>
      </c>
      <c r="K98" s="2">
        <v>2147.25</v>
      </c>
      <c r="L98" s="2">
        <v>3196.42</v>
      </c>
      <c r="O98" s="1" t="s">
        <v>18</v>
      </c>
      <c r="P98" s="2">
        <v>2959.08</v>
      </c>
      <c r="Q98" s="2">
        <v>2630.55</v>
      </c>
      <c r="R98" s="2">
        <v>2147.25</v>
      </c>
      <c r="S98" s="2">
        <v>3196.42</v>
      </c>
      <c r="V98" s="1" t="s">
        <v>18</v>
      </c>
      <c r="W98" s="2">
        <v>3.93</v>
      </c>
      <c r="X98" s="2">
        <v>4.01</v>
      </c>
      <c r="Y98" s="2">
        <v>1.57</v>
      </c>
      <c r="Z98" s="2">
        <v>1.29</v>
      </c>
    </row>
    <row r="99" spans="2:26" x14ac:dyDescent="0.35">
      <c r="B99" s="1" t="s">
        <v>19</v>
      </c>
      <c r="C99" s="2">
        <v>814.2</v>
      </c>
      <c r="D99" s="2">
        <v>856.56</v>
      </c>
      <c r="E99" s="2">
        <v>598.48</v>
      </c>
      <c r="F99" s="2">
        <v>473.03</v>
      </c>
      <c r="H99" s="1" t="s">
        <v>19</v>
      </c>
      <c r="I99" s="2">
        <v>5243.59</v>
      </c>
      <c r="J99" s="2">
        <v>7130.08</v>
      </c>
      <c r="K99" s="2">
        <v>6638.28</v>
      </c>
      <c r="L99" s="2">
        <v>7748.12</v>
      </c>
      <c r="O99" s="1" t="s">
        <v>19</v>
      </c>
      <c r="P99" s="2">
        <v>5243.59</v>
      </c>
      <c r="Q99" s="2">
        <v>7130.08</v>
      </c>
      <c r="R99" s="2">
        <v>6638.28</v>
      </c>
      <c r="S99" s="2">
        <v>7748.12</v>
      </c>
      <c r="V99" s="1" t="s">
        <v>19</v>
      </c>
      <c r="W99" s="2">
        <v>4.4800000000000004</v>
      </c>
      <c r="X99" s="2">
        <v>3.94</v>
      </c>
      <c r="Y99" s="2">
        <v>2.31</v>
      </c>
      <c r="Z99" s="2">
        <v>1.66</v>
      </c>
    </row>
    <row r="100" spans="2:26" x14ac:dyDescent="0.35">
      <c r="B100" s="1" t="s">
        <v>20</v>
      </c>
      <c r="C100" s="2">
        <v>244.4</v>
      </c>
      <c r="D100" s="2">
        <v>145.55000000000001</v>
      </c>
      <c r="E100" s="2">
        <v>425.37</v>
      </c>
      <c r="F100" s="2">
        <v>413.55</v>
      </c>
      <c r="H100" s="1" t="s">
        <v>20</v>
      </c>
      <c r="I100" s="2">
        <v>4185.8900000000003</v>
      </c>
      <c r="J100" s="2">
        <v>728.68</v>
      </c>
      <c r="K100" s="2">
        <v>5261.36</v>
      </c>
      <c r="L100" s="2">
        <v>923.13</v>
      </c>
      <c r="O100" s="1" t="s">
        <v>20</v>
      </c>
      <c r="P100" s="2">
        <v>4185.8900000000003</v>
      </c>
      <c r="Q100" s="2">
        <v>728.68</v>
      </c>
      <c r="R100" s="2">
        <v>5261.36</v>
      </c>
      <c r="S100" s="2">
        <v>923.13</v>
      </c>
      <c r="V100" s="1" t="s">
        <v>20</v>
      </c>
      <c r="W100" s="2">
        <v>1.0900000000000001</v>
      </c>
      <c r="X100" s="2">
        <v>0.67</v>
      </c>
      <c r="Y100" s="2">
        <v>2.25</v>
      </c>
      <c r="Z100" s="2">
        <v>2.25</v>
      </c>
    </row>
    <row r="103" spans="2:26" x14ac:dyDescent="0.35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5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5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5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5">
      <c r="B107" s="1" t="s">
        <v>13</v>
      </c>
      <c r="C107" s="2">
        <v>2.0720300443749E-2</v>
      </c>
      <c r="D107" s="2">
        <v>1.480807544329282E-2</v>
      </c>
      <c r="E107" s="2">
        <v>2.8007074630358411E-2</v>
      </c>
      <c r="F107" s="2">
        <v>1.478104100793786E-2</v>
      </c>
      <c r="H107" s="1" t="s">
        <v>13</v>
      </c>
      <c r="I107" s="2">
        <v>573.23</v>
      </c>
      <c r="J107" s="2">
        <v>372.73</v>
      </c>
      <c r="K107" s="2">
        <v>499.75</v>
      </c>
      <c r="L107" s="2">
        <v>316.39999999999998</v>
      </c>
      <c r="O107" s="1" t="s">
        <v>13</v>
      </c>
      <c r="P107" s="2">
        <v>10891.37</v>
      </c>
      <c r="Q107" s="2">
        <v>7081.92</v>
      </c>
      <c r="R107" s="2">
        <v>9495.2000000000007</v>
      </c>
      <c r="S107" s="2">
        <v>6011.6</v>
      </c>
      <c r="V107" s="1" t="s">
        <v>13</v>
      </c>
      <c r="W107" s="2">
        <v>2.86</v>
      </c>
      <c r="X107" s="2">
        <v>2.86</v>
      </c>
      <c r="Y107" s="2">
        <v>2.5499999999999998</v>
      </c>
      <c r="Z107" s="2">
        <v>2.5499999999999998</v>
      </c>
    </row>
    <row r="108" spans="2:26" x14ac:dyDescent="0.35">
      <c r="B108" s="1" t="s">
        <v>14</v>
      </c>
      <c r="C108" s="2">
        <v>4.6046349457806578E-2</v>
      </c>
      <c r="D108" s="2">
        <v>3.1162872512734099E-2</v>
      </c>
      <c r="E108" s="2">
        <v>2.956633286435488E-2</v>
      </c>
      <c r="F108" s="2">
        <v>5.9492809534252802E-2</v>
      </c>
      <c r="H108" s="1" t="s">
        <v>14</v>
      </c>
      <c r="I108" s="2">
        <v>1011.79</v>
      </c>
      <c r="J108" s="2">
        <v>646.71</v>
      </c>
      <c r="K108" s="2">
        <v>920.56</v>
      </c>
      <c r="L108" s="2">
        <v>485.32</v>
      </c>
      <c r="O108" s="1" t="s">
        <v>14</v>
      </c>
      <c r="P108" s="2">
        <v>5276.26</v>
      </c>
      <c r="Q108" s="2">
        <v>3186.54</v>
      </c>
      <c r="R108" s="2">
        <v>4770.8900000000003</v>
      </c>
      <c r="S108" s="2">
        <v>2383.7800000000002</v>
      </c>
      <c r="V108" s="1" t="s">
        <v>14</v>
      </c>
      <c r="W108" s="2">
        <v>5.68</v>
      </c>
      <c r="X108" s="2">
        <v>5.98</v>
      </c>
      <c r="Y108" s="2">
        <v>2.2799999999999998</v>
      </c>
      <c r="Z108" s="2">
        <v>11.63</v>
      </c>
    </row>
    <row r="109" spans="2:26" x14ac:dyDescent="0.35">
      <c r="B109" s="1" t="s">
        <v>15</v>
      </c>
      <c r="C109" s="2">
        <v>0.2075160341684302</v>
      </c>
      <c r="D109" s="2">
        <v>0.23710259914143139</v>
      </c>
      <c r="E109" s="2">
        <v>0.19571455478914521</v>
      </c>
      <c r="F109" s="2">
        <v>0.35487154465283222</v>
      </c>
      <c r="H109" s="1" t="s">
        <v>15</v>
      </c>
      <c r="I109" s="2">
        <v>2126.15</v>
      </c>
      <c r="J109" s="2">
        <v>2296.71</v>
      </c>
      <c r="K109" s="2">
        <v>2922.81</v>
      </c>
      <c r="L109" s="2">
        <v>2729.38</v>
      </c>
      <c r="O109" s="1" t="s">
        <v>15</v>
      </c>
      <c r="P109" s="2">
        <v>10966.6</v>
      </c>
      <c r="Q109" s="2">
        <v>11419.97</v>
      </c>
      <c r="R109" s="2">
        <v>15347.94</v>
      </c>
      <c r="S109" s="2">
        <v>8362.3700000000008</v>
      </c>
      <c r="V109" s="1" t="s">
        <v>15</v>
      </c>
      <c r="W109" s="2">
        <v>11.71</v>
      </c>
      <c r="X109" s="2">
        <v>13.04</v>
      </c>
      <c r="Y109" s="2">
        <v>4.5599999999999996</v>
      </c>
      <c r="Z109" s="2">
        <v>12</v>
      </c>
    </row>
    <row r="110" spans="2:26" x14ac:dyDescent="0.35">
      <c r="B110" s="1" t="s">
        <v>16</v>
      </c>
      <c r="C110" s="2">
        <v>4.6275351156185231E-2</v>
      </c>
      <c r="D110" s="2">
        <v>3.6202717718641191E-2</v>
      </c>
      <c r="E110" s="2">
        <v>4.624836261832669E-2</v>
      </c>
      <c r="F110" s="2">
        <v>9.2260463779522753E-2</v>
      </c>
      <c r="H110" s="1" t="s">
        <v>16</v>
      </c>
      <c r="I110" s="2">
        <v>581.44000000000005</v>
      </c>
      <c r="J110" s="2">
        <v>557.92999999999995</v>
      </c>
      <c r="K110" s="2">
        <v>757.39</v>
      </c>
      <c r="L110" s="2">
        <v>884.7</v>
      </c>
      <c r="O110" s="1" t="s">
        <v>16</v>
      </c>
      <c r="P110" s="2">
        <v>2974.36</v>
      </c>
      <c r="Q110" s="2">
        <v>2739.12</v>
      </c>
      <c r="R110" s="2">
        <v>3901.46</v>
      </c>
      <c r="S110" s="2">
        <v>4411.05</v>
      </c>
      <c r="V110" s="1" t="s">
        <v>16</v>
      </c>
      <c r="W110" s="2">
        <v>8.67</v>
      </c>
      <c r="X110" s="2">
        <v>7.8</v>
      </c>
      <c r="Y110" s="2">
        <v>3.77</v>
      </c>
      <c r="Z110" s="2">
        <v>9.56</v>
      </c>
    </row>
    <row r="111" spans="2:26" x14ac:dyDescent="0.35">
      <c r="B111" s="1" t="s">
        <v>17</v>
      </c>
      <c r="C111" s="2">
        <v>0.33537896035253711</v>
      </c>
      <c r="D111" s="2">
        <v>0.39605720467272743</v>
      </c>
      <c r="E111" s="2">
        <v>0.31243846441423828</v>
      </c>
      <c r="F111" s="2">
        <v>0.26341458718513089</v>
      </c>
      <c r="H111" s="1" t="s">
        <v>17</v>
      </c>
      <c r="I111" s="2">
        <v>3675.96</v>
      </c>
      <c r="J111" s="2">
        <v>4079.3</v>
      </c>
      <c r="K111" s="2">
        <v>3446.75</v>
      </c>
      <c r="L111" s="2">
        <v>3715.74</v>
      </c>
      <c r="O111" s="1" t="s">
        <v>17</v>
      </c>
      <c r="P111" s="2">
        <v>18688.330000000002</v>
      </c>
      <c r="Q111" s="2">
        <v>20030.7</v>
      </c>
      <c r="R111" s="2">
        <v>17468.25</v>
      </c>
      <c r="S111" s="2">
        <v>18104.259999999998</v>
      </c>
      <c r="V111" s="1" t="s">
        <v>17</v>
      </c>
      <c r="W111" s="2">
        <v>10.19</v>
      </c>
      <c r="X111" s="2">
        <v>12.43</v>
      </c>
      <c r="Y111" s="2">
        <v>5.74</v>
      </c>
      <c r="Z111" s="2">
        <v>6.94</v>
      </c>
    </row>
    <row r="112" spans="2:26" x14ac:dyDescent="0.35">
      <c r="B112" s="1" t="s">
        <v>18</v>
      </c>
      <c r="C112" s="2">
        <v>0.102955195038175</v>
      </c>
      <c r="D112" s="2">
        <v>6.327859440192922E-2</v>
      </c>
      <c r="E112" s="2">
        <v>7.2079396244938018E-2</v>
      </c>
      <c r="F112" s="2">
        <v>4.4535898792956011E-2</v>
      </c>
      <c r="H112" s="1" t="s">
        <v>18</v>
      </c>
      <c r="I112" s="2">
        <v>1056.82</v>
      </c>
      <c r="J112" s="2">
        <v>766.87</v>
      </c>
      <c r="K112" s="2">
        <v>1052.22</v>
      </c>
      <c r="L112" s="2">
        <v>1278.57</v>
      </c>
      <c r="O112" s="1" t="s">
        <v>18</v>
      </c>
      <c r="P112" s="2">
        <v>4282.25</v>
      </c>
      <c r="Q112" s="2">
        <v>2941.41</v>
      </c>
      <c r="R112" s="2">
        <v>4227.0600000000004</v>
      </c>
      <c r="S112" s="2">
        <v>4977.43</v>
      </c>
      <c r="V112" s="1" t="s">
        <v>18</v>
      </c>
      <c r="W112" s="2">
        <v>11.78</v>
      </c>
      <c r="X112" s="2">
        <v>12.02</v>
      </c>
      <c r="Y112" s="2">
        <v>4.7</v>
      </c>
      <c r="Z112" s="2">
        <v>3.87</v>
      </c>
    </row>
    <row r="113" spans="2:26" x14ac:dyDescent="0.35">
      <c r="B113" s="1" t="s">
        <v>19</v>
      </c>
      <c r="C113" s="2">
        <v>0.2006789869985349</v>
      </c>
      <c r="D113" s="2">
        <v>0.19523604001250139</v>
      </c>
      <c r="E113" s="2">
        <v>0.27568406167685011</v>
      </c>
      <c r="F113" s="2">
        <v>0.14051075951774589</v>
      </c>
      <c r="H113" s="1" t="s">
        <v>19</v>
      </c>
      <c r="I113" s="2">
        <v>1872.71</v>
      </c>
      <c r="J113" s="2">
        <v>2370.8200000000002</v>
      </c>
      <c r="K113" s="2">
        <v>2852.03</v>
      </c>
      <c r="L113" s="2">
        <v>3099.25</v>
      </c>
      <c r="O113" s="1" t="s">
        <v>19</v>
      </c>
      <c r="P113" s="2">
        <v>7352.59</v>
      </c>
      <c r="Q113" s="2">
        <v>9059.0300000000007</v>
      </c>
      <c r="R113" s="2">
        <v>11455.12</v>
      </c>
      <c r="S113" s="2">
        <v>11989.1</v>
      </c>
      <c r="V113" s="1" t="s">
        <v>19</v>
      </c>
      <c r="W113" s="2">
        <v>13.44</v>
      </c>
      <c r="X113" s="2">
        <v>11.81</v>
      </c>
      <c r="Y113" s="2">
        <v>6.93</v>
      </c>
      <c r="Z113" s="2">
        <v>4.97</v>
      </c>
    </row>
    <row r="114" spans="2:26" x14ac:dyDescent="0.35">
      <c r="B114" s="1" t="s">
        <v>20</v>
      </c>
      <c r="C114" s="2">
        <v>4.0428822384581932E-2</v>
      </c>
      <c r="D114" s="2">
        <v>2.6151896096742362E-2</v>
      </c>
      <c r="E114" s="2">
        <v>4.0261752761788443E-2</v>
      </c>
      <c r="F114" s="2">
        <v>3.0132895529621489E-2</v>
      </c>
      <c r="H114" s="1" t="s">
        <v>20</v>
      </c>
      <c r="I114" s="2">
        <v>1494.96</v>
      </c>
      <c r="J114" s="2">
        <v>1879.06</v>
      </c>
      <c r="K114" s="2">
        <v>291.47000000000003</v>
      </c>
      <c r="L114" s="2">
        <v>369.25</v>
      </c>
      <c r="O114" s="1" t="s">
        <v>20</v>
      </c>
      <c r="P114" s="2">
        <v>5909.34</v>
      </c>
      <c r="Q114" s="2">
        <v>7135.49</v>
      </c>
      <c r="R114" s="2">
        <v>5969.98</v>
      </c>
      <c r="S114" s="2">
        <v>7291.55</v>
      </c>
      <c r="V114" s="1" t="s">
        <v>20</v>
      </c>
      <c r="W114" s="2">
        <v>3.28</v>
      </c>
      <c r="X114" s="2">
        <v>2</v>
      </c>
      <c r="Y114" s="2">
        <v>6.75</v>
      </c>
      <c r="Z114" s="2">
        <v>6.75</v>
      </c>
    </row>
    <row r="117" spans="2:26" x14ac:dyDescent="0.35">
      <c r="H117" t="s">
        <v>49</v>
      </c>
      <c r="O117" t="s">
        <v>50</v>
      </c>
      <c r="V117" t="s">
        <v>51</v>
      </c>
    </row>
    <row r="118" spans="2:26" x14ac:dyDescent="0.35">
      <c r="H118" s="1" t="s">
        <v>8</v>
      </c>
      <c r="I118" s="5" t="s">
        <v>9</v>
      </c>
      <c r="J118" s="5"/>
      <c r="K118" s="5" t="s">
        <v>10</v>
      </c>
      <c r="L118" s="5"/>
      <c r="O118" s="1" t="s">
        <v>8</v>
      </c>
      <c r="P118" s="5" t="s">
        <v>9</v>
      </c>
      <c r="Q118" s="5"/>
      <c r="R118" s="5" t="s">
        <v>10</v>
      </c>
      <c r="S118" s="5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5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5">
      <c r="H120" s="1" t="s">
        <v>12</v>
      </c>
      <c r="O120" s="1" t="s">
        <v>12</v>
      </c>
      <c r="V120" s="1" t="s">
        <v>12</v>
      </c>
    </row>
    <row r="121" spans="2:26" x14ac:dyDescent="0.35">
      <c r="H121" s="1" t="s">
        <v>13</v>
      </c>
      <c r="I121" s="2">
        <v>49.34</v>
      </c>
      <c r="J121" s="2">
        <v>38.24</v>
      </c>
      <c r="K121" s="2">
        <v>60.52</v>
      </c>
      <c r="L121" s="2">
        <v>45.5</v>
      </c>
      <c r="O121" s="1" t="s">
        <v>13</v>
      </c>
      <c r="P121" s="2">
        <v>49.34</v>
      </c>
      <c r="Q121" s="2">
        <v>38.24</v>
      </c>
      <c r="R121" s="2">
        <v>60.52</v>
      </c>
      <c r="S121" s="2">
        <v>45.5</v>
      </c>
      <c r="V121" s="1" t="s">
        <v>13</v>
      </c>
      <c r="W121" s="2">
        <v>40155.730000000003</v>
      </c>
      <c r="X121" s="2">
        <v>137916.57</v>
      </c>
      <c r="Y121" s="2">
        <v>152293.64000000001</v>
      </c>
      <c r="Z121" s="2">
        <v>151866.48000000001</v>
      </c>
    </row>
    <row r="122" spans="2:26" x14ac:dyDescent="0.35">
      <c r="H122" s="1" t="s">
        <v>14</v>
      </c>
      <c r="I122" s="2">
        <v>85.91</v>
      </c>
      <c r="J122" s="2">
        <v>69.67</v>
      </c>
      <c r="K122" s="2">
        <v>73.27</v>
      </c>
      <c r="L122" s="2">
        <v>49.31</v>
      </c>
      <c r="O122" s="1" t="s">
        <v>14</v>
      </c>
      <c r="P122" s="2">
        <v>85.91</v>
      </c>
      <c r="Q122" s="2">
        <v>69.67</v>
      </c>
      <c r="R122" s="2">
        <v>73.27</v>
      </c>
      <c r="S122" s="2">
        <v>49.31</v>
      </c>
      <c r="V122" s="1" t="s">
        <v>14</v>
      </c>
      <c r="W122" s="2">
        <v>363.64</v>
      </c>
      <c r="X122" s="2">
        <v>508.84</v>
      </c>
      <c r="Y122" s="2">
        <v>1187.45</v>
      </c>
      <c r="Z122" s="2">
        <v>229.21</v>
      </c>
    </row>
    <row r="123" spans="2:26" x14ac:dyDescent="0.35">
      <c r="H123" s="1" t="s">
        <v>15</v>
      </c>
      <c r="I123" s="2">
        <v>231.34</v>
      </c>
      <c r="J123" s="2">
        <v>283.57</v>
      </c>
      <c r="K123" s="2">
        <v>276.12</v>
      </c>
      <c r="L123" s="2">
        <v>318.94</v>
      </c>
      <c r="O123" s="1" t="s">
        <v>15</v>
      </c>
      <c r="P123" s="2">
        <v>231.34</v>
      </c>
      <c r="Q123" s="2">
        <v>283.57</v>
      </c>
      <c r="R123" s="2">
        <v>276.12</v>
      </c>
      <c r="S123" s="2">
        <v>318.94</v>
      </c>
      <c r="V123" s="1" t="s">
        <v>15</v>
      </c>
      <c r="W123" s="2">
        <v>452.65</v>
      </c>
      <c r="X123" s="2">
        <v>342.24</v>
      </c>
      <c r="Y123" s="2">
        <v>957.95</v>
      </c>
      <c r="Z123" s="2">
        <v>188.05</v>
      </c>
    </row>
    <row r="124" spans="2:26" x14ac:dyDescent="0.35">
      <c r="H124" s="1" t="s">
        <v>16</v>
      </c>
      <c r="I124" s="2">
        <v>83.86</v>
      </c>
      <c r="J124" s="2">
        <v>97.58</v>
      </c>
      <c r="K124" s="2">
        <v>84.59</v>
      </c>
      <c r="L124" s="2">
        <v>119.58</v>
      </c>
      <c r="O124" s="1" t="s">
        <v>16</v>
      </c>
      <c r="P124" s="2">
        <v>83.86</v>
      </c>
      <c r="Q124" s="2">
        <v>97.58</v>
      </c>
      <c r="R124" s="2">
        <v>84.59</v>
      </c>
      <c r="S124" s="2">
        <v>119.58</v>
      </c>
      <c r="V124" s="1" t="s">
        <v>16</v>
      </c>
      <c r="W124" s="2">
        <v>327.27</v>
      </c>
      <c r="X124" s="2">
        <v>382.05</v>
      </c>
      <c r="Y124" s="2">
        <v>671.14</v>
      </c>
      <c r="Z124" s="2">
        <v>203.33</v>
      </c>
    </row>
    <row r="125" spans="2:26" x14ac:dyDescent="0.35">
      <c r="H125" s="1" t="s">
        <v>17</v>
      </c>
      <c r="I125" s="2">
        <v>489.86</v>
      </c>
      <c r="J125" s="2">
        <v>412.66</v>
      </c>
      <c r="K125" s="2">
        <v>506.68</v>
      </c>
      <c r="L125" s="2">
        <v>411.71</v>
      </c>
      <c r="O125" s="1" t="s">
        <v>17</v>
      </c>
      <c r="P125" s="2">
        <v>489.86</v>
      </c>
      <c r="Q125" s="2">
        <v>412.66</v>
      </c>
      <c r="R125" s="2">
        <v>506.68</v>
      </c>
      <c r="S125" s="2">
        <v>411.71</v>
      </c>
      <c r="V125" s="1" t="s">
        <v>17</v>
      </c>
      <c r="W125" s="2">
        <v>238.27</v>
      </c>
      <c r="X125" s="2">
        <v>195.15</v>
      </c>
      <c r="Y125" s="2">
        <v>422.95</v>
      </c>
      <c r="Z125" s="2">
        <v>315.02</v>
      </c>
    </row>
    <row r="126" spans="2:26" x14ac:dyDescent="0.35">
      <c r="H126" s="1" t="s">
        <v>18</v>
      </c>
      <c r="I126" s="2">
        <v>87.4</v>
      </c>
      <c r="J126" s="2">
        <v>77.41</v>
      </c>
      <c r="K126" s="2">
        <v>38.94</v>
      </c>
      <c r="L126" s="2">
        <v>57.95</v>
      </c>
      <c r="O126" s="1" t="s">
        <v>18</v>
      </c>
      <c r="P126" s="2">
        <v>87.4</v>
      </c>
      <c r="Q126" s="2">
        <v>77.41</v>
      </c>
      <c r="R126" s="2">
        <v>38.94</v>
      </c>
      <c r="S126" s="2">
        <v>57.95</v>
      </c>
      <c r="V126" s="1" t="s">
        <v>18</v>
      </c>
      <c r="W126" s="2">
        <v>172.35</v>
      </c>
      <c r="X126" s="2">
        <v>202.44</v>
      </c>
      <c r="Y126" s="2">
        <v>321</v>
      </c>
      <c r="Z126" s="2">
        <v>314.04000000000002</v>
      </c>
    </row>
    <row r="127" spans="2:26" x14ac:dyDescent="0.35">
      <c r="H127" s="1" t="s">
        <v>19</v>
      </c>
      <c r="I127" s="2">
        <v>129.66</v>
      </c>
      <c r="J127" s="2">
        <v>170.68</v>
      </c>
      <c r="K127" s="2">
        <v>132.63</v>
      </c>
      <c r="L127" s="2">
        <v>154.97</v>
      </c>
      <c r="O127" s="1" t="s">
        <v>19</v>
      </c>
      <c r="P127" s="2">
        <v>129.66</v>
      </c>
      <c r="Q127" s="2">
        <v>170.68</v>
      </c>
      <c r="R127" s="2">
        <v>132.63</v>
      </c>
      <c r="S127" s="2">
        <v>154.97</v>
      </c>
      <c r="V127" s="1" t="s">
        <v>19</v>
      </c>
      <c r="W127" s="2">
        <v>366.92</v>
      </c>
      <c r="X127" s="2">
        <v>376.88</v>
      </c>
      <c r="Y127" s="2">
        <v>548.07000000000005</v>
      </c>
      <c r="Z127" s="2">
        <v>754.8</v>
      </c>
    </row>
    <row r="128" spans="2:26" x14ac:dyDescent="0.35">
      <c r="H128" s="1" t="s">
        <v>20</v>
      </c>
      <c r="I128" s="2">
        <v>91.88</v>
      </c>
      <c r="J128" s="2">
        <v>15.92</v>
      </c>
      <c r="K128" s="2">
        <v>64.92</v>
      </c>
      <c r="L128" s="2">
        <v>11.33</v>
      </c>
      <c r="O128" s="1" t="s">
        <v>20</v>
      </c>
      <c r="P128" s="2">
        <v>91.88</v>
      </c>
      <c r="Q128" s="2">
        <v>15.92</v>
      </c>
      <c r="R128" s="2">
        <v>64.92</v>
      </c>
      <c r="S128" s="2">
        <v>11.33</v>
      </c>
      <c r="V128" s="1" t="s">
        <v>20</v>
      </c>
      <c r="W128" s="2">
        <v>2694.6</v>
      </c>
      <c r="X128" s="2">
        <v>4988.4799999999996</v>
      </c>
      <c r="Y128" s="2">
        <v>152194.94</v>
      </c>
      <c r="Z128" s="2">
        <v>91828.44</v>
      </c>
    </row>
    <row r="131" spans="8:19" x14ac:dyDescent="0.35">
      <c r="H131" t="s">
        <v>52</v>
      </c>
      <c r="O131" t="s">
        <v>53</v>
      </c>
    </row>
    <row r="132" spans="8:19" x14ac:dyDescent="0.35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5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5">
      <c r="H134" s="1" t="s">
        <v>12</v>
      </c>
      <c r="O134" s="1" t="s">
        <v>12</v>
      </c>
    </row>
    <row r="135" spans="8:19" x14ac:dyDescent="0.35">
      <c r="H135" s="1" t="s">
        <v>13</v>
      </c>
      <c r="I135" s="2">
        <v>17.62</v>
      </c>
      <c r="J135" s="2">
        <v>21.61</v>
      </c>
      <c r="K135" s="2">
        <v>15.3</v>
      </c>
      <c r="L135" s="2">
        <v>18.2</v>
      </c>
      <c r="O135" s="1" t="s">
        <v>13</v>
      </c>
      <c r="P135" s="2">
        <v>334.83</v>
      </c>
      <c r="Q135" s="2">
        <v>410.64</v>
      </c>
      <c r="R135" s="2">
        <v>290.60000000000002</v>
      </c>
      <c r="S135" s="2">
        <v>345.8</v>
      </c>
    </row>
    <row r="136" spans="8:19" x14ac:dyDescent="0.35">
      <c r="H136" s="1" t="s">
        <v>14</v>
      </c>
      <c r="I136" s="2">
        <v>30.68</v>
      </c>
      <c r="J136" s="2">
        <v>26.17</v>
      </c>
      <c r="K136" s="2">
        <v>27.87</v>
      </c>
      <c r="L136" s="2">
        <v>19.73</v>
      </c>
      <c r="O136" s="1" t="s">
        <v>14</v>
      </c>
      <c r="P136" s="2">
        <v>159.32</v>
      </c>
      <c r="Q136" s="2">
        <v>128.68</v>
      </c>
      <c r="R136" s="2">
        <v>144.08000000000001</v>
      </c>
      <c r="S136" s="2">
        <v>96.67</v>
      </c>
    </row>
    <row r="137" spans="8:19" x14ac:dyDescent="0.35">
      <c r="H137" s="1" t="s">
        <v>15</v>
      </c>
      <c r="I137" s="2">
        <v>82.62</v>
      </c>
      <c r="J137" s="2">
        <v>98.61</v>
      </c>
      <c r="K137" s="2">
        <v>113.43</v>
      </c>
      <c r="L137" s="2">
        <v>127.58</v>
      </c>
      <c r="O137" s="1" t="s">
        <v>15</v>
      </c>
      <c r="P137" s="2">
        <v>424.53</v>
      </c>
      <c r="Q137" s="2">
        <v>487.86</v>
      </c>
      <c r="R137" s="2">
        <v>592.91999999999996</v>
      </c>
      <c r="S137" s="2">
        <v>389.92</v>
      </c>
    </row>
    <row r="138" spans="8:19" x14ac:dyDescent="0.35">
      <c r="H138" s="1" t="s">
        <v>16</v>
      </c>
      <c r="I138" s="2">
        <v>29.95</v>
      </c>
      <c r="J138" s="2">
        <v>30.21</v>
      </c>
      <c r="K138" s="2">
        <v>39.03</v>
      </c>
      <c r="L138" s="2">
        <v>47.83</v>
      </c>
      <c r="O138" s="1" t="s">
        <v>16</v>
      </c>
      <c r="P138" s="2">
        <v>152.9</v>
      </c>
      <c r="Q138" s="2">
        <v>148.04</v>
      </c>
      <c r="R138" s="2">
        <v>200.67</v>
      </c>
      <c r="S138" s="2">
        <v>237.37</v>
      </c>
    </row>
    <row r="139" spans="8:19" x14ac:dyDescent="0.35">
      <c r="H139" s="1" t="s">
        <v>17</v>
      </c>
      <c r="I139" s="2">
        <v>174.95</v>
      </c>
      <c r="J139" s="2">
        <v>180.96</v>
      </c>
      <c r="K139" s="2">
        <v>165.06</v>
      </c>
      <c r="L139" s="2">
        <v>164.69</v>
      </c>
      <c r="O139" s="1" t="s">
        <v>17</v>
      </c>
      <c r="P139" s="2">
        <v>886.37</v>
      </c>
      <c r="Q139" s="2">
        <v>884.04</v>
      </c>
      <c r="R139" s="2">
        <v>834.94</v>
      </c>
      <c r="S139" s="2">
        <v>800.31</v>
      </c>
    </row>
    <row r="140" spans="8:19" x14ac:dyDescent="0.35">
      <c r="H140" s="1" t="s">
        <v>18</v>
      </c>
      <c r="I140" s="2">
        <v>31.22</v>
      </c>
      <c r="J140" s="2">
        <v>13.91</v>
      </c>
      <c r="K140" s="2">
        <v>30.96</v>
      </c>
      <c r="L140" s="2">
        <v>23.18</v>
      </c>
      <c r="O140" s="1" t="s">
        <v>18</v>
      </c>
      <c r="P140" s="2">
        <v>125.76</v>
      </c>
      <c r="Q140" s="2">
        <v>53.13</v>
      </c>
      <c r="R140" s="2">
        <v>124.02</v>
      </c>
      <c r="S140" s="2">
        <v>89.87</v>
      </c>
    </row>
    <row r="141" spans="8:19" x14ac:dyDescent="0.35">
      <c r="H141" s="1" t="s">
        <v>19</v>
      </c>
      <c r="I141" s="2">
        <v>46.31</v>
      </c>
      <c r="J141" s="2">
        <v>47.37</v>
      </c>
      <c r="K141" s="2">
        <v>68.27</v>
      </c>
      <c r="L141" s="2">
        <v>61.99</v>
      </c>
      <c r="O141" s="1" t="s">
        <v>19</v>
      </c>
      <c r="P141" s="2">
        <v>181.39</v>
      </c>
      <c r="Q141" s="2">
        <v>180.33</v>
      </c>
      <c r="R141" s="2">
        <v>273.27999999999997</v>
      </c>
      <c r="S141" s="2">
        <v>238.91</v>
      </c>
    </row>
    <row r="142" spans="8:19" x14ac:dyDescent="0.35">
      <c r="H142" s="1" t="s">
        <v>20</v>
      </c>
      <c r="I142" s="2">
        <v>32.82</v>
      </c>
      <c r="J142" s="2">
        <v>23.19</v>
      </c>
      <c r="K142" s="2">
        <v>6.37</v>
      </c>
      <c r="L142" s="2">
        <v>4.53</v>
      </c>
      <c r="O142" s="1" t="s">
        <v>20</v>
      </c>
      <c r="P142" s="2">
        <v>129.63</v>
      </c>
      <c r="Q142" s="2">
        <v>87.96</v>
      </c>
      <c r="R142" s="2">
        <v>130.43</v>
      </c>
      <c r="S142" s="2">
        <v>89.52</v>
      </c>
    </row>
    <row r="145" spans="8:19" x14ac:dyDescent="0.35">
      <c r="H145" t="s">
        <v>54</v>
      </c>
      <c r="O145" t="s">
        <v>55</v>
      </c>
    </row>
    <row r="146" spans="8:19" x14ac:dyDescent="0.35">
      <c r="H146" s="1" t="s">
        <v>8</v>
      </c>
      <c r="I146" s="5" t="s">
        <v>9</v>
      </c>
      <c r="J146" s="5"/>
      <c r="K146" s="5" t="s">
        <v>10</v>
      </c>
      <c r="L146" s="5"/>
      <c r="O146" s="1" t="s">
        <v>8</v>
      </c>
      <c r="P146" s="5" t="s">
        <v>9</v>
      </c>
      <c r="Q146" s="5"/>
      <c r="R146" s="5" t="s">
        <v>10</v>
      </c>
      <c r="S146" s="5"/>
    </row>
    <row r="147" spans="8:19" x14ac:dyDescent="0.35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5">
      <c r="H148" s="1" t="s">
        <v>12</v>
      </c>
      <c r="O148" s="1" t="s">
        <v>12</v>
      </c>
    </row>
    <row r="149" spans="8:19" x14ac:dyDescent="0.35">
      <c r="H149" s="1" t="s">
        <v>13</v>
      </c>
      <c r="I149" s="2">
        <v>4.66</v>
      </c>
      <c r="J149" s="2">
        <v>3.33</v>
      </c>
      <c r="K149" s="2">
        <v>9.31</v>
      </c>
      <c r="L149" s="2">
        <v>7</v>
      </c>
      <c r="O149" s="1" t="s">
        <v>13</v>
      </c>
      <c r="P149" s="2">
        <v>4.66</v>
      </c>
      <c r="Q149" s="2">
        <v>3.33</v>
      </c>
      <c r="R149" s="2">
        <v>9.31</v>
      </c>
      <c r="S149" s="2">
        <v>7</v>
      </c>
    </row>
    <row r="150" spans="8:19" x14ac:dyDescent="0.35">
      <c r="H150" s="1" t="s">
        <v>14</v>
      </c>
      <c r="I150" s="2">
        <v>35.229999999999997</v>
      </c>
      <c r="J150" s="2">
        <v>28.49</v>
      </c>
      <c r="K150" s="2">
        <v>69.680000000000007</v>
      </c>
      <c r="L150" s="2">
        <v>46.44</v>
      </c>
      <c r="O150" s="1" t="s">
        <v>14</v>
      </c>
      <c r="P150" s="2">
        <v>35.229999999999997</v>
      </c>
      <c r="Q150" s="2">
        <v>28.49</v>
      </c>
      <c r="R150" s="2">
        <v>69.680000000000007</v>
      </c>
      <c r="S150" s="2">
        <v>46.44</v>
      </c>
    </row>
    <row r="151" spans="8:19" x14ac:dyDescent="0.35">
      <c r="H151" s="1" t="s">
        <v>15</v>
      </c>
      <c r="I151" s="2">
        <v>70.84</v>
      </c>
      <c r="J151" s="2">
        <v>87.05</v>
      </c>
      <c r="K151" s="2">
        <v>162.46</v>
      </c>
      <c r="L151" s="2">
        <v>191.39</v>
      </c>
      <c r="O151" s="1" t="s">
        <v>15</v>
      </c>
      <c r="P151" s="2">
        <v>70.84</v>
      </c>
      <c r="Q151" s="2">
        <v>87.05</v>
      </c>
      <c r="R151" s="2">
        <v>162.46</v>
      </c>
      <c r="S151" s="2">
        <v>191.39</v>
      </c>
    </row>
    <row r="152" spans="8:19" x14ac:dyDescent="0.35">
      <c r="H152" s="1" t="s">
        <v>16</v>
      </c>
      <c r="I152" s="2">
        <v>27.43</v>
      </c>
      <c r="J152" s="2">
        <v>32.19</v>
      </c>
      <c r="K152" s="2">
        <v>44.21</v>
      </c>
      <c r="L152" s="2">
        <v>62.71</v>
      </c>
      <c r="O152" s="1" t="s">
        <v>16</v>
      </c>
      <c r="P152" s="2">
        <v>27.43</v>
      </c>
      <c r="Q152" s="2">
        <v>32.19</v>
      </c>
      <c r="R152" s="2">
        <v>44.21</v>
      </c>
      <c r="S152" s="2">
        <v>62.71</v>
      </c>
    </row>
    <row r="153" spans="8:19" x14ac:dyDescent="0.35">
      <c r="H153" s="1" t="s">
        <v>17</v>
      </c>
      <c r="I153" s="2">
        <v>158.91999999999999</v>
      </c>
      <c r="J153" s="2">
        <v>134.13999999999999</v>
      </c>
      <c r="K153" s="2">
        <v>178.48</v>
      </c>
      <c r="L153" s="2">
        <v>145.09</v>
      </c>
      <c r="O153" s="1" t="s">
        <v>17</v>
      </c>
      <c r="P153" s="2">
        <v>158.91999999999999</v>
      </c>
      <c r="Q153" s="2">
        <v>134.13999999999999</v>
      </c>
      <c r="R153" s="2">
        <v>178.48</v>
      </c>
      <c r="S153" s="2">
        <v>145.09</v>
      </c>
    </row>
    <row r="154" spans="8:19" x14ac:dyDescent="0.35">
      <c r="H154" s="1" t="s">
        <v>18</v>
      </c>
      <c r="I154" s="2">
        <v>30.09</v>
      </c>
      <c r="J154" s="2">
        <v>27.12</v>
      </c>
      <c r="K154" s="2">
        <v>21.7</v>
      </c>
      <c r="L154" s="2">
        <v>32.25</v>
      </c>
      <c r="O154" s="1" t="s">
        <v>18</v>
      </c>
      <c r="P154" s="2">
        <v>30.09</v>
      </c>
      <c r="Q154" s="2">
        <v>27.12</v>
      </c>
      <c r="R154" s="2">
        <v>21.7</v>
      </c>
      <c r="S154" s="2">
        <v>32.25</v>
      </c>
    </row>
    <row r="155" spans="8:19" x14ac:dyDescent="0.35">
      <c r="H155" s="1" t="s">
        <v>19</v>
      </c>
      <c r="I155" s="2">
        <v>17.68</v>
      </c>
      <c r="J155" s="2">
        <v>25.87</v>
      </c>
      <c r="K155" s="2">
        <v>32.159999999999997</v>
      </c>
      <c r="L155" s="2">
        <v>36.78</v>
      </c>
      <c r="O155" s="1" t="s">
        <v>19</v>
      </c>
      <c r="P155" s="2">
        <v>17.68</v>
      </c>
      <c r="Q155" s="2">
        <v>25.87</v>
      </c>
      <c r="R155" s="2">
        <v>32.159999999999997</v>
      </c>
      <c r="S155" s="2">
        <v>36.78</v>
      </c>
    </row>
    <row r="156" spans="8:19" x14ac:dyDescent="0.35">
      <c r="H156" s="1" t="s">
        <v>20</v>
      </c>
      <c r="I156" s="2">
        <v>9.67</v>
      </c>
      <c r="J156" s="2">
        <v>1.66</v>
      </c>
      <c r="K156" s="2">
        <v>16.649999999999999</v>
      </c>
      <c r="L156" s="2">
        <v>3.09</v>
      </c>
      <c r="O156" s="1" t="s">
        <v>20</v>
      </c>
      <c r="P156" s="2">
        <v>9.67</v>
      </c>
      <c r="Q156" s="2">
        <v>1.66</v>
      </c>
      <c r="R156" s="2">
        <v>16.649999999999999</v>
      </c>
      <c r="S156" s="2">
        <v>3.09</v>
      </c>
    </row>
    <row r="159" spans="8:19" x14ac:dyDescent="0.35">
      <c r="H159" t="s">
        <v>56</v>
      </c>
      <c r="O159" t="s">
        <v>57</v>
      </c>
    </row>
    <row r="160" spans="8:19" x14ac:dyDescent="0.35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5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5">
      <c r="H162" s="1" t="s">
        <v>12</v>
      </c>
      <c r="O162" s="1" t="s">
        <v>12</v>
      </c>
    </row>
    <row r="163" spans="8:19" x14ac:dyDescent="0.35">
      <c r="H163" s="1" t="s">
        <v>13</v>
      </c>
      <c r="I163" s="2">
        <v>1.66</v>
      </c>
      <c r="J163" s="2">
        <v>3.33</v>
      </c>
      <c r="K163" s="2">
        <v>1.33</v>
      </c>
      <c r="L163" s="2">
        <v>2.8</v>
      </c>
      <c r="O163" s="1" t="s">
        <v>13</v>
      </c>
      <c r="P163" s="2">
        <v>1.66</v>
      </c>
      <c r="Q163" s="2">
        <v>3.33</v>
      </c>
      <c r="R163" s="2">
        <v>1.33</v>
      </c>
      <c r="S163" s="2">
        <v>2.8</v>
      </c>
    </row>
    <row r="164" spans="8:19" x14ac:dyDescent="0.35">
      <c r="H164" s="1" t="s">
        <v>14</v>
      </c>
      <c r="I164" s="2">
        <v>12.58</v>
      </c>
      <c r="J164" s="2">
        <v>24.88</v>
      </c>
      <c r="K164" s="2">
        <v>11.4</v>
      </c>
      <c r="L164" s="2">
        <v>18.579999999999998</v>
      </c>
      <c r="O164" s="1" t="s">
        <v>14</v>
      </c>
      <c r="P164" s="2">
        <v>12.58</v>
      </c>
      <c r="Q164" s="2">
        <v>24.88</v>
      </c>
      <c r="R164" s="2">
        <v>11.4</v>
      </c>
      <c r="S164" s="2">
        <v>18.579999999999998</v>
      </c>
    </row>
    <row r="165" spans="8:19" x14ac:dyDescent="0.35">
      <c r="H165" s="1" t="s">
        <v>15</v>
      </c>
      <c r="I165" s="2">
        <v>25.3</v>
      </c>
      <c r="J165" s="2">
        <v>58.02</v>
      </c>
      <c r="K165" s="2">
        <v>34.82</v>
      </c>
      <c r="L165" s="2">
        <v>76.56</v>
      </c>
      <c r="O165" s="1" t="s">
        <v>15</v>
      </c>
      <c r="P165" s="2">
        <v>25.3</v>
      </c>
      <c r="Q165" s="2">
        <v>58.02</v>
      </c>
      <c r="R165" s="2">
        <v>34.82</v>
      </c>
      <c r="S165" s="2">
        <v>76.56</v>
      </c>
    </row>
    <row r="166" spans="8:19" x14ac:dyDescent="0.35">
      <c r="H166" s="1" t="s">
        <v>16</v>
      </c>
      <c r="I166" s="2">
        <v>9.8000000000000007</v>
      </c>
      <c r="J166" s="2">
        <v>15.79</v>
      </c>
      <c r="K166" s="2">
        <v>12.88</v>
      </c>
      <c r="L166" s="2">
        <v>25.08</v>
      </c>
      <c r="O166" s="1" t="s">
        <v>16</v>
      </c>
      <c r="P166" s="2">
        <v>9.8000000000000007</v>
      </c>
      <c r="Q166" s="2">
        <v>15.79</v>
      </c>
      <c r="R166" s="2">
        <v>12.88</v>
      </c>
      <c r="S166" s="2">
        <v>25.08</v>
      </c>
    </row>
    <row r="167" spans="8:19" x14ac:dyDescent="0.35">
      <c r="H167" s="1" t="s">
        <v>17</v>
      </c>
      <c r="I167" s="2">
        <v>56.76</v>
      </c>
      <c r="J167" s="2">
        <v>63.74</v>
      </c>
      <c r="K167" s="2">
        <v>53.66</v>
      </c>
      <c r="L167" s="2">
        <v>58.04</v>
      </c>
      <c r="O167" s="1" t="s">
        <v>17</v>
      </c>
      <c r="P167" s="2">
        <v>56.76</v>
      </c>
      <c r="Q167" s="2">
        <v>63.74</v>
      </c>
      <c r="R167" s="2">
        <v>53.66</v>
      </c>
      <c r="S167" s="2">
        <v>58.04</v>
      </c>
    </row>
    <row r="168" spans="8:19" x14ac:dyDescent="0.35">
      <c r="H168" s="1" t="s">
        <v>18</v>
      </c>
      <c r="I168" s="2">
        <v>10.75</v>
      </c>
      <c r="J168" s="2">
        <v>7.75</v>
      </c>
      <c r="K168" s="2">
        <v>10.85</v>
      </c>
      <c r="L168" s="2">
        <v>12.9</v>
      </c>
      <c r="O168" s="1" t="s">
        <v>18</v>
      </c>
      <c r="P168" s="2">
        <v>10.75</v>
      </c>
      <c r="Q168" s="2">
        <v>7.75</v>
      </c>
      <c r="R168" s="2">
        <v>10.85</v>
      </c>
      <c r="S168" s="2">
        <v>12.9</v>
      </c>
    </row>
    <row r="169" spans="8:19" x14ac:dyDescent="0.35">
      <c r="H169" s="1" t="s">
        <v>19</v>
      </c>
      <c r="I169" s="2">
        <v>6.32</v>
      </c>
      <c r="J169" s="2">
        <v>11.48</v>
      </c>
      <c r="K169" s="2">
        <v>10.35</v>
      </c>
      <c r="L169" s="2">
        <v>14.71</v>
      </c>
      <c r="O169" s="1" t="s">
        <v>19</v>
      </c>
      <c r="P169" s="2">
        <v>6.32</v>
      </c>
      <c r="Q169" s="2">
        <v>11.48</v>
      </c>
      <c r="R169" s="2">
        <v>10.35</v>
      </c>
      <c r="S169" s="2">
        <v>14.71</v>
      </c>
    </row>
    <row r="170" spans="8:19" x14ac:dyDescent="0.35">
      <c r="H170" s="1" t="s">
        <v>20</v>
      </c>
      <c r="I170" s="2">
        <v>3.45</v>
      </c>
      <c r="J170" s="2">
        <v>5.95</v>
      </c>
      <c r="K170" s="2">
        <v>0.66</v>
      </c>
      <c r="L170" s="2">
        <v>1.24</v>
      </c>
      <c r="O170" s="1" t="s">
        <v>20</v>
      </c>
      <c r="P170" s="2">
        <v>3.45</v>
      </c>
      <c r="Q170" s="2">
        <v>5.95</v>
      </c>
      <c r="R170" s="2">
        <v>0.66</v>
      </c>
      <c r="S170" s="2">
        <v>1.24</v>
      </c>
    </row>
    <row r="173" spans="8:19" x14ac:dyDescent="0.35">
      <c r="H173" t="s">
        <v>58</v>
      </c>
      <c r="O173" t="s">
        <v>59</v>
      </c>
    </row>
    <row r="174" spans="8:19" x14ac:dyDescent="0.35">
      <c r="H174" s="1" t="s">
        <v>8</v>
      </c>
      <c r="I174" s="5" t="s">
        <v>9</v>
      </c>
      <c r="J174" s="5"/>
      <c r="K174" s="5" t="s">
        <v>10</v>
      </c>
      <c r="L174" s="5"/>
      <c r="O174" s="1" t="s">
        <v>8</v>
      </c>
      <c r="P174" s="5" t="s">
        <v>9</v>
      </c>
      <c r="Q174" s="5"/>
      <c r="R174" s="5" t="s">
        <v>10</v>
      </c>
      <c r="S174" s="5"/>
    </row>
    <row r="175" spans="8:19" x14ac:dyDescent="0.35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5">
      <c r="H176" s="1" t="s">
        <v>12</v>
      </c>
      <c r="O176" s="1" t="s">
        <v>12</v>
      </c>
    </row>
    <row r="177" spans="8:19" x14ac:dyDescent="0.35">
      <c r="H177" s="1" t="s">
        <v>13</v>
      </c>
      <c r="I177" s="2">
        <v>414.3</v>
      </c>
      <c r="J177" s="2">
        <v>311.72000000000003</v>
      </c>
      <c r="K177" s="2">
        <v>391.95</v>
      </c>
      <c r="L177" s="2">
        <v>301</v>
      </c>
      <c r="O177" s="1" t="s">
        <v>13</v>
      </c>
      <c r="P177" s="2">
        <v>414.3</v>
      </c>
      <c r="Q177" s="2">
        <v>311.72000000000003</v>
      </c>
      <c r="R177" s="2">
        <v>391.95</v>
      </c>
      <c r="S177" s="2">
        <v>301</v>
      </c>
    </row>
    <row r="178" spans="8:19" x14ac:dyDescent="0.35">
      <c r="H178" s="1" t="s">
        <v>14</v>
      </c>
      <c r="I178" s="2">
        <v>55.97</v>
      </c>
      <c r="J178" s="2">
        <v>45.22</v>
      </c>
      <c r="K178" s="2">
        <v>66.540000000000006</v>
      </c>
      <c r="L178" s="2">
        <v>44.53</v>
      </c>
      <c r="O178" s="1" t="s">
        <v>14</v>
      </c>
      <c r="P178" s="2">
        <v>55.97</v>
      </c>
      <c r="Q178" s="2">
        <v>45.22</v>
      </c>
      <c r="R178" s="2">
        <v>66.540000000000006</v>
      </c>
      <c r="S178" s="2">
        <v>44.53</v>
      </c>
    </row>
    <row r="179" spans="8:19" x14ac:dyDescent="0.35">
      <c r="H179" s="1" t="s">
        <v>15</v>
      </c>
      <c r="I179" s="2">
        <v>163.68</v>
      </c>
      <c r="J179" s="2">
        <v>203.28</v>
      </c>
      <c r="K179" s="2">
        <v>256.08</v>
      </c>
      <c r="L179" s="2">
        <v>363.8</v>
      </c>
      <c r="O179" s="1" t="s">
        <v>15</v>
      </c>
      <c r="P179" s="2">
        <v>163.68</v>
      </c>
      <c r="Q179" s="2">
        <v>203.28</v>
      </c>
      <c r="R179" s="2">
        <v>256.08</v>
      </c>
      <c r="S179" s="2">
        <v>363.8</v>
      </c>
    </row>
    <row r="180" spans="8:19" x14ac:dyDescent="0.35">
      <c r="H180" s="1" t="s">
        <v>16</v>
      </c>
      <c r="I180" s="2">
        <v>84.54</v>
      </c>
      <c r="J180" s="2">
        <v>98.92</v>
      </c>
      <c r="K180" s="2">
        <v>75.27</v>
      </c>
      <c r="L180" s="2">
        <v>107.95</v>
      </c>
      <c r="O180" s="1" t="s">
        <v>16</v>
      </c>
      <c r="P180" s="2">
        <v>84.54</v>
      </c>
      <c r="Q180" s="2">
        <v>98.92</v>
      </c>
      <c r="R180" s="2">
        <v>75.27</v>
      </c>
      <c r="S180" s="2">
        <v>107.95</v>
      </c>
    </row>
    <row r="181" spans="8:19" x14ac:dyDescent="0.35">
      <c r="H181" s="1" t="s">
        <v>17</v>
      </c>
      <c r="I181" s="2">
        <v>472.95</v>
      </c>
      <c r="J181" s="2">
        <v>395.68</v>
      </c>
      <c r="K181" s="2">
        <v>483.16</v>
      </c>
      <c r="L181" s="2">
        <v>390.42</v>
      </c>
      <c r="O181" s="1" t="s">
        <v>17</v>
      </c>
      <c r="P181" s="2">
        <v>472.95</v>
      </c>
      <c r="Q181" s="2">
        <v>395.68</v>
      </c>
      <c r="R181" s="2">
        <v>483.16</v>
      </c>
      <c r="S181" s="2">
        <v>390.42</v>
      </c>
    </row>
    <row r="182" spans="8:19" x14ac:dyDescent="0.35">
      <c r="H182" s="1" t="s">
        <v>18</v>
      </c>
      <c r="I182" s="2">
        <v>104.56</v>
      </c>
      <c r="J182" s="2">
        <v>92.36</v>
      </c>
      <c r="K182" s="2">
        <v>45.76</v>
      </c>
      <c r="L182" s="2">
        <v>68.83</v>
      </c>
      <c r="O182" s="1" t="s">
        <v>18</v>
      </c>
      <c r="P182" s="2">
        <v>104.56</v>
      </c>
      <c r="Q182" s="2">
        <v>92.36</v>
      </c>
      <c r="R182" s="2">
        <v>45.76</v>
      </c>
      <c r="S182" s="2">
        <v>68.83</v>
      </c>
    </row>
    <row r="183" spans="8:19" x14ac:dyDescent="0.35">
      <c r="H183" s="1" t="s">
        <v>19</v>
      </c>
      <c r="I183" s="2">
        <v>169.62</v>
      </c>
      <c r="J183" s="2">
        <v>216</v>
      </c>
      <c r="K183" s="2">
        <v>203.01</v>
      </c>
      <c r="L183" s="2">
        <v>238.14</v>
      </c>
      <c r="O183" s="1" t="s">
        <v>19</v>
      </c>
      <c r="P183" s="2">
        <v>169.62</v>
      </c>
      <c r="Q183" s="2">
        <v>216</v>
      </c>
      <c r="R183" s="2">
        <v>203.01</v>
      </c>
      <c r="S183" s="2">
        <v>238.14</v>
      </c>
    </row>
    <row r="184" spans="8:19" x14ac:dyDescent="0.35">
      <c r="H184" s="1" t="s">
        <v>20</v>
      </c>
      <c r="I184" s="2">
        <v>208.77</v>
      </c>
      <c r="J184" s="2">
        <v>157.54</v>
      </c>
      <c r="K184" s="2">
        <v>203.47</v>
      </c>
      <c r="L184" s="2">
        <v>153.16999999999999</v>
      </c>
      <c r="O184" s="1" t="s">
        <v>20</v>
      </c>
      <c r="P184" s="2">
        <v>208.77</v>
      </c>
      <c r="Q184" s="2">
        <v>157.54</v>
      </c>
      <c r="R184" s="2">
        <v>203.47</v>
      </c>
      <c r="S184" s="2">
        <v>153.16999999999999</v>
      </c>
    </row>
    <row r="187" spans="8:19" x14ac:dyDescent="0.35">
      <c r="H187" t="s">
        <v>60</v>
      </c>
      <c r="O187" t="s">
        <v>61</v>
      </c>
    </row>
    <row r="188" spans="8:19" x14ac:dyDescent="0.35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5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5">
      <c r="H190" s="1" t="s">
        <v>12</v>
      </c>
      <c r="O190" s="1" t="s">
        <v>12</v>
      </c>
    </row>
    <row r="191" spans="8:19" x14ac:dyDescent="0.35">
      <c r="H191" s="1" t="s">
        <v>13</v>
      </c>
      <c r="I191" s="2">
        <v>147.96</v>
      </c>
      <c r="J191" s="2">
        <v>139.97999999999999</v>
      </c>
      <c r="K191" s="2">
        <v>124.69</v>
      </c>
      <c r="L191" s="2">
        <v>120.4</v>
      </c>
      <c r="O191" s="1" t="s">
        <v>13</v>
      </c>
      <c r="P191" s="2">
        <v>147.96</v>
      </c>
      <c r="Q191" s="2">
        <v>139.97999999999999</v>
      </c>
      <c r="R191" s="2">
        <v>124.69</v>
      </c>
      <c r="S191" s="2">
        <v>120.4</v>
      </c>
    </row>
    <row r="192" spans="8:19" x14ac:dyDescent="0.35">
      <c r="H192" s="1" t="s">
        <v>14</v>
      </c>
      <c r="I192" s="2">
        <v>19.989999999999998</v>
      </c>
      <c r="J192" s="2">
        <v>23.77</v>
      </c>
      <c r="K192" s="2">
        <v>18.09</v>
      </c>
      <c r="L192" s="2">
        <v>17.809999999999999</v>
      </c>
      <c r="O192" s="1" t="s">
        <v>14</v>
      </c>
      <c r="P192" s="2">
        <v>19.989999999999998</v>
      </c>
      <c r="Q192" s="2">
        <v>23.77</v>
      </c>
      <c r="R192" s="2">
        <v>18.09</v>
      </c>
      <c r="S192" s="2">
        <v>17.809999999999999</v>
      </c>
    </row>
    <row r="193" spans="8:19" x14ac:dyDescent="0.35">
      <c r="H193" s="1" t="s">
        <v>15</v>
      </c>
      <c r="I193" s="2">
        <v>58.46</v>
      </c>
      <c r="J193" s="2">
        <v>91.46</v>
      </c>
      <c r="K193" s="2">
        <v>81.31</v>
      </c>
      <c r="L193" s="2">
        <v>145.52000000000001</v>
      </c>
      <c r="O193" s="1" t="s">
        <v>15</v>
      </c>
      <c r="P193" s="2">
        <v>58.46</v>
      </c>
      <c r="Q193" s="2">
        <v>91.46</v>
      </c>
      <c r="R193" s="2">
        <v>81.31</v>
      </c>
      <c r="S193" s="2">
        <v>145.52000000000001</v>
      </c>
    </row>
    <row r="194" spans="8:19" x14ac:dyDescent="0.35">
      <c r="H194" s="1" t="s">
        <v>16</v>
      </c>
      <c r="I194" s="2">
        <v>30.19</v>
      </c>
      <c r="J194" s="2">
        <v>26.88</v>
      </c>
      <c r="K194" s="2">
        <v>39.57</v>
      </c>
      <c r="L194" s="2">
        <v>43.18</v>
      </c>
      <c r="O194" s="1" t="s">
        <v>16</v>
      </c>
      <c r="P194" s="2">
        <v>30.19</v>
      </c>
      <c r="Q194" s="2">
        <v>26.88</v>
      </c>
      <c r="R194" s="2">
        <v>39.57</v>
      </c>
      <c r="S194" s="2">
        <v>43.18</v>
      </c>
    </row>
    <row r="195" spans="8:19" x14ac:dyDescent="0.35">
      <c r="H195" s="1" t="s">
        <v>17</v>
      </c>
      <c r="I195" s="2">
        <v>168.91</v>
      </c>
      <c r="J195" s="2">
        <v>172.56</v>
      </c>
      <c r="K195" s="2">
        <v>158.27000000000001</v>
      </c>
      <c r="L195" s="2">
        <v>156.16999999999999</v>
      </c>
      <c r="O195" s="1" t="s">
        <v>17</v>
      </c>
      <c r="P195" s="2">
        <v>168.91</v>
      </c>
      <c r="Q195" s="2">
        <v>172.56</v>
      </c>
      <c r="R195" s="2">
        <v>158.27000000000001</v>
      </c>
      <c r="S195" s="2">
        <v>156.16999999999999</v>
      </c>
    </row>
    <row r="196" spans="8:19" x14ac:dyDescent="0.35">
      <c r="H196" s="1" t="s">
        <v>18</v>
      </c>
      <c r="I196" s="2">
        <v>37.340000000000003</v>
      </c>
      <c r="J196" s="2">
        <v>16.34</v>
      </c>
      <c r="K196" s="2">
        <v>36.950000000000003</v>
      </c>
      <c r="L196" s="2">
        <v>27.53</v>
      </c>
      <c r="O196" s="1" t="s">
        <v>18</v>
      </c>
      <c r="P196" s="2">
        <v>37.340000000000003</v>
      </c>
      <c r="Q196" s="2">
        <v>16.34</v>
      </c>
      <c r="R196" s="2">
        <v>36.950000000000003</v>
      </c>
      <c r="S196" s="2">
        <v>27.53</v>
      </c>
    </row>
    <row r="197" spans="8:19" x14ac:dyDescent="0.35">
      <c r="H197" s="1" t="s">
        <v>19</v>
      </c>
      <c r="I197" s="2">
        <v>60.58</v>
      </c>
      <c r="J197" s="2">
        <v>72.5</v>
      </c>
      <c r="K197" s="2">
        <v>86.4</v>
      </c>
      <c r="L197" s="2">
        <v>95.26</v>
      </c>
      <c r="O197" s="1" t="s">
        <v>19</v>
      </c>
      <c r="P197" s="2">
        <v>60.58</v>
      </c>
      <c r="Q197" s="2">
        <v>72.5</v>
      </c>
      <c r="R197" s="2">
        <v>86.4</v>
      </c>
      <c r="S197" s="2">
        <v>95.26</v>
      </c>
    </row>
    <row r="198" spans="8:19" x14ac:dyDescent="0.35">
      <c r="H198" s="1" t="s">
        <v>20</v>
      </c>
      <c r="I198" s="2">
        <v>74.56</v>
      </c>
      <c r="J198" s="2">
        <v>72.67</v>
      </c>
      <c r="K198" s="2">
        <v>63.02</v>
      </c>
      <c r="L198" s="2">
        <v>61.27</v>
      </c>
      <c r="O198" s="1" t="s">
        <v>20</v>
      </c>
      <c r="P198" s="2">
        <v>74.56</v>
      </c>
      <c r="Q198" s="2">
        <v>72.67</v>
      </c>
      <c r="R198" s="2">
        <v>63.02</v>
      </c>
      <c r="S198" s="2">
        <v>61.27</v>
      </c>
    </row>
    <row r="201" spans="8:19" x14ac:dyDescent="0.35">
      <c r="H201" t="s">
        <v>62</v>
      </c>
      <c r="O201" t="s">
        <v>63</v>
      </c>
    </row>
    <row r="202" spans="8:19" x14ac:dyDescent="0.35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5" t="s">
        <v>9</v>
      </c>
      <c r="Q202" s="5"/>
      <c r="R202" s="5" t="s">
        <v>10</v>
      </c>
      <c r="S202" s="5"/>
    </row>
    <row r="203" spans="8:19" x14ac:dyDescent="0.35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5">
      <c r="H204" s="1" t="s">
        <v>12</v>
      </c>
      <c r="O204" s="1" t="s">
        <v>12</v>
      </c>
    </row>
    <row r="205" spans="8:19" x14ac:dyDescent="0.35">
      <c r="H205" s="1" t="s">
        <v>13</v>
      </c>
      <c r="I205" s="2">
        <v>0.59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414.3</v>
      </c>
      <c r="Q205" s="2">
        <v>311.72000000000003</v>
      </c>
      <c r="R205" s="2">
        <v>391.95</v>
      </c>
      <c r="S205" s="2">
        <v>301</v>
      </c>
    </row>
    <row r="206" spans="8:19" x14ac:dyDescent="0.35">
      <c r="H206" s="1" t="s">
        <v>14</v>
      </c>
      <c r="I206" s="2">
        <v>0.14000000000000001</v>
      </c>
      <c r="J206" s="2">
        <v>0.1</v>
      </c>
      <c r="K206" s="2">
        <v>0.04</v>
      </c>
      <c r="L206" s="2">
        <v>0.23</v>
      </c>
      <c r="O206" s="1" t="s">
        <v>14</v>
      </c>
      <c r="P206" s="2">
        <v>55.97</v>
      </c>
      <c r="Q206" s="2">
        <v>45.22</v>
      </c>
      <c r="R206" s="2">
        <v>66.540000000000006</v>
      </c>
      <c r="S206" s="2">
        <v>44.53</v>
      </c>
    </row>
    <row r="207" spans="8:19" x14ac:dyDescent="0.35">
      <c r="H207" s="1" t="s">
        <v>15</v>
      </c>
      <c r="I207" s="2">
        <v>0.12</v>
      </c>
      <c r="J207" s="2">
        <v>0.15</v>
      </c>
      <c r="K207" s="2">
        <v>0.06</v>
      </c>
      <c r="L207" s="2">
        <v>0.23</v>
      </c>
      <c r="O207" s="1" t="s">
        <v>15</v>
      </c>
      <c r="P207" s="2">
        <v>163.68</v>
      </c>
      <c r="Q207" s="2">
        <v>203.28</v>
      </c>
      <c r="R207" s="2">
        <v>256.08</v>
      </c>
      <c r="S207" s="2">
        <v>363.8</v>
      </c>
    </row>
    <row r="208" spans="8:19" x14ac:dyDescent="0.35">
      <c r="H208" s="1" t="s">
        <v>16</v>
      </c>
      <c r="I208" s="2">
        <v>0.16</v>
      </c>
      <c r="J208" s="2">
        <v>0.14000000000000001</v>
      </c>
      <c r="K208" s="2">
        <v>0.08</v>
      </c>
      <c r="L208" s="2">
        <v>0.26</v>
      </c>
      <c r="O208" s="1" t="s">
        <v>16</v>
      </c>
      <c r="P208" s="2">
        <v>84.54</v>
      </c>
      <c r="Q208" s="2">
        <v>98.92</v>
      </c>
      <c r="R208" s="2">
        <v>75.27</v>
      </c>
      <c r="S208" s="2">
        <v>107.95</v>
      </c>
    </row>
    <row r="209" spans="8:19" x14ac:dyDescent="0.35">
      <c r="H209" s="1" t="s">
        <v>17</v>
      </c>
      <c r="I209" s="2">
        <v>0.22</v>
      </c>
      <c r="J209" s="2">
        <v>0.27</v>
      </c>
      <c r="K209" s="2">
        <v>0.12</v>
      </c>
      <c r="L209" s="2">
        <v>0.17</v>
      </c>
      <c r="O209" s="1" t="s">
        <v>17</v>
      </c>
      <c r="P209" s="2">
        <v>472.95</v>
      </c>
      <c r="Q209" s="2">
        <v>395.68</v>
      </c>
      <c r="R209" s="2">
        <v>483.16</v>
      </c>
      <c r="S209" s="2">
        <v>390.42</v>
      </c>
    </row>
    <row r="210" spans="8:19" x14ac:dyDescent="0.35">
      <c r="H210" s="1" t="s">
        <v>18</v>
      </c>
      <c r="I210" s="2">
        <v>0.28999999999999998</v>
      </c>
      <c r="J210" s="2">
        <v>0.25</v>
      </c>
      <c r="K210" s="2">
        <v>0.16</v>
      </c>
      <c r="L210" s="2">
        <v>0.16</v>
      </c>
      <c r="O210" s="1" t="s">
        <v>18</v>
      </c>
      <c r="P210" s="2">
        <v>104.56</v>
      </c>
      <c r="Q210" s="2">
        <v>92.36</v>
      </c>
      <c r="R210" s="2">
        <v>45.76</v>
      </c>
      <c r="S210" s="2">
        <v>68.83</v>
      </c>
    </row>
    <row r="211" spans="8:19" x14ac:dyDescent="0.35">
      <c r="H211" s="1" t="s">
        <v>19</v>
      </c>
      <c r="I211" s="2">
        <v>0.14000000000000001</v>
      </c>
      <c r="J211" s="2">
        <v>0.13</v>
      </c>
      <c r="K211" s="2">
        <v>0.09</v>
      </c>
      <c r="L211" s="2">
        <v>7.0000000000000007E-2</v>
      </c>
      <c r="O211" s="1" t="s">
        <v>19</v>
      </c>
      <c r="P211" s="2">
        <v>169.62</v>
      </c>
      <c r="Q211" s="2">
        <v>216</v>
      </c>
      <c r="R211" s="2">
        <v>203.01</v>
      </c>
      <c r="S211" s="2">
        <v>238.14</v>
      </c>
    </row>
    <row r="212" spans="8:19" x14ac:dyDescent="0.35">
      <c r="H212" s="1" t="s">
        <v>20</v>
      </c>
      <c r="I212" s="2">
        <v>0.02</v>
      </c>
      <c r="J212" s="2">
        <v>0.01</v>
      </c>
      <c r="K212" s="2">
        <v>0.59</v>
      </c>
      <c r="L212" s="2">
        <v>0.59</v>
      </c>
      <c r="O212" s="1" t="s">
        <v>20</v>
      </c>
      <c r="P212" s="2">
        <v>208.77</v>
      </c>
      <c r="Q212" s="2">
        <v>157.54</v>
      </c>
      <c r="R212" s="2">
        <v>203.47</v>
      </c>
      <c r="S212" s="2">
        <v>153.16999999999999</v>
      </c>
    </row>
    <row r="215" spans="8:19" x14ac:dyDescent="0.35">
      <c r="H215" t="s">
        <v>64</v>
      </c>
      <c r="O215" t="s">
        <v>65</v>
      </c>
    </row>
    <row r="216" spans="8:19" x14ac:dyDescent="0.35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5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5">
      <c r="H218" s="1" t="s">
        <v>12</v>
      </c>
      <c r="O218" s="1" t="s">
        <v>12</v>
      </c>
    </row>
    <row r="219" spans="8:19" x14ac:dyDescent="0.35">
      <c r="H219" s="1" t="s">
        <v>13</v>
      </c>
      <c r="I219" s="2">
        <v>0.41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147.96</v>
      </c>
      <c r="Q219" s="2">
        <v>139.97999999999999</v>
      </c>
      <c r="R219" s="2">
        <v>124.69</v>
      </c>
      <c r="S219" s="2">
        <v>120.4</v>
      </c>
    </row>
    <row r="220" spans="8:19" x14ac:dyDescent="0.35">
      <c r="H220" s="1" t="s">
        <v>14</v>
      </c>
      <c r="I220" s="2">
        <v>0.1</v>
      </c>
      <c r="J220" s="2">
        <v>7.0000000000000007E-2</v>
      </c>
      <c r="K220" s="2">
        <v>0.03</v>
      </c>
      <c r="L220" s="2">
        <v>0.16</v>
      </c>
      <c r="O220" s="1" t="s">
        <v>14</v>
      </c>
      <c r="P220" s="2">
        <v>19.989999999999998</v>
      </c>
      <c r="Q220" s="2">
        <v>23.77</v>
      </c>
      <c r="R220" s="2">
        <v>18.09</v>
      </c>
      <c r="S220" s="2">
        <v>17.809999999999999</v>
      </c>
    </row>
    <row r="221" spans="8:19" x14ac:dyDescent="0.35">
      <c r="H221" s="1" t="s">
        <v>15</v>
      </c>
      <c r="I221" s="2">
        <v>0.08</v>
      </c>
      <c r="J221" s="2">
        <v>0.11</v>
      </c>
      <c r="K221" s="2">
        <v>0.04</v>
      </c>
      <c r="L221" s="2">
        <v>0.16</v>
      </c>
      <c r="O221" s="1" t="s">
        <v>15</v>
      </c>
      <c r="P221" s="2">
        <v>58.46</v>
      </c>
      <c r="Q221" s="2">
        <v>91.46</v>
      </c>
      <c r="R221" s="2">
        <v>81.31</v>
      </c>
      <c r="S221" s="2">
        <v>145.52000000000001</v>
      </c>
    </row>
    <row r="222" spans="8:19" x14ac:dyDescent="0.35">
      <c r="H222" s="1" t="s">
        <v>16</v>
      </c>
      <c r="I222" s="2">
        <v>0.11</v>
      </c>
      <c r="J222" s="2">
        <v>0.1</v>
      </c>
      <c r="K222" s="2">
        <v>0.06</v>
      </c>
      <c r="L222" s="2">
        <v>0.18</v>
      </c>
      <c r="O222" s="1" t="s">
        <v>16</v>
      </c>
      <c r="P222" s="2">
        <v>30.19</v>
      </c>
      <c r="Q222" s="2">
        <v>26.88</v>
      </c>
      <c r="R222" s="2">
        <v>39.57</v>
      </c>
      <c r="S222" s="2">
        <v>43.18</v>
      </c>
    </row>
    <row r="223" spans="8:19" x14ac:dyDescent="0.35">
      <c r="H223" s="1" t="s">
        <v>17</v>
      </c>
      <c r="I223" s="2">
        <v>0.15</v>
      </c>
      <c r="J223" s="2">
        <v>0.19</v>
      </c>
      <c r="K223" s="2">
        <v>0.09</v>
      </c>
      <c r="L223" s="2">
        <v>0.12</v>
      </c>
      <c r="O223" s="1" t="s">
        <v>17</v>
      </c>
      <c r="P223" s="2">
        <v>168.91</v>
      </c>
      <c r="Q223" s="2">
        <v>172.56</v>
      </c>
      <c r="R223" s="2">
        <v>158.27000000000001</v>
      </c>
      <c r="S223" s="2">
        <v>156.16999999999999</v>
      </c>
    </row>
    <row r="224" spans="8:19" x14ac:dyDescent="0.35">
      <c r="H224" s="1" t="s">
        <v>18</v>
      </c>
      <c r="I224" s="2">
        <v>0.2</v>
      </c>
      <c r="J224" s="2">
        <v>0.17</v>
      </c>
      <c r="K224" s="2">
        <v>0.11</v>
      </c>
      <c r="L224" s="2">
        <v>0.12</v>
      </c>
      <c r="O224" s="1" t="s">
        <v>18</v>
      </c>
      <c r="P224" s="2">
        <v>37.340000000000003</v>
      </c>
      <c r="Q224" s="2">
        <v>16.34</v>
      </c>
      <c r="R224" s="2">
        <v>36.950000000000003</v>
      </c>
      <c r="S224" s="2">
        <v>27.53</v>
      </c>
    </row>
    <row r="225" spans="8:19" x14ac:dyDescent="0.35">
      <c r="H225" s="1" t="s">
        <v>19</v>
      </c>
      <c r="I225" s="2">
        <v>0.09</v>
      </c>
      <c r="J225" s="2">
        <v>0.09</v>
      </c>
      <c r="K225" s="2">
        <v>0.06</v>
      </c>
      <c r="L225" s="2">
        <v>0.05</v>
      </c>
      <c r="O225" s="1" t="s">
        <v>19</v>
      </c>
      <c r="P225" s="2">
        <v>60.58</v>
      </c>
      <c r="Q225" s="2">
        <v>72.5</v>
      </c>
      <c r="R225" s="2">
        <v>86.4</v>
      </c>
      <c r="S225" s="2">
        <v>95.26</v>
      </c>
    </row>
    <row r="226" spans="8:19" x14ac:dyDescent="0.35">
      <c r="H226" s="1" t="s">
        <v>20</v>
      </c>
      <c r="I226" s="2">
        <v>0.01</v>
      </c>
      <c r="J226" s="2">
        <v>0.01</v>
      </c>
      <c r="K226" s="2">
        <v>0.41</v>
      </c>
      <c r="L226" s="2">
        <v>0.41</v>
      </c>
      <c r="O226" s="1" t="s">
        <v>20</v>
      </c>
      <c r="P226" s="2">
        <v>74.56</v>
      </c>
      <c r="Q226" s="2">
        <v>72.67</v>
      </c>
      <c r="R226" s="2">
        <v>63.02</v>
      </c>
      <c r="S226" s="2">
        <v>61.27</v>
      </c>
    </row>
    <row r="229" spans="8:19" x14ac:dyDescent="0.35">
      <c r="H229" t="s">
        <v>66</v>
      </c>
    </row>
    <row r="230" spans="8:19" x14ac:dyDescent="0.35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5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5">
      <c r="H232" s="1" t="s">
        <v>12</v>
      </c>
    </row>
    <row r="233" spans="8:19" x14ac:dyDescent="0.35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5">
      <c r="H234" s="1" t="s">
        <v>14</v>
      </c>
      <c r="I234" s="2">
        <v>0.75</v>
      </c>
      <c r="J234" s="2">
        <v>0.82</v>
      </c>
      <c r="K234" s="2">
        <v>0.92</v>
      </c>
      <c r="L234" s="2">
        <v>0.61</v>
      </c>
    </row>
    <row r="235" spans="8:19" x14ac:dyDescent="0.35">
      <c r="H235" s="1" t="s">
        <v>15</v>
      </c>
      <c r="I235" s="2">
        <v>0.8</v>
      </c>
      <c r="J235" s="2">
        <v>0.74</v>
      </c>
      <c r="K235" s="2">
        <v>0.9</v>
      </c>
      <c r="L235" s="2">
        <v>0.61</v>
      </c>
    </row>
    <row r="236" spans="8:19" x14ac:dyDescent="0.35">
      <c r="H236" s="1" t="s">
        <v>16</v>
      </c>
      <c r="I236" s="2">
        <v>0.73</v>
      </c>
      <c r="J236" s="2">
        <v>0.77</v>
      </c>
      <c r="K236" s="2">
        <v>0.87</v>
      </c>
      <c r="L236" s="2">
        <v>0.56000000000000005</v>
      </c>
    </row>
    <row r="237" spans="8:19" x14ac:dyDescent="0.35">
      <c r="H237" s="1" t="s">
        <v>17</v>
      </c>
      <c r="I237" s="2">
        <v>0.63</v>
      </c>
      <c r="J237" s="2">
        <v>0.55000000000000004</v>
      </c>
      <c r="K237" s="2">
        <v>0.79</v>
      </c>
      <c r="L237" s="2">
        <v>0.72</v>
      </c>
    </row>
    <row r="238" spans="8:19" x14ac:dyDescent="0.35">
      <c r="H238" s="1" t="s">
        <v>18</v>
      </c>
      <c r="I238" s="2">
        <v>0.5</v>
      </c>
      <c r="J238" s="2">
        <v>0.57999999999999996</v>
      </c>
      <c r="K238" s="2">
        <v>0.73</v>
      </c>
      <c r="L238" s="2">
        <v>0.72</v>
      </c>
    </row>
    <row r="239" spans="8:19" x14ac:dyDescent="0.35">
      <c r="H239" s="1" t="s">
        <v>19</v>
      </c>
      <c r="I239" s="2">
        <v>0.77</v>
      </c>
      <c r="J239" s="2">
        <v>0.77</v>
      </c>
      <c r="K239" s="2">
        <v>0.84</v>
      </c>
      <c r="L239" s="2">
        <v>0.89</v>
      </c>
    </row>
    <row r="240" spans="8:19" x14ac:dyDescent="0.35">
      <c r="H240" s="1" t="s">
        <v>20</v>
      </c>
      <c r="I240" s="2">
        <v>0.97</v>
      </c>
      <c r="J240" s="2">
        <v>0.98</v>
      </c>
      <c r="K240" s="2">
        <v>0</v>
      </c>
      <c r="L240" s="2">
        <v>0</v>
      </c>
    </row>
  </sheetData>
  <mergeCells count="18">
    <mergeCell ref="I90:J90"/>
    <mergeCell ref="I174:J174"/>
    <mergeCell ref="P90:Q90"/>
    <mergeCell ref="P174:Q174"/>
    <mergeCell ref="I118:J118"/>
    <mergeCell ref="I146:J146"/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</mergeCells>
  <conditionalFormatting sqref="C45:F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topLeftCell="B1" workbookViewId="0">
      <selection activeCell="D47" sqref="D47"/>
    </sheetView>
  </sheetViews>
  <sheetFormatPr defaultRowHeight="14.5" x14ac:dyDescent="0.35"/>
  <cols>
    <col min="3" max="3" width="12" bestFit="1" customWidth="1"/>
    <col min="4" max="6" width="11.81640625" bestFit="1" customWidth="1"/>
  </cols>
  <sheetData>
    <row r="1" spans="2:26" x14ac:dyDescent="0.35">
      <c r="B1" t="s">
        <v>0</v>
      </c>
    </row>
    <row r="2" spans="2:26" x14ac:dyDescent="0.35">
      <c r="C2" s="1" t="s">
        <v>1</v>
      </c>
      <c r="D2" s="1" t="s">
        <v>2</v>
      </c>
    </row>
    <row r="3" spans="2:26" x14ac:dyDescent="0.35">
      <c r="B3" s="1" t="s">
        <v>3</v>
      </c>
      <c r="C3">
        <v>2.8</v>
      </c>
      <c r="D3">
        <v>2.5</v>
      </c>
    </row>
    <row r="5" spans="2:26" x14ac:dyDescent="0.35">
      <c r="B5" t="s">
        <v>4</v>
      </c>
      <c r="H5" t="s">
        <v>5</v>
      </c>
      <c r="O5" t="s">
        <v>6</v>
      </c>
      <c r="V5" t="s">
        <v>7</v>
      </c>
    </row>
    <row r="6" spans="2:26" x14ac:dyDescent="0.35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5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5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5">
      <c r="B9" s="1" t="s">
        <v>13</v>
      </c>
      <c r="C9" s="2">
        <v>0.54</v>
      </c>
      <c r="D9" s="2">
        <v>0.37</v>
      </c>
      <c r="E9" s="2">
        <v>0.37</v>
      </c>
      <c r="F9" s="2">
        <v>0.37</v>
      </c>
      <c r="H9" s="1" t="s">
        <v>13</v>
      </c>
      <c r="I9" s="2">
        <v>7237.39</v>
      </c>
      <c r="J9" s="2">
        <v>2920.55</v>
      </c>
      <c r="K9" s="2">
        <v>2776.46</v>
      </c>
      <c r="L9" s="2">
        <v>2226</v>
      </c>
      <c r="O9" s="1" t="s">
        <v>13</v>
      </c>
      <c r="P9" s="2">
        <v>65605.91</v>
      </c>
      <c r="Q9" s="2">
        <v>56361.81</v>
      </c>
      <c r="R9" s="2">
        <v>53111.8</v>
      </c>
      <c r="S9" s="2">
        <v>42987</v>
      </c>
      <c r="V9" s="1" t="s">
        <v>13</v>
      </c>
      <c r="W9" s="2">
        <v>72843.3</v>
      </c>
      <c r="X9" s="2">
        <v>59282.36</v>
      </c>
      <c r="Y9" s="2">
        <v>55888.26</v>
      </c>
      <c r="Z9" s="2">
        <v>45213</v>
      </c>
    </row>
    <row r="10" spans="2:26" x14ac:dyDescent="0.35">
      <c r="B10" s="1" t="s">
        <v>14</v>
      </c>
      <c r="C10" s="2">
        <v>1.6</v>
      </c>
      <c r="D10" s="2">
        <v>1.51</v>
      </c>
      <c r="E10" s="2">
        <v>0.57999999999999996</v>
      </c>
      <c r="F10" s="2">
        <v>1.8</v>
      </c>
      <c r="H10" s="1" t="s">
        <v>14</v>
      </c>
      <c r="I10" s="2">
        <v>3939.36</v>
      </c>
      <c r="J10" s="2">
        <v>2906.75</v>
      </c>
      <c r="K10" s="2">
        <v>3239.29</v>
      </c>
      <c r="L10" s="2">
        <v>2066.62</v>
      </c>
      <c r="O10" s="1" t="s">
        <v>14</v>
      </c>
      <c r="P10" s="2">
        <v>24453.48</v>
      </c>
      <c r="Q10" s="2">
        <v>18162.84</v>
      </c>
      <c r="R10" s="2">
        <v>19701.07</v>
      </c>
      <c r="S10" s="2">
        <v>9996.84</v>
      </c>
      <c r="V10" s="1" t="s">
        <v>14</v>
      </c>
      <c r="W10" s="2">
        <v>28392.84</v>
      </c>
      <c r="X10" s="2">
        <v>21069.59</v>
      </c>
      <c r="Y10" s="2">
        <v>22940.36</v>
      </c>
      <c r="Z10" s="2">
        <v>12063.46</v>
      </c>
    </row>
    <row r="11" spans="2:26" x14ac:dyDescent="0.35">
      <c r="B11" s="1" t="s">
        <v>15</v>
      </c>
      <c r="C11" s="2">
        <v>3.06</v>
      </c>
      <c r="D11" s="2">
        <v>1.8</v>
      </c>
      <c r="E11" s="2">
        <v>1.21</v>
      </c>
      <c r="F11" s="2">
        <v>1.8</v>
      </c>
      <c r="H11" s="1" t="s">
        <v>15</v>
      </c>
      <c r="I11" s="2">
        <v>8689.39</v>
      </c>
      <c r="J11" s="2">
        <v>15225.51</v>
      </c>
      <c r="K11" s="2">
        <v>10591.86</v>
      </c>
      <c r="L11" s="2">
        <v>14178.3</v>
      </c>
      <c r="O11" s="1" t="s">
        <v>15</v>
      </c>
      <c r="P11" s="2">
        <v>55035.7</v>
      </c>
      <c r="Q11" s="2">
        <v>60078.12</v>
      </c>
      <c r="R11" s="2">
        <v>68722.070000000007</v>
      </c>
      <c r="S11" s="2">
        <v>39950.89</v>
      </c>
      <c r="V11" s="1" t="s">
        <v>15</v>
      </c>
      <c r="W11" s="2">
        <v>63725.09</v>
      </c>
      <c r="X11" s="2">
        <v>75303.63</v>
      </c>
      <c r="Y11" s="2">
        <v>79313.919999999998</v>
      </c>
      <c r="Z11" s="2">
        <v>54129.19</v>
      </c>
    </row>
    <row r="12" spans="2:26" x14ac:dyDescent="0.35">
      <c r="B12" s="1" t="s">
        <v>16</v>
      </c>
      <c r="C12" s="2">
        <v>1.8</v>
      </c>
      <c r="D12" s="2">
        <v>1.8</v>
      </c>
      <c r="E12" s="2">
        <v>1.01</v>
      </c>
      <c r="F12" s="2">
        <v>1.8</v>
      </c>
      <c r="H12" s="1" t="s">
        <v>16</v>
      </c>
      <c r="I12" s="2">
        <v>3308.11</v>
      </c>
      <c r="J12" s="2">
        <v>2917.74</v>
      </c>
      <c r="K12" s="2">
        <v>3075.3</v>
      </c>
      <c r="L12" s="2">
        <v>4503.16</v>
      </c>
      <c r="O12" s="1" t="s">
        <v>16</v>
      </c>
      <c r="P12" s="2">
        <v>17767.759999999998</v>
      </c>
      <c r="Q12" s="2">
        <v>16636.990000000002</v>
      </c>
      <c r="R12" s="2">
        <v>21589.79</v>
      </c>
      <c r="S12" s="2">
        <v>21917.14</v>
      </c>
      <c r="V12" s="1" t="s">
        <v>16</v>
      </c>
      <c r="W12" s="2">
        <v>21075.87</v>
      </c>
      <c r="X12" s="2">
        <v>19554.740000000002</v>
      </c>
      <c r="Y12" s="2">
        <v>24665.09</v>
      </c>
      <c r="Z12" s="2">
        <v>26420.31</v>
      </c>
    </row>
    <row r="13" spans="2:26" x14ac:dyDescent="0.35">
      <c r="B13" s="1" t="s">
        <v>17</v>
      </c>
      <c r="C13" s="2">
        <v>1.8</v>
      </c>
      <c r="D13" s="2">
        <v>1.8</v>
      </c>
      <c r="E13" s="2">
        <v>1.68</v>
      </c>
      <c r="F13" s="2">
        <v>1.8</v>
      </c>
      <c r="H13" s="1" t="s">
        <v>17</v>
      </c>
      <c r="I13" s="2">
        <v>19525.75</v>
      </c>
      <c r="J13" s="2">
        <v>19376</v>
      </c>
      <c r="K13" s="2">
        <v>13657.28</v>
      </c>
      <c r="L13" s="2">
        <v>16637.88</v>
      </c>
      <c r="O13" s="1" t="s">
        <v>17</v>
      </c>
      <c r="P13" s="2">
        <v>100314.25</v>
      </c>
      <c r="Q13" s="2">
        <v>97013.86</v>
      </c>
      <c r="R13" s="2">
        <v>92495.22</v>
      </c>
      <c r="S13" s="2">
        <v>90607.12</v>
      </c>
      <c r="V13" s="1" t="s">
        <v>17</v>
      </c>
      <c r="W13" s="2">
        <v>119840</v>
      </c>
      <c r="X13" s="2">
        <v>116389.87</v>
      </c>
      <c r="Y13" s="2">
        <v>106152.5</v>
      </c>
      <c r="Z13" s="2">
        <v>107245</v>
      </c>
    </row>
    <row r="14" spans="2:26" x14ac:dyDescent="0.35">
      <c r="B14" s="1" t="s">
        <v>18</v>
      </c>
      <c r="C14" s="2">
        <v>2.46</v>
      </c>
      <c r="D14" s="2">
        <v>1.8</v>
      </c>
      <c r="E14" s="2">
        <v>1.53</v>
      </c>
      <c r="F14" s="2">
        <v>1.33</v>
      </c>
      <c r="H14" s="1" t="s">
        <v>18</v>
      </c>
      <c r="I14" s="2">
        <v>3774.5</v>
      </c>
      <c r="J14" s="2">
        <v>3140.25</v>
      </c>
      <c r="K14" s="2">
        <v>3795.48</v>
      </c>
      <c r="L14" s="2">
        <v>4263.6499999999996</v>
      </c>
      <c r="O14" s="1" t="s">
        <v>18</v>
      </c>
      <c r="P14" s="2">
        <v>21089.5</v>
      </c>
      <c r="Q14" s="2">
        <v>11807.9</v>
      </c>
      <c r="R14" s="2">
        <v>21179.41</v>
      </c>
      <c r="S14" s="2">
        <v>21331.759999999998</v>
      </c>
      <c r="V14" s="1" t="s">
        <v>18</v>
      </c>
      <c r="W14" s="2">
        <v>24864</v>
      </c>
      <c r="X14" s="2">
        <v>14948.15</v>
      </c>
      <c r="Y14" s="2">
        <v>24974.9</v>
      </c>
      <c r="Z14" s="2">
        <v>25595.41</v>
      </c>
    </row>
    <row r="15" spans="2:26" x14ac:dyDescent="0.35">
      <c r="B15" s="1" t="s">
        <v>19</v>
      </c>
      <c r="C15" s="2">
        <v>1.8</v>
      </c>
      <c r="D15" s="2">
        <v>1.8</v>
      </c>
      <c r="E15" s="2">
        <v>1.97</v>
      </c>
      <c r="F15" s="2">
        <v>1.36</v>
      </c>
      <c r="H15" s="1" t="s">
        <v>19</v>
      </c>
      <c r="I15" s="2">
        <v>11521.47</v>
      </c>
      <c r="J15" s="2">
        <v>12964.67</v>
      </c>
      <c r="K15" s="2">
        <v>9879.2900000000009</v>
      </c>
      <c r="L15" s="2">
        <v>10641</v>
      </c>
      <c r="O15" s="1" t="s">
        <v>19</v>
      </c>
      <c r="P15" s="2">
        <v>35459.94</v>
      </c>
      <c r="Q15" s="2">
        <v>43806.18</v>
      </c>
      <c r="R15" s="2">
        <v>53747.34</v>
      </c>
      <c r="S15" s="2">
        <v>56165.81</v>
      </c>
      <c r="V15" s="1" t="s">
        <v>19</v>
      </c>
      <c r="W15" s="2">
        <v>46981.41</v>
      </c>
      <c r="X15" s="2">
        <v>56770.85</v>
      </c>
      <c r="Y15" s="2">
        <v>63626.62</v>
      </c>
      <c r="Z15" s="2">
        <v>66806.81</v>
      </c>
    </row>
    <row r="16" spans="2:26" x14ac:dyDescent="0.35">
      <c r="B16" s="1" t="s">
        <v>20</v>
      </c>
      <c r="C16" s="2">
        <v>0.69</v>
      </c>
      <c r="D16" s="2">
        <v>0.41</v>
      </c>
      <c r="E16" s="2">
        <v>0.37</v>
      </c>
      <c r="F16" s="2">
        <v>0.2</v>
      </c>
      <c r="H16" s="1" t="s">
        <v>20</v>
      </c>
      <c r="I16" s="2">
        <v>6144.78</v>
      </c>
      <c r="J16" s="2">
        <v>7325.82</v>
      </c>
      <c r="K16" s="2">
        <v>3447.34</v>
      </c>
      <c r="L16" s="2">
        <v>5491.96</v>
      </c>
      <c r="O16" s="1" t="s">
        <v>20</v>
      </c>
      <c r="P16" s="2">
        <v>37172.25</v>
      </c>
      <c r="Q16" s="2">
        <v>39772.14</v>
      </c>
      <c r="R16" s="2">
        <v>29250</v>
      </c>
      <c r="S16" s="2">
        <v>30152.28</v>
      </c>
      <c r="V16" s="1" t="s">
        <v>20</v>
      </c>
      <c r="W16" s="2">
        <v>43317.04</v>
      </c>
      <c r="X16" s="2">
        <v>47097.96</v>
      </c>
      <c r="Y16" s="2">
        <v>32697.34</v>
      </c>
      <c r="Z16" s="2">
        <v>35644.239999999998</v>
      </c>
    </row>
    <row r="19" spans="2:26" x14ac:dyDescent="0.35">
      <c r="B19" t="s">
        <v>21</v>
      </c>
      <c r="H19" t="s">
        <v>22</v>
      </c>
      <c r="O19" t="s">
        <v>23</v>
      </c>
      <c r="V19" t="s">
        <v>24</v>
      </c>
    </row>
    <row r="20" spans="2:26" x14ac:dyDescent="0.35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5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5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5">
      <c r="B23" s="1" t="s">
        <v>13</v>
      </c>
      <c r="C23" s="2">
        <v>0.1</v>
      </c>
      <c r="D23" s="2">
        <v>0.05</v>
      </c>
      <c r="E23" s="2">
        <v>0.05</v>
      </c>
      <c r="F23" s="2">
        <v>0.05</v>
      </c>
      <c r="H23" s="1" t="s">
        <v>13</v>
      </c>
      <c r="I23" s="2">
        <v>2584.7800000000002</v>
      </c>
      <c r="J23" s="2">
        <v>1043.05</v>
      </c>
      <c r="K23" s="2">
        <v>1110.58</v>
      </c>
      <c r="L23" s="2">
        <v>890.4</v>
      </c>
      <c r="O23" s="1" t="s">
        <v>13</v>
      </c>
      <c r="P23" s="2">
        <v>23430.68</v>
      </c>
      <c r="Q23" s="2">
        <v>20129.22</v>
      </c>
      <c r="R23" s="2">
        <v>21244.720000000001</v>
      </c>
      <c r="S23" s="2">
        <v>17194.8</v>
      </c>
      <c r="V23" s="1" t="s">
        <v>13</v>
      </c>
      <c r="W23" s="2">
        <v>26015.47</v>
      </c>
      <c r="X23" s="2">
        <v>21172.27</v>
      </c>
      <c r="Y23" s="2">
        <v>22355.3</v>
      </c>
      <c r="Z23" s="2">
        <v>18085.2</v>
      </c>
    </row>
    <row r="24" spans="2:26" x14ac:dyDescent="0.35">
      <c r="B24" s="1" t="s">
        <v>14</v>
      </c>
      <c r="C24" s="2">
        <v>0.16</v>
      </c>
      <c r="D24" s="2">
        <v>0.17</v>
      </c>
      <c r="E24" s="2">
        <v>0.16</v>
      </c>
      <c r="F24" s="2">
        <v>0.21</v>
      </c>
      <c r="H24" s="1" t="s">
        <v>14</v>
      </c>
      <c r="I24" s="2">
        <v>1406.91</v>
      </c>
      <c r="J24" s="2">
        <v>1038.1300000000001</v>
      </c>
      <c r="K24" s="2">
        <v>1295.72</v>
      </c>
      <c r="L24" s="2">
        <v>826.65</v>
      </c>
      <c r="O24" s="1" t="s">
        <v>14</v>
      </c>
      <c r="P24" s="2">
        <v>8733.39</v>
      </c>
      <c r="Q24" s="2">
        <v>6486.73</v>
      </c>
      <c r="R24" s="2">
        <v>7880.43</v>
      </c>
      <c r="S24" s="2">
        <v>3998.73</v>
      </c>
      <c r="V24" s="1" t="s">
        <v>14</v>
      </c>
      <c r="W24" s="2">
        <v>10140.299999999999</v>
      </c>
      <c r="X24" s="2">
        <v>7524.86</v>
      </c>
      <c r="Y24" s="2">
        <v>9176.14</v>
      </c>
      <c r="Z24" s="2">
        <v>4825.38</v>
      </c>
    </row>
    <row r="25" spans="2:26" x14ac:dyDescent="0.35">
      <c r="B25" s="1" t="s">
        <v>15</v>
      </c>
      <c r="C25" s="2">
        <v>0.16</v>
      </c>
      <c r="D25" s="2">
        <v>0.25</v>
      </c>
      <c r="E25" s="2">
        <v>0.16</v>
      </c>
      <c r="F25" s="2">
        <v>0.28999999999999998</v>
      </c>
      <c r="H25" s="1" t="s">
        <v>15</v>
      </c>
      <c r="I25" s="2">
        <v>3103.35</v>
      </c>
      <c r="J25" s="2">
        <v>5437.68</v>
      </c>
      <c r="K25" s="2">
        <v>4236.74</v>
      </c>
      <c r="L25" s="2">
        <v>5671.32</v>
      </c>
      <c r="O25" s="1" t="s">
        <v>15</v>
      </c>
      <c r="P25" s="2">
        <v>19655.61</v>
      </c>
      <c r="Q25" s="2">
        <v>21456.47</v>
      </c>
      <c r="R25" s="2">
        <v>27488.83</v>
      </c>
      <c r="S25" s="2">
        <v>15980.36</v>
      </c>
      <c r="V25" s="1" t="s">
        <v>15</v>
      </c>
      <c r="W25" s="2">
        <v>22758.959999999999</v>
      </c>
      <c r="X25" s="2">
        <v>26894.15</v>
      </c>
      <c r="Y25" s="2">
        <v>31725.57</v>
      </c>
      <c r="Z25" s="2">
        <v>21651.68</v>
      </c>
    </row>
    <row r="26" spans="2:26" x14ac:dyDescent="0.35">
      <c r="B26" s="1" t="s">
        <v>16</v>
      </c>
      <c r="C26" s="2">
        <v>0.2</v>
      </c>
      <c r="D26" s="2">
        <v>0.19</v>
      </c>
      <c r="E26" s="2">
        <v>0.16</v>
      </c>
      <c r="F26" s="2">
        <v>0.21</v>
      </c>
      <c r="H26" s="1" t="s">
        <v>16</v>
      </c>
      <c r="I26" s="2">
        <v>1181.47</v>
      </c>
      <c r="J26" s="2">
        <v>1042.05</v>
      </c>
      <c r="K26" s="2">
        <v>1230.1199999999999</v>
      </c>
      <c r="L26" s="2">
        <v>1801.27</v>
      </c>
      <c r="O26" s="1" t="s">
        <v>16</v>
      </c>
      <c r="P26" s="2">
        <v>6345.63</v>
      </c>
      <c r="Q26" s="2">
        <v>5941.78</v>
      </c>
      <c r="R26" s="2">
        <v>8635.91</v>
      </c>
      <c r="S26" s="2">
        <v>8766.86</v>
      </c>
      <c r="V26" s="1" t="s">
        <v>16</v>
      </c>
      <c r="W26" s="2">
        <v>7527.09</v>
      </c>
      <c r="X26" s="2">
        <v>6983.83</v>
      </c>
      <c r="Y26" s="2">
        <v>9866.0300000000007</v>
      </c>
      <c r="Z26" s="2">
        <v>10568.12</v>
      </c>
    </row>
    <row r="27" spans="2:26" x14ac:dyDescent="0.35">
      <c r="B27" s="1" t="s">
        <v>17</v>
      </c>
      <c r="C27" s="2">
        <v>0.21</v>
      </c>
      <c r="D27" s="2">
        <v>0.21</v>
      </c>
      <c r="E27" s="2">
        <v>0.16</v>
      </c>
      <c r="F27" s="2">
        <v>0.19</v>
      </c>
      <c r="H27" s="1" t="s">
        <v>17</v>
      </c>
      <c r="I27" s="2">
        <v>6973.48</v>
      </c>
      <c r="J27" s="2">
        <v>6920</v>
      </c>
      <c r="K27" s="2">
        <v>5462.91</v>
      </c>
      <c r="L27" s="2">
        <v>6655.15</v>
      </c>
      <c r="O27" s="1" t="s">
        <v>17</v>
      </c>
      <c r="P27" s="2">
        <v>35826.519999999997</v>
      </c>
      <c r="Q27" s="2">
        <v>34647.81</v>
      </c>
      <c r="R27" s="2">
        <v>36998.089999999997</v>
      </c>
      <c r="S27" s="2">
        <v>36242.85</v>
      </c>
      <c r="V27" s="1" t="s">
        <v>17</v>
      </c>
      <c r="W27" s="2">
        <v>42800</v>
      </c>
      <c r="X27" s="2">
        <v>41567.81</v>
      </c>
      <c r="Y27" s="2">
        <v>42461</v>
      </c>
      <c r="Z27" s="2">
        <v>42898</v>
      </c>
    </row>
    <row r="28" spans="2:26" x14ac:dyDescent="0.35">
      <c r="B28" s="1" t="s">
        <v>18</v>
      </c>
      <c r="C28" s="2">
        <v>0.19</v>
      </c>
      <c r="D28" s="2">
        <v>0.25</v>
      </c>
      <c r="E28" s="2">
        <v>0.19</v>
      </c>
      <c r="F28" s="2">
        <v>0.2</v>
      </c>
      <c r="H28" s="1" t="s">
        <v>18</v>
      </c>
      <c r="I28" s="2">
        <v>1348.03</v>
      </c>
      <c r="J28" s="2">
        <v>1121.52</v>
      </c>
      <c r="K28" s="2">
        <v>1518.19</v>
      </c>
      <c r="L28" s="2">
        <v>1705.46</v>
      </c>
      <c r="O28" s="1" t="s">
        <v>18</v>
      </c>
      <c r="P28" s="2">
        <v>7531.97</v>
      </c>
      <c r="Q28" s="2">
        <v>4217.1099999999997</v>
      </c>
      <c r="R28" s="2">
        <v>8471.76</v>
      </c>
      <c r="S28" s="2">
        <v>8532.7000000000007</v>
      </c>
      <c r="V28" s="1" t="s">
        <v>18</v>
      </c>
      <c r="W28" s="2">
        <v>8880</v>
      </c>
      <c r="X28" s="2">
        <v>5338.62</v>
      </c>
      <c r="Y28" s="2">
        <v>9989.9599999999991</v>
      </c>
      <c r="Z28" s="2">
        <v>10238.16</v>
      </c>
    </row>
    <row r="29" spans="2:26" x14ac:dyDescent="0.35">
      <c r="B29" s="1" t="s">
        <v>19</v>
      </c>
      <c r="C29" s="2">
        <v>0.31</v>
      </c>
      <c r="D29" s="2">
        <v>0.28000000000000003</v>
      </c>
      <c r="E29" s="2">
        <v>0.2</v>
      </c>
      <c r="F29" s="2">
        <v>0.2</v>
      </c>
      <c r="H29" s="1" t="s">
        <v>19</v>
      </c>
      <c r="I29" s="2">
        <v>4114.8100000000004</v>
      </c>
      <c r="J29" s="2">
        <v>4630.24</v>
      </c>
      <c r="K29" s="2">
        <v>3951.72</v>
      </c>
      <c r="L29" s="2">
        <v>4256.3999999999996</v>
      </c>
      <c r="O29" s="1" t="s">
        <v>19</v>
      </c>
      <c r="P29" s="2">
        <v>12664.26</v>
      </c>
      <c r="Q29" s="2">
        <v>15645.07</v>
      </c>
      <c r="R29" s="2">
        <v>21498.93</v>
      </c>
      <c r="S29" s="2">
        <v>22466.32</v>
      </c>
      <c r="V29" s="1" t="s">
        <v>19</v>
      </c>
      <c r="W29" s="2">
        <v>16779.07</v>
      </c>
      <c r="X29" s="2">
        <v>20275.3</v>
      </c>
      <c r="Y29" s="2">
        <v>25450.65</v>
      </c>
      <c r="Z29" s="2">
        <v>26722.720000000001</v>
      </c>
    </row>
    <row r="30" spans="2:26" x14ac:dyDescent="0.35">
      <c r="B30" s="1" t="s">
        <v>20</v>
      </c>
      <c r="C30" s="2">
        <v>0.2</v>
      </c>
      <c r="D30" s="2">
        <v>0.21</v>
      </c>
      <c r="E30" s="2">
        <v>0.14000000000000001</v>
      </c>
      <c r="F30" s="2">
        <v>0.2</v>
      </c>
      <c r="H30" s="1" t="s">
        <v>20</v>
      </c>
      <c r="I30" s="2">
        <v>2194.5700000000002</v>
      </c>
      <c r="J30" s="2">
        <v>2616.36</v>
      </c>
      <c r="K30" s="2">
        <v>1378.93</v>
      </c>
      <c r="L30" s="2">
        <v>2196.7800000000002</v>
      </c>
      <c r="O30" s="1" t="s">
        <v>20</v>
      </c>
      <c r="P30" s="2">
        <v>13275.8</v>
      </c>
      <c r="Q30" s="2">
        <v>14204.34</v>
      </c>
      <c r="R30" s="2">
        <v>11700</v>
      </c>
      <c r="S30" s="2">
        <v>12060.91</v>
      </c>
      <c r="V30" s="1" t="s">
        <v>20</v>
      </c>
      <c r="W30" s="2">
        <v>15470.37</v>
      </c>
      <c r="X30" s="2">
        <v>16820.7</v>
      </c>
      <c r="Y30" s="2">
        <v>13078.94</v>
      </c>
      <c r="Z30" s="2">
        <v>14257.7</v>
      </c>
    </row>
    <row r="33" spans="2:26" x14ac:dyDescent="0.35">
      <c r="B33" t="s">
        <v>25</v>
      </c>
      <c r="H33" t="s">
        <v>26</v>
      </c>
      <c r="O33" t="s">
        <v>27</v>
      </c>
      <c r="V33" t="s">
        <v>28</v>
      </c>
    </row>
    <row r="34" spans="2:26" x14ac:dyDescent="0.35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5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5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5">
      <c r="B37" s="1" t="s">
        <v>13</v>
      </c>
      <c r="C37" s="2">
        <v>3908.19</v>
      </c>
      <c r="D37" s="2">
        <v>1080.5899999999999</v>
      </c>
      <c r="E37" s="2">
        <v>1027.28</v>
      </c>
      <c r="F37" s="2">
        <v>823.61</v>
      </c>
      <c r="H37" s="1" t="s">
        <v>13</v>
      </c>
      <c r="I37" s="2">
        <v>369.25</v>
      </c>
      <c r="J37" s="2">
        <v>149.01</v>
      </c>
      <c r="K37" s="2">
        <v>158.65</v>
      </c>
      <c r="L37" s="2">
        <v>127.2</v>
      </c>
      <c r="O37" s="1" t="s">
        <v>13</v>
      </c>
      <c r="P37" s="2">
        <v>3347.24</v>
      </c>
      <c r="Q37" s="2">
        <v>2875.6</v>
      </c>
      <c r="R37" s="2">
        <v>3034.96</v>
      </c>
      <c r="S37" s="2">
        <v>2456.4</v>
      </c>
      <c r="V37" s="1" t="s">
        <v>13</v>
      </c>
      <c r="W37" s="2">
        <v>3716.5</v>
      </c>
      <c r="X37" s="2">
        <v>3024.61</v>
      </c>
      <c r="Y37" s="2">
        <v>3193.62</v>
      </c>
      <c r="Z37" s="2">
        <v>2583.6</v>
      </c>
    </row>
    <row r="38" spans="2:26" x14ac:dyDescent="0.35">
      <c r="B38" s="1" t="s">
        <v>14</v>
      </c>
      <c r="C38" s="2">
        <v>6309.98</v>
      </c>
      <c r="D38" s="2">
        <v>4387.67</v>
      </c>
      <c r="E38" s="2">
        <v>1872.47</v>
      </c>
      <c r="F38" s="2">
        <v>3719.91</v>
      </c>
      <c r="H38" s="1" t="s">
        <v>14</v>
      </c>
      <c r="I38" s="2">
        <v>1406.91</v>
      </c>
      <c r="J38" s="2">
        <v>1038.1300000000001</v>
      </c>
      <c r="K38" s="2">
        <v>1295.72</v>
      </c>
      <c r="L38" s="2">
        <v>826.65</v>
      </c>
      <c r="O38" s="1" t="s">
        <v>14</v>
      </c>
      <c r="P38" s="2">
        <v>8733.39</v>
      </c>
      <c r="Q38" s="2">
        <v>6486.73</v>
      </c>
      <c r="R38" s="2">
        <v>7880.43</v>
      </c>
      <c r="S38" s="2">
        <v>3998.73</v>
      </c>
      <c r="V38" s="1" t="s">
        <v>14</v>
      </c>
      <c r="W38" s="2">
        <v>10140.299999999999</v>
      </c>
      <c r="X38" s="2">
        <v>7524.86</v>
      </c>
      <c r="Y38" s="2">
        <v>9176.14</v>
      </c>
      <c r="Z38" s="2">
        <v>4825.38</v>
      </c>
    </row>
    <row r="39" spans="2:26" x14ac:dyDescent="0.35">
      <c r="B39" s="1" t="s">
        <v>15</v>
      </c>
      <c r="C39" s="2">
        <v>26552.04</v>
      </c>
      <c r="D39" s="2">
        <v>27405.91</v>
      </c>
      <c r="E39" s="2">
        <v>12793.66</v>
      </c>
      <c r="F39" s="2">
        <v>25520.95</v>
      </c>
      <c r="H39" s="1" t="s">
        <v>15</v>
      </c>
      <c r="I39" s="2">
        <v>1034.45</v>
      </c>
      <c r="J39" s="2">
        <v>1812.56</v>
      </c>
      <c r="K39" s="2">
        <v>1412.25</v>
      </c>
      <c r="L39" s="2">
        <v>1890.44</v>
      </c>
      <c r="O39" s="1" t="s">
        <v>15</v>
      </c>
      <c r="P39" s="2">
        <v>6551.87</v>
      </c>
      <c r="Q39" s="2">
        <v>7152.16</v>
      </c>
      <c r="R39" s="2">
        <v>9162.94</v>
      </c>
      <c r="S39" s="2">
        <v>5326.79</v>
      </c>
      <c r="V39" s="1" t="s">
        <v>15</v>
      </c>
      <c r="W39" s="2">
        <v>7586.32</v>
      </c>
      <c r="X39" s="2">
        <v>8964.7199999999993</v>
      </c>
      <c r="Y39" s="2">
        <v>10575.19</v>
      </c>
      <c r="Z39" s="2">
        <v>7217.23</v>
      </c>
    </row>
    <row r="40" spans="2:26" x14ac:dyDescent="0.35">
      <c r="B40" s="1" t="s">
        <v>16</v>
      </c>
      <c r="C40" s="2">
        <v>5954.6</v>
      </c>
      <c r="D40" s="2">
        <v>5251.94</v>
      </c>
      <c r="E40" s="2">
        <v>3116.3</v>
      </c>
      <c r="F40" s="2">
        <v>8105.7</v>
      </c>
      <c r="H40" s="1" t="s">
        <v>16</v>
      </c>
      <c r="I40" s="2">
        <v>1181.47</v>
      </c>
      <c r="J40" s="2">
        <v>1042.05</v>
      </c>
      <c r="K40" s="2">
        <v>1230.1199999999999</v>
      </c>
      <c r="L40" s="2">
        <v>1801.27</v>
      </c>
      <c r="O40" s="1" t="s">
        <v>16</v>
      </c>
      <c r="P40" s="2">
        <v>6345.63</v>
      </c>
      <c r="Q40" s="2">
        <v>5941.78</v>
      </c>
      <c r="R40" s="2">
        <v>8635.91</v>
      </c>
      <c r="S40" s="2">
        <v>8766.86</v>
      </c>
      <c r="V40" s="1" t="s">
        <v>16</v>
      </c>
      <c r="W40" s="2">
        <v>7527.09</v>
      </c>
      <c r="X40" s="2">
        <v>6983.83</v>
      </c>
      <c r="Y40" s="2">
        <v>9866.0300000000007</v>
      </c>
      <c r="Z40" s="2">
        <v>10568.12</v>
      </c>
    </row>
    <row r="41" spans="2:26" x14ac:dyDescent="0.35">
      <c r="B41" s="1" t="s">
        <v>17</v>
      </c>
      <c r="C41" s="2">
        <v>35146.35</v>
      </c>
      <c r="D41" s="2">
        <v>34876.81</v>
      </c>
      <c r="E41" s="2">
        <v>22994.45</v>
      </c>
      <c r="F41" s="2">
        <v>29948.19</v>
      </c>
      <c r="H41" s="1" t="s">
        <v>17</v>
      </c>
      <c r="I41" s="2">
        <v>1394.7</v>
      </c>
      <c r="J41" s="2">
        <v>1384</v>
      </c>
      <c r="K41" s="2">
        <v>1092.58</v>
      </c>
      <c r="L41" s="2">
        <v>1331.03</v>
      </c>
      <c r="O41" s="1" t="s">
        <v>17</v>
      </c>
      <c r="P41" s="2">
        <v>7165.3</v>
      </c>
      <c r="Q41" s="2">
        <v>6929.56</v>
      </c>
      <c r="R41" s="2">
        <v>7399.62</v>
      </c>
      <c r="S41" s="2">
        <v>7248.57</v>
      </c>
      <c r="V41" s="1" t="s">
        <v>17</v>
      </c>
      <c r="W41" s="2">
        <v>8560</v>
      </c>
      <c r="X41" s="2">
        <v>8313.56</v>
      </c>
      <c r="Y41" s="2">
        <v>8492.2000000000007</v>
      </c>
      <c r="Z41" s="2">
        <v>8579.6</v>
      </c>
    </row>
    <row r="42" spans="2:26" x14ac:dyDescent="0.35">
      <c r="B42" s="1" t="s">
        <v>18</v>
      </c>
      <c r="C42" s="2">
        <v>9268.2800000000007</v>
      </c>
      <c r="D42" s="2">
        <v>5652.45</v>
      </c>
      <c r="E42" s="2">
        <v>5814.77</v>
      </c>
      <c r="F42" s="2">
        <v>5653.31</v>
      </c>
      <c r="H42" s="1" t="s">
        <v>18</v>
      </c>
      <c r="I42" s="2">
        <v>1348.03</v>
      </c>
      <c r="J42" s="2">
        <v>1121.52</v>
      </c>
      <c r="K42" s="2">
        <v>1518.19</v>
      </c>
      <c r="L42" s="2">
        <v>1705.46</v>
      </c>
      <c r="O42" s="1" t="s">
        <v>18</v>
      </c>
      <c r="P42" s="2">
        <v>7531.97</v>
      </c>
      <c r="Q42" s="2">
        <v>4217.1099999999997</v>
      </c>
      <c r="R42" s="2">
        <v>8471.76</v>
      </c>
      <c r="S42" s="2">
        <v>8532.7000000000007</v>
      </c>
      <c r="V42" s="1" t="s">
        <v>18</v>
      </c>
      <c r="W42" s="2">
        <v>8880</v>
      </c>
      <c r="X42" s="2">
        <v>5338.62</v>
      </c>
      <c r="Y42" s="2">
        <v>9989.9599999999991</v>
      </c>
      <c r="Z42" s="2">
        <v>10238.16</v>
      </c>
    </row>
    <row r="43" spans="2:26" x14ac:dyDescent="0.35">
      <c r="B43" s="1" t="s">
        <v>19</v>
      </c>
      <c r="C43" s="2">
        <v>20738.650000000001</v>
      </c>
      <c r="D43" s="2">
        <v>23336.41</v>
      </c>
      <c r="E43" s="2">
        <v>19488.759999999998</v>
      </c>
      <c r="F43" s="2">
        <v>14458.7</v>
      </c>
      <c r="H43" s="1" t="s">
        <v>19</v>
      </c>
      <c r="I43" s="2">
        <v>1371.6</v>
      </c>
      <c r="J43" s="2">
        <v>1543.41</v>
      </c>
      <c r="K43" s="2">
        <v>1317.24</v>
      </c>
      <c r="L43" s="2">
        <v>1418.8</v>
      </c>
      <c r="O43" s="1" t="s">
        <v>19</v>
      </c>
      <c r="P43" s="2">
        <v>4221.42</v>
      </c>
      <c r="Q43" s="2">
        <v>5215.0200000000004</v>
      </c>
      <c r="R43" s="2">
        <v>7166.31</v>
      </c>
      <c r="S43" s="2">
        <v>7488.77</v>
      </c>
      <c r="V43" s="1" t="s">
        <v>19</v>
      </c>
      <c r="W43" s="2">
        <v>5593.02</v>
      </c>
      <c r="X43" s="2">
        <v>6758.44</v>
      </c>
      <c r="Y43" s="2">
        <v>8483.5499999999993</v>
      </c>
      <c r="Z43" s="2">
        <v>8907.58</v>
      </c>
    </row>
    <row r="44" spans="2:26" x14ac:dyDescent="0.35">
      <c r="B44" s="1" t="s">
        <v>20</v>
      </c>
      <c r="C44" s="2">
        <v>4229.67</v>
      </c>
      <c r="D44" s="2">
        <v>3035.91</v>
      </c>
      <c r="E44" s="2">
        <v>1271.96</v>
      </c>
      <c r="F44" s="2">
        <v>1098.3900000000001</v>
      </c>
      <c r="H44" s="1" t="s">
        <v>20</v>
      </c>
      <c r="I44" s="2">
        <v>731.52</v>
      </c>
      <c r="J44" s="2">
        <v>872.12</v>
      </c>
      <c r="K44" s="2">
        <v>459.64</v>
      </c>
      <c r="L44" s="2">
        <v>732.26</v>
      </c>
      <c r="O44" s="1" t="s">
        <v>20</v>
      </c>
      <c r="P44" s="2">
        <v>4425.2700000000004</v>
      </c>
      <c r="Q44" s="2">
        <v>4734.78</v>
      </c>
      <c r="R44" s="2">
        <v>3900</v>
      </c>
      <c r="S44" s="2">
        <v>4020.3</v>
      </c>
      <c r="V44" s="1" t="s">
        <v>20</v>
      </c>
      <c r="W44" s="2">
        <v>5156.79</v>
      </c>
      <c r="X44" s="2">
        <v>5606.9</v>
      </c>
      <c r="Y44" s="2">
        <v>4359.6400000000003</v>
      </c>
      <c r="Z44" s="2">
        <v>4752.57</v>
      </c>
    </row>
    <row r="45" spans="2:26" x14ac:dyDescent="0.35">
      <c r="C45" s="3">
        <f>SUM(C37:C44)/C3*296</f>
        <v>11851391.771428572</v>
      </c>
      <c r="D45" s="3">
        <f>SUM(D37:D44)/C3*296</f>
        <v>11102927.228571428</v>
      </c>
      <c r="E45" s="3">
        <f>SUM(E37:E44)/D3*296</f>
        <v>8096150.5600000015</v>
      </c>
      <c r="F45" s="3">
        <f>SUM(F37:F44)/D3*296</f>
        <v>10576525.184</v>
      </c>
    </row>
    <row r="46" spans="2:26" x14ac:dyDescent="0.35">
      <c r="C46" s="4"/>
    </row>
    <row r="47" spans="2:26" x14ac:dyDescent="0.35">
      <c r="B47" t="s">
        <v>29</v>
      </c>
      <c r="H47" t="s">
        <v>30</v>
      </c>
      <c r="O47" t="s">
        <v>31</v>
      </c>
      <c r="V47" t="s">
        <v>32</v>
      </c>
    </row>
    <row r="48" spans="2:26" x14ac:dyDescent="0.35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5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5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5">
      <c r="B51" s="1" t="s">
        <v>13</v>
      </c>
      <c r="C51" s="2">
        <v>2084.16</v>
      </c>
      <c r="D51" s="2">
        <v>464.27</v>
      </c>
      <c r="E51" s="2">
        <v>555.79</v>
      </c>
      <c r="F51" s="2">
        <v>351.88</v>
      </c>
      <c r="H51" s="1" t="s">
        <v>13</v>
      </c>
      <c r="I51" s="2">
        <v>0.1</v>
      </c>
      <c r="J51" s="2">
        <v>0.04</v>
      </c>
      <c r="K51" s="2">
        <v>0.04</v>
      </c>
      <c r="L51" s="2">
        <v>0.04</v>
      </c>
      <c r="O51" s="1" t="s">
        <v>13</v>
      </c>
      <c r="P51" s="2">
        <v>0.32</v>
      </c>
      <c r="Q51" s="2">
        <v>0.28000000000000003</v>
      </c>
      <c r="R51" s="2">
        <v>0.27</v>
      </c>
      <c r="S51" s="2">
        <v>0.27</v>
      </c>
      <c r="V51" s="1" t="s">
        <v>13</v>
      </c>
      <c r="W51" s="2">
        <v>0.36</v>
      </c>
      <c r="X51" s="2">
        <v>0.28999999999999998</v>
      </c>
      <c r="Y51" s="2">
        <v>0.28999999999999998</v>
      </c>
      <c r="Z51" s="2">
        <v>0.28999999999999998</v>
      </c>
    </row>
    <row r="52" spans="2:26" x14ac:dyDescent="0.35">
      <c r="B52" s="1" t="s">
        <v>14</v>
      </c>
      <c r="C52" s="2">
        <v>5302.12</v>
      </c>
      <c r="D52" s="2">
        <v>3252.8</v>
      </c>
      <c r="E52" s="2">
        <v>1576.04</v>
      </c>
      <c r="F52" s="2">
        <v>2743.63</v>
      </c>
      <c r="H52" s="1" t="s">
        <v>14</v>
      </c>
      <c r="I52" s="2">
        <v>0.39</v>
      </c>
      <c r="J52" s="2">
        <v>0.28999999999999998</v>
      </c>
      <c r="K52" s="2">
        <v>0.36</v>
      </c>
      <c r="L52" s="2">
        <v>0.23</v>
      </c>
      <c r="O52" s="1" t="s">
        <v>14</v>
      </c>
      <c r="P52" s="2">
        <v>0.84</v>
      </c>
      <c r="Q52" s="2">
        <v>0.8</v>
      </c>
      <c r="R52" s="2">
        <v>0.61</v>
      </c>
      <c r="S52" s="2">
        <v>0.85</v>
      </c>
      <c r="V52" s="1" t="s">
        <v>14</v>
      </c>
      <c r="W52" s="2">
        <v>0.98</v>
      </c>
      <c r="X52" s="2">
        <v>0.92</v>
      </c>
      <c r="Y52" s="2">
        <v>0.71</v>
      </c>
      <c r="Z52" s="2">
        <v>1.03</v>
      </c>
    </row>
    <row r="53" spans="2:26" x14ac:dyDescent="0.35">
      <c r="B53" s="1" t="s">
        <v>15</v>
      </c>
      <c r="C53" s="2">
        <v>21461.55</v>
      </c>
      <c r="D53" s="2">
        <v>20412.009999999998</v>
      </c>
      <c r="E53" s="2">
        <v>10328.969999999999</v>
      </c>
      <c r="F53" s="2">
        <v>16703.009999999998</v>
      </c>
      <c r="H53" s="1" t="s">
        <v>15</v>
      </c>
      <c r="I53" s="2">
        <v>0.28999999999999998</v>
      </c>
      <c r="J53" s="2">
        <v>0.5</v>
      </c>
      <c r="K53" s="2">
        <v>0.39</v>
      </c>
      <c r="L53" s="2">
        <v>0.53</v>
      </c>
      <c r="O53" s="1" t="s">
        <v>15</v>
      </c>
      <c r="P53" s="2">
        <v>0.91</v>
      </c>
      <c r="Q53" s="2">
        <v>0.89</v>
      </c>
      <c r="R53" s="2">
        <v>0.7</v>
      </c>
      <c r="S53" s="2">
        <v>0.94</v>
      </c>
      <c r="V53" s="1" t="s">
        <v>15</v>
      </c>
      <c r="W53" s="2">
        <v>1.05</v>
      </c>
      <c r="X53" s="2">
        <v>1.1200000000000001</v>
      </c>
      <c r="Y53" s="2">
        <v>0.81</v>
      </c>
      <c r="Z53" s="2">
        <v>1.27</v>
      </c>
    </row>
    <row r="54" spans="2:26" x14ac:dyDescent="0.35">
      <c r="B54" s="1" t="s">
        <v>16</v>
      </c>
      <c r="C54" s="2">
        <v>4332.7299999999996</v>
      </c>
      <c r="D54" s="2">
        <v>3757.09</v>
      </c>
      <c r="E54" s="2">
        <v>2284.06</v>
      </c>
      <c r="F54" s="2">
        <v>5765.97</v>
      </c>
      <c r="H54" s="1" t="s">
        <v>16</v>
      </c>
      <c r="I54" s="2">
        <v>0.33</v>
      </c>
      <c r="J54" s="2">
        <v>0.28999999999999998</v>
      </c>
      <c r="K54" s="2">
        <v>0.34</v>
      </c>
      <c r="L54" s="2">
        <v>0.5</v>
      </c>
      <c r="O54" s="1" t="s">
        <v>16</v>
      </c>
      <c r="P54" s="2">
        <v>0.88</v>
      </c>
      <c r="Q54" s="2">
        <v>0.86</v>
      </c>
      <c r="R54" s="2">
        <v>0.72</v>
      </c>
      <c r="S54" s="2">
        <v>0.92</v>
      </c>
      <c r="V54" s="1" t="s">
        <v>16</v>
      </c>
      <c r="W54" s="2">
        <v>1.04</v>
      </c>
      <c r="X54" s="2">
        <v>1.01</v>
      </c>
      <c r="Y54" s="2">
        <v>0.82</v>
      </c>
      <c r="Z54" s="2">
        <v>1.1100000000000001</v>
      </c>
    </row>
    <row r="55" spans="2:26" x14ac:dyDescent="0.35">
      <c r="B55" s="1" t="s">
        <v>17</v>
      </c>
      <c r="C55" s="2">
        <v>26250.05</v>
      </c>
      <c r="D55" s="2">
        <v>26515.1</v>
      </c>
      <c r="E55" s="2">
        <v>17289.88</v>
      </c>
      <c r="F55" s="2">
        <v>22832.14</v>
      </c>
      <c r="H55" s="1" t="s">
        <v>17</v>
      </c>
      <c r="I55" s="2">
        <v>0.39</v>
      </c>
      <c r="J55" s="2">
        <v>0.38</v>
      </c>
      <c r="K55" s="2">
        <v>0.3</v>
      </c>
      <c r="L55" s="2">
        <v>0.37</v>
      </c>
      <c r="O55" s="1" t="s">
        <v>17</v>
      </c>
      <c r="P55" s="2">
        <v>0.9</v>
      </c>
      <c r="Q55" s="2">
        <v>0.89</v>
      </c>
      <c r="R55" s="2">
        <v>0.83</v>
      </c>
      <c r="S55" s="2">
        <v>0.88</v>
      </c>
      <c r="V55" s="1" t="s">
        <v>17</v>
      </c>
      <c r="W55" s="2">
        <v>1.07</v>
      </c>
      <c r="X55" s="2">
        <v>1.07</v>
      </c>
      <c r="Y55" s="2">
        <v>0.95</v>
      </c>
      <c r="Z55" s="2">
        <v>1.04</v>
      </c>
    </row>
    <row r="56" spans="2:26" x14ac:dyDescent="0.35">
      <c r="B56" s="1" t="s">
        <v>18</v>
      </c>
      <c r="C56" s="2">
        <v>7550.91</v>
      </c>
      <c r="D56" s="2">
        <v>4898.08</v>
      </c>
      <c r="E56" s="2">
        <v>4737.22</v>
      </c>
      <c r="F56" s="2">
        <v>4906.24</v>
      </c>
      <c r="H56" s="1" t="s">
        <v>18</v>
      </c>
      <c r="I56" s="2">
        <v>0.37</v>
      </c>
      <c r="J56" s="2">
        <v>0.31</v>
      </c>
      <c r="K56" s="2">
        <v>0.42</v>
      </c>
      <c r="L56" s="2">
        <v>0.47</v>
      </c>
      <c r="O56" s="1" t="s">
        <v>18</v>
      </c>
      <c r="P56" s="2">
        <v>0.94</v>
      </c>
      <c r="Q56" s="2">
        <v>0.88</v>
      </c>
      <c r="R56" s="2">
        <v>0.85</v>
      </c>
      <c r="S56" s="2">
        <v>0.83</v>
      </c>
      <c r="V56" s="1" t="s">
        <v>18</v>
      </c>
      <c r="W56" s="2">
        <v>1.1100000000000001</v>
      </c>
      <c r="X56" s="2">
        <v>1.1100000000000001</v>
      </c>
      <c r="Y56" s="2">
        <v>1</v>
      </c>
      <c r="Z56" s="2">
        <v>1</v>
      </c>
    </row>
    <row r="57" spans="2:26" x14ac:dyDescent="0.35">
      <c r="B57" s="1" t="s">
        <v>19</v>
      </c>
      <c r="C57" s="2">
        <v>17178.900000000001</v>
      </c>
      <c r="D57" s="2">
        <v>19736.54</v>
      </c>
      <c r="E57" s="2">
        <v>16575.97</v>
      </c>
      <c r="F57" s="2">
        <v>12369.24</v>
      </c>
      <c r="H57" s="1" t="s">
        <v>19</v>
      </c>
      <c r="I57" s="2">
        <v>0.38</v>
      </c>
      <c r="J57" s="2">
        <v>0.43</v>
      </c>
      <c r="K57" s="2">
        <v>0.37</v>
      </c>
      <c r="L57" s="2">
        <v>0.39</v>
      </c>
      <c r="O57" s="1" t="s">
        <v>19</v>
      </c>
      <c r="P57" s="2">
        <v>0.86</v>
      </c>
      <c r="Q57" s="2">
        <v>0.86</v>
      </c>
      <c r="R57" s="2">
        <v>0.82</v>
      </c>
      <c r="S57" s="2">
        <v>0.74</v>
      </c>
      <c r="V57" s="1" t="s">
        <v>19</v>
      </c>
      <c r="W57" s="2">
        <v>1.1399999999999999</v>
      </c>
      <c r="X57" s="2">
        <v>1.1200000000000001</v>
      </c>
      <c r="Y57" s="2">
        <v>0.98</v>
      </c>
      <c r="Z57" s="2">
        <v>0.88</v>
      </c>
    </row>
    <row r="58" spans="2:26" x14ac:dyDescent="0.35">
      <c r="B58" s="1" t="s">
        <v>20</v>
      </c>
      <c r="C58" s="2">
        <v>3459.55</v>
      </c>
      <c r="D58" s="2">
        <v>2610.3200000000002</v>
      </c>
      <c r="E58" s="2">
        <v>990.42</v>
      </c>
      <c r="F58" s="2">
        <v>943.58</v>
      </c>
      <c r="H58" s="1" t="s">
        <v>20</v>
      </c>
      <c r="I58" s="2">
        <v>0.2</v>
      </c>
      <c r="J58" s="2">
        <v>0.24</v>
      </c>
      <c r="K58" s="2">
        <v>0.13</v>
      </c>
      <c r="L58" s="2">
        <v>0.2</v>
      </c>
      <c r="O58" s="1" t="s">
        <v>20</v>
      </c>
      <c r="P58" s="2">
        <v>0.55000000000000004</v>
      </c>
      <c r="Q58" s="2">
        <v>0.46</v>
      </c>
      <c r="R58" s="2">
        <v>0.3</v>
      </c>
      <c r="S58" s="2">
        <v>0.31</v>
      </c>
      <c r="V58" s="1" t="s">
        <v>20</v>
      </c>
      <c r="W58" s="2">
        <v>0.64</v>
      </c>
      <c r="X58" s="2">
        <v>0.54</v>
      </c>
      <c r="Y58" s="2">
        <v>0.34</v>
      </c>
      <c r="Z58" s="2">
        <v>0.37</v>
      </c>
    </row>
    <row r="61" spans="2:26" x14ac:dyDescent="0.35">
      <c r="B61" t="s">
        <v>33</v>
      </c>
      <c r="H61" t="s">
        <v>34</v>
      </c>
      <c r="O61" t="s">
        <v>35</v>
      </c>
      <c r="V61" t="s">
        <v>36</v>
      </c>
    </row>
    <row r="62" spans="2:26" x14ac:dyDescent="0.35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5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5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5">
      <c r="B65" s="1" t="s">
        <v>13</v>
      </c>
      <c r="C65" s="2">
        <v>192.15</v>
      </c>
      <c r="D65" s="2">
        <v>80.81</v>
      </c>
      <c r="E65" s="2">
        <v>51.02</v>
      </c>
      <c r="F65" s="2">
        <v>60.7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59.93</v>
      </c>
      <c r="Q65" s="2">
        <v>59.97</v>
      </c>
      <c r="R65" s="2">
        <v>59.98</v>
      </c>
      <c r="S65" s="2">
        <v>59.98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5">
      <c r="B66" s="1" t="s">
        <v>14</v>
      </c>
      <c r="C66" s="2">
        <v>485.41</v>
      </c>
      <c r="D66" s="2">
        <v>395.98</v>
      </c>
      <c r="E66" s="2">
        <v>143.47</v>
      </c>
      <c r="F66" s="2">
        <v>334.57</v>
      </c>
      <c r="H66" s="1" t="s">
        <v>14</v>
      </c>
      <c r="I66" s="2">
        <v>59.74</v>
      </c>
      <c r="J66" s="2">
        <v>59.96</v>
      </c>
      <c r="K66" s="2">
        <v>59.85</v>
      </c>
      <c r="L66" s="2">
        <v>59.99</v>
      </c>
      <c r="O66" s="1" t="s">
        <v>14</v>
      </c>
      <c r="P66" s="2">
        <v>44.42</v>
      </c>
      <c r="Q66" s="2">
        <v>47.75</v>
      </c>
      <c r="R66" s="2">
        <v>57.16</v>
      </c>
      <c r="S66" s="2">
        <v>43.27</v>
      </c>
      <c r="V66" s="1" t="s">
        <v>14</v>
      </c>
      <c r="W66" s="2">
        <v>-0.97</v>
      </c>
      <c r="X66" s="2">
        <v>-0.72</v>
      </c>
      <c r="Y66" s="2">
        <v>-0.12</v>
      </c>
      <c r="Z66" s="2">
        <v>-0.97</v>
      </c>
    </row>
    <row r="67" spans="2:26" x14ac:dyDescent="0.35">
      <c r="B67" s="1" t="s">
        <v>15</v>
      </c>
      <c r="C67" s="2">
        <v>2515.7600000000002</v>
      </c>
      <c r="D67" s="2">
        <v>2628.4</v>
      </c>
      <c r="E67" s="2">
        <v>1208.01</v>
      </c>
      <c r="F67" s="2">
        <v>2337.3200000000002</v>
      </c>
      <c r="H67" s="1" t="s">
        <v>15</v>
      </c>
      <c r="I67" s="2">
        <v>59.96</v>
      </c>
      <c r="J67" s="2">
        <v>58.75</v>
      </c>
      <c r="K67" s="2">
        <v>59.74</v>
      </c>
      <c r="L67" s="2">
        <v>58.39</v>
      </c>
      <c r="O67" s="1" t="s">
        <v>15</v>
      </c>
      <c r="P67" s="2">
        <v>38.270000000000003</v>
      </c>
      <c r="Q67" s="2">
        <v>39.72</v>
      </c>
      <c r="R67" s="2">
        <v>53.45</v>
      </c>
      <c r="S67" s="2">
        <v>35.75</v>
      </c>
      <c r="V67" s="1" t="s">
        <v>15</v>
      </c>
      <c r="W67" s="2">
        <v>-1.59</v>
      </c>
      <c r="X67" s="2">
        <v>-1.37</v>
      </c>
      <c r="Y67" s="2">
        <v>-0.3</v>
      </c>
      <c r="Z67" s="2">
        <v>-1.63</v>
      </c>
    </row>
    <row r="68" spans="2:26" x14ac:dyDescent="0.35">
      <c r="B68" s="1" t="s">
        <v>16</v>
      </c>
      <c r="C68" s="2">
        <v>670.48</v>
      </c>
      <c r="D68" s="2">
        <v>611.29999999999995</v>
      </c>
      <c r="E68" s="2">
        <v>353.95</v>
      </c>
      <c r="F68" s="2">
        <v>935.44</v>
      </c>
      <c r="H68" s="1" t="s">
        <v>16</v>
      </c>
      <c r="I68" s="2">
        <v>59.91</v>
      </c>
      <c r="J68" s="2">
        <v>59.96</v>
      </c>
      <c r="K68" s="2">
        <v>59.89</v>
      </c>
      <c r="L68" s="2">
        <v>58.8</v>
      </c>
      <c r="O68" s="1" t="s">
        <v>16</v>
      </c>
      <c r="P68" s="2">
        <v>41.05</v>
      </c>
      <c r="Q68" s="2">
        <v>43</v>
      </c>
      <c r="R68" s="2">
        <v>52.7</v>
      </c>
      <c r="S68" s="2">
        <v>37.28</v>
      </c>
      <c r="V68" s="1" t="s">
        <v>16</v>
      </c>
      <c r="W68" s="2">
        <v>-1.29</v>
      </c>
      <c r="X68" s="2">
        <v>-1.1100000000000001</v>
      </c>
      <c r="Y68" s="2">
        <v>-0.34</v>
      </c>
      <c r="Z68" s="2">
        <v>-1.47</v>
      </c>
    </row>
    <row r="69" spans="2:26" x14ac:dyDescent="0.35">
      <c r="B69" s="1" t="s">
        <v>17</v>
      </c>
      <c r="C69" s="2">
        <v>3750.33</v>
      </c>
      <c r="D69" s="2">
        <v>3527.34</v>
      </c>
      <c r="E69" s="2">
        <v>2491.17</v>
      </c>
      <c r="F69" s="2">
        <v>3039.92</v>
      </c>
      <c r="H69" s="1" t="s">
        <v>17</v>
      </c>
      <c r="I69" s="2">
        <v>59.76</v>
      </c>
      <c r="J69" s="2">
        <v>59.77</v>
      </c>
      <c r="K69" s="2">
        <v>59.95</v>
      </c>
      <c r="L69" s="2">
        <v>59.82</v>
      </c>
      <c r="O69" s="1" t="s">
        <v>17</v>
      </c>
      <c r="P69" s="2">
        <v>39.57</v>
      </c>
      <c r="Q69" s="2">
        <v>39.909999999999997</v>
      </c>
      <c r="R69" s="2">
        <v>45.08</v>
      </c>
      <c r="S69" s="2">
        <v>40.92</v>
      </c>
      <c r="V69" s="1" t="s">
        <v>17</v>
      </c>
      <c r="W69" s="2">
        <v>-1.43</v>
      </c>
      <c r="X69" s="2">
        <v>-1.4</v>
      </c>
      <c r="Y69" s="2">
        <v>-0.83</v>
      </c>
      <c r="Z69" s="2">
        <v>-1.1599999999999999</v>
      </c>
    </row>
    <row r="70" spans="2:26" x14ac:dyDescent="0.35">
      <c r="B70" s="1" t="s">
        <v>18</v>
      </c>
      <c r="C70" s="2">
        <v>671.92</v>
      </c>
      <c r="D70" s="2">
        <v>266.5</v>
      </c>
      <c r="E70" s="2">
        <v>420.02</v>
      </c>
      <c r="F70" s="2">
        <v>268.43</v>
      </c>
      <c r="H70" s="1" t="s">
        <v>18</v>
      </c>
      <c r="I70" s="2">
        <v>59.8</v>
      </c>
      <c r="J70" s="2">
        <v>59.94</v>
      </c>
      <c r="K70" s="2">
        <v>59.59</v>
      </c>
      <c r="L70" s="2">
        <v>59.15</v>
      </c>
      <c r="O70" s="1" t="s">
        <v>18</v>
      </c>
      <c r="P70" s="2">
        <v>35.369999999999997</v>
      </c>
      <c r="Q70" s="2">
        <v>41.25</v>
      </c>
      <c r="R70" s="2">
        <v>43.81</v>
      </c>
      <c r="S70" s="2">
        <v>45.15</v>
      </c>
      <c r="V70" s="1" t="s">
        <v>18</v>
      </c>
      <c r="W70" s="2">
        <v>-1.94</v>
      </c>
      <c r="X70" s="2">
        <v>-1.27</v>
      </c>
      <c r="Y70" s="2">
        <v>-0.91</v>
      </c>
      <c r="Z70" s="2">
        <v>-0.79</v>
      </c>
    </row>
    <row r="71" spans="2:26" x14ac:dyDescent="0.35">
      <c r="B71" s="1" t="s">
        <v>19</v>
      </c>
      <c r="C71" s="2">
        <v>1275.3800000000001</v>
      </c>
      <c r="D71" s="2">
        <v>1183.79</v>
      </c>
      <c r="E71" s="2">
        <v>1195.0999999999999</v>
      </c>
      <c r="F71" s="2">
        <v>745.27</v>
      </c>
      <c r="H71" s="1" t="s">
        <v>19</v>
      </c>
      <c r="I71" s="2">
        <v>59.78</v>
      </c>
      <c r="J71" s="2">
        <v>59.54</v>
      </c>
      <c r="K71" s="2">
        <v>59.83</v>
      </c>
      <c r="L71" s="2">
        <v>59.73</v>
      </c>
      <c r="O71" s="1" t="s">
        <v>19</v>
      </c>
      <c r="P71" s="2">
        <v>42.5</v>
      </c>
      <c r="Q71" s="2">
        <v>42.29</v>
      </c>
      <c r="R71" s="2">
        <v>45.64</v>
      </c>
      <c r="S71" s="2">
        <v>51.37</v>
      </c>
      <c r="V71" s="1" t="s">
        <v>19</v>
      </c>
      <c r="W71" s="2">
        <v>-1.1399999999999999</v>
      </c>
      <c r="X71" s="2">
        <v>-1.1499999999999999</v>
      </c>
      <c r="Y71" s="2">
        <v>-0.78</v>
      </c>
      <c r="Z71" s="2">
        <v>-0.41</v>
      </c>
    </row>
    <row r="72" spans="2:26" x14ac:dyDescent="0.35">
      <c r="B72" s="1" t="s">
        <v>20</v>
      </c>
      <c r="C72" s="2">
        <v>227.85</v>
      </c>
      <c r="D72" s="2">
        <v>96.72</v>
      </c>
      <c r="E72" s="2">
        <v>65.11</v>
      </c>
      <c r="F72" s="2">
        <v>34.85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58.46</v>
      </c>
      <c r="Q72" s="2">
        <v>59.47</v>
      </c>
      <c r="R72" s="2">
        <v>59.96</v>
      </c>
      <c r="S72" s="2">
        <v>59.95</v>
      </c>
      <c r="V72" s="1" t="s">
        <v>20</v>
      </c>
      <c r="W72" s="2">
        <v>-7.0000000000000007E-2</v>
      </c>
      <c r="X72" s="2">
        <v>-0.02</v>
      </c>
      <c r="Y72" s="2">
        <v>0</v>
      </c>
      <c r="Z72" s="2">
        <v>0</v>
      </c>
    </row>
    <row r="75" spans="2:26" x14ac:dyDescent="0.35">
      <c r="B75" t="s">
        <v>37</v>
      </c>
      <c r="H75" t="s">
        <v>38</v>
      </c>
      <c r="O75" t="s">
        <v>39</v>
      </c>
      <c r="V75" t="s">
        <v>40</v>
      </c>
    </row>
    <row r="76" spans="2:26" x14ac:dyDescent="0.35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5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5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5">
      <c r="B79" s="1" t="s">
        <v>13</v>
      </c>
      <c r="C79" s="2">
        <v>18.100000000000001</v>
      </c>
      <c r="D79" s="2">
        <v>12.4</v>
      </c>
      <c r="E79" s="2">
        <v>4.43</v>
      </c>
      <c r="F79" s="2">
        <v>9.32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5">
      <c r="B80" s="1" t="s">
        <v>14</v>
      </c>
      <c r="C80" s="2">
        <v>199.12</v>
      </c>
      <c r="D80" s="2">
        <v>376.6</v>
      </c>
      <c r="E80" s="2">
        <v>58.7</v>
      </c>
      <c r="F80" s="2">
        <v>315.10000000000002</v>
      </c>
      <c r="H80" s="1" t="s">
        <v>14</v>
      </c>
      <c r="I80" s="2">
        <v>2.81</v>
      </c>
      <c r="J80" s="2">
        <v>2.8</v>
      </c>
      <c r="K80" s="2">
        <v>2.5099999999999998</v>
      </c>
      <c r="L80" s="2">
        <v>2.5</v>
      </c>
      <c r="O80" s="1" t="s">
        <v>14</v>
      </c>
      <c r="P80" s="2">
        <v>3.78</v>
      </c>
      <c r="Q80" s="2">
        <v>3.52</v>
      </c>
      <c r="R80" s="2">
        <v>2.62</v>
      </c>
      <c r="S80" s="2">
        <v>3.47</v>
      </c>
      <c r="V80" s="1" t="s">
        <v>14</v>
      </c>
      <c r="W80" s="2">
        <v>-0.26</v>
      </c>
      <c r="X80" s="2">
        <v>-0.2</v>
      </c>
      <c r="Y80" s="2">
        <v>-0.04</v>
      </c>
      <c r="Z80" s="2">
        <v>-0.28000000000000003</v>
      </c>
    </row>
    <row r="81" spans="2:26" x14ac:dyDescent="0.35">
      <c r="B81" s="1" t="s">
        <v>15</v>
      </c>
      <c r="C81" s="2">
        <v>770.87</v>
      </c>
      <c r="D81" s="2">
        <v>1546.02</v>
      </c>
      <c r="E81" s="2">
        <v>371.03</v>
      </c>
      <c r="F81" s="2">
        <v>1402.65</v>
      </c>
      <c r="H81" s="1" t="s">
        <v>15</v>
      </c>
      <c r="I81" s="2">
        <v>2.8</v>
      </c>
      <c r="J81" s="2">
        <v>2.86</v>
      </c>
      <c r="K81" s="2">
        <v>2.5099999999999998</v>
      </c>
      <c r="L81" s="2">
        <v>2.57</v>
      </c>
      <c r="O81" s="1" t="s">
        <v>15</v>
      </c>
      <c r="P81" s="2">
        <v>4.3899999999999997</v>
      </c>
      <c r="Q81" s="2">
        <v>4.2300000000000004</v>
      </c>
      <c r="R81" s="2">
        <v>2.81</v>
      </c>
      <c r="S81" s="2">
        <v>4.2</v>
      </c>
      <c r="V81" s="1" t="s">
        <v>15</v>
      </c>
      <c r="W81" s="2">
        <v>-0.36</v>
      </c>
      <c r="X81" s="2">
        <v>-0.32</v>
      </c>
      <c r="Y81" s="2">
        <v>-0.11</v>
      </c>
      <c r="Z81" s="2">
        <v>-0.39</v>
      </c>
    </row>
    <row r="82" spans="2:26" x14ac:dyDescent="0.35">
      <c r="B82" s="1" t="s">
        <v>16</v>
      </c>
      <c r="C82" s="2">
        <v>219.25</v>
      </c>
      <c r="D82" s="2">
        <v>319.51</v>
      </c>
      <c r="E82" s="2">
        <v>116.75</v>
      </c>
      <c r="F82" s="2">
        <v>490.49</v>
      </c>
      <c r="H82" s="1" t="s">
        <v>16</v>
      </c>
      <c r="I82" s="2">
        <v>2.8</v>
      </c>
      <c r="J82" s="2">
        <v>2.8</v>
      </c>
      <c r="K82" s="2">
        <v>2.5</v>
      </c>
      <c r="L82" s="2">
        <v>2.5499999999999998</v>
      </c>
      <c r="O82" s="1" t="s">
        <v>16</v>
      </c>
      <c r="P82" s="2">
        <v>4.09</v>
      </c>
      <c r="Q82" s="2">
        <v>3.91</v>
      </c>
      <c r="R82" s="2">
        <v>2.85</v>
      </c>
      <c r="S82" s="2">
        <v>4.0199999999999996</v>
      </c>
      <c r="V82" s="1" t="s">
        <v>16</v>
      </c>
      <c r="W82" s="2">
        <v>-0.31</v>
      </c>
      <c r="X82" s="2">
        <v>-0.28000000000000003</v>
      </c>
      <c r="Y82" s="2">
        <v>-0.12</v>
      </c>
      <c r="Z82" s="2">
        <v>-0.37</v>
      </c>
    </row>
    <row r="83" spans="2:26" x14ac:dyDescent="0.35">
      <c r="B83" s="1" t="s">
        <v>17</v>
      </c>
      <c r="C83" s="2">
        <v>1217.3399999999999</v>
      </c>
      <c r="D83" s="2">
        <v>1242.82</v>
      </c>
      <c r="E83" s="2">
        <v>810.42</v>
      </c>
      <c r="F83" s="2">
        <v>1072.23</v>
      </c>
      <c r="H83" s="1" t="s">
        <v>17</v>
      </c>
      <c r="I83" s="2">
        <v>2.81</v>
      </c>
      <c r="J83" s="2">
        <v>2.81</v>
      </c>
      <c r="K83" s="2">
        <v>2.5</v>
      </c>
      <c r="L83" s="2">
        <v>2.5099999999999998</v>
      </c>
      <c r="O83" s="1" t="s">
        <v>17</v>
      </c>
      <c r="P83" s="2">
        <v>4.25</v>
      </c>
      <c r="Q83" s="2">
        <v>4.21</v>
      </c>
      <c r="R83" s="2">
        <v>3.33</v>
      </c>
      <c r="S83" s="2">
        <v>3.67</v>
      </c>
      <c r="V83" s="1" t="s">
        <v>17</v>
      </c>
      <c r="W83" s="2">
        <v>-0.34</v>
      </c>
      <c r="X83" s="2">
        <v>-0.33</v>
      </c>
      <c r="Y83" s="2">
        <v>-0.25</v>
      </c>
      <c r="Z83" s="2">
        <v>-0.32</v>
      </c>
    </row>
    <row r="84" spans="2:26" x14ac:dyDescent="0.35">
      <c r="B84" s="1" t="s">
        <v>18</v>
      </c>
      <c r="C84" s="2">
        <v>231.23</v>
      </c>
      <c r="D84" s="2">
        <v>148.44999999999999</v>
      </c>
      <c r="E84" s="2">
        <v>147.11000000000001</v>
      </c>
      <c r="F84" s="2">
        <v>149.44</v>
      </c>
      <c r="H84" s="1" t="s">
        <v>18</v>
      </c>
      <c r="I84" s="2">
        <v>2.81</v>
      </c>
      <c r="J84" s="2">
        <v>2.8</v>
      </c>
      <c r="K84" s="2">
        <v>2.52</v>
      </c>
      <c r="L84" s="2">
        <v>2.54</v>
      </c>
      <c r="O84" s="1" t="s">
        <v>18</v>
      </c>
      <c r="P84" s="2">
        <v>4.75</v>
      </c>
      <c r="Q84" s="2">
        <v>4.07</v>
      </c>
      <c r="R84" s="2">
        <v>3.42</v>
      </c>
      <c r="S84" s="2">
        <v>3.32</v>
      </c>
      <c r="V84" s="1" t="s">
        <v>18</v>
      </c>
      <c r="W84" s="2">
        <v>-0.41</v>
      </c>
      <c r="X84" s="2">
        <v>-0.31</v>
      </c>
      <c r="Y84" s="2">
        <v>-0.26</v>
      </c>
      <c r="Z84" s="2">
        <v>-0.24</v>
      </c>
    </row>
    <row r="85" spans="2:26" x14ac:dyDescent="0.35">
      <c r="B85" s="1" t="s">
        <v>19</v>
      </c>
      <c r="C85" s="2">
        <v>173.5</v>
      </c>
      <c r="D85" s="2">
        <v>286.3</v>
      </c>
      <c r="E85" s="2">
        <v>180.85</v>
      </c>
      <c r="F85" s="2">
        <v>177.05</v>
      </c>
      <c r="H85" s="1" t="s">
        <v>19</v>
      </c>
      <c r="I85" s="2">
        <v>2.81</v>
      </c>
      <c r="J85" s="2">
        <v>2.82</v>
      </c>
      <c r="K85" s="2">
        <v>2.5099999999999998</v>
      </c>
      <c r="L85" s="2">
        <v>2.5099999999999998</v>
      </c>
      <c r="O85" s="1" t="s">
        <v>19</v>
      </c>
      <c r="P85" s="2">
        <v>3.95</v>
      </c>
      <c r="Q85" s="2">
        <v>3.97</v>
      </c>
      <c r="R85" s="2">
        <v>3.29</v>
      </c>
      <c r="S85" s="2">
        <v>2.92</v>
      </c>
      <c r="V85" s="1" t="s">
        <v>19</v>
      </c>
      <c r="W85" s="2">
        <v>-0.28999999999999998</v>
      </c>
      <c r="X85" s="2">
        <v>-0.28999999999999998</v>
      </c>
      <c r="Y85" s="2">
        <v>-0.24</v>
      </c>
      <c r="Z85" s="2">
        <v>-0.14000000000000001</v>
      </c>
    </row>
    <row r="86" spans="2:26" x14ac:dyDescent="0.35">
      <c r="B86" s="1" t="s">
        <v>20</v>
      </c>
      <c r="C86" s="2">
        <v>23.95</v>
      </c>
      <c r="D86" s="2">
        <v>24.75</v>
      </c>
      <c r="E86" s="2">
        <v>6.76</v>
      </c>
      <c r="F86" s="2">
        <v>9.48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2.87</v>
      </c>
      <c r="Q86" s="2">
        <v>2.82</v>
      </c>
      <c r="R86" s="2">
        <v>2.5</v>
      </c>
      <c r="S86" s="2">
        <v>2.5</v>
      </c>
      <c r="V86" s="1" t="s">
        <v>20</v>
      </c>
      <c r="W86" s="2">
        <v>-0.03</v>
      </c>
      <c r="X86" s="2">
        <v>-0.01</v>
      </c>
      <c r="Y86" s="2">
        <v>0</v>
      </c>
      <c r="Z86" s="2">
        <v>0</v>
      </c>
    </row>
    <row r="89" spans="2:26" x14ac:dyDescent="0.35">
      <c r="B89" t="s">
        <v>41</v>
      </c>
      <c r="H89" t="s">
        <v>42</v>
      </c>
      <c r="O89" t="s">
        <v>43</v>
      </c>
      <c r="V89" t="s">
        <v>44</v>
      </c>
    </row>
    <row r="90" spans="2:26" x14ac:dyDescent="0.35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5" t="s">
        <v>9</v>
      </c>
      <c r="J90" s="5"/>
      <c r="K90" s="5" t="s">
        <v>10</v>
      </c>
      <c r="L90" s="5"/>
      <c r="O90" s="1" t="s">
        <v>8</v>
      </c>
      <c r="P90" s="5" t="s">
        <v>9</v>
      </c>
      <c r="Q90" s="5"/>
      <c r="R90" s="5" t="s">
        <v>10</v>
      </c>
      <c r="S90" s="5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5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5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5">
      <c r="B93" s="1" t="s">
        <v>13</v>
      </c>
      <c r="C93" s="2">
        <v>1613.79</v>
      </c>
      <c r="D93" s="2">
        <v>523.11</v>
      </c>
      <c r="E93" s="2">
        <v>416.04</v>
      </c>
      <c r="F93" s="2">
        <v>401.71</v>
      </c>
      <c r="H93" s="1" t="s">
        <v>13</v>
      </c>
      <c r="I93" s="2">
        <v>3859.55</v>
      </c>
      <c r="J93" s="2">
        <v>1502.15</v>
      </c>
      <c r="K93" s="2">
        <v>1254.8</v>
      </c>
      <c r="L93" s="2">
        <v>951.04</v>
      </c>
      <c r="O93" s="1" t="s">
        <v>13</v>
      </c>
      <c r="P93" s="2">
        <v>3859.55</v>
      </c>
      <c r="Q93" s="2">
        <v>1502.15</v>
      </c>
      <c r="R93" s="2">
        <v>1254.8</v>
      </c>
      <c r="S93" s="2">
        <v>951.04</v>
      </c>
      <c r="V93" s="1" t="s">
        <v>13</v>
      </c>
      <c r="W93" s="2">
        <v>1.51</v>
      </c>
      <c r="X93" s="2">
        <v>1.04</v>
      </c>
      <c r="Y93" s="2">
        <v>0.92</v>
      </c>
      <c r="Z93" s="2">
        <v>0.92</v>
      </c>
    </row>
    <row r="94" spans="2:26" x14ac:dyDescent="0.35">
      <c r="B94" s="1" t="s">
        <v>14</v>
      </c>
      <c r="C94" s="2">
        <v>323.33</v>
      </c>
      <c r="D94" s="2">
        <v>362.29</v>
      </c>
      <c r="E94" s="2">
        <v>94.27</v>
      </c>
      <c r="F94" s="2">
        <v>326.61</v>
      </c>
      <c r="H94" s="1" t="s">
        <v>14</v>
      </c>
      <c r="I94" s="2">
        <v>3310.15</v>
      </c>
      <c r="J94" s="2">
        <v>2726.48</v>
      </c>
      <c r="K94" s="2">
        <v>2154.92</v>
      </c>
      <c r="L94" s="2">
        <v>1524.24</v>
      </c>
      <c r="O94" s="1" t="s">
        <v>14</v>
      </c>
      <c r="P94" s="2">
        <v>3310.15</v>
      </c>
      <c r="Q94" s="2">
        <v>2726.48</v>
      </c>
      <c r="R94" s="2">
        <v>2154.92</v>
      </c>
      <c r="S94" s="2">
        <v>1524.24</v>
      </c>
      <c r="V94" s="1" t="s">
        <v>14</v>
      </c>
      <c r="W94" s="2">
        <v>4.4800000000000004</v>
      </c>
      <c r="X94" s="2">
        <v>4.2300000000000004</v>
      </c>
      <c r="Y94" s="2">
        <v>1.45</v>
      </c>
      <c r="Z94" s="2">
        <v>4.5</v>
      </c>
    </row>
    <row r="95" spans="2:26" x14ac:dyDescent="0.35">
      <c r="B95" s="1" t="s">
        <v>15</v>
      </c>
      <c r="C95" s="2">
        <v>1803.87</v>
      </c>
      <c r="D95" s="2">
        <v>2819.48</v>
      </c>
      <c r="E95" s="2">
        <v>885.65</v>
      </c>
      <c r="F95" s="2">
        <v>5077.9799999999996</v>
      </c>
      <c r="H95" s="1" t="s">
        <v>15</v>
      </c>
      <c r="I95" s="2">
        <v>7023.48</v>
      </c>
      <c r="J95" s="2">
        <v>8551.34</v>
      </c>
      <c r="K95" s="2">
        <v>11340</v>
      </c>
      <c r="L95" s="2">
        <v>9279.4500000000007</v>
      </c>
      <c r="O95" s="1" t="s">
        <v>15</v>
      </c>
      <c r="P95" s="2">
        <v>7023.48</v>
      </c>
      <c r="Q95" s="2">
        <v>8551.34</v>
      </c>
      <c r="R95" s="2">
        <v>11340</v>
      </c>
      <c r="S95" s="2">
        <v>9279.4500000000007</v>
      </c>
      <c r="V95" s="1" t="s">
        <v>15</v>
      </c>
      <c r="W95" s="2">
        <v>8.56</v>
      </c>
      <c r="X95" s="2">
        <v>5.04</v>
      </c>
      <c r="Y95" s="2">
        <v>3.02</v>
      </c>
      <c r="Z95" s="2">
        <v>4.5</v>
      </c>
    </row>
    <row r="96" spans="2:26" x14ac:dyDescent="0.35">
      <c r="B96" s="1" t="s">
        <v>16</v>
      </c>
      <c r="C96" s="2">
        <v>732.14</v>
      </c>
      <c r="D96" s="2">
        <v>564.04</v>
      </c>
      <c r="E96" s="2">
        <v>361.55</v>
      </c>
      <c r="F96" s="2">
        <v>913.81</v>
      </c>
      <c r="H96" s="1" t="s">
        <v>16</v>
      </c>
      <c r="I96" s="2">
        <v>2407.0700000000002</v>
      </c>
      <c r="J96" s="2">
        <v>2254.0100000000002</v>
      </c>
      <c r="K96" s="2">
        <v>2087.27</v>
      </c>
      <c r="L96" s="2">
        <v>3203.32</v>
      </c>
      <c r="O96" s="1" t="s">
        <v>16</v>
      </c>
      <c r="P96" s="2">
        <v>2407.0700000000002</v>
      </c>
      <c r="Q96" s="2">
        <v>2254.0100000000002</v>
      </c>
      <c r="R96" s="2">
        <v>2087.27</v>
      </c>
      <c r="S96" s="2">
        <v>3203.32</v>
      </c>
      <c r="V96" s="1" t="s">
        <v>16</v>
      </c>
      <c r="W96" s="2">
        <v>5.04</v>
      </c>
      <c r="X96" s="2">
        <v>5.04</v>
      </c>
      <c r="Y96" s="2">
        <v>2.5299999999999998</v>
      </c>
      <c r="Z96" s="2">
        <v>4.5</v>
      </c>
    </row>
    <row r="97" spans="2:26" x14ac:dyDescent="0.35">
      <c r="B97" s="1" t="s">
        <v>17</v>
      </c>
      <c r="C97" s="2">
        <v>3928.63</v>
      </c>
      <c r="D97" s="2">
        <v>3591.55</v>
      </c>
      <c r="E97" s="2">
        <v>2402.98</v>
      </c>
      <c r="F97" s="2">
        <v>3003.9</v>
      </c>
      <c r="H97" s="1" t="s">
        <v>17</v>
      </c>
      <c r="I97" s="2">
        <v>14583.36</v>
      </c>
      <c r="J97" s="2">
        <v>10269.120000000001</v>
      </c>
      <c r="K97" s="2">
        <v>14730.61</v>
      </c>
      <c r="L97" s="2">
        <v>12684.52</v>
      </c>
      <c r="O97" s="1" t="s">
        <v>17</v>
      </c>
      <c r="P97" s="2">
        <v>14583.36</v>
      </c>
      <c r="Q97" s="2">
        <v>10269.120000000001</v>
      </c>
      <c r="R97" s="2">
        <v>14730.61</v>
      </c>
      <c r="S97" s="2">
        <v>12684.52</v>
      </c>
      <c r="V97" s="1" t="s">
        <v>17</v>
      </c>
      <c r="W97" s="2">
        <v>5.04</v>
      </c>
      <c r="X97" s="2">
        <v>5.04</v>
      </c>
      <c r="Y97" s="2">
        <v>4.21</v>
      </c>
      <c r="Z97" s="2">
        <v>4.5</v>
      </c>
    </row>
    <row r="98" spans="2:26" x14ac:dyDescent="0.35">
      <c r="B98" s="1" t="s">
        <v>18</v>
      </c>
      <c r="C98" s="2">
        <v>814.22</v>
      </c>
      <c r="D98" s="2">
        <v>339.42</v>
      </c>
      <c r="E98" s="2">
        <v>510.41</v>
      </c>
      <c r="F98" s="2">
        <v>329.2</v>
      </c>
      <c r="H98" s="1" t="s">
        <v>18</v>
      </c>
      <c r="I98" s="2">
        <v>3075.1</v>
      </c>
      <c r="J98" s="2">
        <v>3092.13</v>
      </c>
      <c r="K98" s="2">
        <v>2721.16</v>
      </c>
      <c r="L98" s="2">
        <v>3700.22</v>
      </c>
      <c r="O98" s="1" t="s">
        <v>18</v>
      </c>
      <c r="P98" s="2">
        <v>3075.1</v>
      </c>
      <c r="Q98" s="2">
        <v>3092.13</v>
      </c>
      <c r="R98" s="2">
        <v>2721.16</v>
      </c>
      <c r="S98" s="2">
        <v>3700.22</v>
      </c>
      <c r="V98" s="1" t="s">
        <v>18</v>
      </c>
      <c r="W98" s="2">
        <v>6.88</v>
      </c>
      <c r="X98" s="2">
        <v>5.04</v>
      </c>
      <c r="Y98" s="2">
        <v>3.83</v>
      </c>
      <c r="Z98" s="2">
        <v>3.31</v>
      </c>
    </row>
    <row r="99" spans="2:26" x14ac:dyDescent="0.35">
      <c r="B99" s="1" t="s">
        <v>19</v>
      </c>
      <c r="C99" s="2">
        <v>2110.86</v>
      </c>
      <c r="D99" s="2">
        <v>2129.7800000000002</v>
      </c>
      <c r="E99" s="2">
        <v>1536.85</v>
      </c>
      <c r="F99" s="2">
        <v>1167.1300000000001</v>
      </c>
      <c r="H99" s="1" t="s">
        <v>19</v>
      </c>
      <c r="I99" s="2">
        <v>9543.84</v>
      </c>
      <c r="J99" s="2">
        <v>8402.73</v>
      </c>
      <c r="K99" s="2">
        <v>10964.74</v>
      </c>
      <c r="L99" s="2">
        <v>9103.25</v>
      </c>
      <c r="O99" s="1" t="s">
        <v>19</v>
      </c>
      <c r="P99" s="2">
        <v>9543.84</v>
      </c>
      <c r="Q99" s="2">
        <v>8402.73</v>
      </c>
      <c r="R99" s="2">
        <v>10964.74</v>
      </c>
      <c r="S99" s="2">
        <v>9103.25</v>
      </c>
      <c r="V99" s="1" t="s">
        <v>19</v>
      </c>
      <c r="W99" s="2">
        <v>5.04</v>
      </c>
      <c r="X99" s="2">
        <v>5.04</v>
      </c>
      <c r="Y99" s="2">
        <v>4.93</v>
      </c>
      <c r="Z99" s="2">
        <v>3.4</v>
      </c>
    </row>
    <row r="100" spans="2:26" x14ac:dyDescent="0.35">
      <c r="B100" s="1" t="s">
        <v>20</v>
      </c>
      <c r="C100" s="2">
        <v>518.32000000000005</v>
      </c>
      <c r="D100" s="2">
        <v>304.13</v>
      </c>
      <c r="E100" s="2">
        <v>209.67</v>
      </c>
      <c r="F100" s="2">
        <v>110.49</v>
      </c>
      <c r="H100" s="1" t="s">
        <v>20</v>
      </c>
      <c r="I100" s="2">
        <v>5025.97</v>
      </c>
      <c r="J100" s="2">
        <v>2684.3</v>
      </c>
      <c r="K100" s="2">
        <v>6298.83</v>
      </c>
      <c r="L100" s="2">
        <v>4717.88</v>
      </c>
      <c r="O100" s="1" t="s">
        <v>20</v>
      </c>
      <c r="P100" s="2">
        <v>5025.97</v>
      </c>
      <c r="Q100" s="2">
        <v>2684.3</v>
      </c>
      <c r="R100" s="2">
        <v>6298.83</v>
      </c>
      <c r="S100" s="2">
        <v>4717.88</v>
      </c>
      <c r="V100" s="1" t="s">
        <v>20</v>
      </c>
      <c r="W100" s="2">
        <v>1.93</v>
      </c>
      <c r="X100" s="2">
        <v>1.1599999999999999</v>
      </c>
      <c r="Y100" s="2">
        <v>0.92</v>
      </c>
      <c r="Z100" s="2">
        <v>0.5</v>
      </c>
    </row>
    <row r="103" spans="2:26" x14ac:dyDescent="0.35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5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5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5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5">
      <c r="B107" s="1" t="s">
        <v>13</v>
      </c>
      <c r="C107" s="2">
        <v>3.4861012297453808E-2</v>
      </c>
      <c r="D107" s="2">
        <v>1.0288620077238681E-2</v>
      </c>
      <c r="E107" s="2">
        <v>1.5023183066891981E-2</v>
      </c>
      <c r="F107" s="2">
        <v>9.2199869336594409E-3</v>
      </c>
      <c r="H107" s="1" t="s">
        <v>13</v>
      </c>
      <c r="I107" s="2">
        <v>1378.41</v>
      </c>
      <c r="J107" s="2">
        <v>448.14</v>
      </c>
      <c r="K107" s="2">
        <v>600.86</v>
      </c>
      <c r="L107" s="2">
        <v>380.42</v>
      </c>
      <c r="O107" s="1" t="s">
        <v>13</v>
      </c>
      <c r="P107" s="2">
        <v>12405.71</v>
      </c>
      <c r="Q107" s="2">
        <v>8514.73</v>
      </c>
      <c r="R107" s="2">
        <v>11416.35</v>
      </c>
      <c r="S107" s="2">
        <v>7227.88</v>
      </c>
      <c r="V107" s="1" t="s">
        <v>13</v>
      </c>
      <c r="W107" s="2">
        <v>4.54</v>
      </c>
      <c r="X107" s="2">
        <v>3.11</v>
      </c>
      <c r="Y107" s="2">
        <v>2.77</v>
      </c>
      <c r="Z107" s="2">
        <v>2.77</v>
      </c>
    </row>
    <row r="108" spans="2:26" x14ac:dyDescent="0.35">
      <c r="B108" s="1" t="s">
        <v>14</v>
      </c>
      <c r="C108" s="2">
        <v>5.6284952977385332E-2</v>
      </c>
      <c r="D108" s="2">
        <v>4.1776316321914718E-2</v>
      </c>
      <c r="E108" s="2">
        <v>2.7383439371216439E-2</v>
      </c>
      <c r="F108" s="2">
        <v>4.1642915450746207E-2</v>
      </c>
      <c r="H108" s="1" t="s">
        <v>14</v>
      </c>
      <c r="I108" s="2">
        <v>1182.19</v>
      </c>
      <c r="J108" s="2">
        <v>769.61</v>
      </c>
      <c r="K108" s="2">
        <v>1090.5899999999999</v>
      </c>
      <c r="L108" s="2">
        <v>609.70000000000005</v>
      </c>
      <c r="O108" s="1" t="s">
        <v>14</v>
      </c>
      <c r="P108" s="2">
        <v>6378</v>
      </c>
      <c r="Q108" s="2">
        <v>3839.12</v>
      </c>
      <c r="R108" s="2">
        <v>5752.26</v>
      </c>
      <c r="S108" s="2">
        <v>2345.38</v>
      </c>
      <c r="V108" s="1" t="s">
        <v>14</v>
      </c>
      <c r="W108" s="2">
        <v>13.45</v>
      </c>
      <c r="X108" s="2">
        <v>12.68</v>
      </c>
      <c r="Y108" s="2">
        <v>4.34</v>
      </c>
      <c r="Z108" s="2">
        <v>13.5</v>
      </c>
    </row>
    <row r="109" spans="2:26" x14ac:dyDescent="0.35">
      <c r="B109" s="1" t="s">
        <v>15</v>
      </c>
      <c r="C109" s="2">
        <v>0.23684390803990729</v>
      </c>
      <c r="D109" s="2">
        <v>0.26093985309969209</v>
      </c>
      <c r="E109" s="2">
        <v>0.1870974771002776</v>
      </c>
      <c r="F109" s="2">
        <v>0.28569690209513721</v>
      </c>
      <c r="H109" s="1" t="s">
        <v>15</v>
      </c>
      <c r="I109" s="2">
        <v>2508.39</v>
      </c>
      <c r="J109" s="2">
        <v>4050</v>
      </c>
      <c r="K109" s="2">
        <v>3420.54</v>
      </c>
      <c r="L109" s="2">
        <v>3711.78</v>
      </c>
      <c r="O109" s="1" t="s">
        <v>15</v>
      </c>
      <c r="P109" s="2">
        <v>13233.27</v>
      </c>
      <c r="Q109" s="2">
        <v>12441.76</v>
      </c>
      <c r="R109" s="2">
        <v>18546.689999999999</v>
      </c>
      <c r="S109" s="2">
        <v>8908.27</v>
      </c>
      <c r="V109" s="1" t="s">
        <v>15</v>
      </c>
      <c r="W109" s="2">
        <v>25.67</v>
      </c>
      <c r="X109" s="2">
        <v>15.12</v>
      </c>
      <c r="Y109" s="2">
        <v>9.06</v>
      </c>
      <c r="Z109" s="2">
        <v>13.5</v>
      </c>
    </row>
    <row r="110" spans="2:26" x14ac:dyDescent="0.35">
      <c r="B110" s="1" t="s">
        <v>16</v>
      </c>
      <c r="C110" s="2">
        <v>5.3114967242231942E-2</v>
      </c>
      <c r="D110" s="2">
        <v>5.0005289081384151E-2</v>
      </c>
      <c r="E110" s="2">
        <v>4.5573500303087253E-2</v>
      </c>
      <c r="F110" s="2">
        <v>9.0740093112229483E-2</v>
      </c>
      <c r="H110" s="1" t="s">
        <v>16</v>
      </c>
      <c r="I110" s="2">
        <v>859.67</v>
      </c>
      <c r="J110" s="2">
        <v>745.45</v>
      </c>
      <c r="K110" s="2">
        <v>901.6</v>
      </c>
      <c r="L110" s="2">
        <v>1281.33</v>
      </c>
      <c r="O110" s="1" t="s">
        <v>16</v>
      </c>
      <c r="P110" s="2">
        <v>3415.46</v>
      </c>
      <c r="Q110" s="2">
        <v>3218.6</v>
      </c>
      <c r="R110" s="2">
        <v>4699.8100000000004</v>
      </c>
      <c r="S110" s="2">
        <v>4717.9399999999996</v>
      </c>
      <c r="V110" s="1" t="s">
        <v>16</v>
      </c>
      <c r="W110" s="2">
        <v>15.12</v>
      </c>
      <c r="X110" s="2">
        <v>15.12</v>
      </c>
      <c r="Y110" s="2">
        <v>7.6</v>
      </c>
      <c r="Z110" s="2">
        <v>13.5</v>
      </c>
    </row>
    <row r="111" spans="2:26" x14ac:dyDescent="0.35">
      <c r="B111" s="1" t="s">
        <v>17</v>
      </c>
      <c r="C111" s="2">
        <v>0.31350505977463111</v>
      </c>
      <c r="D111" s="2">
        <v>0.33207252296989492</v>
      </c>
      <c r="E111" s="2">
        <v>0.33627621668142488</v>
      </c>
      <c r="F111" s="2">
        <v>0.33525809604879769</v>
      </c>
      <c r="H111" s="1" t="s">
        <v>17</v>
      </c>
      <c r="I111" s="2">
        <v>5208.34</v>
      </c>
      <c r="J111" s="2">
        <v>5260.93</v>
      </c>
      <c r="K111" s="2">
        <v>4107.6499999999996</v>
      </c>
      <c r="L111" s="2">
        <v>5073.8100000000004</v>
      </c>
      <c r="O111" s="1" t="s">
        <v>17</v>
      </c>
      <c r="P111" s="2">
        <v>20174.07</v>
      </c>
      <c r="Q111" s="2">
        <v>20168.740000000002</v>
      </c>
      <c r="R111" s="2">
        <v>21038.85</v>
      </c>
      <c r="S111" s="2">
        <v>21160.69</v>
      </c>
      <c r="V111" s="1" t="s">
        <v>17</v>
      </c>
      <c r="W111" s="2">
        <v>15.12</v>
      </c>
      <c r="X111" s="2">
        <v>15.12</v>
      </c>
      <c r="Y111" s="2">
        <v>12.63</v>
      </c>
      <c r="Z111" s="2">
        <v>13.5</v>
      </c>
    </row>
    <row r="112" spans="2:26" x14ac:dyDescent="0.35">
      <c r="B112" s="1" t="s">
        <v>18</v>
      </c>
      <c r="C112" s="2">
        <v>8.2672956805131079E-2</v>
      </c>
      <c r="D112" s="2">
        <v>5.381866439221885E-2</v>
      </c>
      <c r="E112" s="2">
        <v>8.5036556928852369E-2</v>
      </c>
      <c r="F112" s="2">
        <v>6.328656078960461E-2</v>
      </c>
      <c r="H112" s="1" t="s">
        <v>18</v>
      </c>
      <c r="I112" s="2">
        <v>1098.25</v>
      </c>
      <c r="J112" s="2">
        <v>971.84</v>
      </c>
      <c r="K112" s="2">
        <v>1236.8499999999999</v>
      </c>
      <c r="L112" s="2">
        <v>1480.09</v>
      </c>
      <c r="O112" s="1" t="s">
        <v>18</v>
      </c>
      <c r="P112" s="2">
        <v>4545.92</v>
      </c>
      <c r="Q112" s="2">
        <v>2948.3</v>
      </c>
      <c r="R112" s="2">
        <v>5110.5200000000004</v>
      </c>
      <c r="S112" s="2">
        <v>6041.56</v>
      </c>
      <c r="V112" s="1" t="s">
        <v>18</v>
      </c>
      <c r="W112" s="2">
        <v>20.63</v>
      </c>
      <c r="X112" s="2">
        <v>15.12</v>
      </c>
      <c r="Y112" s="2">
        <v>11.49</v>
      </c>
      <c r="Z112" s="2">
        <v>9.94</v>
      </c>
    </row>
    <row r="113" spans="2:26" x14ac:dyDescent="0.35">
      <c r="B113" s="1" t="s">
        <v>19</v>
      </c>
      <c r="C113" s="2">
        <v>0.18498853246198119</v>
      </c>
      <c r="D113" s="2">
        <v>0.22219292836013049</v>
      </c>
      <c r="E113" s="2">
        <v>0.28500818591496152</v>
      </c>
      <c r="F113" s="2">
        <v>0.16185940563822901</v>
      </c>
      <c r="H113" s="1" t="s">
        <v>19</v>
      </c>
      <c r="I113" s="2">
        <v>3408.51</v>
      </c>
      <c r="J113" s="2">
        <v>3915.98</v>
      </c>
      <c r="K113" s="2">
        <v>3361.09</v>
      </c>
      <c r="L113" s="2">
        <v>3641.3</v>
      </c>
      <c r="O113" s="1" t="s">
        <v>19</v>
      </c>
      <c r="P113" s="2">
        <v>7683.24</v>
      </c>
      <c r="Q113" s="2">
        <v>9826.4</v>
      </c>
      <c r="R113" s="2">
        <v>13840.61</v>
      </c>
      <c r="S113" s="2">
        <v>14499.65</v>
      </c>
      <c r="V113" s="1" t="s">
        <v>19</v>
      </c>
      <c r="W113" s="2">
        <v>15.12</v>
      </c>
      <c r="X113" s="2">
        <v>15.12</v>
      </c>
      <c r="Y113" s="2">
        <v>14.8</v>
      </c>
      <c r="Z113" s="2">
        <v>10.19</v>
      </c>
    </row>
    <row r="114" spans="2:26" x14ac:dyDescent="0.35">
      <c r="B114" s="1" t="s">
        <v>20</v>
      </c>
      <c r="C114" s="2">
        <v>3.7728610401278201E-2</v>
      </c>
      <c r="D114" s="2">
        <v>2.8905805697526051E-2</v>
      </c>
      <c r="E114" s="2">
        <v>1.8601440633287829E-2</v>
      </c>
      <c r="F114" s="2">
        <v>1.22960399315965E-2</v>
      </c>
      <c r="H114" s="1" t="s">
        <v>20</v>
      </c>
      <c r="I114" s="2">
        <v>1794.99</v>
      </c>
      <c r="J114" s="2">
        <v>2249.58</v>
      </c>
      <c r="K114" s="2">
        <v>1073.72</v>
      </c>
      <c r="L114" s="2">
        <v>1887.15</v>
      </c>
      <c r="O114" s="1" t="s">
        <v>20</v>
      </c>
      <c r="P114" s="2">
        <v>7107.27</v>
      </c>
      <c r="Q114" s="2">
        <v>8588.68</v>
      </c>
      <c r="R114" s="2">
        <v>6454.56</v>
      </c>
      <c r="S114" s="2">
        <v>7323.48</v>
      </c>
      <c r="V114" s="1" t="s">
        <v>20</v>
      </c>
      <c r="W114" s="2">
        <v>5.78</v>
      </c>
      <c r="X114" s="2">
        <v>3.48</v>
      </c>
      <c r="Y114" s="2">
        <v>2.77</v>
      </c>
      <c r="Z114" s="2">
        <v>1.5</v>
      </c>
    </row>
    <row r="117" spans="2:26" x14ac:dyDescent="0.35">
      <c r="H117" t="s">
        <v>49</v>
      </c>
      <c r="O117" t="s">
        <v>50</v>
      </c>
      <c r="V117" t="s">
        <v>51</v>
      </c>
    </row>
    <row r="118" spans="2:26" x14ac:dyDescent="0.35">
      <c r="H118" s="1" t="s">
        <v>8</v>
      </c>
      <c r="I118" s="5" t="s">
        <v>9</v>
      </c>
      <c r="J118" s="5"/>
      <c r="K118" s="5" t="s">
        <v>10</v>
      </c>
      <c r="L118" s="5"/>
      <c r="O118" s="1" t="s">
        <v>8</v>
      </c>
      <c r="P118" s="5" t="s">
        <v>9</v>
      </c>
      <c r="Q118" s="5"/>
      <c r="R118" s="5" t="s">
        <v>10</v>
      </c>
      <c r="S118" s="5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5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5">
      <c r="H120" s="1" t="s">
        <v>12</v>
      </c>
      <c r="O120" s="1" t="s">
        <v>12</v>
      </c>
      <c r="V120" s="1" t="s">
        <v>12</v>
      </c>
    </row>
    <row r="121" spans="2:26" x14ac:dyDescent="0.35">
      <c r="H121" s="1" t="s">
        <v>13</v>
      </c>
      <c r="I121" s="2">
        <v>118.61</v>
      </c>
      <c r="J121" s="2">
        <v>45.97</v>
      </c>
      <c r="K121" s="2">
        <v>72.8</v>
      </c>
      <c r="L121" s="2">
        <v>54.69</v>
      </c>
      <c r="O121" s="1" t="s">
        <v>13</v>
      </c>
      <c r="P121" s="2">
        <v>118.61</v>
      </c>
      <c r="Q121" s="2">
        <v>45.97</v>
      </c>
      <c r="R121" s="2">
        <v>72.8</v>
      </c>
      <c r="S121" s="2">
        <v>54.69</v>
      </c>
      <c r="V121" s="1" t="s">
        <v>13</v>
      </c>
      <c r="W121" s="2">
        <v>29173.69</v>
      </c>
      <c r="X121" s="2">
        <v>49679.8</v>
      </c>
      <c r="Y121" s="2">
        <v>54863.67</v>
      </c>
      <c r="Z121" s="2">
        <v>54734.2</v>
      </c>
    </row>
    <row r="122" spans="2:26" x14ac:dyDescent="0.35">
      <c r="H122" s="1" t="s">
        <v>14</v>
      </c>
      <c r="I122" s="2">
        <v>101.01</v>
      </c>
      <c r="J122" s="2">
        <v>82.73</v>
      </c>
      <c r="K122" s="2">
        <v>87.44</v>
      </c>
      <c r="L122" s="2">
        <v>61.96</v>
      </c>
      <c r="O122" s="1" t="s">
        <v>14</v>
      </c>
      <c r="P122" s="2">
        <v>101.01</v>
      </c>
      <c r="Q122" s="2">
        <v>82.73</v>
      </c>
      <c r="R122" s="2">
        <v>87.44</v>
      </c>
      <c r="S122" s="2">
        <v>61.96</v>
      </c>
      <c r="V122" s="1" t="s">
        <v>14</v>
      </c>
      <c r="W122" s="2">
        <v>277.47000000000003</v>
      </c>
      <c r="X122" s="2">
        <v>353.8</v>
      </c>
      <c r="Y122" s="2">
        <v>737.03</v>
      </c>
      <c r="Z122" s="2">
        <v>279.39999999999998</v>
      </c>
    </row>
    <row r="123" spans="2:26" x14ac:dyDescent="0.35">
      <c r="H123" s="1" t="s">
        <v>15</v>
      </c>
      <c r="I123" s="2">
        <v>274.43</v>
      </c>
      <c r="J123" s="2">
        <v>333.37</v>
      </c>
      <c r="K123" s="2">
        <v>486.74</v>
      </c>
      <c r="L123" s="2">
        <v>432.84</v>
      </c>
      <c r="O123" s="1" t="s">
        <v>15</v>
      </c>
      <c r="P123" s="2">
        <v>274.43</v>
      </c>
      <c r="Q123" s="2">
        <v>333.37</v>
      </c>
      <c r="R123" s="2">
        <v>486.74</v>
      </c>
      <c r="S123" s="2">
        <v>432.84</v>
      </c>
      <c r="V123" s="1" t="s">
        <v>15</v>
      </c>
      <c r="W123" s="2">
        <v>323.20999999999998</v>
      </c>
      <c r="X123" s="2">
        <v>220.68</v>
      </c>
      <c r="Y123" s="2">
        <v>613.07000000000005</v>
      </c>
      <c r="Z123" s="2">
        <v>166</v>
      </c>
    </row>
    <row r="124" spans="2:26" x14ac:dyDescent="0.35">
      <c r="H124" s="1" t="s">
        <v>16</v>
      </c>
      <c r="I124" s="2">
        <v>124.16</v>
      </c>
      <c r="J124" s="2">
        <v>116.43</v>
      </c>
      <c r="K124" s="2">
        <v>113.2</v>
      </c>
      <c r="L124" s="2">
        <v>173.23</v>
      </c>
      <c r="O124" s="1" t="s">
        <v>16</v>
      </c>
      <c r="P124" s="2">
        <v>124.16</v>
      </c>
      <c r="Q124" s="2">
        <v>116.43</v>
      </c>
      <c r="R124" s="2">
        <v>113.2</v>
      </c>
      <c r="S124" s="2">
        <v>173.23</v>
      </c>
      <c r="V124" s="1" t="s">
        <v>16</v>
      </c>
      <c r="W124" s="2">
        <v>234.71</v>
      </c>
      <c r="X124" s="2">
        <v>273.52</v>
      </c>
      <c r="Y124" s="2">
        <v>444.7</v>
      </c>
      <c r="Z124" s="2">
        <v>183.31</v>
      </c>
    </row>
    <row r="125" spans="2:26" x14ac:dyDescent="0.35">
      <c r="H125" s="1" t="s">
        <v>17</v>
      </c>
      <c r="I125" s="2">
        <v>694.5</v>
      </c>
      <c r="J125" s="2">
        <v>493.2</v>
      </c>
      <c r="K125" s="2">
        <v>653.21</v>
      </c>
      <c r="L125" s="2">
        <v>562.95000000000005</v>
      </c>
      <c r="O125" s="1" t="s">
        <v>17</v>
      </c>
      <c r="P125" s="2">
        <v>694.5</v>
      </c>
      <c r="Q125" s="2">
        <v>493.2</v>
      </c>
      <c r="R125" s="2">
        <v>653.21</v>
      </c>
      <c r="S125" s="2">
        <v>562.95000000000005</v>
      </c>
      <c r="V125" s="1" t="s">
        <v>17</v>
      </c>
      <c r="W125" s="2">
        <v>210.86</v>
      </c>
      <c r="X125" s="2">
        <v>216.26</v>
      </c>
      <c r="Y125" s="2">
        <v>305.93</v>
      </c>
      <c r="Z125" s="2">
        <v>233.18</v>
      </c>
    </row>
    <row r="126" spans="2:26" x14ac:dyDescent="0.35">
      <c r="H126" s="1" t="s">
        <v>18</v>
      </c>
      <c r="I126" s="2">
        <v>91.21</v>
      </c>
      <c r="J126" s="2">
        <v>91.39</v>
      </c>
      <c r="K126" s="2">
        <v>49.35</v>
      </c>
      <c r="L126" s="2">
        <v>67.48</v>
      </c>
      <c r="O126" s="1" t="s">
        <v>18</v>
      </c>
      <c r="P126" s="2">
        <v>91.21</v>
      </c>
      <c r="Q126" s="2">
        <v>91.39</v>
      </c>
      <c r="R126" s="2">
        <v>49.35</v>
      </c>
      <c r="S126" s="2">
        <v>67.48</v>
      </c>
      <c r="V126" s="1" t="s">
        <v>18</v>
      </c>
      <c r="W126" s="2">
        <v>212.54</v>
      </c>
      <c r="X126" s="2">
        <v>238.21</v>
      </c>
      <c r="Y126" s="2">
        <v>253.4</v>
      </c>
      <c r="Z126" s="2">
        <v>252.93</v>
      </c>
    </row>
    <row r="127" spans="2:26" x14ac:dyDescent="0.35">
      <c r="H127" s="1" t="s">
        <v>19</v>
      </c>
      <c r="I127" s="2">
        <v>236.18</v>
      </c>
      <c r="J127" s="2">
        <v>201.94</v>
      </c>
      <c r="K127" s="2">
        <v>219.22</v>
      </c>
      <c r="L127" s="2">
        <v>182.83</v>
      </c>
      <c r="O127" s="1" t="s">
        <v>19</v>
      </c>
      <c r="P127" s="2">
        <v>236.18</v>
      </c>
      <c r="Q127" s="2">
        <v>201.94</v>
      </c>
      <c r="R127" s="2">
        <v>219.22</v>
      </c>
      <c r="S127" s="2">
        <v>182.83</v>
      </c>
      <c r="V127" s="1" t="s">
        <v>19</v>
      </c>
      <c r="W127" s="2">
        <v>264.64</v>
      </c>
      <c r="X127" s="2">
        <v>262.82</v>
      </c>
      <c r="Y127" s="2">
        <v>379.63</v>
      </c>
      <c r="Z127" s="2">
        <v>499.04</v>
      </c>
    </row>
    <row r="128" spans="2:26" x14ac:dyDescent="0.35">
      <c r="H128" s="1" t="s">
        <v>20</v>
      </c>
      <c r="I128" s="2">
        <v>110.34</v>
      </c>
      <c r="J128" s="2">
        <v>58.82</v>
      </c>
      <c r="K128" s="2">
        <v>77.8</v>
      </c>
      <c r="L128" s="2">
        <v>58.08</v>
      </c>
      <c r="O128" s="1" t="s">
        <v>20</v>
      </c>
      <c r="P128" s="2">
        <v>110.34</v>
      </c>
      <c r="Q128" s="2">
        <v>58.82</v>
      </c>
      <c r="R128" s="2">
        <v>77.8</v>
      </c>
      <c r="S128" s="2">
        <v>58.08</v>
      </c>
      <c r="V128" s="1" t="s">
        <v>20</v>
      </c>
      <c r="W128" s="2">
        <v>1572.37</v>
      </c>
      <c r="X128" s="2">
        <v>2860.36</v>
      </c>
      <c r="Y128" s="2">
        <v>30524.27</v>
      </c>
      <c r="Z128" s="2">
        <v>14916.25</v>
      </c>
    </row>
    <row r="131" spans="8:19" x14ac:dyDescent="0.35">
      <c r="H131" t="s">
        <v>52</v>
      </c>
      <c r="O131" t="s">
        <v>53</v>
      </c>
    </row>
    <row r="132" spans="8:19" x14ac:dyDescent="0.35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5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5">
      <c r="H134" s="1" t="s">
        <v>12</v>
      </c>
      <c r="O134" s="1" t="s">
        <v>12</v>
      </c>
    </row>
    <row r="135" spans="8:19" x14ac:dyDescent="0.35">
      <c r="H135" s="1" t="s">
        <v>13</v>
      </c>
      <c r="I135" s="2">
        <v>42.36</v>
      </c>
      <c r="J135" s="2">
        <v>26</v>
      </c>
      <c r="K135" s="2">
        <v>18.39</v>
      </c>
      <c r="L135" s="2">
        <v>21.88</v>
      </c>
      <c r="O135" s="1" t="s">
        <v>13</v>
      </c>
      <c r="P135" s="2">
        <v>381.24</v>
      </c>
      <c r="Q135" s="2">
        <v>494.03</v>
      </c>
      <c r="R135" s="2">
        <v>349.36</v>
      </c>
      <c r="S135" s="2">
        <v>415.62</v>
      </c>
    </row>
    <row r="136" spans="8:19" x14ac:dyDescent="0.35">
      <c r="H136" s="1" t="s">
        <v>14</v>
      </c>
      <c r="I136" s="2">
        <v>36.08</v>
      </c>
      <c r="J136" s="2">
        <v>31.23</v>
      </c>
      <c r="K136" s="2">
        <v>33.090000000000003</v>
      </c>
      <c r="L136" s="2">
        <v>24.78</v>
      </c>
      <c r="O136" s="1" t="s">
        <v>14</v>
      </c>
      <c r="P136" s="2">
        <v>192.4</v>
      </c>
      <c r="Q136" s="2">
        <v>154.97</v>
      </c>
      <c r="R136" s="2">
        <v>173.63</v>
      </c>
      <c r="S136" s="2">
        <v>95.12</v>
      </c>
    </row>
    <row r="137" spans="8:19" x14ac:dyDescent="0.35">
      <c r="H137" s="1" t="s">
        <v>15</v>
      </c>
      <c r="I137" s="2">
        <v>98.01</v>
      </c>
      <c r="J137" s="2">
        <v>173.84</v>
      </c>
      <c r="K137" s="2">
        <v>133.35</v>
      </c>
      <c r="L137" s="2">
        <v>173.13</v>
      </c>
      <c r="O137" s="1" t="s">
        <v>15</v>
      </c>
      <c r="P137" s="2">
        <v>511.6</v>
      </c>
      <c r="Q137" s="2">
        <v>531.32000000000005</v>
      </c>
      <c r="R137" s="2">
        <v>715.8</v>
      </c>
      <c r="S137" s="2">
        <v>415.52</v>
      </c>
    </row>
    <row r="138" spans="8:19" x14ac:dyDescent="0.35">
      <c r="H138" s="1" t="s">
        <v>16</v>
      </c>
      <c r="I138" s="2">
        <v>44.34</v>
      </c>
      <c r="J138" s="2">
        <v>40.43</v>
      </c>
      <c r="K138" s="2">
        <v>46.57</v>
      </c>
      <c r="L138" s="2">
        <v>69.290000000000006</v>
      </c>
      <c r="O138" s="1" t="s">
        <v>16</v>
      </c>
      <c r="P138" s="2">
        <v>175.54</v>
      </c>
      <c r="Q138" s="2">
        <v>173.93</v>
      </c>
      <c r="R138" s="2">
        <v>241.66</v>
      </c>
      <c r="S138" s="2">
        <v>253.83</v>
      </c>
    </row>
    <row r="139" spans="8:19" x14ac:dyDescent="0.35">
      <c r="H139" s="1" t="s">
        <v>17</v>
      </c>
      <c r="I139" s="2">
        <v>248.04</v>
      </c>
      <c r="J139" s="2">
        <v>233.29</v>
      </c>
      <c r="K139" s="2">
        <v>197.28</v>
      </c>
      <c r="L139" s="2">
        <v>225.18</v>
      </c>
      <c r="O139" s="1" t="s">
        <v>17</v>
      </c>
      <c r="P139" s="2">
        <v>956.46</v>
      </c>
      <c r="Q139" s="2">
        <v>890.05</v>
      </c>
      <c r="R139" s="2">
        <v>1005.22</v>
      </c>
      <c r="S139" s="2">
        <v>934.82</v>
      </c>
    </row>
    <row r="140" spans="8:19" x14ac:dyDescent="0.35">
      <c r="H140" s="1" t="s">
        <v>18</v>
      </c>
      <c r="I140" s="2">
        <v>32.58</v>
      </c>
      <c r="J140" s="2">
        <v>17.63</v>
      </c>
      <c r="K140" s="2">
        <v>36.56</v>
      </c>
      <c r="L140" s="2">
        <v>26.99</v>
      </c>
      <c r="O140" s="1" t="s">
        <v>18</v>
      </c>
      <c r="P140" s="2">
        <v>133.41</v>
      </c>
      <c r="Q140" s="2">
        <v>53.28</v>
      </c>
      <c r="R140" s="2">
        <v>149.82</v>
      </c>
      <c r="S140" s="2">
        <v>108.92</v>
      </c>
    </row>
    <row r="141" spans="8:19" x14ac:dyDescent="0.35">
      <c r="H141" s="1" t="s">
        <v>19</v>
      </c>
      <c r="I141" s="2">
        <v>84.35</v>
      </c>
      <c r="J141" s="2">
        <v>78.290000000000006</v>
      </c>
      <c r="K141" s="2">
        <v>80.78</v>
      </c>
      <c r="L141" s="2">
        <v>73.13</v>
      </c>
      <c r="O141" s="1" t="s">
        <v>19</v>
      </c>
      <c r="P141" s="2">
        <v>189.58</v>
      </c>
      <c r="Q141" s="2">
        <v>195.64</v>
      </c>
      <c r="R141" s="2">
        <v>329.77</v>
      </c>
      <c r="S141" s="2">
        <v>288.70999999999998</v>
      </c>
    </row>
    <row r="142" spans="8:19" x14ac:dyDescent="0.35">
      <c r="H142" s="1" t="s">
        <v>20</v>
      </c>
      <c r="I142" s="2">
        <v>39.409999999999997</v>
      </c>
      <c r="J142" s="2">
        <v>27.78</v>
      </c>
      <c r="K142" s="2">
        <v>23.53</v>
      </c>
      <c r="L142" s="2">
        <v>23.23</v>
      </c>
      <c r="O142" s="1" t="s">
        <v>20</v>
      </c>
      <c r="P142" s="2">
        <v>155.82</v>
      </c>
      <c r="Q142" s="2">
        <v>105.88</v>
      </c>
      <c r="R142" s="2">
        <v>140.91999999999999</v>
      </c>
      <c r="S142" s="2">
        <v>89.91</v>
      </c>
    </row>
    <row r="145" spans="8:19" x14ac:dyDescent="0.35">
      <c r="H145" t="s">
        <v>54</v>
      </c>
      <c r="O145" t="s">
        <v>55</v>
      </c>
    </row>
    <row r="146" spans="8:19" x14ac:dyDescent="0.35">
      <c r="H146" s="1" t="s">
        <v>8</v>
      </c>
      <c r="I146" s="5" t="s">
        <v>9</v>
      </c>
      <c r="J146" s="5"/>
      <c r="K146" s="5" t="s">
        <v>10</v>
      </c>
      <c r="L146" s="5"/>
      <c r="O146" s="1" t="s">
        <v>8</v>
      </c>
      <c r="P146" s="5" t="s">
        <v>9</v>
      </c>
      <c r="Q146" s="5"/>
      <c r="R146" s="5" t="s">
        <v>10</v>
      </c>
      <c r="S146" s="5"/>
    </row>
    <row r="147" spans="8:19" x14ac:dyDescent="0.35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5">
      <c r="H148" s="1" t="s">
        <v>12</v>
      </c>
      <c r="O148" s="1" t="s">
        <v>12</v>
      </c>
    </row>
    <row r="149" spans="8:19" x14ac:dyDescent="0.35">
      <c r="H149" s="1" t="s">
        <v>13</v>
      </c>
      <c r="I149" s="2">
        <v>11.17</v>
      </c>
      <c r="J149" s="2">
        <v>3.99</v>
      </c>
      <c r="K149" s="2">
        <v>11.17</v>
      </c>
      <c r="L149" s="2">
        <v>8.4</v>
      </c>
      <c r="O149" s="1" t="s">
        <v>13</v>
      </c>
      <c r="P149" s="2">
        <v>11.17</v>
      </c>
      <c r="Q149" s="2">
        <v>3.99</v>
      </c>
      <c r="R149" s="2">
        <v>11.17</v>
      </c>
      <c r="S149" s="2">
        <v>8.4</v>
      </c>
    </row>
    <row r="150" spans="8:19" x14ac:dyDescent="0.35">
      <c r="H150" s="1" t="s">
        <v>14</v>
      </c>
      <c r="I150" s="2">
        <v>41.44</v>
      </c>
      <c r="J150" s="2">
        <v>33.85</v>
      </c>
      <c r="K150" s="2">
        <v>83.16</v>
      </c>
      <c r="L150" s="2">
        <v>58.35</v>
      </c>
      <c r="O150" s="1" t="s">
        <v>14</v>
      </c>
      <c r="P150" s="2">
        <v>41.44</v>
      </c>
      <c r="Q150" s="2">
        <v>33.85</v>
      </c>
      <c r="R150" s="2">
        <v>83.16</v>
      </c>
      <c r="S150" s="2">
        <v>58.35</v>
      </c>
    </row>
    <row r="151" spans="8:19" x14ac:dyDescent="0.35">
      <c r="H151" s="1" t="s">
        <v>15</v>
      </c>
      <c r="I151" s="2">
        <v>84.09</v>
      </c>
      <c r="J151" s="2">
        <v>102.39</v>
      </c>
      <c r="K151" s="2">
        <v>286.3</v>
      </c>
      <c r="L151" s="2">
        <v>259.75</v>
      </c>
      <c r="O151" s="1" t="s">
        <v>15</v>
      </c>
      <c r="P151" s="2">
        <v>84.09</v>
      </c>
      <c r="Q151" s="2">
        <v>102.39</v>
      </c>
      <c r="R151" s="2">
        <v>286.3</v>
      </c>
      <c r="S151" s="2">
        <v>259.75</v>
      </c>
    </row>
    <row r="152" spans="8:19" x14ac:dyDescent="0.35">
      <c r="H152" s="1" t="s">
        <v>16</v>
      </c>
      <c r="I152" s="2">
        <v>40.6</v>
      </c>
      <c r="J152" s="2">
        <v>38.4</v>
      </c>
      <c r="K152" s="2">
        <v>59.17</v>
      </c>
      <c r="L152" s="2">
        <v>90.83</v>
      </c>
      <c r="O152" s="1" t="s">
        <v>16</v>
      </c>
      <c r="P152" s="2">
        <v>40.6</v>
      </c>
      <c r="Q152" s="2">
        <v>38.4</v>
      </c>
      <c r="R152" s="2">
        <v>59.17</v>
      </c>
      <c r="S152" s="2">
        <v>90.83</v>
      </c>
    </row>
    <row r="153" spans="8:19" x14ac:dyDescent="0.35">
      <c r="H153" s="1" t="s">
        <v>17</v>
      </c>
      <c r="I153" s="2">
        <v>225.43</v>
      </c>
      <c r="J153" s="2">
        <v>160.44999999999999</v>
      </c>
      <c r="K153" s="2">
        <v>230.15</v>
      </c>
      <c r="L153" s="2">
        <v>198.56</v>
      </c>
      <c r="O153" s="1" t="s">
        <v>17</v>
      </c>
      <c r="P153" s="2">
        <v>225.43</v>
      </c>
      <c r="Q153" s="2">
        <v>160.44999999999999</v>
      </c>
      <c r="R153" s="2">
        <v>230.15</v>
      </c>
      <c r="S153" s="2">
        <v>198.56</v>
      </c>
    </row>
    <row r="154" spans="8:19" x14ac:dyDescent="0.35">
      <c r="H154" s="1" t="s">
        <v>18</v>
      </c>
      <c r="I154" s="2">
        <v>31.39</v>
      </c>
      <c r="J154" s="2">
        <v>32.01</v>
      </c>
      <c r="K154" s="2">
        <v>27.49</v>
      </c>
      <c r="L154" s="2">
        <v>37.57</v>
      </c>
      <c r="O154" s="1" t="s">
        <v>18</v>
      </c>
      <c r="P154" s="2">
        <v>31.39</v>
      </c>
      <c r="Q154" s="2">
        <v>32.01</v>
      </c>
      <c r="R154" s="2">
        <v>27.49</v>
      </c>
      <c r="S154" s="2">
        <v>37.57</v>
      </c>
    </row>
    <row r="155" spans="8:19" x14ac:dyDescent="0.35">
      <c r="H155" s="1" t="s">
        <v>19</v>
      </c>
      <c r="I155" s="2">
        <v>32.130000000000003</v>
      </c>
      <c r="J155" s="2">
        <v>30.56</v>
      </c>
      <c r="K155" s="2">
        <v>53.02</v>
      </c>
      <c r="L155" s="2">
        <v>43.43</v>
      </c>
      <c r="O155" s="1" t="s">
        <v>19</v>
      </c>
      <c r="P155" s="2">
        <v>32.130000000000003</v>
      </c>
      <c r="Q155" s="2">
        <v>30.56</v>
      </c>
      <c r="R155" s="2">
        <v>53.02</v>
      </c>
      <c r="S155" s="2">
        <v>43.43</v>
      </c>
    </row>
    <row r="156" spans="8:19" x14ac:dyDescent="0.35">
      <c r="H156" s="1" t="s">
        <v>20</v>
      </c>
      <c r="I156" s="2">
        <v>11.6</v>
      </c>
      <c r="J156" s="2">
        <v>6.11</v>
      </c>
      <c r="K156" s="2">
        <v>19.91</v>
      </c>
      <c r="L156" s="2">
        <v>15.8</v>
      </c>
      <c r="O156" s="1" t="s">
        <v>20</v>
      </c>
      <c r="P156" s="2">
        <v>11.6</v>
      </c>
      <c r="Q156" s="2">
        <v>6.11</v>
      </c>
      <c r="R156" s="2">
        <v>19.91</v>
      </c>
      <c r="S156" s="2">
        <v>15.8</v>
      </c>
    </row>
    <row r="159" spans="8:19" x14ac:dyDescent="0.35">
      <c r="H159" t="s">
        <v>56</v>
      </c>
      <c r="O159" t="s">
        <v>57</v>
      </c>
    </row>
    <row r="160" spans="8:19" x14ac:dyDescent="0.35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5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5">
      <c r="H162" s="1" t="s">
        <v>12</v>
      </c>
      <c r="O162" s="1" t="s">
        <v>12</v>
      </c>
    </row>
    <row r="163" spans="8:19" x14ac:dyDescent="0.35">
      <c r="H163" s="1" t="s">
        <v>13</v>
      </c>
      <c r="I163" s="2">
        <v>3.99</v>
      </c>
      <c r="J163" s="2">
        <v>3.99</v>
      </c>
      <c r="K163" s="2">
        <v>1.6</v>
      </c>
      <c r="L163" s="2">
        <v>3.36</v>
      </c>
      <c r="O163" s="1" t="s">
        <v>13</v>
      </c>
      <c r="P163" s="2">
        <v>3.99</v>
      </c>
      <c r="Q163" s="2">
        <v>3.99</v>
      </c>
      <c r="R163" s="2">
        <v>1.6</v>
      </c>
      <c r="S163" s="2">
        <v>3.36</v>
      </c>
    </row>
    <row r="164" spans="8:19" x14ac:dyDescent="0.35">
      <c r="H164" s="1" t="s">
        <v>14</v>
      </c>
      <c r="I164" s="2">
        <v>14.8</v>
      </c>
      <c r="J164" s="2">
        <v>29.7</v>
      </c>
      <c r="K164" s="2">
        <v>13.54</v>
      </c>
      <c r="L164" s="2">
        <v>23.34</v>
      </c>
      <c r="O164" s="1" t="s">
        <v>14</v>
      </c>
      <c r="P164" s="2">
        <v>14.8</v>
      </c>
      <c r="Q164" s="2">
        <v>29.7</v>
      </c>
      <c r="R164" s="2">
        <v>13.54</v>
      </c>
      <c r="S164" s="2">
        <v>23.34</v>
      </c>
    </row>
    <row r="165" spans="8:19" x14ac:dyDescent="0.35">
      <c r="H165" s="1" t="s">
        <v>15</v>
      </c>
      <c r="I165" s="2">
        <v>30.03</v>
      </c>
      <c r="J165" s="2">
        <v>102.25</v>
      </c>
      <c r="K165" s="2">
        <v>40.96</v>
      </c>
      <c r="L165" s="2">
        <v>103.9</v>
      </c>
      <c r="O165" s="1" t="s">
        <v>15</v>
      </c>
      <c r="P165" s="2">
        <v>30.03</v>
      </c>
      <c r="Q165" s="2">
        <v>102.25</v>
      </c>
      <c r="R165" s="2">
        <v>40.96</v>
      </c>
      <c r="S165" s="2">
        <v>103.9</v>
      </c>
    </row>
    <row r="166" spans="8:19" x14ac:dyDescent="0.35">
      <c r="H166" s="1" t="s">
        <v>16</v>
      </c>
      <c r="I166" s="2">
        <v>14.5</v>
      </c>
      <c r="J166" s="2">
        <v>21.13</v>
      </c>
      <c r="K166" s="2">
        <v>15.36</v>
      </c>
      <c r="L166" s="2">
        <v>36.33</v>
      </c>
      <c r="O166" s="1" t="s">
        <v>16</v>
      </c>
      <c r="P166" s="2">
        <v>14.5</v>
      </c>
      <c r="Q166" s="2">
        <v>21.13</v>
      </c>
      <c r="R166" s="2">
        <v>15.36</v>
      </c>
      <c r="S166" s="2">
        <v>36.33</v>
      </c>
    </row>
    <row r="167" spans="8:19" x14ac:dyDescent="0.35">
      <c r="H167" s="1" t="s">
        <v>17</v>
      </c>
      <c r="I167" s="2">
        <v>80.510000000000005</v>
      </c>
      <c r="J167" s="2">
        <v>82.2</v>
      </c>
      <c r="K167" s="2">
        <v>64.180000000000007</v>
      </c>
      <c r="L167" s="2">
        <v>79.42</v>
      </c>
      <c r="O167" s="1" t="s">
        <v>17</v>
      </c>
      <c r="P167" s="2">
        <v>80.510000000000005</v>
      </c>
      <c r="Q167" s="2">
        <v>82.2</v>
      </c>
      <c r="R167" s="2">
        <v>64.180000000000007</v>
      </c>
      <c r="S167" s="2">
        <v>79.42</v>
      </c>
    </row>
    <row r="168" spans="8:19" x14ac:dyDescent="0.35">
      <c r="H168" s="1" t="s">
        <v>18</v>
      </c>
      <c r="I168" s="2">
        <v>11.21</v>
      </c>
      <c r="J168" s="2">
        <v>9.82</v>
      </c>
      <c r="K168" s="2">
        <v>12.8</v>
      </c>
      <c r="L168" s="2">
        <v>15.03</v>
      </c>
      <c r="O168" s="1" t="s">
        <v>18</v>
      </c>
      <c r="P168" s="2">
        <v>11.21</v>
      </c>
      <c r="Q168" s="2">
        <v>9.82</v>
      </c>
      <c r="R168" s="2">
        <v>12.8</v>
      </c>
      <c r="S168" s="2">
        <v>15.03</v>
      </c>
    </row>
    <row r="169" spans="8:19" x14ac:dyDescent="0.35">
      <c r="H169" s="1" t="s">
        <v>19</v>
      </c>
      <c r="I169" s="2">
        <v>11.48</v>
      </c>
      <c r="J169" s="2">
        <v>18.940000000000001</v>
      </c>
      <c r="K169" s="2">
        <v>12.22</v>
      </c>
      <c r="L169" s="2">
        <v>17.37</v>
      </c>
      <c r="O169" s="1" t="s">
        <v>19</v>
      </c>
      <c r="P169" s="2">
        <v>11.48</v>
      </c>
      <c r="Q169" s="2">
        <v>18.940000000000001</v>
      </c>
      <c r="R169" s="2">
        <v>12.22</v>
      </c>
      <c r="S169" s="2">
        <v>17.37</v>
      </c>
    </row>
    <row r="170" spans="8:19" x14ac:dyDescent="0.35">
      <c r="H170" s="1" t="s">
        <v>20</v>
      </c>
      <c r="I170" s="2">
        <v>4.1399999999999997</v>
      </c>
      <c r="J170" s="2">
        <v>7.11</v>
      </c>
      <c r="K170" s="2">
        <v>2.44</v>
      </c>
      <c r="L170" s="2">
        <v>6.32</v>
      </c>
      <c r="O170" s="1" t="s">
        <v>20</v>
      </c>
      <c r="P170" s="2">
        <v>4.1399999999999997</v>
      </c>
      <c r="Q170" s="2">
        <v>7.11</v>
      </c>
      <c r="R170" s="2">
        <v>2.44</v>
      </c>
      <c r="S170" s="2">
        <v>6.32</v>
      </c>
    </row>
    <row r="173" spans="8:19" x14ac:dyDescent="0.35">
      <c r="H173" t="s">
        <v>58</v>
      </c>
      <c r="O173" t="s">
        <v>59</v>
      </c>
    </row>
    <row r="174" spans="8:19" x14ac:dyDescent="0.35">
      <c r="H174" s="1" t="s">
        <v>8</v>
      </c>
      <c r="I174" s="5" t="s">
        <v>9</v>
      </c>
      <c r="J174" s="5"/>
      <c r="K174" s="5" t="s">
        <v>10</v>
      </c>
      <c r="L174" s="5"/>
      <c r="O174" s="1" t="s">
        <v>8</v>
      </c>
      <c r="P174" s="5" t="s">
        <v>9</v>
      </c>
      <c r="Q174" s="5"/>
      <c r="R174" s="5" t="s">
        <v>10</v>
      </c>
      <c r="S174" s="5"/>
    </row>
    <row r="175" spans="8:19" x14ac:dyDescent="0.35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5">
      <c r="H176" s="1" t="s">
        <v>12</v>
      </c>
      <c r="O176" s="1" t="s">
        <v>12</v>
      </c>
    </row>
    <row r="177" spans="8:19" x14ac:dyDescent="0.35">
      <c r="H177" s="1" t="s">
        <v>13</v>
      </c>
      <c r="I177" s="2">
        <v>996.16</v>
      </c>
      <c r="J177" s="2">
        <v>374.81</v>
      </c>
      <c r="K177" s="2">
        <v>471.27</v>
      </c>
      <c r="L177" s="2">
        <v>361.9</v>
      </c>
      <c r="O177" s="1" t="s">
        <v>13</v>
      </c>
      <c r="P177" s="2">
        <v>996.16</v>
      </c>
      <c r="Q177" s="2">
        <v>374.81</v>
      </c>
      <c r="R177" s="2">
        <v>471.27</v>
      </c>
      <c r="S177" s="2">
        <v>361.9</v>
      </c>
    </row>
    <row r="178" spans="8:19" x14ac:dyDescent="0.35">
      <c r="H178" s="1" t="s">
        <v>14</v>
      </c>
      <c r="I178" s="2">
        <v>67.290000000000006</v>
      </c>
      <c r="J178" s="2">
        <v>54.36</v>
      </c>
      <c r="K178" s="2">
        <v>80</v>
      </c>
      <c r="L178" s="2">
        <v>60.48</v>
      </c>
      <c r="O178" s="1" t="s">
        <v>14</v>
      </c>
      <c r="P178" s="2">
        <v>67.290000000000006</v>
      </c>
      <c r="Q178" s="2">
        <v>54.36</v>
      </c>
      <c r="R178" s="2">
        <v>80</v>
      </c>
      <c r="S178" s="2">
        <v>60.48</v>
      </c>
    </row>
    <row r="179" spans="8:19" x14ac:dyDescent="0.35">
      <c r="H179" s="1" t="s">
        <v>15</v>
      </c>
      <c r="I179" s="2">
        <v>196.78</v>
      </c>
      <c r="J179" s="2">
        <v>244.41</v>
      </c>
      <c r="K179" s="2">
        <v>522.13</v>
      </c>
      <c r="L179" s="2">
        <v>940.37</v>
      </c>
      <c r="O179" s="1" t="s">
        <v>15</v>
      </c>
      <c r="P179" s="2">
        <v>196.78</v>
      </c>
      <c r="Q179" s="2">
        <v>244.41</v>
      </c>
      <c r="R179" s="2">
        <v>522.13</v>
      </c>
      <c r="S179" s="2">
        <v>940.37</v>
      </c>
    </row>
    <row r="180" spans="8:19" x14ac:dyDescent="0.35">
      <c r="H180" s="1" t="s">
        <v>16</v>
      </c>
      <c r="I180" s="2">
        <v>135.58000000000001</v>
      </c>
      <c r="J180" s="2">
        <v>118.93</v>
      </c>
      <c r="K180" s="2">
        <v>104.45</v>
      </c>
      <c r="L180" s="2">
        <v>169.22</v>
      </c>
      <c r="O180" s="1" t="s">
        <v>16</v>
      </c>
      <c r="P180" s="2">
        <v>135.58000000000001</v>
      </c>
      <c r="Q180" s="2">
        <v>118.93</v>
      </c>
      <c r="R180" s="2">
        <v>104.45</v>
      </c>
      <c r="S180" s="2">
        <v>169.22</v>
      </c>
    </row>
    <row r="181" spans="8:19" x14ac:dyDescent="0.35">
      <c r="H181" s="1" t="s">
        <v>17</v>
      </c>
      <c r="I181" s="2">
        <v>727.53</v>
      </c>
      <c r="J181" s="2">
        <v>475.74</v>
      </c>
      <c r="K181" s="2">
        <v>665.1</v>
      </c>
      <c r="L181" s="2">
        <v>556.28</v>
      </c>
      <c r="O181" s="1" t="s">
        <v>17</v>
      </c>
      <c r="P181" s="2">
        <v>727.53</v>
      </c>
      <c r="Q181" s="2">
        <v>475.74</v>
      </c>
      <c r="R181" s="2">
        <v>665.1</v>
      </c>
      <c r="S181" s="2">
        <v>556.28</v>
      </c>
    </row>
    <row r="182" spans="8:19" x14ac:dyDescent="0.35">
      <c r="H182" s="1" t="s">
        <v>18</v>
      </c>
      <c r="I182" s="2">
        <v>110.53</v>
      </c>
      <c r="J182" s="2">
        <v>111.05</v>
      </c>
      <c r="K182" s="2">
        <v>62.86</v>
      </c>
      <c r="L182" s="2">
        <v>82.76</v>
      </c>
      <c r="O182" s="1" t="s">
        <v>18</v>
      </c>
      <c r="P182" s="2">
        <v>110.53</v>
      </c>
      <c r="Q182" s="2">
        <v>111.05</v>
      </c>
      <c r="R182" s="2">
        <v>62.86</v>
      </c>
      <c r="S182" s="2">
        <v>82.76</v>
      </c>
    </row>
    <row r="183" spans="8:19" x14ac:dyDescent="0.35">
      <c r="H183" s="1" t="s">
        <v>19</v>
      </c>
      <c r="I183" s="2">
        <v>390.9</v>
      </c>
      <c r="J183" s="2">
        <v>259.69</v>
      </c>
      <c r="K183" s="2">
        <v>394.4</v>
      </c>
      <c r="L183" s="2">
        <v>286.32</v>
      </c>
      <c r="O183" s="1" t="s">
        <v>19</v>
      </c>
      <c r="P183" s="2">
        <v>390.9</v>
      </c>
      <c r="Q183" s="2">
        <v>259.69</v>
      </c>
      <c r="R183" s="2">
        <v>394.4</v>
      </c>
      <c r="S183" s="2">
        <v>286.32</v>
      </c>
    </row>
    <row r="184" spans="8:19" x14ac:dyDescent="0.35">
      <c r="H184" s="1" t="s">
        <v>20</v>
      </c>
      <c r="I184" s="2">
        <v>251</v>
      </c>
      <c r="J184" s="2">
        <v>189.42</v>
      </c>
      <c r="K184" s="2">
        <v>244.63</v>
      </c>
      <c r="L184" s="2">
        <v>184.14</v>
      </c>
      <c r="O184" s="1" t="s">
        <v>20</v>
      </c>
      <c r="P184" s="2">
        <v>251</v>
      </c>
      <c r="Q184" s="2">
        <v>189.42</v>
      </c>
      <c r="R184" s="2">
        <v>244.63</v>
      </c>
      <c r="S184" s="2">
        <v>184.14</v>
      </c>
    </row>
    <row r="187" spans="8:19" x14ac:dyDescent="0.35">
      <c r="H187" t="s">
        <v>60</v>
      </c>
      <c r="O187" t="s">
        <v>61</v>
      </c>
    </row>
    <row r="188" spans="8:19" x14ac:dyDescent="0.35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5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5">
      <c r="H190" s="1" t="s">
        <v>12</v>
      </c>
      <c r="O190" s="1" t="s">
        <v>12</v>
      </c>
    </row>
    <row r="191" spans="8:19" x14ac:dyDescent="0.35">
      <c r="H191" s="1" t="s">
        <v>13</v>
      </c>
      <c r="I191" s="2">
        <v>355.77</v>
      </c>
      <c r="J191" s="2">
        <v>168.31</v>
      </c>
      <c r="K191" s="2">
        <v>149.91999999999999</v>
      </c>
      <c r="L191" s="2">
        <v>144.76</v>
      </c>
      <c r="O191" s="1" t="s">
        <v>13</v>
      </c>
      <c r="P191" s="2">
        <v>355.77</v>
      </c>
      <c r="Q191" s="2">
        <v>168.31</v>
      </c>
      <c r="R191" s="2">
        <v>149.91999999999999</v>
      </c>
      <c r="S191" s="2">
        <v>144.76</v>
      </c>
    </row>
    <row r="192" spans="8:19" x14ac:dyDescent="0.35">
      <c r="H192" s="1" t="s">
        <v>14</v>
      </c>
      <c r="I192" s="2">
        <v>24.03</v>
      </c>
      <c r="J192" s="2">
        <v>28.57</v>
      </c>
      <c r="K192" s="2">
        <v>21.74</v>
      </c>
      <c r="L192" s="2">
        <v>24.19</v>
      </c>
      <c r="O192" s="1" t="s">
        <v>14</v>
      </c>
      <c r="P192" s="2">
        <v>24.03</v>
      </c>
      <c r="Q192" s="2">
        <v>28.57</v>
      </c>
      <c r="R192" s="2">
        <v>21.74</v>
      </c>
      <c r="S192" s="2">
        <v>24.19</v>
      </c>
    </row>
    <row r="193" spans="8:19" x14ac:dyDescent="0.35">
      <c r="H193" s="1" t="s">
        <v>15</v>
      </c>
      <c r="I193" s="2">
        <v>70.28</v>
      </c>
      <c r="J193" s="2">
        <v>186.47</v>
      </c>
      <c r="K193" s="2">
        <v>97.76</v>
      </c>
      <c r="L193" s="2">
        <v>376.15</v>
      </c>
      <c r="O193" s="1" t="s">
        <v>15</v>
      </c>
      <c r="P193" s="2">
        <v>70.28</v>
      </c>
      <c r="Q193" s="2">
        <v>186.47</v>
      </c>
      <c r="R193" s="2">
        <v>97.76</v>
      </c>
      <c r="S193" s="2">
        <v>376.15</v>
      </c>
    </row>
    <row r="194" spans="8:19" x14ac:dyDescent="0.35">
      <c r="H194" s="1" t="s">
        <v>16</v>
      </c>
      <c r="I194" s="2">
        <v>48.42</v>
      </c>
      <c r="J194" s="2">
        <v>37.299999999999997</v>
      </c>
      <c r="K194" s="2">
        <v>47.57</v>
      </c>
      <c r="L194" s="2">
        <v>67.69</v>
      </c>
      <c r="O194" s="1" t="s">
        <v>16</v>
      </c>
      <c r="P194" s="2">
        <v>48.42</v>
      </c>
      <c r="Q194" s="2">
        <v>37.299999999999997</v>
      </c>
      <c r="R194" s="2">
        <v>47.57</v>
      </c>
      <c r="S194" s="2">
        <v>67.69</v>
      </c>
    </row>
    <row r="195" spans="8:19" x14ac:dyDescent="0.35">
      <c r="H195" s="1" t="s">
        <v>17</v>
      </c>
      <c r="I195" s="2">
        <v>259.83</v>
      </c>
      <c r="J195" s="2">
        <v>237.54</v>
      </c>
      <c r="K195" s="2">
        <v>190.3</v>
      </c>
      <c r="L195" s="2">
        <v>222.51</v>
      </c>
      <c r="O195" s="1" t="s">
        <v>17</v>
      </c>
      <c r="P195" s="2">
        <v>259.83</v>
      </c>
      <c r="Q195" s="2">
        <v>237.54</v>
      </c>
      <c r="R195" s="2">
        <v>190.3</v>
      </c>
      <c r="S195" s="2">
        <v>222.51</v>
      </c>
    </row>
    <row r="196" spans="8:19" x14ac:dyDescent="0.35">
      <c r="H196" s="1" t="s">
        <v>18</v>
      </c>
      <c r="I196" s="2">
        <v>39.47</v>
      </c>
      <c r="J196" s="2">
        <v>22.45</v>
      </c>
      <c r="K196" s="2">
        <v>44.42</v>
      </c>
      <c r="L196" s="2">
        <v>33.1</v>
      </c>
      <c r="O196" s="1" t="s">
        <v>18</v>
      </c>
      <c r="P196" s="2">
        <v>39.47</v>
      </c>
      <c r="Q196" s="2">
        <v>22.45</v>
      </c>
      <c r="R196" s="2">
        <v>44.42</v>
      </c>
      <c r="S196" s="2">
        <v>33.1</v>
      </c>
    </row>
    <row r="197" spans="8:19" x14ac:dyDescent="0.35">
      <c r="H197" s="1" t="s">
        <v>19</v>
      </c>
      <c r="I197" s="2">
        <v>139.61000000000001</v>
      </c>
      <c r="J197" s="2">
        <v>140.86000000000001</v>
      </c>
      <c r="K197" s="2">
        <v>103.87</v>
      </c>
      <c r="L197" s="2">
        <v>114.53</v>
      </c>
      <c r="O197" s="1" t="s">
        <v>19</v>
      </c>
      <c r="P197" s="2">
        <v>139.61000000000001</v>
      </c>
      <c r="Q197" s="2">
        <v>140.86000000000001</v>
      </c>
      <c r="R197" s="2">
        <v>103.87</v>
      </c>
      <c r="S197" s="2">
        <v>114.53</v>
      </c>
    </row>
    <row r="198" spans="8:19" x14ac:dyDescent="0.35">
      <c r="H198" s="1" t="s">
        <v>20</v>
      </c>
      <c r="I198" s="2">
        <v>89.64</v>
      </c>
      <c r="J198" s="2">
        <v>87.37</v>
      </c>
      <c r="K198" s="2">
        <v>75.77</v>
      </c>
      <c r="L198" s="2">
        <v>73.66</v>
      </c>
      <c r="O198" s="1" t="s">
        <v>20</v>
      </c>
      <c r="P198" s="2">
        <v>89.64</v>
      </c>
      <c r="Q198" s="2">
        <v>87.37</v>
      </c>
      <c r="R198" s="2">
        <v>75.77</v>
      </c>
      <c r="S198" s="2">
        <v>73.66</v>
      </c>
    </row>
    <row r="201" spans="8:19" x14ac:dyDescent="0.35">
      <c r="H201" t="s">
        <v>62</v>
      </c>
      <c r="O201" t="s">
        <v>63</v>
      </c>
    </row>
    <row r="202" spans="8:19" x14ac:dyDescent="0.35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5" t="s">
        <v>9</v>
      </c>
      <c r="Q202" s="5"/>
      <c r="R202" s="5" t="s">
        <v>10</v>
      </c>
      <c r="S202" s="5"/>
    </row>
    <row r="203" spans="8:19" x14ac:dyDescent="0.35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5">
      <c r="H204" s="1" t="s">
        <v>12</v>
      </c>
      <c r="O204" s="1" t="s">
        <v>12</v>
      </c>
    </row>
    <row r="205" spans="8:19" x14ac:dyDescent="0.35">
      <c r="H205" s="1" t="s">
        <v>13</v>
      </c>
      <c r="I205" s="2">
        <v>0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996.16</v>
      </c>
      <c r="Q205" s="2">
        <v>374.81</v>
      </c>
      <c r="R205" s="2">
        <v>471.27</v>
      </c>
      <c r="S205" s="2">
        <v>361.9</v>
      </c>
    </row>
    <row r="206" spans="8:19" x14ac:dyDescent="0.35">
      <c r="H206" s="1" t="s">
        <v>14</v>
      </c>
      <c r="I206" s="2">
        <v>0.26</v>
      </c>
      <c r="J206" s="2">
        <v>0.2</v>
      </c>
      <c r="K206" s="2">
        <v>0.1</v>
      </c>
      <c r="L206" s="2">
        <v>0.23</v>
      </c>
      <c r="O206" s="1" t="s">
        <v>14</v>
      </c>
      <c r="P206" s="2">
        <v>67.290000000000006</v>
      </c>
      <c r="Q206" s="2">
        <v>54.36</v>
      </c>
      <c r="R206" s="2">
        <v>80</v>
      </c>
      <c r="S206" s="2">
        <v>60.48</v>
      </c>
    </row>
    <row r="207" spans="8:19" x14ac:dyDescent="0.35">
      <c r="H207" s="1" t="s">
        <v>15</v>
      </c>
      <c r="I207" s="2">
        <v>0.22</v>
      </c>
      <c r="J207" s="2">
        <v>0.27</v>
      </c>
      <c r="K207" s="2">
        <v>0.12</v>
      </c>
      <c r="L207" s="2">
        <v>0.3</v>
      </c>
      <c r="O207" s="1" t="s">
        <v>15</v>
      </c>
      <c r="P207" s="2">
        <v>196.78</v>
      </c>
      <c r="Q207" s="2">
        <v>244.41</v>
      </c>
      <c r="R207" s="2">
        <v>522.13</v>
      </c>
      <c r="S207" s="2">
        <v>940.37</v>
      </c>
    </row>
    <row r="208" spans="8:19" x14ac:dyDescent="0.35">
      <c r="H208" s="1" t="s">
        <v>16</v>
      </c>
      <c r="I208" s="2">
        <v>0.28000000000000003</v>
      </c>
      <c r="J208" s="2">
        <v>0.25</v>
      </c>
      <c r="K208" s="2">
        <v>0.16</v>
      </c>
      <c r="L208" s="2">
        <v>0.35</v>
      </c>
      <c r="O208" s="1" t="s">
        <v>16</v>
      </c>
      <c r="P208" s="2">
        <v>135.58000000000001</v>
      </c>
      <c r="Q208" s="2">
        <v>118.93</v>
      </c>
      <c r="R208" s="2">
        <v>104.45</v>
      </c>
      <c r="S208" s="2">
        <v>169.22</v>
      </c>
    </row>
    <row r="209" spans="8:19" x14ac:dyDescent="0.35">
      <c r="H209" s="1" t="s">
        <v>17</v>
      </c>
      <c r="I209" s="2">
        <v>0.3</v>
      </c>
      <c r="J209" s="2">
        <v>0.3</v>
      </c>
      <c r="K209" s="2">
        <v>0.23</v>
      </c>
      <c r="L209" s="2">
        <v>0.28999999999999998</v>
      </c>
      <c r="O209" s="1" t="s">
        <v>17</v>
      </c>
      <c r="P209" s="2">
        <v>727.53</v>
      </c>
      <c r="Q209" s="2">
        <v>475.74</v>
      </c>
      <c r="R209" s="2">
        <v>665.1</v>
      </c>
      <c r="S209" s="2">
        <v>556.28</v>
      </c>
    </row>
    <row r="210" spans="8:19" x14ac:dyDescent="0.35">
      <c r="H210" s="1" t="s">
        <v>18</v>
      </c>
      <c r="I210" s="2">
        <v>0.33</v>
      </c>
      <c r="J210" s="2">
        <v>0.27</v>
      </c>
      <c r="K210" s="2">
        <v>0.28000000000000003</v>
      </c>
      <c r="L210" s="2">
        <v>0.28000000000000003</v>
      </c>
      <c r="O210" s="1" t="s">
        <v>18</v>
      </c>
      <c r="P210" s="2">
        <v>110.53</v>
      </c>
      <c r="Q210" s="2">
        <v>111.05</v>
      </c>
      <c r="R210" s="2">
        <v>62.86</v>
      </c>
      <c r="S210" s="2">
        <v>82.76</v>
      </c>
    </row>
    <row r="211" spans="8:19" x14ac:dyDescent="0.35">
      <c r="H211" s="1" t="s">
        <v>19</v>
      </c>
      <c r="I211" s="2">
        <v>0.21</v>
      </c>
      <c r="J211" s="2">
        <v>0.23</v>
      </c>
      <c r="K211" s="2">
        <v>0.19</v>
      </c>
      <c r="L211" s="2">
        <v>0.14000000000000001</v>
      </c>
      <c r="O211" s="1" t="s">
        <v>19</v>
      </c>
      <c r="P211" s="2">
        <v>390.9</v>
      </c>
      <c r="Q211" s="2">
        <v>259.69</v>
      </c>
      <c r="R211" s="2">
        <v>394.4</v>
      </c>
      <c r="S211" s="2">
        <v>286.32</v>
      </c>
    </row>
    <row r="212" spans="8:19" x14ac:dyDescent="0.35">
      <c r="H212" s="1" t="s">
        <v>20</v>
      </c>
      <c r="I212" s="2">
        <v>0.04</v>
      </c>
      <c r="J212" s="2">
        <v>0.02</v>
      </c>
      <c r="K212" s="2">
        <v>0</v>
      </c>
      <c r="L212" s="2">
        <v>0</v>
      </c>
      <c r="O212" s="1" t="s">
        <v>20</v>
      </c>
      <c r="P212" s="2">
        <v>251</v>
      </c>
      <c r="Q212" s="2">
        <v>189.42</v>
      </c>
      <c r="R212" s="2">
        <v>244.63</v>
      </c>
      <c r="S212" s="2">
        <v>184.14</v>
      </c>
    </row>
    <row r="215" spans="8:19" x14ac:dyDescent="0.35">
      <c r="H215" t="s">
        <v>64</v>
      </c>
      <c r="O215" t="s">
        <v>65</v>
      </c>
    </row>
    <row r="216" spans="8:19" x14ac:dyDescent="0.35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5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5">
      <c r="H218" s="1" t="s">
        <v>12</v>
      </c>
      <c r="O218" s="1" t="s">
        <v>12</v>
      </c>
    </row>
    <row r="219" spans="8:19" x14ac:dyDescent="0.35">
      <c r="H219" s="1" t="s">
        <v>13</v>
      </c>
      <c r="I219" s="2">
        <v>0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355.77</v>
      </c>
      <c r="Q219" s="2">
        <v>168.31</v>
      </c>
      <c r="R219" s="2">
        <v>149.91999999999999</v>
      </c>
      <c r="S219" s="2">
        <v>144.76</v>
      </c>
    </row>
    <row r="220" spans="8:19" x14ac:dyDescent="0.35">
      <c r="H220" s="1" t="s">
        <v>14</v>
      </c>
      <c r="I220" s="2">
        <v>0.19</v>
      </c>
      <c r="J220" s="2">
        <v>0.14000000000000001</v>
      </c>
      <c r="K220" s="2">
        <v>7.0000000000000007E-2</v>
      </c>
      <c r="L220" s="2">
        <v>0.16</v>
      </c>
      <c r="O220" s="1" t="s">
        <v>14</v>
      </c>
      <c r="P220" s="2">
        <v>24.03</v>
      </c>
      <c r="Q220" s="2">
        <v>28.57</v>
      </c>
      <c r="R220" s="2">
        <v>21.74</v>
      </c>
      <c r="S220" s="2">
        <v>24.19</v>
      </c>
    </row>
    <row r="221" spans="8:19" x14ac:dyDescent="0.35">
      <c r="H221" s="1" t="s">
        <v>15</v>
      </c>
      <c r="I221" s="2">
        <v>0.16</v>
      </c>
      <c r="J221" s="2">
        <v>0.2</v>
      </c>
      <c r="K221" s="2">
        <v>0.09</v>
      </c>
      <c r="L221" s="2">
        <v>0.22</v>
      </c>
      <c r="O221" s="1" t="s">
        <v>15</v>
      </c>
      <c r="P221" s="2">
        <v>70.28</v>
      </c>
      <c r="Q221" s="2">
        <v>186.47</v>
      </c>
      <c r="R221" s="2">
        <v>97.76</v>
      </c>
      <c r="S221" s="2">
        <v>376.15</v>
      </c>
    </row>
    <row r="222" spans="8:19" x14ac:dyDescent="0.35">
      <c r="H222" s="1" t="s">
        <v>16</v>
      </c>
      <c r="I222" s="2">
        <v>0.19</v>
      </c>
      <c r="J222" s="2">
        <v>0.18</v>
      </c>
      <c r="K222" s="2">
        <v>0.12</v>
      </c>
      <c r="L222" s="2">
        <v>0.25</v>
      </c>
      <c r="O222" s="1" t="s">
        <v>16</v>
      </c>
      <c r="P222" s="2">
        <v>48.42</v>
      </c>
      <c r="Q222" s="2">
        <v>37.299999999999997</v>
      </c>
      <c r="R222" s="2">
        <v>47.57</v>
      </c>
      <c r="S222" s="2">
        <v>67.69</v>
      </c>
    </row>
    <row r="223" spans="8:19" x14ac:dyDescent="0.35">
      <c r="H223" s="1" t="s">
        <v>17</v>
      </c>
      <c r="I223" s="2">
        <v>0.21</v>
      </c>
      <c r="J223" s="2">
        <v>0.21</v>
      </c>
      <c r="K223" s="2">
        <v>0.16</v>
      </c>
      <c r="L223" s="2">
        <v>0.2</v>
      </c>
      <c r="O223" s="1" t="s">
        <v>17</v>
      </c>
      <c r="P223" s="2">
        <v>259.83</v>
      </c>
      <c r="Q223" s="2">
        <v>237.54</v>
      </c>
      <c r="R223" s="2">
        <v>190.3</v>
      </c>
      <c r="S223" s="2">
        <v>222.51</v>
      </c>
    </row>
    <row r="224" spans="8:19" x14ac:dyDescent="0.35">
      <c r="H224" s="1" t="s">
        <v>18</v>
      </c>
      <c r="I224" s="2">
        <v>0.23</v>
      </c>
      <c r="J224" s="2">
        <v>0.19</v>
      </c>
      <c r="K224" s="2">
        <v>0.2</v>
      </c>
      <c r="L224" s="2">
        <v>0.21</v>
      </c>
      <c r="O224" s="1" t="s">
        <v>18</v>
      </c>
      <c r="P224" s="2">
        <v>39.47</v>
      </c>
      <c r="Q224" s="2">
        <v>22.45</v>
      </c>
      <c r="R224" s="2">
        <v>44.42</v>
      </c>
      <c r="S224" s="2">
        <v>33.1</v>
      </c>
    </row>
    <row r="225" spans="8:19" x14ac:dyDescent="0.35">
      <c r="H225" s="1" t="s">
        <v>19</v>
      </c>
      <c r="I225" s="2">
        <v>0.15</v>
      </c>
      <c r="J225" s="2">
        <v>0.16</v>
      </c>
      <c r="K225" s="2">
        <v>0.13</v>
      </c>
      <c r="L225" s="2">
        <v>0.1</v>
      </c>
      <c r="O225" s="1" t="s">
        <v>19</v>
      </c>
      <c r="P225" s="2">
        <v>139.61000000000001</v>
      </c>
      <c r="Q225" s="2">
        <v>140.86000000000001</v>
      </c>
      <c r="R225" s="2">
        <v>103.87</v>
      </c>
      <c r="S225" s="2">
        <v>114.53</v>
      </c>
    </row>
    <row r="226" spans="8:19" x14ac:dyDescent="0.35">
      <c r="H226" s="1" t="s">
        <v>20</v>
      </c>
      <c r="I226" s="2">
        <v>0.03</v>
      </c>
      <c r="J226" s="2">
        <v>0.02</v>
      </c>
      <c r="K226" s="2">
        <v>0</v>
      </c>
      <c r="L226" s="2">
        <v>0</v>
      </c>
      <c r="O226" s="1" t="s">
        <v>20</v>
      </c>
      <c r="P226" s="2">
        <v>89.64</v>
      </c>
      <c r="Q226" s="2">
        <v>87.37</v>
      </c>
      <c r="R226" s="2">
        <v>75.77</v>
      </c>
      <c r="S226" s="2">
        <v>73.66</v>
      </c>
    </row>
    <row r="229" spans="8:19" x14ac:dyDescent="0.35">
      <c r="H229" t="s">
        <v>66</v>
      </c>
    </row>
    <row r="230" spans="8:19" x14ac:dyDescent="0.35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5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5">
      <c r="H232" s="1" t="s">
        <v>12</v>
      </c>
    </row>
    <row r="233" spans="8:19" x14ac:dyDescent="0.35">
      <c r="H233" s="1" t="s">
        <v>13</v>
      </c>
      <c r="I233" s="2">
        <v>0.99</v>
      </c>
      <c r="J233" s="2">
        <v>0</v>
      </c>
      <c r="K233" s="2">
        <v>0</v>
      </c>
      <c r="L233" s="2">
        <v>0</v>
      </c>
    </row>
    <row r="234" spans="8:19" x14ac:dyDescent="0.35">
      <c r="H234" s="1" t="s">
        <v>14</v>
      </c>
      <c r="I234" s="2">
        <v>0.55000000000000004</v>
      </c>
      <c r="J234" s="2">
        <v>0.65</v>
      </c>
      <c r="K234" s="2">
        <v>0.83</v>
      </c>
      <c r="L234" s="2">
        <v>0.6</v>
      </c>
    </row>
    <row r="235" spans="8:19" x14ac:dyDescent="0.35">
      <c r="H235" s="1" t="s">
        <v>15</v>
      </c>
      <c r="I235" s="2">
        <v>0.62</v>
      </c>
      <c r="J235" s="2">
        <v>0.54</v>
      </c>
      <c r="K235" s="2">
        <v>0.79</v>
      </c>
      <c r="L235" s="2">
        <v>0.48</v>
      </c>
    </row>
    <row r="236" spans="8:19" x14ac:dyDescent="0.35">
      <c r="H236" s="1" t="s">
        <v>16</v>
      </c>
      <c r="I236" s="2">
        <v>0.53</v>
      </c>
      <c r="J236" s="2">
        <v>0.56999999999999995</v>
      </c>
      <c r="K236" s="2">
        <v>0.72</v>
      </c>
      <c r="L236" s="2">
        <v>0.4</v>
      </c>
    </row>
    <row r="237" spans="8:19" x14ac:dyDescent="0.35">
      <c r="H237" s="1" t="s">
        <v>17</v>
      </c>
      <c r="I237" s="2">
        <v>0.48</v>
      </c>
      <c r="J237" s="2">
        <v>0.49</v>
      </c>
      <c r="K237" s="2">
        <v>0.6</v>
      </c>
      <c r="L237" s="2">
        <v>0.51</v>
      </c>
    </row>
    <row r="238" spans="8:19" x14ac:dyDescent="0.35">
      <c r="H238" s="1" t="s">
        <v>18</v>
      </c>
      <c r="I238" s="2">
        <v>0.43</v>
      </c>
      <c r="J238" s="2">
        <v>0.54</v>
      </c>
      <c r="K238" s="2">
        <v>0.52</v>
      </c>
      <c r="L238" s="2">
        <v>0.51</v>
      </c>
    </row>
    <row r="239" spans="8:19" x14ac:dyDescent="0.35">
      <c r="H239" s="1" t="s">
        <v>19</v>
      </c>
      <c r="I239" s="2">
        <v>0.63</v>
      </c>
      <c r="J239" s="2">
        <v>0.61</v>
      </c>
      <c r="K239" s="2">
        <v>0.68</v>
      </c>
      <c r="L239" s="2">
        <v>0.76</v>
      </c>
    </row>
    <row r="240" spans="8:19" x14ac:dyDescent="0.35">
      <c r="H240" s="1" t="s">
        <v>20</v>
      </c>
      <c r="I240" s="2">
        <v>0.92</v>
      </c>
      <c r="J240" s="2">
        <v>0.96</v>
      </c>
      <c r="K240" s="2">
        <v>1</v>
      </c>
      <c r="L240" s="2">
        <v>0.99</v>
      </c>
    </row>
  </sheetData>
  <mergeCells count="18">
    <mergeCell ref="I90:J90"/>
    <mergeCell ref="I174:J174"/>
    <mergeCell ref="P90:Q90"/>
    <mergeCell ref="P174:Q174"/>
    <mergeCell ref="I118:J118"/>
    <mergeCell ref="I146:J146"/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F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40"/>
  <sheetViews>
    <sheetView topLeftCell="C2" workbookViewId="0">
      <selection activeCell="W37" sqref="W37:Z44"/>
    </sheetView>
  </sheetViews>
  <sheetFormatPr defaultRowHeight="14.5" x14ac:dyDescent="0.35"/>
  <cols>
    <col min="3" max="6" width="11.81640625" bestFit="1" customWidth="1"/>
  </cols>
  <sheetData>
    <row r="1" spans="2:26" x14ac:dyDescent="0.35">
      <c r="B1" t="s">
        <v>0</v>
      </c>
    </row>
    <row r="2" spans="2:26" x14ac:dyDescent="0.35">
      <c r="C2" s="1" t="s">
        <v>1</v>
      </c>
      <c r="D2" s="1" t="s">
        <v>2</v>
      </c>
    </row>
    <row r="3" spans="2:26" x14ac:dyDescent="0.35">
      <c r="B3" s="1" t="s">
        <v>3</v>
      </c>
      <c r="C3">
        <v>2.8</v>
      </c>
      <c r="D3">
        <v>2.5</v>
      </c>
    </row>
    <row r="5" spans="2:26" x14ac:dyDescent="0.35">
      <c r="B5" t="s">
        <v>4</v>
      </c>
      <c r="H5" t="s">
        <v>5</v>
      </c>
      <c r="O5" t="s">
        <v>6</v>
      </c>
      <c r="V5" t="s">
        <v>7</v>
      </c>
    </row>
    <row r="6" spans="2:26" x14ac:dyDescent="0.35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5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5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5">
      <c r="B9" s="1" t="s">
        <v>13</v>
      </c>
      <c r="C9" s="2">
        <v>0.63</v>
      </c>
      <c r="D9" s="2">
        <v>0.57999999999999996</v>
      </c>
      <c r="E9" s="2">
        <v>0.5</v>
      </c>
      <c r="F9" s="2">
        <v>0.61</v>
      </c>
      <c r="H9" s="1" t="s">
        <v>13</v>
      </c>
      <c r="I9" s="2">
        <v>8035.46</v>
      </c>
      <c r="J9" s="2">
        <v>4667.84</v>
      </c>
      <c r="K9" s="2">
        <v>3460.9</v>
      </c>
      <c r="L9" s="2">
        <v>2806.54</v>
      </c>
      <c r="O9" s="1" t="s">
        <v>13</v>
      </c>
      <c r="P9" s="2">
        <v>72838.649999999994</v>
      </c>
      <c r="Q9" s="2">
        <v>61152</v>
      </c>
      <c r="R9" s="2">
        <v>58586.92</v>
      </c>
      <c r="S9" s="2">
        <v>47395.71</v>
      </c>
      <c r="V9" s="1" t="s">
        <v>13</v>
      </c>
      <c r="W9" s="2">
        <v>80874.11</v>
      </c>
      <c r="X9" s="2">
        <v>65819.839999999997</v>
      </c>
      <c r="Y9" s="2">
        <v>62047.82</v>
      </c>
      <c r="Z9" s="2">
        <v>50202.25</v>
      </c>
    </row>
    <row r="10" spans="2:26" x14ac:dyDescent="0.35">
      <c r="B10" s="1" t="s">
        <v>14</v>
      </c>
      <c r="C10" s="2">
        <v>2.1</v>
      </c>
      <c r="D10" s="2">
        <v>2.1</v>
      </c>
      <c r="E10" s="2">
        <v>1.1000000000000001</v>
      </c>
      <c r="F10" s="2">
        <v>2.1</v>
      </c>
      <c r="H10" s="1" t="s">
        <v>14</v>
      </c>
      <c r="I10" s="2">
        <v>5307.29</v>
      </c>
      <c r="J10" s="2">
        <v>4068.49</v>
      </c>
      <c r="K10" s="2">
        <v>3513.87</v>
      </c>
      <c r="L10" s="2">
        <v>2591.58</v>
      </c>
      <c r="O10" s="1" t="s">
        <v>14</v>
      </c>
      <c r="P10" s="2">
        <v>25559.91</v>
      </c>
      <c r="Q10" s="2">
        <v>19324.349999999999</v>
      </c>
      <c r="R10" s="2">
        <v>21957.05</v>
      </c>
      <c r="S10" s="2">
        <v>9823.24</v>
      </c>
      <c r="V10" s="1" t="s">
        <v>14</v>
      </c>
      <c r="W10" s="2">
        <v>30867.200000000001</v>
      </c>
      <c r="X10" s="2">
        <v>23392.84</v>
      </c>
      <c r="Y10" s="2">
        <v>25470.92</v>
      </c>
      <c r="Z10" s="2">
        <v>12414.82</v>
      </c>
    </row>
    <row r="11" spans="2:26" x14ac:dyDescent="0.35">
      <c r="B11" s="1" t="s">
        <v>15</v>
      </c>
      <c r="C11" s="2">
        <v>4.2</v>
      </c>
      <c r="D11" s="2">
        <v>5.05</v>
      </c>
      <c r="E11" s="2">
        <v>2.1</v>
      </c>
      <c r="F11" s="2">
        <v>2.1</v>
      </c>
      <c r="H11" s="1" t="s">
        <v>15</v>
      </c>
      <c r="I11" s="2">
        <v>12545.98</v>
      </c>
      <c r="J11" s="2">
        <v>14768.69</v>
      </c>
      <c r="K11" s="2">
        <v>12111.65</v>
      </c>
      <c r="L11" s="2">
        <v>16439.259999999998</v>
      </c>
      <c r="O11" s="1" t="s">
        <v>15</v>
      </c>
      <c r="P11" s="2">
        <v>58209.65</v>
      </c>
      <c r="Q11" s="2">
        <v>68840.3</v>
      </c>
      <c r="R11" s="2">
        <v>75950.679999999993</v>
      </c>
      <c r="S11" s="2">
        <v>39821</v>
      </c>
      <c r="V11" s="1" t="s">
        <v>15</v>
      </c>
      <c r="W11" s="2">
        <v>70755.64</v>
      </c>
      <c r="X11" s="2">
        <v>83608.98</v>
      </c>
      <c r="Y11" s="2">
        <v>88062.34</v>
      </c>
      <c r="Z11" s="2">
        <v>56260.26</v>
      </c>
    </row>
    <row r="12" spans="2:26" x14ac:dyDescent="0.35">
      <c r="B12" s="1" t="s">
        <v>16</v>
      </c>
      <c r="C12" s="2">
        <v>2.1</v>
      </c>
      <c r="D12" s="2">
        <v>2.1</v>
      </c>
      <c r="E12" s="2">
        <v>1.99</v>
      </c>
      <c r="F12" s="2">
        <v>2.1</v>
      </c>
      <c r="H12" s="1" t="s">
        <v>16</v>
      </c>
      <c r="I12" s="2">
        <v>5051.1499999999996</v>
      </c>
      <c r="J12" s="2">
        <v>4524.57</v>
      </c>
      <c r="K12" s="2">
        <v>3363.89</v>
      </c>
      <c r="L12" s="2">
        <v>5577.83</v>
      </c>
      <c r="O12" s="1" t="s">
        <v>16</v>
      </c>
      <c r="P12" s="2">
        <v>18348.59</v>
      </c>
      <c r="Q12" s="2">
        <v>17185.310000000001</v>
      </c>
      <c r="R12" s="2">
        <v>24020.78</v>
      </c>
      <c r="S12" s="2">
        <v>22032.58</v>
      </c>
      <c r="V12" s="1" t="s">
        <v>16</v>
      </c>
      <c r="W12" s="2">
        <v>23399.74</v>
      </c>
      <c r="X12" s="2">
        <v>21709.88</v>
      </c>
      <c r="Y12" s="2">
        <v>27384.66</v>
      </c>
      <c r="Z12" s="2">
        <v>27610.41</v>
      </c>
    </row>
    <row r="13" spans="2:26" x14ac:dyDescent="0.35">
      <c r="B13" s="1" t="s">
        <v>17</v>
      </c>
      <c r="C13" s="2">
        <v>2.1</v>
      </c>
      <c r="D13" s="2">
        <v>2.1</v>
      </c>
      <c r="E13" s="2">
        <v>2.1</v>
      </c>
      <c r="F13" s="2">
        <v>2.1</v>
      </c>
      <c r="H13" s="1" t="s">
        <v>17</v>
      </c>
      <c r="I13" s="2">
        <v>23239.88</v>
      </c>
      <c r="J13" s="2">
        <v>23028.74</v>
      </c>
      <c r="K13" s="2">
        <v>20708.78</v>
      </c>
      <c r="L13" s="2">
        <v>21445.06</v>
      </c>
      <c r="O13" s="1" t="s">
        <v>17</v>
      </c>
      <c r="P13" s="2">
        <v>98840.12</v>
      </c>
      <c r="Q13" s="2">
        <v>95536.63</v>
      </c>
      <c r="R13" s="2">
        <v>97144.97</v>
      </c>
      <c r="S13" s="2">
        <v>90712.61</v>
      </c>
      <c r="V13" s="1" t="s">
        <v>17</v>
      </c>
      <c r="W13" s="2">
        <v>122080</v>
      </c>
      <c r="X13" s="2">
        <v>118565.38</v>
      </c>
      <c r="Y13" s="2">
        <v>117853.75</v>
      </c>
      <c r="Z13" s="2">
        <v>112157.67</v>
      </c>
    </row>
    <row r="14" spans="2:26" x14ac:dyDescent="0.35">
      <c r="B14" s="1" t="s">
        <v>18</v>
      </c>
      <c r="C14" s="2">
        <v>4.2</v>
      </c>
      <c r="D14" s="2">
        <v>2.1</v>
      </c>
      <c r="E14" s="2">
        <v>2.1</v>
      </c>
      <c r="F14" s="2">
        <v>2.1</v>
      </c>
      <c r="H14" s="1" t="s">
        <v>18</v>
      </c>
      <c r="I14" s="2">
        <v>4022.95</v>
      </c>
      <c r="J14" s="2">
        <v>3992.03</v>
      </c>
      <c r="K14" s="2">
        <v>5285.88</v>
      </c>
      <c r="L14" s="2">
        <v>5445.87</v>
      </c>
      <c r="O14" s="1" t="s">
        <v>18</v>
      </c>
      <c r="P14" s="2">
        <v>21961.05</v>
      </c>
      <c r="Q14" s="2">
        <v>11629.46</v>
      </c>
      <c r="R14" s="2">
        <v>22441.93</v>
      </c>
      <c r="S14" s="2">
        <v>22970.91</v>
      </c>
      <c r="V14" s="1" t="s">
        <v>18</v>
      </c>
      <c r="W14" s="2">
        <v>25984</v>
      </c>
      <c r="X14" s="2">
        <v>15621.49</v>
      </c>
      <c r="Y14" s="2">
        <v>27727.81</v>
      </c>
      <c r="Z14" s="2">
        <v>28416.78</v>
      </c>
    </row>
    <row r="15" spans="2:26" x14ac:dyDescent="0.35">
      <c r="B15" s="1" t="s">
        <v>19</v>
      </c>
      <c r="C15" s="2">
        <v>2.1</v>
      </c>
      <c r="D15" s="2">
        <v>2.1</v>
      </c>
      <c r="E15" s="2">
        <v>2.1</v>
      </c>
      <c r="F15" s="2">
        <v>2.1</v>
      </c>
      <c r="H15" s="1" t="s">
        <v>19</v>
      </c>
      <c r="I15" s="2">
        <v>15839.86</v>
      </c>
      <c r="J15" s="2">
        <v>17784.71</v>
      </c>
      <c r="K15" s="2">
        <v>14921.62</v>
      </c>
      <c r="L15" s="2">
        <v>13117.22</v>
      </c>
      <c r="O15" s="1" t="s">
        <v>19</v>
      </c>
      <c r="P15" s="2">
        <v>36319.31</v>
      </c>
      <c r="Q15" s="2">
        <v>45245.83</v>
      </c>
      <c r="R15" s="2">
        <v>55726.62</v>
      </c>
      <c r="S15" s="2">
        <v>61053.99</v>
      </c>
      <c r="V15" s="1" t="s">
        <v>19</v>
      </c>
      <c r="W15" s="2">
        <v>52159.17</v>
      </c>
      <c r="X15" s="2">
        <v>63030.53</v>
      </c>
      <c r="Y15" s="2">
        <v>70648.240000000005</v>
      </c>
      <c r="Z15" s="2">
        <v>74171.210000000006</v>
      </c>
    </row>
    <row r="16" spans="2:26" x14ac:dyDescent="0.35">
      <c r="B16" s="1" t="s">
        <v>20</v>
      </c>
      <c r="C16" s="2">
        <v>1.19</v>
      </c>
      <c r="D16" s="2">
        <v>0.71</v>
      </c>
      <c r="E16" s="2">
        <v>0.36</v>
      </c>
      <c r="F16" s="2">
        <v>0.32</v>
      </c>
      <c r="H16" s="1" t="s">
        <v>20</v>
      </c>
      <c r="I16" s="2">
        <v>6808.68</v>
      </c>
      <c r="J16" s="2">
        <v>8082.47</v>
      </c>
      <c r="K16" s="2">
        <v>5130.1899999999996</v>
      </c>
      <c r="L16" s="2">
        <v>6150.23</v>
      </c>
      <c r="O16" s="1" t="s">
        <v>20</v>
      </c>
      <c r="P16" s="2">
        <v>41286.78</v>
      </c>
      <c r="Q16" s="2">
        <v>44209.67</v>
      </c>
      <c r="R16" s="2">
        <v>31174.53</v>
      </c>
      <c r="S16" s="2">
        <v>33427.01</v>
      </c>
      <c r="V16" s="1" t="s">
        <v>20</v>
      </c>
      <c r="W16" s="2">
        <v>48095.46</v>
      </c>
      <c r="X16" s="2">
        <v>52292.14</v>
      </c>
      <c r="Y16" s="2">
        <v>36304.720000000001</v>
      </c>
      <c r="Z16" s="2">
        <v>39577.24</v>
      </c>
    </row>
    <row r="17" spans="2:26" x14ac:dyDescent="0.35">
      <c r="W17">
        <f>SUM(W9:W16)</f>
        <v>454215.32</v>
      </c>
      <c r="X17">
        <f t="shared" ref="X17:Z17" si="0">SUM(X9:X16)</f>
        <v>444041.07999999996</v>
      </c>
      <c r="Y17">
        <f t="shared" si="0"/>
        <v>455500.26</v>
      </c>
      <c r="Z17">
        <f t="shared" si="0"/>
        <v>400810.63999999996</v>
      </c>
    </row>
    <row r="19" spans="2:26" x14ac:dyDescent="0.35">
      <c r="B19" t="s">
        <v>21</v>
      </c>
      <c r="H19" t="s">
        <v>22</v>
      </c>
      <c r="O19" t="s">
        <v>23</v>
      </c>
      <c r="V19" t="s">
        <v>24</v>
      </c>
    </row>
    <row r="20" spans="2:26" x14ac:dyDescent="0.35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5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5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5">
      <c r="B23" s="1" t="s">
        <v>13</v>
      </c>
      <c r="C23" s="2">
        <v>0.1</v>
      </c>
      <c r="D23" s="2">
        <v>7.0000000000000007E-2</v>
      </c>
      <c r="E23" s="2">
        <v>0.06</v>
      </c>
      <c r="F23" s="2">
        <v>0.06</v>
      </c>
      <c r="H23" s="1" t="s">
        <v>13</v>
      </c>
      <c r="I23" s="2">
        <v>2869.81</v>
      </c>
      <c r="J23" s="2">
        <v>1667.09</v>
      </c>
      <c r="K23" s="2">
        <v>1384.36</v>
      </c>
      <c r="L23" s="2">
        <v>1122.6099999999999</v>
      </c>
      <c r="O23" s="1" t="s">
        <v>13</v>
      </c>
      <c r="P23" s="2">
        <v>26013.8</v>
      </c>
      <c r="Q23" s="2">
        <v>21840</v>
      </c>
      <c r="R23" s="2">
        <v>23434.77</v>
      </c>
      <c r="S23" s="2">
        <v>18958.29</v>
      </c>
      <c r="V23" s="1" t="s">
        <v>13</v>
      </c>
      <c r="W23" s="2">
        <v>28883.61</v>
      </c>
      <c r="X23" s="2">
        <v>23507.08</v>
      </c>
      <c r="Y23" s="2">
        <v>24819.13</v>
      </c>
      <c r="Z23" s="2">
        <v>20080.900000000001</v>
      </c>
    </row>
    <row r="24" spans="2:26" x14ac:dyDescent="0.35">
      <c r="B24" s="1" t="s">
        <v>14</v>
      </c>
      <c r="C24" s="2">
        <v>0.19</v>
      </c>
      <c r="D24" s="2">
        <v>0.21</v>
      </c>
      <c r="E24" s="2">
        <v>0.16</v>
      </c>
      <c r="F24" s="2">
        <v>0.25</v>
      </c>
      <c r="H24" s="1" t="s">
        <v>14</v>
      </c>
      <c r="I24" s="2">
        <v>1895.46</v>
      </c>
      <c r="J24" s="2">
        <v>1453.03</v>
      </c>
      <c r="K24" s="2">
        <v>1405.55</v>
      </c>
      <c r="L24" s="2">
        <v>1036.6300000000001</v>
      </c>
      <c r="O24" s="1" t="s">
        <v>14</v>
      </c>
      <c r="P24" s="2">
        <v>9128.5400000000009</v>
      </c>
      <c r="Q24" s="2">
        <v>6901.55</v>
      </c>
      <c r="R24" s="2">
        <v>8782.82</v>
      </c>
      <c r="S24" s="2">
        <v>3929.3</v>
      </c>
      <c r="V24" s="1" t="s">
        <v>14</v>
      </c>
      <c r="W24" s="2">
        <v>11024</v>
      </c>
      <c r="X24" s="2">
        <v>8354.58</v>
      </c>
      <c r="Y24" s="2">
        <v>10188.370000000001</v>
      </c>
      <c r="Z24" s="2">
        <v>4965.93</v>
      </c>
    </row>
    <row r="25" spans="2:26" x14ac:dyDescent="0.35">
      <c r="B25" s="1" t="s">
        <v>15</v>
      </c>
      <c r="C25" s="2">
        <v>0.21</v>
      </c>
      <c r="D25" s="2">
        <v>0.22</v>
      </c>
      <c r="E25" s="2">
        <v>0.16</v>
      </c>
      <c r="F25" s="2">
        <v>0.28999999999999998</v>
      </c>
      <c r="H25" s="1" t="s">
        <v>15</v>
      </c>
      <c r="I25" s="2">
        <v>4480.71</v>
      </c>
      <c r="J25" s="2">
        <v>5274.53</v>
      </c>
      <c r="K25" s="2">
        <v>4844.66</v>
      </c>
      <c r="L25" s="2">
        <v>6575.7</v>
      </c>
      <c r="O25" s="1" t="s">
        <v>15</v>
      </c>
      <c r="P25" s="2">
        <v>20789.16</v>
      </c>
      <c r="Q25" s="2">
        <v>24585.82</v>
      </c>
      <c r="R25" s="2">
        <v>30380.27</v>
      </c>
      <c r="S25" s="2">
        <v>15928.4</v>
      </c>
      <c r="V25" s="1" t="s">
        <v>15</v>
      </c>
      <c r="W25" s="2">
        <v>25269.87</v>
      </c>
      <c r="X25" s="2">
        <v>29860.35</v>
      </c>
      <c r="Y25" s="2">
        <v>35224.94</v>
      </c>
      <c r="Z25" s="2">
        <v>22504.11</v>
      </c>
    </row>
    <row r="26" spans="2:26" x14ac:dyDescent="0.35">
      <c r="B26" s="1" t="s">
        <v>16</v>
      </c>
      <c r="C26" s="2">
        <v>0.27</v>
      </c>
      <c r="D26" s="2">
        <v>0.26</v>
      </c>
      <c r="E26" s="2">
        <v>0.16</v>
      </c>
      <c r="F26" s="2">
        <v>0.25</v>
      </c>
      <c r="H26" s="1" t="s">
        <v>16</v>
      </c>
      <c r="I26" s="2">
        <v>1803.98</v>
      </c>
      <c r="J26" s="2">
        <v>1615.92</v>
      </c>
      <c r="K26" s="2">
        <v>1345.55</v>
      </c>
      <c r="L26" s="2">
        <v>2231.13</v>
      </c>
      <c r="O26" s="1" t="s">
        <v>16</v>
      </c>
      <c r="P26" s="2">
        <v>6553.07</v>
      </c>
      <c r="Q26" s="2">
        <v>6137.61</v>
      </c>
      <c r="R26" s="2">
        <v>9608.31</v>
      </c>
      <c r="S26" s="2">
        <v>8813.0300000000007</v>
      </c>
      <c r="V26" s="1" t="s">
        <v>16</v>
      </c>
      <c r="W26" s="2">
        <v>8357.0499999999993</v>
      </c>
      <c r="X26" s="2">
        <v>7753.53</v>
      </c>
      <c r="Y26" s="2">
        <v>10953.86</v>
      </c>
      <c r="Z26" s="2">
        <v>11044.16</v>
      </c>
    </row>
    <row r="27" spans="2:26" x14ac:dyDescent="0.35">
      <c r="B27" s="1" t="s">
        <v>17</v>
      </c>
      <c r="C27" s="2">
        <v>0.24</v>
      </c>
      <c r="D27" s="2">
        <v>0.24</v>
      </c>
      <c r="E27" s="2">
        <v>0.22</v>
      </c>
      <c r="F27" s="2">
        <v>0.24</v>
      </c>
      <c r="H27" s="1" t="s">
        <v>17</v>
      </c>
      <c r="I27" s="2">
        <v>8299.9599999999991</v>
      </c>
      <c r="J27" s="2">
        <v>8224.5499999999993</v>
      </c>
      <c r="K27" s="2">
        <v>8283.51</v>
      </c>
      <c r="L27" s="2">
        <v>8578.02</v>
      </c>
      <c r="O27" s="1" t="s">
        <v>17</v>
      </c>
      <c r="P27" s="2">
        <v>35300.04</v>
      </c>
      <c r="Q27" s="2">
        <v>34120.230000000003</v>
      </c>
      <c r="R27" s="2">
        <v>38857.99</v>
      </c>
      <c r="S27" s="2">
        <v>36285.040000000001</v>
      </c>
      <c r="V27" s="1" t="s">
        <v>17</v>
      </c>
      <c r="W27" s="2">
        <v>43600</v>
      </c>
      <c r="X27" s="2">
        <v>42344.78</v>
      </c>
      <c r="Y27" s="2">
        <v>47141.5</v>
      </c>
      <c r="Z27" s="2">
        <v>44863.07</v>
      </c>
    </row>
    <row r="28" spans="2:26" x14ac:dyDescent="0.35">
      <c r="B28" s="1" t="s">
        <v>18</v>
      </c>
      <c r="C28" s="2">
        <v>0.2</v>
      </c>
      <c r="D28" s="2">
        <v>0.3</v>
      </c>
      <c r="E28" s="2">
        <v>0.24</v>
      </c>
      <c r="F28" s="2">
        <v>0.23</v>
      </c>
      <c r="H28" s="1" t="s">
        <v>18</v>
      </c>
      <c r="I28" s="2">
        <v>1436.77</v>
      </c>
      <c r="J28" s="2">
        <v>1425.73</v>
      </c>
      <c r="K28" s="2">
        <v>2114.35</v>
      </c>
      <c r="L28" s="2">
        <v>2178.35</v>
      </c>
      <c r="O28" s="1" t="s">
        <v>18</v>
      </c>
      <c r="P28" s="2">
        <v>7843.23</v>
      </c>
      <c r="Q28" s="2">
        <v>4153.38</v>
      </c>
      <c r="R28" s="2">
        <v>8976.77</v>
      </c>
      <c r="S28" s="2">
        <v>9188.36</v>
      </c>
      <c r="V28" s="1" t="s">
        <v>18</v>
      </c>
      <c r="W28" s="2">
        <v>9280</v>
      </c>
      <c r="X28" s="2">
        <v>5579.1</v>
      </c>
      <c r="Y28" s="2">
        <v>11091.12</v>
      </c>
      <c r="Z28" s="2">
        <v>11366.71</v>
      </c>
    </row>
    <row r="29" spans="2:26" x14ac:dyDescent="0.35">
      <c r="B29" s="1" t="s">
        <v>19</v>
      </c>
      <c r="C29" s="2">
        <v>0.34</v>
      </c>
      <c r="D29" s="2">
        <v>0.34</v>
      </c>
      <c r="E29" s="2">
        <v>0.26</v>
      </c>
      <c r="F29" s="2">
        <v>0.22</v>
      </c>
      <c r="H29" s="1" t="s">
        <v>19</v>
      </c>
      <c r="I29" s="2">
        <v>5657.09</v>
      </c>
      <c r="J29" s="2">
        <v>6351.68</v>
      </c>
      <c r="K29" s="2">
        <v>5968.65</v>
      </c>
      <c r="L29" s="2">
        <v>5246.89</v>
      </c>
      <c r="O29" s="1" t="s">
        <v>19</v>
      </c>
      <c r="P29" s="2">
        <v>12971.18</v>
      </c>
      <c r="Q29" s="2">
        <v>16159.22</v>
      </c>
      <c r="R29" s="2">
        <v>22290.65</v>
      </c>
      <c r="S29" s="2">
        <v>24421.599999999999</v>
      </c>
      <c r="V29" s="1" t="s">
        <v>19</v>
      </c>
      <c r="W29" s="2">
        <v>18628.28</v>
      </c>
      <c r="X29" s="2">
        <v>22510.91</v>
      </c>
      <c r="Y29" s="2">
        <v>28259.3</v>
      </c>
      <c r="Z29" s="2">
        <v>29668.48</v>
      </c>
    </row>
    <row r="30" spans="2:26" x14ac:dyDescent="0.35">
      <c r="B30" s="1" t="s">
        <v>20</v>
      </c>
      <c r="C30" s="2">
        <v>0.2</v>
      </c>
      <c r="D30" s="2">
        <v>0.21</v>
      </c>
      <c r="E30" s="2">
        <v>0.2</v>
      </c>
      <c r="F30" s="2">
        <v>0.21</v>
      </c>
      <c r="H30" s="1" t="s">
        <v>20</v>
      </c>
      <c r="I30" s="2">
        <v>2431.67</v>
      </c>
      <c r="J30" s="2">
        <v>2886.6</v>
      </c>
      <c r="K30" s="2">
        <v>2052.08</v>
      </c>
      <c r="L30" s="2">
        <v>2460.09</v>
      </c>
      <c r="O30" s="1" t="s">
        <v>20</v>
      </c>
      <c r="P30" s="2">
        <v>14745.28</v>
      </c>
      <c r="Q30" s="2">
        <v>15789.17</v>
      </c>
      <c r="R30" s="2">
        <v>12469.81</v>
      </c>
      <c r="S30" s="2">
        <v>13370.8</v>
      </c>
      <c r="V30" s="1" t="s">
        <v>20</v>
      </c>
      <c r="W30" s="2">
        <v>17176.95</v>
      </c>
      <c r="X30" s="2">
        <v>18675.759999999998</v>
      </c>
      <c r="Y30" s="2">
        <v>14521.89</v>
      </c>
      <c r="Z30" s="2">
        <v>15830.89</v>
      </c>
    </row>
    <row r="31" spans="2:26" x14ac:dyDescent="0.35">
      <c r="W31">
        <f>SUM(W23:W30)</f>
        <v>162219.76</v>
      </c>
      <c r="X31">
        <f t="shared" ref="X31" si="1">SUM(X23:X30)</f>
        <v>158586.09000000003</v>
      </c>
      <c r="Y31">
        <f t="shared" ref="Y31" si="2">SUM(Y23:Y30)</f>
        <v>182200.11</v>
      </c>
      <c r="Z31">
        <f t="shared" ref="Z31" si="3">SUM(Z23:Z30)</f>
        <v>160324.25</v>
      </c>
    </row>
    <row r="33" spans="2:26" x14ac:dyDescent="0.35">
      <c r="B33" t="s">
        <v>25</v>
      </c>
      <c r="H33" t="s">
        <v>26</v>
      </c>
      <c r="O33" t="s">
        <v>27</v>
      </c>
      <c r="V33" t="s">
        <v>28</v>
      </c>
    </row>
    <row r="34" spans="2:26" x14ac:dyDescent="0.35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5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5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5">
      <c r="B37" s="1" t="s">
        <v>13</v>
      </c>
      <c r="C37" s="2">
        <v>5062.34</v>
      </c>
      <c r="D37" s="2">
        <v>2706.28</v>
      </c>
      <c r="E37" s="2">
        <v>1716.43</v>
      </c>
      <c r="F37" s="2">
        <v>1712.61</v>
      </c>
      <c r="H37" s="1" t="s">
        <v>13</v>
      </c>
      <c r="I37" s="2">
        <v>409.97</v>
      </c>
      <c r="J37" s="2">
        <v>238.16</v>
      </c>
      <c r="K37" s="2">
        <v>197.77</v>
      </c>
      <c r="L37" s="2">
        <v>160.37</v>
      </c>
      <c r="O37" s="1" t="s">
        <v>13</v>
      </c>
      <c r="P37" s="2">
        <v>3716.26</v>
      </c>
      <c r="Q37" s="2">
        <v>3120</v>
      </c>
      <c r="R37" s="2">
        <v>3347.82</v>
      </c>
      <c r="S37" s="2">
        <v>2708.33</v>
      </c>
      <c r="V37" s="1" t="s">
        <v>13</v>
      </c>
      <c r="W37" s="6">
        <v>4126.2299999999996</v>
      </c>
      <c r="X37" s="6">
        <v>3358.16</v>
      </c>
      <c r="Y37" s="6">
        <v>3545.59</v>
      </c>
      <c r="Z37" s="6">
        <v>2868.7</v>
      </c>
    </row>
    <row r="38" spans="2:26" x14ac:dyDescent="0.35">
      <c r="B38" s="1" t="s">
        <v>14</v>
      </c>
      <c r="C38" s="2">
        <v>11145.3</v>
      </c>
      <c r="D38" s="2">
        <v>8543.83</v>
      </c>
      <c r="E38" s="2">
        <v>3851</v>
      </c>
      <c r="F38" s="2">
        <v>5442.32</v>
      </c>
      <c r="H38" s="1" t="s">
        <v>14</v>
      </c>
      <c r="I38" s="2">
        <v>1895.46</v>
      </c>
      <c r="J38" s="2">
        <v>1453.03</v>
      </c>
      <c r="K38" s="2">
        <v>1405.55</v>
      </c>
      <c r="L38" s="2">
        <v>1036.6300000000001</v>
      </c>
      <c r="O38" s="1" t="s">
        <v>14</v>
      </c>
      <c r="P38" s="2">
        <v>9128.5400000000009</v>
      </c>
      <c r="Q38" s="2">
        <v>6901.55</v>
      </c>
      <c r="R38" s="2">
        <v>8782.82</v>
      </c>
      <c r="S38" s="2">
        <v>3929.3</v>
      </c>
      <c r="V38" s="1" t="s">
        <v>14</v>
      </c>
      <c r="W38" s="6">
        <v>11024</v>
      </c>
      <c r="X38" s="6">
        <v>8354.58</v>
      </c>
      <c r="Y38" s="6">
        <v>10188.370000000001</v>
      </c>
      <c r="Z38" s="6">
        <v>4965.93</v>
      </c>
    </row>
    <row r="39" spans="2:26" x14ac:dyDescent="0.35">
      <c r="B39" s="1" t="s">
        <v>15</v>
      </c>
      <c r="C39" s="2">
        <v>52693.14</v>
      </c>
      <c r="D39" s="2">
        <v>74631.44</v>
      </c>
      <c r="E39" s="2">
        <v>25434.36</v>
      </c>
      <c r="F39" s="2">
        <v>34522.449999999997</v>
      </c>
      <c r="H39" s="1" t="s">
        <v>15</v>
      </c>
      <c r="I39" s="2">
        <v>1493.57</v>
      </c>
      <c r="J39" s="2">
        <v>1758.18</v>
      </c>
      <c r="K39" s="2">
        <v>1614.89</v>
      </c>
      <c r="L39" s="2">
        <v>2191.9</v>
      </c>
      <c r="O39" s="1" t="s">
        <v>15</v>
      </c>
      <c r="P39" s="2">
        <v>6929.72</v>
      </c>
      <c r="Q39" s="2">
        <v>8195.27</v>
      </c>
      <c r="R39" s="2">
        <v>10126.76</v>
      </c>
      <c r="S39" s="2">
        <v>5309.47</v>
      </c>
      <c r="V39" s="1" t="s">
        <v>15</v>
      </c>
      <c r="W39" s="6">
        <v>8423.2900000000009</v>
      </c>
      <c r="X39" s="6">
        <v>9953.4500000000007</v>
      </c>
      <c r="Y39" s="6">
        <v>11741.64</v>
      </c>
      <c r="Z39" s="6">
        <v>7501.37</v>
      </c>
    </row>
    <row r="40" spans="2:26" x14ac:dyDescent="0.35">
      <c r="B40" s="1" t="s">
        <v>16</v>
      </c>
      <c r="C40" s="2">
        <v>10607.42</v>
      </c>
      <c r="D40" s="2">
        <v>9501.6</v>
      </c>
      <c r="E40" s="2">
        <v>6709.56</v>
      </c>
      <c r="F40" s="2">
        <v>11713.43</v>
      </c>
      <c r="H40" s="1" t="s">
        <v>16</v>
      </c>
      <c r="I40" s="2">
        <v>1803.98</v>
      </c>
      <c r="J40" s="2">
        <v>1615.92</v>
      </c>
      <c r="K40" s="2">
        <v>1345.55</v>
      </c>
      <c r="L40" s="2">
        <v>2231.13</v>
      </c>
      <c r="O40" s="1" t="s">
        <v>16</v>
      </c>
      <c r="P40" s="2">
        <v>6553.07</v>
      </c>
      <c r="Q40" s="2">
        <v>6137.61</v>
      </c>
      <c r="R40" s="2">
        <v>9608.31</v>
      </c>
      <c r="S40" s="2">
        <v>8813.0300000000007</v>
      </c>
      <c r="V40" s="1" t="s">
        <v>16</v>
      </c>
      <c r="W40" s="6">
        <v>8357.0499999999993</v>
      </c>
      <c r="X40" s="6">
        <v>7753.53</v>
      </c>
      <c r="Y40" s="6">
        <v>10953.86</v>
      </c>
      <c r="Z40" s="6">
        <v>11044.16</v>
      </c>
    </row>
    <row r="41" spans="2:26" x14ac:dyDescent="0.35">
      <c r="B41" s="1" t="s">
        <v>17</v>
      </c>
      <c r="C41" s="2">
        <v>48803.76</v>
      </c>
      <c r="D41" s="2">
        <v>48360.36</v>
      </c>
      <c r="E41" s="2">
        <v>43488.45</v>
      </c>
      <c r="F41" s="2">
        <v>45034.63</v>
      </c>
      <c r="H41" s="1" t="s">
        <v>17</v>
      </c>
      <c r="I41" s="2">
        <v>1659.99</v>
      </c>
      <c r="J41" s="2">
        <v>1644.91</v>
      </c>
      <c r="K41" s="2">
        <v>1656.7</v>
      </c>
      <c r="L41" s="2">
        <v>1715.6</v>
      </c>
      <c r="O41" s="1" t="s">
        <v>17</v>
      </c>
      <c r="P41" s="2">
        <v>7060.01</v>
      </c>
      <c r="Q41" s="2">
        <v>6824.05</v>
      </c>
      <c r="R41" s="2">
        <v>7771.6</v>
      </c>
      <c r="S41" s="2">
        <v>7257.01</v>
      </c>
      <c r="V41" s="1" t="s">
        <v>17</v>
      </c>
      <c r="W41" s="6">
        <v>8720</v>
      </c>
      <c r="X41" s="6">
        <v>8468.9599999999991</v>
      </c>
      <c r="Y41" s="6">
        <v>9428.2999999999993</v>
      </c>
      <c r="Z41" s="6">
        <v>8972.61</v>
      </c>
    </row>
    <row r="42" spans="2:26" x14ac:dyDescent="0.35">
      <c r="B42" s="1" t="s">
        <v>18</v>
      </c>
      <c r="C42" s="2">
        <v>16896.39</v>
      </c>
      <c r="D42" s="2">
        <v>8383.23</v>
      </c>
      <c r="E42" s="2">
        <v>11100.35</v>
      </c>
      <c r="F42" s="2">
        <v>11436.31</v>
      </c>
      <c r="H42" s="1" t="s">
        <v>18</v>
      </c>
      <c r="I42" s="2">
        <v>1436.77</v>
      </c>
      <c r="J42" s="2">
        <v>1425.73</v>
      </c>
      <c r="K42" s="2">
        <v>2114.35</v>
      </c>
      <c r="L42" s="2">
        <v>2178.35</v>
      </c>
      <c r="O42" s="1" t="s">
        <v>18</v>
      </c>
      <c r="P42" s="2">
        <v>7843.23</v>
      </c>
      <c r="Q42" s="2">
        <v>4153.38</v>
      </c>
      <c r="R42" s="2">
        <v>8976.77</v>
      </c>
      <c r="S42" s="2">
        <v>9188.36</v>
      </c>
      <c r="V42" s="1" t="s">
        <v>18</v>
      </c>
      <c r="W42" s="6">
        <v>9280</v>
      </c>
      <c r="X42" s="6">
        <v>5579.1</v>
      </c>
      <c r="Y42" s="6">
        <v>11091.12</v>
      </c>
      <c r="Z42" s="6">
        <v>11366.71</v>
      </c>
    </row>
    <row r="43" spans="2:26" x14ac:dyDescent="0.35">
      <c r="B43" s="1" t="s">
        <v>19</v>
      </c>
      <c r="C43" s="2">
        <v>33263.699999999997</v>
      </c>
      <c r="D43" s="2">
        <v>37347.89</v>
      </c>
      <c r="E43" s="2">
        <v>31335.4</v>
      </c>
      <c r="F43" s="2">
        <v>27546.16</v>
      </c>
      <c r="H43" s="1" t="s">
        <v>19</v>
      </c>
      <c r="I43" s="2">
        <v>1885.7</v>
      </c>
      <c r="J43" s="2">
        <v>2117.23</v>
      </c>
      <c r="K43" s="2">
        <v>1989.55</v>
      </c>
      <c r="L43" s="2">
        <v>1748.96</v>
      </c>
      <c r="O43" s="1" t="s">
        <v>19</v>
      </c>
      <c r="P43" s="2">
        <v>4323.7299999999996</v>
      </c>
      <c r="Q43" s="2">
        <v>5386.41</v>
      </c>
      <c r="R43" s="2">
        <v>7430.22</v>
      </c>
      <c r="S43" s="2">
        <v>8140.53</v>
      </c>
      <c r="V43" s="1" t="s">
        <v>19</v>
      </c>
      <c r="W43" s="6">
        <v>6209.42</v>
      </c>
      <c r="X43" s="6">
        <v>7503.64</v>
      </c>
      <c r="Y43" s="6">
        <v>9419.76</v>
      </c>
      <c r="Z43" s="6">
        <v>9889.49</v>
      </c>
    </row>
    <row r="44" spans="2:26" x14ac:dyDescent="0.35">
      <c r="B44" s="1" t="s">
        <v>20</v>
      </c>
      <c r="C44" s="2">
        <v>8135.19</v>
      </c>
      <c r="D44" s="2">
        <v>5741.36</v>
      </c>
      <c r="E44" s="2">
        <v>1854.13</v>
      </c>
      <c r="F44" s="2">
        <v>1986.25</v>
      </c>
      <c r="H44" s="1" t="s">
        <v>20</v>
      </c>
      <c r="I44" s="2">
        <v>810.56</v>
      </c>
      <c r="J44" s="2">
        <v>962.2</v>
      </c>
      <c r="K44" s="2">
        <v>684.03</v>
      </c>
      <c r="L44" s="2">
        <v>820.03</v>
      </c>
      <c r="O44" s="1" t="s">
        <v>20</v>
      </c>
      <c r="P44" s="2">
        <v>4915.09</v>
      </c>
      <c r="Q44" s="2">
        <v>5263.06</v>
      </c>
      <c r="R44" s="2">
        <v>4156.6000000000004</v>
      </c>
      <c r="S44" s="2">
        <v>4456.93</v>
      </c>
      <c r="V44" s="1" t="s">
        <v>20</v>
      </c>
      <c r="W44" s="6">
        <v>5725.65</v>
      </c>
      <c r="X44" s="6">
        <v>6225.26</v>
      </c>
      <c r="Y44" s="6">
        <v>4840.63</v>
      </c>
      <c r="Z44" s="6">
        <v>5276.96</v>
      </c>
    </row>
    <row r="45" spans="2:26" x14ac:dyDescent="0.35">
      <c r="C45" s="3">
        <f>SUM(C37:C44)/C3*296</f>
        <v>19727051.085714284</v>
      </c>
      <c r="D45" s="3">
        <f>SUM(D37:D44)/C3*296</f>
        <v>20637118.942857143</v>
      </c>
      <c r="E45" s="3">
        <f>SUM(E37:E44)/D3*296</f>
        <v>14857978.111999998</v>
      </c>
      <c r="F45" s="3">
        <f>SUM(F37:F44)/D3*296</f>
        <v>16504268.544000002</v>
      </c>
      <c r="W45">
        <f>SUM(W37:W44)</f>
        <v>61865.64</v>
      </c>
      <c r="X45">
        <f t="shared" ref="X45" si="4">SUM(X37:X44)</f>
        <v>57196.68</v>
      </c>
      <c r="Y45">
        <f t="shared" ref="Y45" si="5">SUM(Y37:Y44)</f>
        <v>71209.27</v>
      </c>
      <c r="Z45">
        <f t="shared" ref="Z45" si="6">SUM(Z37:Z44)</f>
        <v>61885.93</v>
      </c>
    </row>
    <row r="47" spans="2:26" x14ac:dyDescent="0.35">
      <c r="B47" t="s">
        <v>29</v>
      </c>
      <c r="H47" t="s">
        <v>30</v>
      </c>
      <c r="O47" t="s">
        <v>31</v>
      </c>
      <c r="V47" t="s">
        <v>32</v>
      </c>
    </row>
    <row r="48" spans="2:26" x14ac:dyDescent="0.35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5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5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5">
      <c r="B51" s="1" t="s">
        <v>13</v>
      </c>
      <c r="C51" s="2">
        <v>2699.56</v>
      </c>
      <c r="D51" s="2">
        <v>1187.79</v>
      </c>
      <c r="E51" s="2">
        <v>1014.46</v>
      </c>
      <c r="F51" s="2">
        <v>740.37</v>
      </c>
      <c r="H51" s="1" t="s">
        <v>13</v>
      </c>
      <c r="I51" s="2">
        <v>0.11</v>
      </c>
      <c r="J51" s="2">
        <v>7.0000000000000007E-2</v>
      </c>
      <c r="K51" s="2">
        <v>0.05</v>
      </c>
      <c r="L51" s="2">
        <v>0.04</v>
      </c>
      <c r="O51" s="1" t="s">
        <v>13</v>
      </c>
      <c r="P51" s="2">
        <v>0.36</v>
      </c>
      <c r="Q51" s="2">
        <v>0.3</v>
      </c>
      <c r="R51" s="2">
        <v>0.3</v>
      </c>
      <c r="S51" s="2">
        <v>0.3</v>
      </c>
      <c r="V51" s="1" t="s">
        <v>13</v>
      </c>
      <c r="W51" s="2">
        <v>0.4</v>
      </c>
      <c r="X51" s="2">
        <v>0.32</v>
      </c>
      <c r="Y51" s="2">
        <v>0.32</v>
      </c>
      <c r="Z51" s="2">
        <v>0.32</v>
      </c>
    </row>
    <row r="52" spans="2:26" x14ac:dyDescent="0.35">
      <c r="B52" s="1" t="s">
        <v>14</v>
      </c>
      <c r="C52" s="2">
        <v>9353.2099999999991</v>
      </c>
      <c r="D52" s="2">
        <v>6295.28</v>
      </c>
      <c r="E52" s="2">
        <v>3235.69</v>
      </c>
      <c r="F52" s="2">
        <v>3983.38</v>
      </c>
      <c r="H52" s="1" t="s">
        <v>14</v>
      </c>
      <c r="I52" s="2">
        <v>0.53</v>
      </c>
      <c r="J52" s="2">
        <v>0.4</v>
      </c>
      <c r="K52" s="2">
        <v>0.39</v>
      </c>
      <c r="L52" s="2">
        <v>0.28999999999999998</v>
      </c>
      <c r="O52" s="1" t="s">
        <v>14</v>
      </c>
      <c r="P52" s="2">
        <v>0.88</v>
      </c>
      <c r="Q52" s="2">
        <v>0.85</v>
      </c>
      <c r="R52" s="2">
        <v>0.68</v>
      </c>
      <c r="S52" s="2">
        <v>0.84</v>
      </c>
      <c r="V52" s="1" t="s">
        <v>14</v>
      </c>
      <c r="W52" s="2">
        <v>1.06</v>
      </c>
      <c r="X52" s="2">
        <v>1.03</v>
      </c>
      <c r="Y52" s="2">
        <v>0.78</v>
      </c>
      <c r="Z52" s="2">
        <v>1.06</v>
      </c>
    </row>
    <row r="53" spans="2:26" x14ac:dyDescent="0.35">
      <c r="B53" s="1" t="s">
        <v>15</v>
      </c>
      <c r="C53" s="2">
        <v>42368.54</v>
      </c>
      <c r="D53" s="2">
        <v>55837.32</v>
      </c>
      <c r="E53" s="2">
        <v>20574.8</v>
      </c>
      <c r="F53" s="2">
        <v>20254</v>
      </c>
      <c r="H53" s="1" t="s">
        <v>15</v>
      </c>
      <c r="I53" s="2">
        <v>0.41</v>
      </c>
      <c r="J53" s="2">
        <v>0.49</v>
      </c>
      <c r="K53" s="2">
        <v>0.45</v>
      </c>
      <c r="L53" s="2">
        <v>0.61</v>
      </c>
      <c r="O53" s="1" t="s">
        <v>15</v>
      </c>
      <c r="P53" s="2">
        <v>0.96</v>
      </c>
      <c r="Q53" s="2">
        <v>1.02</v>
      </c>
      <c r="R53" s="2">
        <v>0.78</v>
      </c>
      <c r="S53" s="2">
        <v>0.93</v>
      </c>
      <c r="V53" s="1" t="s">
        <v>15</v>
      </c>
      <c r="W53" s="2">
        <v>1.17</v>
      </c>
      <c r="X53" s="2">
        <v>1.24</v>
      </c>
      <c r="Y53" s="2">
        <v>0.9</v>
      </c>
      <c r="Z53" s="2">
        <v>1.32</v>
      </c>
    </row>
    <row r="54" spans="2:26" x14ac:dyDescent="0.35">
      <c r="B54" s="1" t="s">
        <v>16</v>
      </c>
      <c r="C54" s="2">
        <v>7581.28</v>
      </c>
      <c r="D54" s="2">
        <v>6688.95</v>
      </c>
      <c r="E54" s="2">
        <v>4904.54</v>
      </c>
      <c r="F54" s="2">
        <v>8261.48</v>
      </c>
      <c r="H54" s="1" t="s">
        <v>16</v>
      </c>
      <c r="I54" s="2">
        <v>0.5</v>
      </c>
      <c r="J54" s="2">
        <v>0.45</v>
      </c>
      <c r="K54" s="2">
        <v>0.37</v>
      </c>
      <c r="L54" s="2">
        <v>0.62</v>
      </c>
      <c r="O54" s="1" t="s">
        <v>16</v>
      </c>
      <c r="P54" s="2">
        <v>0.91</v>
      </c>
      <c r="Q54" s="2">
        <v>0.88</v>
      </c>
      <c r="R54" s="2">
        <v>0.8</v>
      </c>
      <c r="S54" s="2">
        <v>0.93</v>
      </c>
      <c r="V54" s="1" t="s">
        <v>16</v>
      </c>
      <c r="W54" s="2">
        <v>1.1599999999999999</v>
      </c>
      <c r="X54" s="2">
        <v>1.1200000000000001</v>
      </c>
      <c r="Y54" s="2">
        <v>0.91</v>
      </c>
      <c r="Z54" s="2">
        <v>1.1599999999999999</v>
      </c>
    </row>
    <row r="55" spans="2:26" x14ac:dyDescent="0.35">
      <c r="B55" s="1" t="s">
        <v>17</v>
      </c>
      <c r="C55" s="2">
        <v>36170.68</v>
      </c>
      <c r="D55" s="2">
        <v>36509.339999999997</v>
      </c>
      <c r="E55" s="2">
        <v>32316.959999999999</v>
      </c>
      <c r="F55" s="2">
        <v>34017.58</v>
      </c>
      <c r="H55" s="1" t="s">
        <v>17</v>
      </c>
      <c r="I55" s="2">
        <v>0.46</v>
      </c>
      <c r="J55" s="2">
        <v>0.46</v>
      </c>
      <c r="K55" s="2">
        <v>0.46</v>
      </c>
      <c r="L55" s="2">
        <v>0.48</v>
      </c>
      <c r="O55" s="1" t="s">
        <v>17</v>
      </c>
      <c r="P55" s="2">
        <v>0.88</v>
      </c>
      <c r="Q55" s="2">
        <v>0.88</v>
      </c>
      <c r="R55" s="2">
        <v>0.87</v>
      </c>
      <c r="S55" s="2">
        <v>0.88</v>
      </c>
      <c r="V55" s="1" t="s">
        <v>17</v>
      </c>
      <c r="W55" s="2">
        <v>1.0900000000000001</v>
      </c>
      <c r="X55" s="2">
        <v>1.0900000000000001</v>
      </c>
      <c r="Y55" s="2">
        <v>1.06</v>
      </c>
      <c r="Z55" s="2">
        <v>1.0900000000000001</v>
      </c>
    </row>
    <row r="56" spans="2:26" x14ac:dyDescent="0.35">
      <c r="B56" s="1" t="s">
        <v>18</v>
      </c>
      <c r="C56" s="2">
        <v>13785.75</v>
      </c>
      <c r="D56" s="2">
        <v>7214.36</v>
      </c>
      <c r="E56" s="2">
        <v>8993.9599999999991</v>
      </c>
      <c r="F56" s="2">
        <v>9935.7800000000007</v>
      </c>
      <c r="H56" s="1" t="s">
        <v>18</v>
      </c>
      <c r="I56" s="2">
        <v>0.4</v>
      </c>
      <c r="J56" s="2">
        <v>0.4</v>
      </c>
      <c r="K56" s="2">
        <v>0.59</v>
      </c>
      <c r="L56" s="2">
        <v>0.61</v>
      </c>
      <c r="O56" s="1" t="s">
        <v>18</v>
      </c>
      <c r="P56" s="2">
        <v>0.98</v>
      </c>
      <c r="Q56" s="2">
        <v>0.86</v>
      </c>
      <c r="R56" s="2">
        <v>0.9</v>
      </c>
      <c r="S56" s="2">
        <v>0.89</v>
      </c>
      <c r="V56" s="1" t="s">
        <v>18</v>
      </c>
      <c r="W56" s="2">
        <v>1.1599999999999999</v>
      </c>
      <c r="X56" s="2">
        <v>1.1599999999999999</v>
      </c>
      <c r="Y56" s="2">
        <v>1.1100000000000001</v>
      </c>
      <c r="Z56" s="2">
        <v>1.1100000000000001</v>
      </c>
    </row>
    <row r="57" spans="2:26" x14ac:dyDescent="0.35">
      <c r="B57" s="1" t="s">
        <v>19</v>
      </c>
      <c r="C57" s="2">
        <v>24969.27</v>
      </c>
      <c r="D57" s="2">
        <v>30936.15</v>
      </c>
      <c r="E57" s="2">
        <v>26408.16</v>
      </c>
      <c r="F57" s="2">
        <v>23584.07</v>
      </c>
      <c r="H57" s="1" t="s">
        <v>19</v>
      </c>
      <c r="I57" s="2">
        <v>0.52</v>
      </c>
      <c r="J57" s="2">
        <v>0.59</v>
      </c>
      <c r="K57" s="2">
        <v>0.55000000000000004</v>
      </c>
      <c r="L57" s="2">
        <v>0.49</v>
      </c>
      <c r="O57" s="1" t="s">
        <v>19</v>
      </c>
      <c r="P57" s="2">
        <v>0.88</v>
      </c>
      <c r="Q57" s="2">
        <v>0.89</v>
      </c>
      <c r="R57" s="2">
        <v>0.86</v>
      </c>
      <c r="S57" s="2">
        <v>0.81</v>
      </c>
      <c r="V57" s="1" t="s">
        <v>19</v>
      </c>
      <c r="W57" s="2">
        <v>1.27</v>
      </c>
      <c r="X57" s="2">
        <v>1.24</v>
      </c>
      <c r="Y57" s="2">
        <v>1.08</v>
      </c>
      <c r="Z57" s="2">
        <v>0.98</v>
      </c>
    </row>
    <row r="58" spans="2:26" x14ac:dyDescent="0.35">
      <c r="B58" s="1" t="s">
        <v>20</v>
      </c>
      <c r="C58" s="2">
        <v>6651.33</v>
      </c>
      <c r="D58" s="2">
        <v>4932.66</v>
      </c>
      <c r="E58" s="2">
        <v>1516.18</v>
      </c>
      <c r="F58" s="2">
        <v>1707.9</v>
      </c>
      <c r="H58" s="1" t="s">
        <v>20</v>
      </c>
      <c r="I58" s="2">
        <v>0.23</v>
      </c>
      <c r="J58" s="2">
        <v>0.27</v>
      </c>
      <c r="K58" s="2">
        <v>0.19</v>
      </c>
      <c r="L58" s="2">
        <v>0.23</v>
      </c>
      <c r="O58" s="1" t="s">
        <v>20</v>
      </c>
      <c r="P58" s="2">
        <v>0.61</v>
      </c>
      <c r="Q58" s="2">
        <v>0.51</v>
      </c>
      <c r="R58" s="2">
        <v>0.32</v>
      </c>
      <c r="S58" s="2">
        <v>0.34</v>
      </c>
      <c r="V58" s="1" t="s">
        <v>20</v>
      </c>
      <c r="W58" s="2">
        <v>0.71</v>
      </c>
      <c r="X58" s="2">
        <v>0.6</v>
      </c>
      <c r="Y58" s="2">
        <v>0.37</v>
      </c>
      <c r="Z58" s="2">
        <v>0.41</v>
      </c>
    </row>
    <row r="61" spans="2:26" x14ac:dyDescent="0.35">
      <c r="B61" t="s">
        <v>33</v>
      </c>
      <c r="H61" t="s">
        <v>34</v>
      </c>
      <c r="O61" t="s">
        <v>35</v>
      </c>
      <c r="V61" t="s">
        <v>36</v>
      </c>
    </row>
    <row r="62" spans="2:26" x14ac:dyDescent="0.35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5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5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5">
      <c r="B65" s="1" t="s">
        <v>13</v>
      </c>
      <c r="C65" s="2">
        <v>248.81</v>
      </c>
      <c r="D65" s="2">
        <v>140.78</v>
      </c>
      <c r="E65" s="2">
        <v>75.97</v>
      </c>
      <c r="F65" s="2">
        <v>111.2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59.88</v>
      </c>
      <c r="Q65" s="2">
        <v>59.96</v>
      </c>
      <c r="R65" s="2">
        <v>59.96</v>
      </c>
      <c r="S65" s="2">
        <v>59.96</v>
      </c>
      <c r="V65" s="1" t="s">
        <v>13</v>
      </c>
      <c r="W65" s="2">
        <v>-0.01</v>
      </c>
      <c r="X65" s="2">
        <v>0</v>
      </c>
      <c r="Y65" s="2">
        <v>0</v>
      </c>
      <c r="Z65" s="2">
        <v>0</v>
      </c>
    </row>
    <row r="66" spans="2:26" x14ac:dyDescent="0.35">
      <c r="B66" s="1" t="s">
        <v>14</v>
      </c>
      <c r="C66" s="2">
        <v>854.71</v>
      </c>
      <c r="D66" s="2">
        <v>766.46</v>
      </c>
      <c r="E66" s="2">
        <v>295.82</v>
      </c>
      <c r="F66" s="2">
        <v>485.78</v>
      </c>
      <c r="H66" s="1" t="s">
        <v>14</v>
      </c>
      <c r="I66" s="2">
        <v>58.36</v>
      </c>
      <c r="J66" s="2">
        <v>59.69</v>
      </c>
      <c r="K66" s="2">
        <v>59.74</v>
      </c>
      <c r="L66" s="2">
        <v>59.96</v>
      </c>
      <c r="O66" s="1" t="s">
        <v>14</v>
      </c>
      <c r="P66" s="2">
        <v>41.17</v>
      </c>
      <c r="Q66" s="2">
        <v>43.72</v>
      </c>
      <c r="R66" s="2">
        <v>54.79</v>
      </c>
      <c r="S66" s="2">
        <v>44.51</v>
      </c>
      <c r="V66" s="1" t="s">
        <v>14</v>
      </c>
      <c r="W66" s="2">
        <v>-1.2</v>
      </c>
      <c r="X66" s="2">
        <v>-1.03</v>
      </c>
      <c r="Y66" s="2">
        <v>-0.23</v>
      </c>
      <c r="Z66" s="2">
        <v>-0.87</v>
      </c>
    </row>
    <row r="67" spans="2:26" x14ac:dyDescent="0.35">
      <c r="B67" s="1" t="s">
        <v>15</v>
      </c>
      <c r="C67" s="2">
        <v>4969.9399999999996</v>
      </c>
      <c r="D67" s="2">
        <v>7245.33</v>
      </c>
      <c r="E67" s="2">
        <v>2409.75</v>
      </c>
      <c r="F67" s="2">
        <v>2834.44</v>
      </c>
      <c r="H67" s="1" t="s">
        <v>15</v>
      </c>
      <c r="I67" s="2">
        <v>59.63</v>
      </c>
      <c r="J67" s="2">
        <v>58.97</v>
      </c>
      <c r="K67" s="2">
        <v>59.39</v>
      </c>
      <c r="L67" s="2">
        <v>56.06</v>
      </c>
      <c r="O67" s="1" t="s">
        <v>15</v>
      </c>
      <c r="P67" s="2">
        <v>33.43</v>
      </c>
      <c r="Q67" s="2">
        <v>27.83</v>
      </c>
      <c r="R67" s="2">
        <v>49.04</v>
      </c>
      <c r="S67" s="2">
        <v>36.03</v>
      </c>
      <c r="V67" s="1" t="s">
        <v>15</v>
      </c>
      <c r="W67" s="2">
        <v>-2.21</v>
      </c>
      <c r="X67" s="2">
        <v>-3.19</v>
      </c>
      <c r="Y67" s="2">
        <v>-0.53</v>
      </c>
      <c r="Z67" s="2">
        <v>-1.49</v>
      </c>
    </row>
    <row r="68" spans="2:26" x14ac:dyDescent="0.35">
      <c r="B68" s="1" t="s">
        <v>16</v>
      </c>
      <c r="C68" s="2">
        <v>1173.08</v>
      </c>
      <c r="D68" s="2">
        <v>1088.3699999999999</v>
      </c>
      <c r="E68" s="2">
        <v>763.06</v>
      </c>
      <c r="F68" s="2">
        <v>1341.12</v>
      </c>
      <c r="H68" s="1" t="s">
        <v>16</v>
      </c>
      <c r="I68" s="2">
        <v>58.79</v>
      </c>
      <c r="J68" s="2">
        <v>59.39</v>
      </c>
      <c r="K68" s="2">
        <v>59.81</v>
      </c>
      <c r="L68" s="2">
        <v>55.63</v>
      </c>
      <c r="O68" s="1" t="s">
        <v>16</v>
      </c>
      <c r="P68" s="2">
        <v>38.47</v>
      </c>
      <c r="Q68" s="2">
        <v>40.53</v>
      </c>
      <c r="R68" s="2">
        <v>47.51</v>
      </c>
      <c r="S68" s="2">
        <v>36.83</v>
      </c>
      <c r="V68" s="1" t="s">
        <v>16</v>
      </c>
      <c r="W68" s="2">
        <v>-1.51</v>
      </c>
      <c r="X68" s="2">
        <v>-1.32</v>
      </c>
      <c r="Y68" s="2">
        <v>-0.65</v>
      </c>
      <c r="Z68" s="2">
        <v>-1.38</v>
      </c>
    </row>
    <row r="69" spans="2:26" x14ac:dyDescent="0.35">
      <c r="B69" s="1" t="s">
        <v>17</v>
      </c>
      <c r="C69" s="2">
        <v>5169.01</v>
      </c>
      <c r="D69" s="2">
        <v>4858.0600000000004</v>
      </c>
      <c r="E69" s="2">
        <v>4654.6499999999996</v>
      </c>
      <c r="F69" s="2">
        <v>4531.24</v>
      </c>
      <c r="H69" s="1" t="s">
        <v>17</v>
      </c>
      <c r="I69" s="2">
        <v>59.28</v>
      </c>
      <c r="J69" s="2">
        <v>59.32</v>
      </c>
      <c r="K69" s="2">
        <v>59.29</v>
      </c>
      <c r="L69" s="2">
        <v>59.11</v>
      </c>
      <c r="O69" s="1" t="s">
        <v>17</v>
      </c>
      <c r="P69" s="2">
        <v>40.75</v>
      </c>
      <c r="Q69" s="2">
        <v>41.12</v>
      </c>
      <c r="R69" s="2">
        <v>41.54</v>
      </c>
      <c r="S69" s="2">
        <v>40.83</v>
      </c>
      <c r="V69" s="1" t="s">
        <v>17</v>
      </c>
      <c r="W69" s="2">
        <v>-1.29</v>
      </c>
      <c r="X69" s="2">
        <v>-1.25</v>
      </c>
      <c r="Y69" s="2">
        <v>-1.08</v>
      </c>
      <c r="Z69" s="2">
        <v>-1.1399999999999999</v>
      </c>
    </row>
    <row r="70" spans="2:26" x14ac:dyDescent="0.35">
      <c r="B70" s="1" t="s">
        <v>18</v>
      </c>
      <c r="C70" s="2">
        <v>1230.8399999999999</v>
      </c>
      <c r="D70" s="2">
        <v>392.25</v>
      </c>
      <c r="E70" s="2">
        <v>796.49</v>
      </c>
      <c r="F70" s="2">
        <v>542.59</v>
      </c>
      <c r="H70" s="1" t="s">
        <v>18</v>
      </c>
      <c r="I70" s="2">
        <v>59.71</v>
      </c>
      <c r="J70" s="2">
        <v>59.72</v>
      </c>
      <c r="K70" s="2">
        <v>56.82</v>
      </c>
      <c r="L70" s="2">
        <v>56.2</v>
      </c>
      <c r="O70" s="1" t="s">
        <v>18</v>
      </c>
      <c r="P70" s="2">
        <v>31.78</v>
      </c>
      <c r="Q70" s="2">
        <v>42.41</v>
      </c>
      <c r="R70" s="2">
        <v>39.39</v>
      </c>
      <c r="S70" s="2">
        <v>39.659999999999997</v>
      </c>
      <c r="V70" s="1" t="s">
        <v>18</v>
      </c>
      <c r="W70" s="2">
        <v>-2.4700000000000002</v>
      </c>
      <c r="X70" s="2">
        <v>-1.1499999999999999</v>
      </c>
      <c r="Y70" s="2">
        <v>-1.17</v>
      </c>
      <c r="Z70" s="2">
        <v>-1.1100000000000001</v>
      </c>
    </row>
    <row r="71" spans="2:26" x14ac:dyDescent="0.35">
      <c r="B71" s="1" t="s">
        <v>19</v>
      </c>
      <c r="C71" s="2">
        <v>1848.82</v>
      </c>
      <c r="D71" s="2">
        <v>1848.82</v>
      </c>
      <c r="E71" s="2">
        <v>1900.72</v>
      </c>
      <c r="F71" s="2">
        <v>1419.39</v>
      </c>
      <c r="H71" s="1" t="s">
        <v>19</v>
      </c>
      <c r="I71" s="2">
        <v>58.41</v>
      </c>
      <c r="J71" s="2">
        <v>56.79</v>
      </c>
      <c r="K71" s="2">
        <v>57.79</v>
      </c>
      <c r="L71" s="2">
        <v>59</v>
      </c>
      <c r="O71" s="1" t="s">
        <v>19</v>
      </c>
      <c r="P71" s="2">
        <v>40.67</v>
      </c>
      <c r="Q71" s="2">
        <v>39.78</v>
      </c>
      <c r="R71" s="2">
        <v>43.14</v>
      </c>
      <c r="S71" s="2">
        <v>46.98</v>
      </c>
      <c r="V71" s="1" t="s">
        <v>19</v>
      </c>
      <c r="W71" s="2">
        <v>-1.25</v>
      </c>
      <c r="X71" s="2">
        <v>-1.27</v>
      </c>
      <c r="Y71" s="2">
        <v>-0.88</v>
      </c>
      <c r="Z71" s="2">
        <v>-0.65</v>
      </c>
    </row>
    <row r="72" spans="2:26" x14ac:dyDescent="0.35">
      <c r="B72" s="1" t="s">
        <v>20</v>
      </c>
      <c r="C72" s="2">
        <v>438.78</v>
      </c>
      <c r="D72" s="2">
        <v>183.1</v>
      </c>
      <c r="E72" s="2">
        <v>99.52</v>
      </c>
      <c r="F72" s="2">
        <v>63.07</v>
      </c>
      <c r="H72" s="1" t="s">
        <v>20</v>
      </c>
      <c r="I72" s="2">
        <v>59.99</v>
      </c>
      <c r="J72" s="2">
        <v>59.98</v>
      </c>
      <c r="K72" s="2">
        <v>60</v>
      </c>
      <c r="L72" s="2">
        <v>59.99</v>
      </c>
      <c r="O72" s="1" t="s">
        <v>20</v>
      </c>
      <c r="P72" s="2">
        <v>57.17</v>
      </c>
      <c r="Q72" s="2">
        <v>59.01</v>
      </c>
      <c r="R72" s="2">
        <v>59.94</v>
      </c>
      <c r="S72" s="2">
        <v>59.9</v>
      </c>
      <c r="V72" s="1" t="s">
        <v>20</v>
      </c>
      <c r="W72" s="2">
        <v>-0.14000000000000001</v>
      </c>
      <c r="X72" s="2">
        <v>-0.05</v>
      </c>
      <c r="Y72" s="2">
        <v>0</v>
      </c>
      <c r="Z72" s="2">
        <v>0</v>
      </c>
    </row>
    <row r="75" spans="2:26" x14ac:dyDescent="0.35">
      <c r="B75" t="s">
        <v>37</v>
      </c>
      <c r="H75" t="s">
        <v>38</v>
      </c>
      <c r="O75" t="s">
        <v>39</v>
      </c>
      <c r="V75" t="s">
        <v>40</v>
      </c>
    </row>
    <row r="76" spans="2:26" x14ac:dyDescent="0.35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5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5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5">
      <c r="B79" s="1" t="s">
        <v>13</v>
      </c>
      <c r="C79" s="2">
        <v>23.58</v>
      </c>
      <c r="D79" s="2">
        <v>24.07</v>
      </c>
      <c r="E79" s="2">
        <v>6.56</v>
      </c>
      <c r="F79" s="2">
        <v>17.14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2.81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5">
      <c r="B80" s="1" t="s">
        <v>14</v>
      </c>
      <c r="C80" s="2">
        <v>350.69</v>
      </c>
      <c r="D80" s="2">
        <v>728.8</v>
      </c>
      <c r="E80" s="2">
        <v>121.03</v>
      </c>
      <c r="F80" s="2">
        <v>457.28</v>
      </c>
      <c r="H80" s="1" t="s">
        <v>14</v>
      </c>
      <c r="I80" s="2">
        <v>2.88</v>
      </c>
      <c r="J80" s="2">
        <v>2.81</v>
      </c>
      <c r="K80" s="2">
        <v>2.5099999999999998</v>
      </c>
      <c r="L80" s="2">
        <v>2.5</v>
      </c>
      <c r="O80" s="1" t="s">
        <v>14</v>
      </c>
      <c r="P80" s="2">
        <v>4.08</v>
      </c>
      <c r="Q80" s="2">
        <v>3.84</v>
      </c>
      <c r="R80" s="2">
        <v>2.74</v>
      </c>
      <c r="S80" s="2">
        <v>3.37</v>
      </c>
      <c r="V80" s="1" t="s">
        <v>14</v>
      </c>
      <c r="W80" s="2">
        <v>-0.28999999999999998</v>
      </c>
      <c r="X80" s="2">
        <v>-0.27</v>
      </c>
      <c r="Y80" s="2">
        <v>-0.08</v>
      </c>
      <c r="Z80" s="2">
        <v>-0.26</v>
      </c>
    </row>
    <row r="81" spans="2:26" x14ac:dyDescent="0.35">
      <c r="B81" s="1" t="s">
        <v>15</v>
      </c>
      <c r="C81" s="2">
        <v>1523.71</v>
      </c>
      <c r="D81" s="2">
        <v>4265.8999999999996</v>
      </c>
      <c r="E81" s="2">
        <v>740.26</v>
      </c>
      <c r="F81" s="2">
        <v>1700.38</v>
      </c>
      <c r="H81" s="1" t="s">
        <v>15</v>
      </c>
      <c r="I81" s="2">
        <v>2.82</v>
      </c>
      <c r="J81" s="2">
        <v>2.85</v>
      </c>
      <c r="K81" s="2">
        <v>2.5299999999999998</v>
      </c>
      <c r="L81" s="2">
        <v>2.68</v>
      </c>
      <c r="O81" s="1" t="s">
        <v>15</v>
      </c>
      <c r="P81" s="2">
        <v>5.03</v>
      </c>
      <c r="Q81" s="2">
        <v>6.04</v>
      </c>
      <c r="R81" s="2">
        <v>3.06</v>
      </c>
      <c r="S81" s="2">
        <v>4.16</v>
      </c>
      <c r="V81" s="1" t="s">
        <v>15</v>
      </c>
      <c r="W81" s="2">
        <v>-0.44</v>
      </c>
      <c r="X81" s="2">
        <v>-0.53</v>
      </c>
      <c r="Y81" s="2">
        <v>-0.17</v>
      </c>
      <c r="Z81" s="2">
        <v>-0.36</v>
      </c>
    </row>
    <row r="82" spans="2:26" x14ac:dyDescent="0.35">
      <c r="B82" s="1" t="s">
        <v>16</v>
      </c>
      <c r="C82" s="2">
        <v>383.81</v>
      </c>
      <c r="D82" s="2">
        <v>568.80999999999995</v>
      </c>
      <c r="E82" s="2">
        <v>251.83</v>
      </c>
      <c r="F82" s="2">
        <v>703.06</v>
      </c>
      <c r="H82" s="1" t="s">
        <v>16</v>
      </c>
      <c r="I82" s="2">
        <v>2.86</v>
      </c>
      <c r="J82" s="2">
        <v>2.83</v>
      </c>
      <c r="K82" s="2">
        <v>2.5099999999999998</v>
      </c>
      <c r="L82" s="2">
        <v>2.7</v>
      </c>
      <c r="O82" s="1" t="s">
        <v>16</v>
      </c>
      <c r="P82" s="2">
        <v>4.37</v>
      </c>
      <c r="Q82" s="2">
        <v>4.1500000000000004</v>
      </c>
      <c r="R82" s="2">
        <v>3.16</v>
      </c>
      <c r="S82" s="2">
        <v>4.07</v>
      </c>
      <c r="V82" s="1" t="s">
        <v>16</v>
      </c>
      <c r="W82" s="2">
        <v>-0.35</v>
      </c>
      <c r="X82" s="2">
        <v>-0.32</v>
      </c>
      <c r="Y82" s="2">
        <v>-0.21</v>
      </c>
      <c r="Z82" s="2">
        <v>-0.34</v>
      </c>
    </row>
    <row r="83" spans="2:26" x14ac:dyDescent="0.35">
      <c r="B83" s="1" t="s">
        <v>17</v>
      </c>
      <c r="C83" s="2">
        <v>1677.22</v>
      </c>
      <c r="D83" s="2">
        <v>1711.2</v>
      </c>
      <c r="E83" s="2">
        <v>1513.89</v>
      </c>
      <c r="F83" s="2">
        <v>1597.83</v>
      </c>
      <c r="H83" s="1" t="s">
        <v>17</v>
      </c>
      <c r="I83" s="2">
        <v>2.83</v>
      </c>
      <c r="J83" s="2">
        <v>2.83</v>
      </c>
      <c r="K83" s="2">
        <v>2.5299999999999998</v>
      </c>
      <c r="L83" s="2">
        <v>2.54</v>
      </c>
      <c r="O83" s="1" t="s">
        <v>17</v>
      </c>
      <c r="P83" s="2">
        <v>4.12</v>
      </c>
      <c r="Q83" s="2">
        <v>4.09</v>
      </c>
      <c r="R83" s="2">
        <v>3.61</v>
      </c>
      <c r="S83" s="2">
        <v>3.67</v>
      </c>
      <c r="V83" s="1" t="s">
        <v>17</v>
      </c>
      <c r="W83" s="2">
        <v>-0.31</v>
      </c>
      <c r="X83" s="2">
        <v>-0.31</v>
      </c>
      <c r="Y83" s="2">
        <v>-0.3</v>
      </c>
      <c r="Z83" s="2">
        <v>-0.31</v>
      </c>
    </row>
    <row r="84" spans="2:26" x14ac:dyDescent="0.35">
      <c r="B84" s="1" t="s">
        <v>18</v>
      </c>
      <c r="C84" s="2">
        <v>423.57</v>
      </c>
      <c r="D84" s="2">
        <v>218.82</v>
      </c>
      <c r="E84" s="2">
        <v>279.02</v>
      </c>
      <c r="F84" s="2">
        <v>302.08</v>
      </c>
      <c r="H84" s="1" t="s">
        <v>18</v>
      </c>
      <c r="I84" s="2">
        <v>2.81</v>
      </c>
      <c r="J84" s="2">
        <v>2.81</v>
      </c>
      <c r="K84" s="2">
        <v>2.64</v>
      </c>
      <c r="L84" s="2">
        <v>2.67</v>
      </c>
      <c r="O84" s="1" t="s">
        <v>18</v>
      </c>
      <c r="P84" s="2">
        <v>5.29</v>
      </c>
      <c r="Q84" s="2">
        <v>3.96</v>
      </c>
      <c r="R84" s="2">
        <v>3.81</v>
      </c>
      <c r="S84" s="2">
        <v>3.78</v>
      </c>
      <c r="V84" s="1" t="s">
        <v>18</v>
      </c>
      <c r="W84" s="2">
        <v>-0.47</v>
      </c>
      <c r="X84" s="2">
        <v>-0.28999999999999998</v>
      </c>
      <c r="Y84" s="2">
        <v>-0.31</v>
      </c>
      <c r="Z84" s="2">
        <v>-0.28999999999999998</v>
      </c>
    </row>
    <row r="85" spans="2:26" x14ac:dyDescent="0.35">
      <c r="B85" s="1" t="s">
        <v>19</v>
      </c>
      <c r="C85" s="2">
        <v>251.83</v>
      </c>
      <c r="D85" s="2">
        <v>449.09</v>
      </c>
      <c r="E85" s="2">
        <v>287.64</v>
      </c>
      <c r="F85" s="2">
        <v>337.15</v>
      </c>
      <c r="H85" s="1" t="s">
        <v>19</v>
      </c>
      <c r="I85" s="2">
        <v>2.88</v>
      </c>
      <c r="J85" s="2">
        <v>2.96</v>
      </c>
      <c r="K85" s="2">
        <v>2.6</v>
      </c>
      <c r="L85" s="2">
        <v>2.54</v>
      </c>
      <c r="O85" s="1" t="s">
        <v>19</v>
      </c>
      <c r="P85" s="2">
        <v>4.13</v>
      </c>
      <c r="Q85" s="2">
        <v>4.22</v>
      </c>
      <c r="R85" s="2">
        <v>3.48</v>
      </c>
      <c r="S85" s="2">
        <v>3.19</v>
      </c>
      <c r="V85" s="1" t="s">
        <v>19</v>
      </c>
      <c r="W85" s="2">
        <v>-0.3</v>
      </c>
      <c r="X85" s="2">
        <v>-0.3</v>
      </c>
      <c r="Y85" s="2">
        <v>-0.25</v>
      </c>
      <c r="Z85" s="2">
        <v>-0.2</v>
      </c>
    </row>
    <row r="86" spans="2:26" x14ac:dyDescent="0.35">
      <c r="B86" s="1" t="s">
        <v>20</v>
      </c>
      <c r="C86" s="2">
        <v>46.13</v>
      </c>
      <c r="D86" s="2">
        <v>46.75</v>
      </c>
      <c r="E86" s="2">
        <v>10.4</v>
      </c>
      <c r="F86" s="2">
        <v>17.16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2.94</v>
      </c>
      <c r="Q86" s="2">
        <v>2.85</v>
      </c>
      <c r="R86" s="2">
        <v>2.5</v>
      </c>
      <c r="S86" s="2">
        <v>2.5</v>
      </c>
      <c r="V86" s="1" t="s">
        <v>20</v>
      </c>
      <c r="W86" s="2">
        <v>-0.05</v>
      </c>
      <c r="X86" s="2">
        <v>-0.02</v>
      </c>
      <c r="Y86" s="2">
        <v>0</v>
      </c>
      <c r="Z86" s="2">
        <v>0</v>
      </c>
    </row>
    <row r="89" spans="2:26" x14ac:dyDescent="0.35">
      <c r="B89" t="s">
        <v>41</v>
      </c>
      <c r="H89" t="s">
        <v>42</v>
      </c>
      <c r="O89" t="s">
        <v>43</v>
      </c>
      <c r="V89" t="s">
        <v>44</v>
      </c>
    </row>
    <row r="90" spans="2:26" x14ac:dyDescent="0.35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5" t="s">
        <v>9</v>
      </c>
      <c r="J90" s="5"/>
      <c r="K90" s="5" t="s">
        <v>10</v>
      </c>
      <c r="L90" s="5"/>
      <c r="O90" s="1" t="s">
        <v>8</v>
      </c>
      <c r="P90" s="5" t="s">
        <v>9</v>
      </c>
      <c r="Q90" s="5"/>
      <c r="R90" s="5" t="s">
        <v>10</v>
      </c>
      <c r="S90" s="5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5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5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5">
      <c r="B93" s="1" t="s">
        <v>13</v>
      </c>
      <c r="C93" s="2">
        <v>2090.39</v>
      </c>
      <c r="D93" s="2">
        <v>1353.64</v>
      </c>
      <c r="E93" s="2">
        <v>619.44000000000005</v>
      </c>
      <c r="F93" s="2">
        <v>843.91</v>
      </c>
      <c r="H93" s="1" t="s">
        <v>13</v>
      </c>
      <c r="I93" s="2">
        <v>4285.0200000000004</v>
      </c>
      <c r="J93" s="2">
        <v>2045.5</v>
      </c>
      <c r="K93" s="2">
        <v>2048.7199999999998</v>
      </c>
      <c r="L93" s="2">
        <v>1213.27</v>
      </c>
      <c r="O93" s="1" t="s">
        <v>13</v>
      </c>
      <c r="P93" s="2">
        <v>4285.0200000000004</v>
      </c>
      <c r="Q93" s="2">
        <v>2045.5</v>
      </c>
      <c r="R93" s="2">
        <v>2048.7199999999998</v>
      </c>
      <c r="S93" s="2">
        <v>1213.27</v>
      </c>
      <c r="V93" s="1" t="s">
        <v>13</v>
      </c>
      <c r="W93" s="2">
        <v>1.76</v>
      </c>
      <c r="X93" s="2">
        <v>1.62</v>
      </c>
      <c r="Y93" s="2">
        <v>1.24</v>
      </c>
      <c r="Z93" s="2">
        <v>1.53</v>
      </c>
    </row>
    <row r="94" spans="2:26" x14ac:dyDescent="0.35">
      <c r="B94" s="1" t="s">
        <v>14</v>
      </c>
      <c r="C94" s="2">
        <v>586.70000000000005</v>
      </c>
      <c r="D94" s="2">
        <v>753.29</v>
      </c>
      <c r="E94" s="2">
        <v>198.47</v>
      </c>
      <c r="F94" s="2">
        <v>515.87</v>
      </c>
      <c r="H94" s="1" t="s">
        <v>14</v>
      </c>
      <c r="I94" s="2">
        <v>4453.91</v>
      </c>
      <c r="J94" s="2">
        <v>2952.42</v>
      </c>
      <c r="K94" s="2">
        <v>2997.75</v>
      </c>
      <c r="L94" s="2">
        <v>1896.85</v>
      </c>
      <c r="O94" s="1" t="s">
        <v>14</v>
      </c>
      <c r="P94" s="2">
        <v>4453.91</v>
      </c>
      <c r="Q94" s="2">
        <v>2952.42</v>
      </c>
      <c r="R94" s="2">
        <v>2997.75</v>
      </c>
      <c r="S94" s="2">
        <v>1896.85</v>
      </c>
      <c r="V94" s="1" t="s">
        <v>14</v>
      </c>
      <c r="W94" s="2">
        <v>5.88</v>
      </c>
      <c r="X94" s="2">
        <v>5.88</v>
      </c>
      <c r="Y94" s="2">
        <v>2.74</v>
      </c>
      <c r="Z94" s="2">
        <v>5.25</v>
      </c>
    </row>
    <row r="95" spans="2:26" x14ac:dyDescent="0.35">
      <c r="B95" s="1" t="s">
        <v>15</v>
      </c>
      <c r="C95" s="2">
        <v>3830.95</v>
      </c>
      <c r="D95" s="2">
        <v>7282.9</v>
      </c>
      <c r="E95" s="2">
        <v>1709.56</v>
      </c>
      <c r="F95" s="2">
        <v>9733.64</v>
      </c>
      <c r="H95" s="1" t="s">
        <v>15</v>
      </c>
      <c r="I95" s="2">
        <v>10087.75</v>
      </c>
      <c r="J95" s="2">
        <v>9797.57</v>
      </c>
      <c r="K95" s="2">
        <v>11049.55</v>
      </c>
      <c r="L95" s="2">
        <v>9644.76</v>
      </c>
      <c r="O95" s="1" t="s">
        <v>15</v>
      </c>
      <c r="P95" s="2">
        <v>10087.75</v>
      </c>
      <c r="Q95" s="2">
        <v>9797.57</v>
      </c>
      <c r="R95" s="2">
        <v>11049.55</v>
      </c>
      <c r="S95" s="2">
        <v>9644.76</v>
      </c>
      <c r="V95" s="1" t="s">
        <v>15</v>
      </c>
      <c r="W95" s="2">
        <v>11.76</v>
      </c>
      <c r="X95" s="2">
        <v>14.15</v>
      </c>
      <c r="Y95" s="2">
        <v>5.25</v>
      </c>
      <c r="Z95" s="2">
        <v>5.25</v>
      </c>
    </row>
    <row r="96" spans="2:26" x14ac:dyDescent="0.35">
      <c r="B96" s="1" t="s">
        <v>16</v>
      </c>
      <c r="C96" s="2">
        <v>1469.24</v>
      </c>
      <c r="D96" s="2">
        <v>1155.47</v>
      </c>
      <c r="E96" s="2">
        <v>790.13</v>
      </c>
      <c r="F96" s="2">
        <v>1407.77</v>
      </c>
      <c r="H96" s="1" t="s">
        <v>16</v>
      </c>
      <c r="I96" s="2">
        <v>3610.14</v>
      </c>
      <c r="J96" s="2">
        <v>2458.9299999999998</v>
      </c>
      <c r="K96" s="2">
        <v>3185.21</v>
      </c>
      <c r="L96" s="2">
        <v>3934.04</v>
      </c>
      <c r="O96" s="1" t="s">
        <v>16</v>
      </c>
      <c r="P96" s="2">
        <v>3610.14</v>
      </c>
      <c r="Q96" s="2">
        <v>2458.9299999999998</v>
      </c>
      <c r="R96" s="2">
        <v>3185.21</v>
      </c>
      <c r="S96" s="2">
        <v>3934.04</v>
      </c>
      <c r="V96" s="1" t="s">
        <v>16</v>
      </c>
      <c r="W96" s="2">
        <v>5.88</v>
      </c>
      <c r="X96" s="2">
        <v>5.88</v>
      </c>
      <c r="Y96" s="2">
        <v>4.99</v>
      </c>
      <c r="Z96" s="2">
        <v>5.25</v>
      </c>
    </row>
    <row r="97" spans="2:26" x14ac:dyDescent="0.35">
      <c r="B97" s="1" t="s">
        <v>17</v>
      </c>
      <c r="C97" s="2">
        <v>5786.85</v>
      </c>
      <c r="D97" s="2">
        <v>5281.76</v>
      </c>
      <c r="E97" s="2">
        <v>5002.9399999999996</v>
      </c>
      <c r="F97" s="2">
        <v>4887.9799999999996</v>
      </c>
      <c r="H97" s="1" t="s">
        <v>17</v>
      </c>
      <c r="I97" s="2">
        <v>17224.13</v>
      </c>
      <c r="J97" s="2">
        <v>15389.03</v>
      </c>
      <c r="K97" s="2">
        <v>17385.400000000001</v>
      </c>
      <c r="L97" s="2">
        <v>16198.85</v>
      </c>
      <c r="O97" s="1" t="s">
        <v>17</v>
      </c>
      <c r="P97" s="2">
        <v>17224.13</v>
      </c>
      <c r="Q97" s="2">
        <v>15389.03</v>
      </c>
      <c r="R97" s="2">
        <v>17385.400000000001</v>
      </c>
      <c r="S97" s="2">
        <v>16198.85</v>
      </c>
      <c r="V97" s="1" t="s">
        <v>17</v>
      </c>
      <c r="W97" s="2">
        <v>5.88</v>
      </c>
      <c r="X97" s="2">
        <v>5.88</v>
      </c>
      <c r="Y97" s="2">
        <v>5.25</v>
      </c>
      <c r="Z97" s="2">
        <v>5.25</v>
      </c>
    </row>
    <row r="98" spans="2:26" x14ac:dyDescent="0.35">
      <c r="B98" s="1" t="s">
        <v>18</v>
      </c>
      <c r="C98" s="2">
        <v>1456.24</v>
      </c>
      <c r="D98" s="2">
        <v>557.79999999999995</v>
      </c>
      <c r="E98" s="2">
        <v>1030.8699999999999</v>
      </c>
      <c r="F98" s="2">
        <v>655.86</v>
      </c>
      <c r="H98" s="1" t="s">
        <v>18</v>
      </c>
      <c r="I98" s="2">
        <v>3282.32</v>
      </c>
      <c r="J98" s="2">
        <v>4282.84</v>
      </c>
      <c r="K98" s="2">
        <v>3435.42</v>
      </c>
      <c r="L98" s="2">
        <v>4731.33</v>
      </c>
      <c r="O98" s="1" t="s">
        <v>18</v>
      </c>
      <c r="P98" s="2">
        <v>3282.32</v>
      </c>
      <c r="Q98" s="2">
        <v>4282.84</v>
      </c>
      <c r="R98" s="2">
        <v>3435.42</v>
      </c>
      <c r="S98" s="2">
        <v>4731.33</v>
      </c>
      <c r="V98" s="1" t="s">
        <v>18</v>
      </c>
      <c r="W98" s="2">
        <v>11.76</v>
      </c>
      <c r="X98" s="2">
        <v>5.88</v>
      </c>
      <c r="Y98" s="2">
        <v>5.25</v>
      </c>
      <c r="Z98" s="2">
        <v>5.25</v>
      </c>
    </row>
    <row r="99" spans="2:26" x14ac:dyDescent="0.35">
      <c r="B99" s="1" t="s">
        <v>19</v>
      </c>
      <c r="C99" s="2">
        <v>6193.78</v>
      </c>
      <c r="D99" s="2">
        <v>4113.82</v>
      </c>
      <c r="E99" s="2">
        <v>2738.89</v>
      </c>
      <c r="F99" s="2">
        <v>2205.5500000000002</v>
      </c>
      <c r="H99" s="1" t="s">
        <v>19</v>
      </c>
      <c r="I99" s="2">
        <v>11890.13</v>
      </c>
      <c r="J99" s="2">
        <v>12575.31</v>
      </c>
      <c r="K99" s="2">
        <v>14731.5</v>
      </c>
      <c r="L99" s="2">
        <v>11230.51</v>
      </c>
      <c r="O99" s="1" t="s">
        <v>19</v>
      </c>
      <c r="P99" s="2">
        <v>11890.13</v>
      </c>
      <c r="Q99" s="2">
        <v>12575.31</v>
      </c>
      <c r="R99" s="2">
        <v>14731.5</v>
      </c>
      <c r="S99" s="2">
        <v>11230.51</v>
      </c>
      <c r="V99" s="1" t="s">
        <v>19</v>
      </c>
      <c r="W99" s="2">
        <v>5.88</v>
      </c>
      <c r="X99" s="2">
        <v>5.88</v>
      </c>
      <c r="Y99" s="2">
        <v>5.25</v>
      </c>
      <c r="Z99" s="2">
        <v>5.25</v>
      </c>
    </row>
    <row r="100" spans="2:26" x14ac:dyDescent="0.35">
      <c r="B100" s="1" t="s">
        <v>20</v>
      </c>
      <c r="C100" s="2">
        <v>998.95</v>
      </c>
      <c r="D100" s="2">
        <v>578.86</v>
      </c>
      <c r="E100" s="2">
        <v>228.03</v>
      </c>
      <c r="F100" s="2">
        <v>198.11</v>
      </c>
      <c r="H100" s="1" t="s">
        <v>20</v>
      </c>
      <c r="I100" s="2">
        <v>5566.78</v>
      </c>
      <c r="J100" s="2">
        <v>4195.12</v>
      </c>
      <c r="K100" s="2">
        <v>6944.01</v>
      </c>
      <c r="L100" s="2">
        <v>5288.36</v>
      </c>
      <c r="O100" s="1" t="s">
        <v>20</v>
      </c>
      <c r="P100" s="2">
        <v>5566.78</v>
      </c>
      <c r="Q100" s="2">
        <v>4195.12</v>
      </c>
      <c r="R100" s="2">
        <v>6944.01</v>
      </c>
      <c r="S100" s="2">
        <v>5288.36</v>
      </c>
      <c r="V100" s="1" t="s">
        <v>20</v>
      </c>
      <c r="W100" s="2">
        <v>3.35</v>
      </c>
      <c r="X100" s="2">
        <v>1.99</v>
      </c>
      <c r="Y100" s="2">
        <v>0.9</v>
      </c>
      <c r="Z100" s="2">
        <v>0.81</v>
      </c>
    </row>
    <row r="103" spans="2:26" x14ac:dyDescent="0.35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5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5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5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5">
      <c r="B107" s="1" t="s">
        <v>13</v>
      </c>
      <c r="C107" s="2">
        <v>2.7128315064302969E-2</v>
      </c>
      <c r="D107" s="2">
        <v>1.3863003742674971E-2</v>
      </c>
      <c r="E107" s="2">
        <v>1.367785781269026E-2</v>
      </c>
      <c r="F107" s="2">
        <v>1.2286095773309301E-2</v>
      </c>
      <c r="H107" s="1" t="s">
        <v>13</v>
      </c>
      <c r="I107" s="2">
        <v>1530.36</v>
      </c>
      <c r="J107" s="2">
        <v>731.69</v>
      </c>
      <c r="K107" s="2">
        <v>818.2</v>
      </c>
      <c r="L107" s="2">
        <v>485.31</v>
      </c>
      <c r="O107" s="1" t="s">
        <v>13</v>
      </c>
      <c r="P107" s="2">
        <v>13773.28</v>
      </c>
      <c r="Q107" s="2">
        <v>9219.3700000000008</v>
      </c>
      <c r="R107" s="2">
        <v>12523.7</v>
      </c>
      <c r="S107" s="2">
        <v>7961.59</v>
      </c>
      <c r="V107" s="1" t="s">
        <v>13</v>
      </c>
      <c r="W107" s="2">
        <v>5.29</v>
      </c>
      <c r="X107" s="2">
        <v>4.87</v>
      </c>
      <c r="Y107" s="2">
        <v>3.72</v>
      </c>
      <c r="Z107" s="2">
        <v>4.58</v>
      </c>
    </row>
    <row r="108" spans="2:26" x14ac:dyDescent="0.35">
      <c r="B108" s="1" t="s">
        <v>14</v>
      </c>
      <c r="C108" s="2">
        <v>5.9725978477576748E-2</v>
      </c>
      <c r="D108" s="2">
        <v>4.3766035763771187E-2</v>
      </c>
      <c r="E108" s="2">
        <v>3.0687782453505341E-2</v>
      </c>
      <c r="F108" s="2">
        <v>3.9042668645515713E-2</v>
      </c>
      <c r="H108" s="1" t="s">
        <v>14</v>
      </c>
      <c r="I108" s="2">
        <v>1590.68</v>
      </c>
      <c r="J108" s="2">
        <v>1070.6300000000001</v>
      </c>
      <c r="K108" s="2">
        <v>1180.97</v>
      </c>
      <c r="L108" s="2">
        <v>758.74</v>
      </c>
      <c r="O108" s="1" t="s">
        <v>14</v>
      </c>
      <c r="P108" s="2">
        <v>6627.99</v>
      </c>
      <c r="Q108" s="2">
        <v>4046.36</v>
      </c>
      <c r="R108" s="2">
        <v>6416.47</v>
      </c>
      <c r="S108" s="2">
        <v>2282.6</v>
      </c>
      <c r="V108" s="1" t="s">
        <v>14</v>
      </c>
      <c r="W108" s="2">
        <v>17.64</v>
      </c>
      <c r="X108" s="2">
        <v>17.64</v>
      </c>
      <c r="Y108" s="2">
        <v>8.2200000000000006</v>
      </c>
      <c r="Z108" s="2">
        <v>15.75</v>
      </c>
    </row>
    <row r="109" spans="2:26" x14ac:dyDescent="0.35">
      <c r="B109" s="1" t="s">
        <v>15</v>
      </c>
      <c r="C109" s="2">
        <v>0.28237457453419279</v>
      </c>
      <c r="D109" s="2">
        <v>0.38230188008676957</v>
      </c>
      <c r="E109" s="2">
        <v>0.20268088977515919</v>
      </c>
      <c r="F109" s="2">
        <v>0.24766066239790821</v>
      </c>
      <c r="H109" s="1" t="s">
        <v>15</v>
      </c>
      <c r="I109" s="2">
        <v>3602.77</v>
      </c>
      <c r="J109" s="2">
        <v>3946.27</v>
      </c>
      <c r="K109" s="2">
        <v>3919.03</v>
      </c>
      <c r="L109" s="2">
        <v>3857.9</v>
      </c>
      <c r="O109" s="1" t="s">
        <v>15</v>
      </c>
      <c r="P109" s="2">
        <v>13874.59</v>
      </c>
      <c r="Q109" s="2">
        <v>14363.92</v>
      </c>
      <c r="R109" s="2">
        <v>20470.45</v>
      </c>
      <c r="S109" s="2">
        <v>9258.9699999999993</v>
      </c>
      <c r="V109" s="1" t="s">
        <v>15</v>
      </c>
      <c r="W109" s="2">
        <v>35.28</v>
      </c>
      <c r="X109" s="2">
        <v>42.45</v>
      </c>
      <c r="Y109" s="2">
        <v>15.75</v>
      </c>
      <c r="Z109" s="2">
        <v>15.75</v>
      </c>
    </row>
    <row r="110" spans="2:26" x14ac:dyDescent="0.35">
      <c r="B110" s="1" t="s">
        <v>16</v>
      </c>
      <c r="C110" s="2">
        <v>5.6843560839332917E-2</v>
      </c>
      <c r="D110" s="2">
        <v>4.8672242473580173E-2</v>
      </c>
      <c r="E110" s="2">
        <v>5.3467026133144982E-2</v>
      </c>
      <c r="F110" s="2">
        <v>8.4030995272685746E-2</v>
      </c>
      <c r="H110" s="1" t="s">
        <v>16</v>
      </c>
      <c r="I110" s="2">
        <v>1289.33</v>
      </c>
      <c r="J110" s="2">
        <v>1137.58</v>
      </c>
      <c r="K110" s="2">
        <v>983.57</v>
      </c>
      <c r="L110" s="2">
        <v>1573.62</v>
      </c>
      <c r="O110" s="1" t="s">
        <v>16</v>
      </c>
      <c r="P110" s="2">
        <v>3457.29</v>
      </c>
      <c r="Q110" s="2">
        <v>3263.59</v>
      </c>
      <c r="R110" s="2">
        <v>5235.45</v>
      </c>
      <c r="S110" s="2">
        <v>4695.8500000000004</v>
      </c>
      <c r="V110" s="1" t="s">
        <v>16</v>
      </c>
      <c r="W110" s="2">
        <v>17.64</v>
      </c>
      <c r="X110" s="2">
        <v>17.64</v>
      </c>
      <c r="Y110" s="2">
        <v>14.96</v>
      </c>
      <c r="Z110" s="2">
        <v>15.75</v>
      </c>
    </row>
    <row r="111" spans="2:26" x14ac:dyDescent="0.35">
      <c r="B111" s="1" t="s">
        <v>17</v>
      </c>
      <c r="C111" s="2">
        <v>0.2615319748579959</v>
      </c>
      <c r="D111" s="2">
        <v>0.24772745306365529</v>
      </c>
      <c r="E111" s="2">
        <v>0.34655001112442069</v>
      </c>
      <c r="F111" s="2">
        <v>0.32307400826548249</v>
      </c>
      <c r="H111" s="1" t="s">
        <v>17</v>
      </c>
      <c r="I111" s="2">
        <v>6151.48</v>
      </c>
      <c r="J111" s="2">
        <v>6209.07</v>
      </c>
      <c r="K111" s="2">
        <v>6155.61</v>
      </c>
      <c r="L111" s="2">
        <v>6479.54</v>
      </c>
      <c r="O111" s="1" t="s">
        <v>17</v>
      </c>
      <c r="P111" s="2">
        <v>19705.84</v>
      </c>
      <c r="Q111" s="2">
        <v>19696.2</v>
      </c>
      <c r="R111" s="2">
        <v>21763.39</v>
      </c>
      <c r="S111" s="2">
        <v>20956.560000000001</v>
      </c>
      <c r="V111" s="1" t="s">
        <v>17</v>
      </c>
      <c r="W111" s="2">
        <v>17.64</v>
      </c>
      <c r="X111" s="2">
        <v>17.64</v>
      </c>
      <c r="Y111" s="2">
        <v>15.75</v>
      </c>
      <c r="Z111" s="2">
        <v>15.75</v>
      </c>
    </row>
    <row r="112" spans="2:26" x14ac:dyDescent="0.35">
      <c r="B112" s="1" t="s">
        <v>18</v>
      </c>
      <c r="C112" s="2">
        <v>9.0545200711397905E-2</v>
      </c>
      <c r="D112" s="2">
        <v>4.2943357252651283E-2</v>
      </c>
      <c r="E112" s="2">
        <v>8.8456277838942624E-2</v>
      </c>
      <c r="F112" s="2">
        <v>8.2042963636353203E-2</v>
      </c>
      <c r="H112" s="1" t="s">
        <v>18</v>
      </c>
      <c r="I112" s="2">
        <v>1172.26</v>
      </c>
      <c r="J112" s="2">
        <v>1226.94</v>
      </c>
      <c r="K112" s="2">
        <v>1713.14</v>
      </c>
      <c r="L112" s="2">
        <v>1892.53</v>
      </c>
      <c r="O112" s="1" t="s">
        <v>18</v>
      </c>
      <c r="P112" s="2">
        <v>4726.16</v>
      </c>
      <c r="Q112" s="2">
        <v>2870</v>
      </c>
      <c r="R112" s="2">
        <v>5334.13</v>
      </c>
      <c r="S112" s="2">
        <v>6458.55</v>
      </c>
      <c r="V112" s="1" t="s">
        <v>18</v>
      </c>
      <c r="W112" s="2">
        <v>35.28</v>
      </c>
      <c r="X112" s="2">
        <v>17.64</v>
      </c>
      <c r="Y112" s="2">
        <v>15.75</v>
      </c>
      <c r="Z112" s="2">
        <v>15.75</v>
      </c>
    </row>
    <row r="113" spans="2:26" x14ac:dyDescent="0.35">
      <c r="B113" s="1" t="s">
        <v>19</v>
      </c>
      <c r="C113" s="2">
        <v>0.17825514165473971</v>
      </c>
      <c r="D113" s="2">
        <v>0.19131573187216891</v>
      </c>
      <c r="E113" s="2">
        <v>0.24970499566179469</v>
      </c>
      <c r="F113" s="2">
        <v>0.19761344377698459</v>
      </c>
      <c r="H113" s="1" t="s">
        <v>19</v>
      </c>
      <c r="I113" s="2">
        <v>4246.47</v>
      </c>
      <c r="J113" s="2">
        <v>5261.25</v>
      </c>
      <c r="K113" s="2">
        <v>5030.13</v>
      </c>
      <c r="L113" s="2">
        <v>4492.21</v>
      </c>
      <c r="O113" s="1" t="s">
        <v>19</v>
      </c>
      <c r="P113" s="2">
        <v>8068.3</v>
      </c>
      <c r="Q113" s="2">
        <v>9996.3799999999992</v>
      </c>
      <c r="R113" s="2">
        <v>14068.38</v>
      </c>
      <c r="S113" s="2">
        <v>15648.97</v>
      </c>
      <c r="V113" s="1" t="s">
        <v>19</v>
      </c>
      <c r="W113" s="2">
        <v>17.64</v>
      </c>
      <c r="X113" s="2">
        <v>17.64</v>
      </c>
      <c r="Y113" s="2">
        <v>15.75</v>
      </c>
      <c r="Z113" s="2">
        <v>15.75</v>
      </c>
    </row>
    <row r="114" spans="2:26" x14ac:dyDescent="0.35">
      <c r="B114" s="1" t="s">
        <v>20</v>
      </c>
      <c r="C114" s="2">
        <v>4.3595253860461147E-2</v>
      </c>
      <c r="D114" s="2">
        <v>2.9410295744728698E-2</v>
      </c>
      <c r="E114" s="2">
        <v>1.4775159200342209E-2</v>
      </c>
      <c r="F114" s="2">
        <v>1.4249162231760639E-2</v>
      </c>
      <c r="H114" s="1" t="s">
        <v>20</v>
      </c>
      <c r="I114" s="2">
        <v>1988.14</v>
      </c>
      <c r="J114" s="2">
        <v>2480</v>
      </c>
      <c r="K114" s="2">
        <v>1678.05</v>
      </c>
      <c r="L114" s="2">
        <v>2115.34</v>
      </c>
      <c r="O114" s="1" t="s">
        <v>20</v>
      </c>
      <c r="P114" s="2">
        <v>7895.66</v>
      </c>
      <c r="Q114" s="2">
        <v>9553.27</v>
      </c>
      <c r="R114" s="2">
        <v>6680.15</v>
      </c>
      <c r="S114" s="2">
        <v>8111.03</v>
      </c>
      <c r="V114" s="1" t="s">
        <v>20</v>
      </c>
      <c r="W114" s="2">
        <v>10.039999999999999</v>
      </c>
      <c r="X114" s="2">
        <v>5.97</v>
      </c>
      <c r="Y114" s="2">
        <v>2.71</v>
      </c>
      <c r="Z114" s="2">
        <v>2.42</v>
      </c>
    </row>
    <row r="117" spans="2:26" x14ac:dyDescent="0.35">
      <c r="H117" t="s">
        <v>49</v>
      </c>
      <c r="O117" t="s">
        <v>50</v>
      </c>
      <c r="V117" t="s">
        <v>51</v>
      </c>
    </row>
    <row r="118" spans="2:26" x14ac:dyDescent="0.35">
      <c r="H118" s="1" t="s">
        <v>8</v>
      </c>
      <c r="I118" s="5" t="s">
        <v>9</v>
      </c>
      <c r="J118" s="5"/>
      <c r="K118" s="5" t="s">
        <v>10</v>
      </c>
      <c r="L118" s="5"/>
      <c r="O118" s="1" t="s">
        <v>8</v>
      </c>
      <c r="P118" s="5" t="s">
        <v>9</v>
      </c>
      <c r="Q118" s="5"/>
      <c r="R118" s="5" t="s">
        <v>10</v>
      </c>
      <c r="S118" s="5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5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5">
      <c r="H120" s="1" t="s">
        <v>12</v>
      </c>
      <c r="O120" s="1" t="s">
        <v>12</v>
      </c>
      <c r="V120" s="1" t="s">
        <v>12</v>
      </c>
    </row>
    <row r="121" spans="2:26" x14ac:dyDescent="0.35">
      <c r="H121" s="1" t="s">
        <v>13</v>
      </c>
      <c r="I121" s="2">
        <v>131.63999999999999</v>
      </c>
      <c r="J121" s="2">
        <v>51.06</v>
      </c>
      <c r="K121" s="2">
        <v>80.94</v>
      </c>
      <c r="L121" s="2">
        <v>60.74</v>
      </c>
      <c r="O121" s="1" t="s">
        <v>13</v>
      </c>
      <c r="P121" s="2">
        <v>131.63999999999999</v>
      </c>
      <c r="Q121" s="2">
        <v>51.06</v>
      </c>
      <c r="R121" s="2">
        <v>80.94</v>
      </c>
      <c r="S121" s="2">
        <v>60.74</v>
      </c>
      <c r="V121" s="1" t="s">
        <v>13</v>
      </c>
      <c r="W121" s="2">
        <v>18173.419999999998</v>
      </c>
      <c r="X121" s="2">
        <v>47721.79</v>
      </c>
      <c r="Y121" s="2">
        <v>40819.97</v>
      </c>
      <c r="Z121" s="2">
        <v>50250.19</v>
      </c>
    </row>
    <row r="122" spans="2:26" x14ac:dyDescent="0.35">
      <c r="H122" s="1" t="s">
        <v>14</v>
      </c>
      <c r="I122" s="2">
        <v>135.66999999999999</v>
      </c>
      <c r="J122" s="2">
        <v>89.97</v>
      </c>
      <c r="K122" s="2">
        <v>121.66</v>
      </c>
      <c r="L122" s="2">
        <v>77.11</v>
      </c>
      <c r="O122" s="1" t="s">
        <v>14</v>
      </c>
      <c r="P122" s="2">
        <v>135.66999999999999</v>
      </c>
      <c r="Q122" s="2">
        <v>89.97</v>
      </c>
      <c r="R122" s="2">
        <v>121.66</v>
      </c>
      <c r="S122" s="2">
        <v>77.11</v>
      </c>
      <c r="V122" s="1" t="s">
        <v>14</v>
      </c>
      <c r="W122" s="2">
        <v>293.58</v>
      </c>
      <c r="X122" s="2">
        <v>343.36</v>
      </c>
      <c r="Y122" s="2">
        <v>724.05</v>
      </c>
      <c r="Z122" s="2">
        <v>362.6</v>
      </c>
    </row>
    <row r="123" spans="2:26" x14ac:dyDescent="0.35">
      <c r="H123" s="1" t="s">
        <v>15</v>
      </c>
      <c r="I123" s="2">
        <v>394.44</v>
      </c>
      <c r="J123" s="2">
        <v>382.5</v>
      </c>
      <c r="K123" s="2">
        <v>477.92</v>
      </c>
      <c r="L123" s="2">
        <v>449.91</v>
      </c>
      <c r="O123" s="1" t="s">
        <v>15</v>
      </c>
      <c r="P123" s="2">
        <v>394.44</v>
      </c>
      <c r="Q123" s="2">
        <v>382.5</v>
      </c>
      <c r="R123" s="2">
        <v>477.92</v>
      </c>
      <c r="S123" s="2">
        <v>449.91</v>
      </c>
      <c r="V123" s="1" t="s">
        <v>15</v>
      </c>
      <c r="W123" s="2">
        <v>319.51</v>
      </c>
      <c r="X123" s="2">
        <v>266.39</v>
      </c>
      <c r="Y123" s="2">
        <v>591.02</v>
      </c>
      <c r="Z123" s="2">
        <v>211.8</v>
      </c>
    </row>
    <row r="124" spans="2:26" x14ac:dyDescent="0.35">
      <c r="H124" s="1" t="s">
        <v>16</v>
      </c>
      <c r="I124" s="2">
        <v>186.2</v>
      </c>
      <c r="J124" s="2">
        <v>127.52</v>
      </c>
      <c r="K124" s="2">
        <v>172.76</v>
      </c>
      <c r="L124" s="2">
        <v>212.88</v>
      </c>
      <c r="O124" s="1" t="s">
        <v>16</v>
      </c>
      <c r="P124" s="2">
        <v>186.2</v>
      </c>
      <c r="Q124" s="2">
        <v>127.52</v>
      </c>
      <c r="R124" s="2">
        <v>172.76</v>
      </c>
      <c r="S124" s="2">
        <v>212.88</v>
      </c>
      <c r="V124" s="1" t="s">
        <v>16</v>
      </c>
      <c r="W124" s="2">
        <v>233.66</v>
      </c>
      <c r="X124" s="2">
        <v>268</v>
      </c>
      <c r="Y124" s="2">
        <v>461.01</v>
      </c>
      <c r="Z124" s="2">
        <v>228.87</v>
      </c>
    </row>
    <row r="125" spans="2:26" x14ac:dyDescent="0.35">
      <c r="H125" s="1" t="s">
        <v>17</v>
      </c>
      <c r="I125" s="2">
        <v>820.48</v>
      </c>
      <c r="J125" s="2">
        <v>738.83</v>
      </c>
      <c r="K125" s="2">
        <v>771.12</v>
      </c>
      <c r="L125" s="2">
        <v>719.24</v>
      </c>
      <c r="O125" s="1" t="s">
        <v>17</v>
      </c>
      <c r="P125" s="2">
        <v>820.48</v>
      </c>
      <c r="Q125" s="2">
        <v>738.83</v>
      </c>
      <c r="R125" s="2">
        <v>771.12</v>
      </c>
      <c r="S125" s="2">
        <v>719.24</v>
      </c>
      <c r="V125" s="1" t="s">
        <v>17</v>
      </c>
      <c r="W125" s="2">
        <v>273.8</v>
      </c>
      <c r="X125" s="2">
        <v>281.56</v>
      </c>
      <c r="Y125" s="2">
        <v>291.45</v>
      </c>
      <c r="Z125" s="2">
        <v>277.26</v>
      </c>
    </row>
    <row r="126" spans="2:26" x14ac:dyDescent="0.35">
      <c r="H126" s="1" t="s">
        <v>18</v>
      </c>
      <c r="I126" s="2">
        <v>97.69</v>
      </c>
      <c r="J126" s="2">
        <v>126.43</v>
      </c>
      <c r="K126" s="2">
        <v>62.26</v>
      </c>
      <c r="L126" s="2">
        <v>86.13</v>
      </c>
      <c r="O126" s="1" t="s">
        <v>18</v>
      </c>
      <c r="P126" s="2">
        <v>97.69</v>
      </c>
      <c r="Q126" s="2">
        <v>126.43</v>
      </c>
      <c r="R126" s="2">
        <v>62.26</v>
      </c>
      <c r="S126" s="2">
        <v>86.13</v>
      </c>
      <c r="V126" s="1" t="s">
        <v>18</v>
      </c>
      <c r="W126" s="2">
        <v>285.35000000000002</v>
      </c>
      <c r="X126" s="2">
        <v>307.27</v>
      </c>
      <c r="Y126" s="2">
        <v>269.64</v>
      </c>
      <c r="Z126" s="2">
        <v>282.87</v>
      </c>
    </row>
    <row r="127" spans="2:26" x14ac:dyDescent="0.35">
      <c r="H127" s="1" t="s">
        <v>19</v>
      </c>
      <c r="I127" s="2">
        <v>293.45999999999998</v>
      </c>
      <c r="J127" s="2">
        <v>301.7</v>
      </c>
      <c r="K127" s="2">
        <v>293.45999999999998</v>
      </c>
      <c r="L127" s="2">
        <v>225.3</v>
      </c>
      <c r="O127" s="1" t="s">
        <v>19</v>
      </c>
      <c r="P127" s="2">
        <v>293.45999999999998</v>
      </c>
      <c r="Q127" s="2">
        <v>301.7</v>
      </c>
      <c r="R127" s="2">
        <v>293.45999999999998</v>
      </c>
      <c r="S127" s="2">
        <v>225.3</v>
      </c>
      <c r="V127" s="1" t="s">
        <v>19</v>
      </c>
      <c r="W127" s="2">
        <v>281.14999999999998</v>
      </c>
      <c r="X127" s="2">
        <v>278.88</v>
      </c>
      <c r="Y127" s="2">
        <v>357.24</v>
      </c>
      <c r="Z127" s="2">
        <v>484.48</v>
      </c>
    </row>
    <row r="128" spans="2:26" x14ac:dyDescent="0.35">
      <c r="H128" s="1" t="s">
        <v>20</v>
      </c>
      <c r="I128" s="2">
        <v>122.41</v>
      </c>
      <c r="J128" s="2">
        <v>91.79</v>
      </c>
      <c r="K128" s="2">
        <v>85.92</v>
      </c>
      <c r="L128" s="2">
        <v>65.099999999999994</v>
      </c>
      <c r="O128" s="1" t="s">
        <v>20</v>
      </c>
      <c r="P128" s="2">
        <v>122.41</v>
      </c>
      <c r="Q128" s="2">
        <v>91.79</v>
      </c>
      <c r="R128" s="2">
        <v>85.92</v>
      </c>
      <c r="S128" s="2">
        <v>65.099999999999994</v>
      </c>
      <c r="V128" s="1" t="s">
        <v>20</v>
      </c>
      <c r="W128" s="2">
        <v>1453.87</v>
      </c>
      <c r="X128" s="2">
        <v>2598.16</v>
      </c>
      <c r="Y128" s="2">
        <v>21202.67</v>
      </c>
      <c r="Z128" s="2">
        <v>13088.43</v>
      </c>
    </row>
    <row r="131" spans="8:19" x14ac:dyDescent="0.35">
      <c r="H131" t="s">
        <v>52</v>
      </c>
      <c r="O131" t="s">
        <v>53</v>
      </c>
    </row>
    <row r="132" spans="8:19" x14ac:dyDescent="0.35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5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5">
      <c r="H134" s="1" t="s">
        <v>12</v>
      </c>
      <c r="O134" s="1" t="s">
        <v>12</v>
      </c>
    </row>
    <row r="135" spans="8:19" x14ac:dyDescent="0.35">
      <c r="H135" s="1" t="s">
        <v>13</v>
      </c>
      <c r="I135" s="2">
        <v>47.02</v>
      </c>
      <c r="J135" s="2">
        <v>28.91</v>
      </c>
      <c r="K135" s="2">
        <v>20.420000000000002</v>
      </c>
      <c r="L135" s="2">
        <v>24.3</v>
      </c>
      <c r="O135" s="1" t="s">
        <v>13</v>
      </c>
      <c r="P135" s="2">
        <v>423.14</v>
      </c>
      <c r="Q135" s="2">
        <v>548.30999999999995</v>
      </c>
      <c r="R135" s="2">
        <v>387.89</v>
      </c>
      <c r="S135" s="2">
        <v>461.5</v>
      </c>
    </row>
    <row r="136" spans="8:19" x14ac:dyDescent="0.35">
      <c r="H136" s="1" t="s">
        <v>14</v>
      </c>
      <c r="I136" s="2">
        <v>48.45</v>
      </c>
      <c r="J136" s="2">
        <v>43.45</v>
      </c>
      <c r="K136" s="2">
        <v>35.99</v>
      </c>
      <c r="L136" s="2">
        <v>30.84</v>
      </c>
      <c r="O136" s="1" t="s">
        <v>14</v>
      </c>
      <c r="P136" s="2">
        <v>199.9</v>
      </c>
      <c r="Q136" s="2">
        <v>163.27000000000001</v>
      </c>
      <c r="R136" s="2">
        <v>193.53</v>
      </c>
      <c r="S136" s="2">
        <v>92.55</v>
      </c>
    </row>
    <row r="137" spans="8:19" x14ac:dyDescent="0.35">
      <c r="H137" s="1" t="s">
        <v>15</v>
      </c>
      <c r="I137" s="2">
        <v>140.87</v>
      </c>
      <c r="J137" s="2">
        <v>170.69</v>
      </c>
      <c r="K137" s="2">
        <v>153</v>
      </c>
      <c r="L137" s="2">
        <v>179.96</v>
      </c>
      <c r="O137" s="1" t="s">
        <v>15</v>
      </c>
      <c r="P137" s="2">
        <v>536.02</v>
      </c>
      <c r="Q137" s="2">
        <v>612.09</v>
      </c>
      <c r="R137" s="2">
        <v>789.99</v>
      </c>
      <c r="S137" s="2">
        <v>431.91</v>
      </c>
    </row>
    <row r="138" spans="8:19" x14ac:dyDescent="0.35">
      <c r="H138" s="1" t="s">
        <v>16</v>
      </c>
      <c r="I138" s="2">
        <v>66.5</v>
      </c>
      <c r="J138" s="2">
        <v>61.7</v>
      </c>
      <c r="K138" s="2">
        <v>51.01</v>
      </c>
      <c r="L138" s="2">
        <v>85.15</v>
      </c>
      <c r="O138" s="1" t="s">
        <v>16</v>
      </c>
      <c r="P138" s="2">
        <v>177.53</v>
      </c>
      <c r="Q138" s="2">
        <v>176.24</v>
      </c>
      <c r="R138" s="2">
        <v>268.93</v>
      </c>
      <c r="S138" s="2">
        <v>252.54</v>
      </c>
    </row>
    <row r="139" spans="8:19" x14ac:dyDescent="0.35">
      <c r="H139" s="1" t="s">
        <v>17</v>
      </c>
      <c r="I139" s="2">
        <v>293.02999999999997</v>
      </c>
      <c r="J139" s="2">
        <v>275.39999999999998</v>
      </c>
      <c r="K139" s="2">
        <v>295.52999999999997</v>
      </c>
      <c r="L139" s="2">
        <v>287.7</v>
      </c>
      <c r="O139" s="1" t="s">
        <v>17</v>
      </c>
      <c r="P139" s="2">
        <v>933.88</v>
      </c>
      <c r="Q139" s="2">
        <v>868.78</v>
      </c>
      <c r="R139" s="2">
        <v>1039.47</v>
      </c>
      <c r="S139" s="2">
        <v>925.53</v>
      </c>
    </row>
    <row r="140" spans="8:19" x14ac:dyDescent="0.35">
      <c r="H140" s="1" t="s">
        <v>18</v>
      </c>
      <c r="I140" s="2">
        <v>34.89</v>
      </c>
      <c r="J140" s="2">
        <v>22.24</v>
      </c>
      <c r="K140" s="2">
        <v>50.57</v>
      </c>
      <c r="L140" s="2">
        <v>34.450000000000003</v>
      </c>
      <c r="O140" s="1" t="s">
        <v>18</v>
      </c>
      <c r="P140" s="2">
        <v>138.55000000000001</v>
      </c>
      <c r="Q140" s="2">
        <v>51.8</v>
      </c>
      <c r="R140" s="2">
        <v>156.34</v>
      </c>
      <c r="S140" s="2">
        <v>116.42</v>
      </c>
    </row>
    <row r="141" spans="8:19" x14ac:dyDescent="0.35">
      <c r="H141" s="1" t="s">
        <v>19</v>
      </c>
      <c r="I141" s="2">
        <v>104.81</v>
      </c>
      <c r="J141" s="2">
        <v>104.81</v>
      </c>
      <c r="K141" s="2">
        <v>120.68</v>
      </c>
      <c r="L141" s="2">
        <v>90.12</v>
      </c>
      <c r="O141" s="1" t="s">
        <v>19</v>
      </c>
      <c r="P141" s="2">
        <v>199.14</v>
      </c>
      <c r="Q141" s="2">
        <v>199.14</v>
      </c>
      <c r="R141" s="2">
        <v>335.41</v>
      </c>
      <c r="S141" s="2">
        <v>311.51</v>
      </c>
    </row>
    <row r="142" spans="8:19" x14ac:dyDescent="0.35">
      <c r="H142" s="1" t="s">
        <v>20</v>
      </c>
      <c r="I142" s="2">
        <v>43.72</v>
      </c>
      <c r="J142" s="2">
        <v>30.69</v>
      </c>
      <c r="K142" s="2">
        <v>36.71</v>
      </c>
      <c r="L142" s="2">
        <v>26.04</v>
      </c>
      <c r="O142" s="1" t="s">
        <v>20</v>
      </c>
      <c r="P142" s="2">
        <v>173.17</v>
      </c>
      <c r="Q142" s="2">
        <v>117.8</v>
      </c>
      <c r="R142" s="2">
        <v>145.97</v>
      </c>
      <c r="S142" s="2">
        <v>99.65</v>
      </c>
    </row>
    <row r="145" spans="8:19" x14ac:dyDescent="0.35">
      <c r="H145" t="s">
        <v>54</v>
      </c>
      <c r="O145" t="s">
        <v>55</v>
      </c>
    </row>
    <row r="146" spans="8:19" x14ac:dyDescent="0.35">
      <c r="H146" s="1" t="s">
        <v>8</v>
      </c>
      <c r="I146" s="5" t="s">
        <v>9</v>
      </c>
      <c r="J146" s="5"/>
      <c r="K146" s="5" t="s">
        <v>10</v>
      </c>
      <c r="L146" s="5"/>
      <c r="O146" s="1" t="s">
        <v>8</v>
      </c>
      <c r="P146" s="5" t="s">
        <v>9</v>
      </c>
      <c r="Q146" s="5"/>
      <c r="R146" s="5" t="s">
        <v>10</v>
      </c>
      <c r="S146" s="5"/>
    </row>
    <row r="147" spans="8:19" x14ac:dyDescent="0.35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5">
      <c r="H148" s="1" t="s">
        <v>12</v>
      </c>
      <c r="O148" s="1" t="s">
        <v>12</v>
      </c>
    </row>
    <row r="149" spans="8:19" x14ac:dyDescent="0.35">
      <c r="H149" s="1" t="s">
        <v>13</v>
      </c>
      <c r="I149" s="2">
        <v>12.48</v>
      </c>
      <c r="J149" s="2">
        <v>4.41</v>
      </c>
      <c r="K149" s="2">
        <v>13.84</v>
      </c>
      <c r="L149" s="2">
        <v>9.36</v>
      </c>
      <c r="O149" s="1" t="s">
        <v>13</v>
      </c>
      <c r="P149" s="2">
        <v>12.48</v>
      </c>
      <c r="Q149" s="2">
        <v>4.41</v>
      </c>
      <c r="R149" s="2">
        <v>13.84</v>
      </c>
      <c r="S149" s="2">
        <v>9.36</v>
      </c>
    </row>
    <row r="150" spans="8:19" x14ac:dyDescent="0.35">
      <c r="H150" s="1" t="s">
        <v>14</v>
      </c>
      <c r="I150" s="2">
        <v>55.66</v>
      </c>
      <c r="J150" s="2">
        <v>36.81</v>
      </c>
      <c r="K150" s="2">
        <v>115.68</v>
      </c>
      <c r="L150" s="2">
        <v>72.58</v>
      </c>
      <c r="O150" s="1" t="s">
        <v>14</v>
      </c>
      <c r="P150" s="2">
        <v>55.66</v>
      </c>
      <c r="Q150" s="2">
        <v>36.81</v>
      </c>
      <c r="R150" s="2">
        <v>115.68</v>
      </c>
      <c r="S150" s="2">
        <v>72.58</v>
      </c>
    </row>
    <row r="151" spans="8:19" x14ac:dyDescent="0.35">
      <c r="H151" s="1" t="s">
        <v>15</v>
      </c>
      <c r="I151" s="2">
        <v>120.93</v>
      </c>
      <c r="J151" s="2">
        <v>117.5</v>
      </c>
      <c r="K151" s="2">
        <v>281.39</v>
      </c>
      <c r="L151" s="2">
        <v>269.89999999999998</v>
      </c>
      <c r="O151" s="1" t="s">
        <v>15</v>
      </c>
      <c r="P151" s="2">
        <v>120.93</v>
      </c>
      <c r="Q151" s="2">
        <v>117.5</v>
      </c>
      <c r="R151" s="2">
        <v>281.39</v>
      </c>
      <c r="S151" s="2">
        <v>269.89999999999998</v>
      </c>
    </row>
    <row r="152" spans="8:19" x14ac:dyDescent="0.35">
      <c r="H152" s="1" t="s">
        <v>16</v>
      </c>
      <c r="I152" s="2">
        <v>60.92</v>
      </c>
      <c r="J152" s="2">
        <v>42.09</v>
      </c>
      <c r="K152" s="2">
        <v>90.29</v>
      </c>
      <c r="L152" s="2">
        <v>111.6</v>
      </c>
      <c r="O152" s="1" t="s">
        <v>16</v>
      </c>
      <c r="P152" s="2">
        <v>60.92</v>
      </c>
      <c r="Q152" s="2">
        <v>42.09</v>
      </c>
      <c r="R152" s="2">
        <v>90.29</v>
      </c>
      <c r="S152" s="2">
        <v>111.6</v>
      </c>
    </row>
    <row r="153" spans="8:19" x14ac:dyDescent="0.35">
      <c r="H153" s="1" t="s">
        <v>17</v>
      </c>
      <c r="I153" s="2">
        <v>266.23</v>
      </c>
      <c r="J153" s="2">
        <v>240.3</v>
      </c>
      <c r="K153" s="2">
        <v>271.62</v>
      </c>
      <c r="L153" s="2">
        <v>253.62</v>
      </c>
      <c r="O153" s="1" t="s">
        <v>17</v>
      </c>
      <c r="P153" s="2">
        <v>266.23</v>
      </c>
      <c r="Q153" s="2">
        <v>240.3</v>
      </c>
      <c r="R153" s="2">
        <v>271.62</v>
      </c>
      <c r="S153" s="2">
        <v>253.62</v>
      </c>
    </row>
    <row r="154" spans="8:19" x14ac:dyDescent="0.35">
      <c r="H154" s="1" t="s">
        <v>18</v>
      </c>
      <c r="I154" s="2">
        <v>33.619999999999997</v>
      </c>
      <c r="J154" s="2">
        <v>44.29</v>
      </c>
      <c r="K154" s="2">
        <v>34.729999999999997</v>
      </c>
      <c r="L154" s="2">
        <v>47.95</v>
      </c>
      <c r="O154" s="1" t="s">
        <v>18</v>
      </c>
      <c r="P154" s="2">
        <v>33.619999999999997</v>
      </c>
      <c r="Q154" s="2">
        <v>44.29</v>
      </c>
      <c r="R154" s="2">
        <v>34.729999999999997</v>
      </c>
      <c r="S154" s="2">
        <v>47.95</v>
      </c>
    </row>
    <row r="155" spans="8:19" x14ac:dyDescent="0.35">
      <c r="H155" s="1" t="s">
        <v>19</v>
      </c>
      <c r="I155" s="2">
        <v>39.97</v>
      </c>
      <c r="J155" s="2">
        <v>45.66</v>
      </c>
      <c r="K155" s="2">
        <v>71.28</v>
      </c>
      <c r="L155" s="2">
        <v>53.52</v>
      </c>
      <c r="O155" s="1" t="s">
        <v>19</v>
      </c>
      <c r="P155" s="2">
        <v>39.97</v>
      </c>
      <c r="Q155" s="2">
        <v>45.66</v>
      </c>
      <c r="R155" s="2">
        <v>71.28</v>
      </c>
      <c r="S155" s="2">
        <v>53.52</v>
      </c>
    </row>
    <row r="156" spans="8:19" x14ac:dyDescent="0.35">
      <c r="H156" s="1" t="s">
        <v>20</v>
      </c>
      <c r="I156" s="2">
        <v>12.87</v>
      </c>
      <c r="J156" s="2">
        <v>9.59</v>
      </c>
      <c r="K156" s="2">
        <v>21.94</v>
      </c>
      <c r="L156" s="2">
        <v>17.71</v>
      </c>
      <c r="O156" s="1" t="s">
        <v>20</v>
      </c>
      <c r="P156" s="2">
        <v>12.87</v>
      </c>
      <c r="Q156" s="2">
        <v>9.59</v>
      </c>
      <c r="R156" s="2">
        <v>21.94</v>
      </c>
      <c r="S156" s="2">
        <v>17.71</v>
      </c>
    </row>
    <row r="159" spans="8:19" x14ac:dyDescent="0.35">
      <c r="H159" t="s">
        <v>56</v>
      </c>
      <c r="O159" t="s">
        <v>57</v>
      </c>
    </row>
    <row r="160" spans="8:19" x14ac:dyDescent="0.35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5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5">
      <c r="H162" s="1" t="s">
        <v>12</v>
      </c>
      <c r="O162" s="1" t="s">
        <v>12</v>
      </c>
    </row>
    <row r="163" spans="8:19" x14ac:dyDescent="0.35">
      <c r="H163" s="1" t="s">
        <v>13</v>
      </c>
      <c r="I163" s="2">
        <v>4.46</v>
      </c>
      <c r="J163" s="2">
        <v>4.9400000000000004</v>
      </c>
      <c r="K163" s="2">
        <v>1.76</v>
      </c>
      <c r="L163" s="2">
        <v>3.75</v>
      </c>
      <c r="O163" s="1" t="s">
        <v>13</v>
      </c>
      <c r="P163" s="2">
        <v>4.46</v>
      </c>
      <c r="Q163" s="2">
        <v>4.9400000000000004</v>
      </c>
      <c r="R163" s="2">
        <v>1.76</v>
      </c>
      <c r="S163" s="2">
        <v>3.75</v>
      </c>
    </row>
    <row r="164" spans="8:19" x14ac:dyDescent="0.35">
      <c r="H164" s="1" t="s">
        <v>14</v>
      </c>
      <c r="I164" s="2">
        <v>19.88</v>
      </c>
      <c r="J164" s="2">
        <v>41.31</v>
      </c>
      <c r="K164" s="2">
        <v>14.72</v>
      </c>
      <c r="L164" s="2">
        <v>29.03</v>
      </c>
      <c r="O164" s="1" t="s">
        <v>14</v>
      </c>
      <c r="P164" s="2">
        <v>19.88</v>
      </c>
      <c r="Q164" s="2">
        <v>41.31</v>
      </c>
      <c r="R164" s="2">
        <v>14.72</v>
      </c>
      <c r="S164" s="2">
        <v>29.03</v>
      </c>
    </row>
    <row r="165" spans="8:19" x14ac:dyDescent="0.35">
      <c r="H165" s="1" t="s">
        <v>15</v>
      </c>
      <c r="I165" s="2">
        <v>43.19</v>
      </c>
      <c r="J165" s="2">
        <v>100.5</v>
      </c>
      <c r="K165" s="2">
        <v>47</v>
      </c>
      <c r="L165" s="2">
        <v>107.96</v>
      </c>
      <c r="O165" s="1" t="s">
        <v>15</v>
      </c>
      <c r="P165" s="2">
        <v>43.19</v>
      </c>
      <c r="Q165" s="2">
        <v>100.5</v>
      </c>
      <c r="R165" s="2">
        <v>47</v>
      </c>
      <c r="S165" s="2">
        <v>107.96</v>
      </c>
    </row>
    <row r="166" spans="8:19" x14ac:dyDescent="0.35">
      <c r="H166" s="1" t="s">
        <v>16</v>
      </c>
      <c r="I166" s="2">
        <v>21.76</v>
      </c>
      <c r="J166" s="2">
        <v>32.25</v>
      </c>
      <c r="K166" s="2">
        <v>16.829999999999998</v>
      </c>
      <c r="L166" s="2">
        <v>44.64</v>
      </c>
      <c r="O166" s="1" t="s">
        <v>16</v>
      </c>
      <c r="P166" s="2">
        <v>21.76</v>
      </c>
      <c r="Q166" s="2">
        <v>32.25</v>
      </c>
      <c r="R166" s="2">
        <v>16.829999999999998</v>
      </c>
      <c r="S166" s="2">
        <v>44.64</v>
      </c>
    </row>
    <row r="167" spans="8:19" x14ac:dyDescent="0.35">
      <c r="H167" s="1" t="s">
        <v>17</v>
      </c>
      <c r="I167" s="2">
        <v>95.08</v>
      </c>
      <c r="J167" s="2">
        <v>97.01</v>
      </c>
      <c r="K167" s="2">
        <v>96.12</v>
      </c>
      <c r="L167" s="2">
        <v>101.45</v>
      </c>
      <c r="O167" s="1" t="s">
        <v>17</v>
      </c>
      <c r="P167" s="2">
        <v>95.08</v>
      </c>
      <c r="Q167" s="2">
        <v>97.01</v>
      </c>
      <c r="R167" s="2">
        <v>96.12</v>
      </c>
      <c r="S167" s="2">
        <v>101.45</v>
      </c>
    </row>
    <row r="168" spans="8:19" x14ac:dyDescent="0.35">
      <c r="H168" s="1" t="s">
        <v>18</v>
      </c>
      <c r="I168" s="2">
        <v>12.01</v>
      </c>
      <c r="J168" s="2">
        <v>12.4</v>
      </c>
      <c r="K168" s="2">
        <v>17.72</v>
      </c>
      <c r="L168" s="2">
        <v>19.18</v>
      </c>
      <c r="O168" s="1" t="s">
        <v>18</v>
      </c>
      <c r="P168" s="2">
        <v>12.01</v>
      </c>
      <c r="Q168" s="2">
        <v>12.4</v>
      </c>
      <c r="R168" s="2">
        <v>17.72</v>
      </c>
      <c r="S168" s="2">
        <v>19.18</v>
      </c>
    </row>
    <row r="169" spans="8:19" x14ac:dyDescent="0.35">
      <c r="H169" s="1" t="s">
        <v>19</v>
      </c>
      <c r="I169" s="2">
        <v>14.28</v>
      </c>
      <c r="J169" s="2">
        <v>25.46</v>
      </c>
      <c r="K169" s="2">
        <v>18.260000000000002</v>
      </c>
      <c r="L169" s="2">
        <v>21.41</v>
      </c>
      <c r="O169" s="1" t="s">
        <v>19</v>
      </c>
      <c r="P169" s="2">
        <v>14.28</v>
      </c>
      <c r="Q169" s="2">
        <v>25.46</v>
      </c>
      <c r="R169" s="2">
        <v>18.260000000000002</v>
      </c>
      <c r="S169" s="2">
        <v>21.41</v>
      </c>
    </row>
    <row r="170" spans="8:19" x14ac:dyDescent="0.35">
      <c r="H170" s="1" t="s">
        <v>20</v>
      </c>
      <c r="I170" s="2">
        <v>4.5999999999999996</v>
      </c>
      <c r="J170" s="2">
        <v>7.83</v>
      </c>
      <c r="K170" s="2">
        <v>3.84</v>
      </c>
      <c r="L170" s="2">
        <v>7.09</v>
      </c>
      <c r="O170" s="1" t="s">
        <v>20</v>
      </c>
      <c r="P170" s="2">
        <v>4.5999999999999996</v>
      </c>
      <c r="Q170" s="2">
        <v>7.83</v>
      </c>
      <c r="R170" s="2">
        <v>3.84</v>
      </c>
      <c r="S170" s="2">
        <v>7.09</v>
      </c>
    </row>
    <row r="173" spans="8:19" x14ac:dyDescent="0.35">
      <c r="H173" t="s">
        <v>58</v>
      </c>
      <c r="O173" t="s">
        <v>59</v>
      </c>
    </row>
    <row r="174" spans="8:19" x14ac:dyDescent="0.35">
      <c r="H174" s="1" t="s">
        <v>8</v>
      </c>
      <c r="I174" s="5" t="s">
        <v>9</v>
      </c>
      <c r="J174" s="5"/>
      <c r="K174" s="5" t="s">
        <v>10</v>
      </c>
      <c r="L174" s="5"/>
      <c r="O174" s="1" t="s">
        <v>8</v>
      </c>
      <c r="P174" s="5" t="s">
        <v>9</v>
      </c>
      <c r="Q174" s="5"/>
      <c r="R174" s="5" t="s">
        <v>10</v>
      </c>
      <c r="S174" s="5"/>
    </row>
    <row r="175" spans="8:19" x14ac:dyDescent="0.35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5">
      <c r="H176" s="1" t="s">
        <v>12</v>
      </c>
      <c r="O176" s="1" t="s">
        <v>12</v>
      </c>
    </row>
    <row r="177" spans="8:19" x14ac:dyDescent="0.35">
      <c r="H177" s="1" t="s">
        <v>13</v>
      </c>
      <c r="I177" s="2">
        <v>1106.03</v>
      </c>
      <c r="J177" s="2">
        <v>416.33</v>
      </c>
      <c r="K177" s="2">
        <v>778.26</v>
      </c>
      <c r="L177" s="2">
        <v>460.98</v>
      </c>
      <c r="O177" s="1" t="s">
        <v>13</v>
      </c>
      <c r="P177" s="2">
        <v>1106.03</v>
      </c>
      <c r="Q177" s="2">
        <v>416.33</v>
      </c>
      <c r="R177" s="2">
        <v>778.26</v>
      </c>
      <c r="S177" s="2">
        <v>460.98</v>
      </c>
    </row>
    <row r="178" spans="8:19" x14ac:dyDescent="0.35">
      <c r="H178" s="1" t="s">
        <v>14</v>
      </c>
      <c r="I178" s="2">
        <v>93.13</v>
      </c>
      <c r="J178" s="2">
        <v>60.36</v>
      </c>
      <c r="K178" s="2">
        <v>119.57</v>
      </c>
      <c r="L178" s="2">
        <v>81.88</v>
      </c>
      <c r="O178" s="1" t="s">
        <v>14</v>
      </c>
      <c r="P178" s="2">
        <v>93.13</v>
      </c>
      <c r="Q178" s="2">
        <v>60.36</v>
      </c>
      <c r="R178" s="2">
        <v>119.57</v>
      </c>
      <c r="S178" s="2">
        <v>81.88</v>
      </c>
    </row>
    <row r="179" spans="8:19" x14ac:dyDescent="0.35">
      <c r="H179" s="1" t="s">
        <v>15</v>
      </c>
      <c r="I179" s="2">
        <v>304.04000000000002</v>
      </c>
      <c r="J179" s="2">
        <v>271.36</v>
      </c>
      <c r="K179" s="2">
        <v>480.4</v>
      </c>
      <c r="L179" s="2">
        <v>1545.02</v>
      </c>
      <c r="O179" s="1" t="s">
        <v>15</v>
      </c>
      <c r="P179" s="2">
        <v>304.04000000000002</v>
      </c>
      <c r="Q179" s="2">
        <v>271.36</v>
      </c>
      <c r="R179" s="2">
        <v>480.4</v>
      </c>
      <c r="S179" s="2">
        <v>1545.02</v>
      </c>
    </row>
    <row r="180" spans="8:19" x14ac:dyDescent="0.35">
      <c r="H180" s="1" t="s">
        <v>16</v>
      </c>
      <c r="I180" s="2">
        <v>233.21</v>
      </c>
      <c r="J180" s="2">
        <v>132.05000000000001</v>
      </c>
      <c r="K180" s="2">
        <v>183.41</v>
      </c>
      <c r="L180" s="2">
        <v>223.46</v>
      </c>
      <c r="O180" s="1" t="s">
        <v>16</v>
      </c>
      <c r="P180" s="2">
        <v>233.21</v>
      </c>
      <c r="Q180" s="2">
        <v>132.05000000000001</v>
      </c>
      <c r="R180" s="2">
        <v>183.41</v>
      </c>
      <c r="S180" s="2">
        <v>223.46</v>
      </c>
    </row>
    <row r="181" spans="8:19" x14ac:dyDescent="0.35">
      <c r="H181" s="1" t="s">
        <v>17</v>
      </c>
      <c r="I181" s="2">
        <v>918.55</v>
      </c>
      <c r="J181" s="2">
        <v>794.12</v>
      </c>
      <c r="K181" s="2">
        <v>838.37</v>
      </c>
      <c r="L181" s="2">
        <v>775.87</v>
      </c>
      <c r="O181" s="1" t="s">
        <v>17</v>
      </c>
      <c r="P181" s="2">
        <v>918.55</v>
      </c>
      <c r="Q181" s="2">
        <v>794.12</v>
      </c>
      <c r="R181" s="2">
        <v>838.37</v>
      </c>
      <c r="S181" s="2">
        <v>775.87</v>
      </c>
    </row>
    <row r="182" spans="8:19" x14ac:dyDescent="0.35">
      <c r="H182" s="1" t="s">
        <v>18</v>
      </c>
      <c r="I182" s="2">
        <v>115.57</v>
      </c>
      <c r="J182" s="2">
        <v>163.63</v>
      </c>
      <c r="K182" s="2">
        <v>88.54</v>
      </c>
      <c r="L182" s="2">
        <v>104.1</v>
      </c>
      <c r="O182" s="1" t="s">
        <v>18</v>
      </c>
      <c r="P182" s="2">
        <v>115.57</v>
      </c>
      <c r="Q182" s="2">
        <v>163.63</v>
      </c>
      <c r="R182" s="2">
        <v>88.54</v>
      </c>
      <c r="S182" s="2">
        <v>104.1</v>
      </c>
    </row>
    <row r="183" spans="8:19" x14ac:dyDescent="0.35">
      <c r="H183" s="1" t="s">
        <v>19</v>
      </c>
      <c r="I183" s="2">
        <v>983.14</v>
      </c>
      <c r="J183" s="2">
        <v>434.74</v>
      </c>
      <c r="K183" s="2">
        <v>652.99</v>
      </c>
      <c r="L183" s="2">
        <v>350.09</v>
      </c>
      <c r="O183" s="1" t="s">
        <v>19</v>
      </c>
      <c r="P183" s="2">
        <v>983.14</v>
      </c>
      <c r="Q183" s="2">
        <v>434.74</v>
      </c>
      <c r="R183" s="2">
        <v>652.99</v>
      </c>
      <c r="S183" s="2">
        <v>350.09</v>
      </c>
    </row>
    <row r="184" spans="8:19" x14ac:dyDescent="0.35">
      <c r="H184" s="1" t="s">
        <v>20</v>
      </c>
      <c r="I184" s="2">
        <v>278.69</v>
      </c>
      <c r="J184" s="2">
        <v>210.31</v>
      </c>
      <c r="K184" s="2">
        <v>271.63</v>
      </c>
      <c r="L184" s="2">
        <v>204.48</v>
      </c>
      <c r="O184" s="1" t="s">
        <v>20</v>
      </c>
      <c r="P184" s="2">
        <v>278.69</v>
      </c>
      <c r="Q184" s="2">
        <v>210.31</v>
      </c>
      <c r="R184" s="2">
        <v>271.63</v>
      </c>
      <c r="S184" s="2">
        <v>204.48</v>
      </c>
    </row>
    <row r="187" spans="8:19" x14ac:dyDescent="0.35">
      <c r="H187" t="s">
        <v>60</v>
      </c>
      <c r="O187" t="s">
        <v>61</v>
      </c>
    </row>
    <row r="188" spans="8:19" x14ac:dyDescent="0.35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5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5">
      <c r="H190" s="1" t="s">
        <v>12</v>
      </c>
      <c r="O190" s="1" t="s">
        <v>12</v>
      </c>
    </row>
    <row r="191" spans="8:19" x14ac:dyDescent="0.35">
      <c r="H191" s="1" t="s">
        <v>13</v>
      </c>
      <c r="I191" s="2">
        <v>395.01</v>
      </c>
      <c r="J191" s="2">
        <v>277.95</v>
      </c>
      <c r="K191" s="2">
        <v>166.53</v>
      </c>
      <c r="L191" s="2">
        <v>184.39</v>
      </c>
      <c r="O191" s="1" t="s">
        <v>13</v>
      </c>
      <c r="P191" s="2">
        <v>395.01</v>
      </c>
      <c r="Q191" s="2">
        <v>277.95</v>
      </c>
      <c r="R191" s="2">
        <v>166.53</v>
      </c>
      <c r="S191" s="2">
        <v>184.39</v>
      </c>
    </row>
    <row r="192" spans="8:19" x14ac:dyDescent="0.35">
      <c r="H192" s="1" t="s">
        <v>14</v>
      </c>
      <c r="I192" s="2">
        <v>33.26</v>
      </c>
      <c r="J192" s="2">
        <v>42.7</v>
      </c>
      <c r="K192" s="2">
        <v>24.15</v>
      </c>
      <c r="L192" s="2">
        <v>32.75</v>
      </c>
      <c r="O192" s="1" t="s">
        <v>14</v>
      </c>
      <c r="P192" s="2">
        <v>33.26</v>
      </c>
      <c r="Q192" s="2">
        <v>42.7</v>
      </c>
      <c r="R192" s="2">
        <v>24.15</v>
      </c>
      <c r="S192" s="2">
        <v>32.75</v>
      </c>
    </row>
    <row r="193" spans="8:19" x14ac:dyDescent="0.35">
      <c r="H193" s="1" t="s">
        <v>15</v>
      </c>
      <c r="I193" s="2">
        <v>108.59</v>
      </c>
      <c r="J193" s="2">
        <v>171.57</v>
      </c>
      <c r="K193" s="2">
        <v>108.54</v>
      </c>
      <c r="L193" s="2">
        <v>618.01</v>
      </c>
      <c r="O193" s="1" t="s">
        <v>15</v>
      </c>
      <c r="P193" s="2">
        <v>108.59</v>
      </c>
      <c r="Q193" s="2">
        <v>171.57</v>
      </c>
      <c r="R193" s="2">
        <v>108.54</v>
      </c>
      <c r="S193" s="2">
        <v>618.01</v>
      </c>
    </row>
    <row r="194" spans="8:19" x14ac:dyDescent="0.35">
      <c r="H194" s="1" t="s">
        <v>16</v>
      </c>
      <c r="I194" s="2">
        <v>83.29</v>
      </c>
      <c r="J194" s="2">
        <v>65.5</v>
      </c>
      <c r="K194" s="2">
        <v>52.82</v>
      </c>
      <c r="L194" s="2">
        <v>89.38</v>
      </c>
      <c r="O194" s="1" t="s">
        <v>16</v>
      </c>
      <c r="P194" s="2">
        <v>83.29</v>
      </c>
      <c r="Q194" s="2">
        <v>65.5</v>
      </c>
      <c r="R194" s="2">
        <v>52.82</v>
      </c>
      <c r="S194" s="2">
        <v>89.38</v>
      </c>
    </row>
    <row r="195" spans="8:19" x14ac:dyDescent="0.35">
      <c r="H195" s="1" t="s">
        <v>17</v>
      </c>
      <c r="I195" s="2">
        <v>328.05</v>
      </c>
      <c r="J195" s="2">
        <v>299.42</v>
      </c>
      <c r="K195" s="2">
        <v>317.64999999999998</v>
      </c>
      <c r="L195" s="2">
        <v>310.35000000000002</v>
      </c>
      <c r="O195" s="1" t="s">
        <v>17</v>
      </c>
      <c r="P195" s="2">
        <v>328.05</v>
      </c>
      <c r="Q195" s="2">
        <v>299.42</v>
      </c>
      <c r="R195" s="2">
        <v>317.64999999999998</v>
      </c>
      <c r="S195" s="2">
        <v>310.35000000000002</v>
      </c>
    </row>
    <row r="196" spans="8:19" x14ac:dyDescent="0.35">
      <c r="H196" s="1" t="s">
        <v>18</v>
      </c>
      <c r="I196" s="2">
        <v>41.28</v>
      </c>
      <c r="J196" s="2">
        <v>31.62</v>
      </c>
      <c r="K196" s="2">
        <v>65.45</v>
      </c>
      <c r="L196" s="2">
        <v>41.64</v>
      </c>
      <c r="O196" s="1" t="s">
        <v>18</v>
      </c>
      <c r="P196" s="2">
        <v>41.28</v>
      </c>
      <c r="Q196" s="2">
        <v>31.62</v>
      </c>
      <c r="R196" s="2">
        <v>65.45</v>
      </c>
      <c r="S196" s="2">
        <v>41.64</v>
      </c>
    </row>
    <row r="197" spans="8:19" x14ac:dyDescent="0.35">
      <c r="H197" s="1" t="s">
        <v>19</v>
      </c>
      <c r="I197" s="2">
        <v>351.12</v>
      </c>
      <c r="J197" s="2">
        <v>233.21</v>
      </c>
      <c r="K197" s="2">
        <v>173.9</v>
      </c>
      <c r="L197" s="2">
        <v>140.04</v>
      </c>
      <c r="O197" s="1" t="s">
        <v>19</v>
      </c>
      <c r="P197" s="2">
        <v>351.12</v>
      </c>
      <c r="Q197" s="2">
        <v>233.21</v>
      </c>
      <c r="R197" s="2">
        <v>173.9</v>
      </c>
      <c r="S197" s="2">
        <v>140.04</v>
      </c>
    </row>
    <row r="198" spans="8:19" x14ac:dyDescent="0.35">
      <c r="H198" s="1" t="s">
        <v>20</v>
      </c>
      <c r="I198" s="2">
        <v>99.53</v>
      </c>
      <c r="J198" s="2">
        <v>97.01</v>
      </c>
      <c r="K198" s="2">
        <v>84.12</v>
      </c>
      <c r="L198" s="2">
        <v>81.790000000000006</v>
      </c>
      <c r="O198" s="1" t="s">
        <v>20</v>
      </c>
      <c r="P198" s="2">
        <v>99.53</v>
      </c>
      <c r="Q198" s="2">
        <v>97.01</v>
      </c>
      <c r="R198" s="2">
        <v>84.12</v>
      </c>
      <c r="S198" s="2">
        <v>81.790000000000006</v>
      </c>
    </row>
    <row r="201" spans="8:19" x14ac:dyDescent="0.35">
      <c r="H201" t="s">
        <v>62</v>
      </c>
      <c r="O201" t="s">
        <v>63</v>
      </c>
    </row>
    <row r="202" spans="8:19" x14ac:dyDescent="0.35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5" t="s">
        <v>9</v>
      </c>
      <c r="Q202" s="5"/>
      <c r="R202" s="5" t="s">
        <v>10</v>
      </c>
      <c r="S202" s="5"/>
    </row>
    <row r="203" spans="8:19" x14ac:dyDescent="0.35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5">
      <c r="H204" s="1" t="s">
        <v>12</v>
      </c>
      <c r="O204" s="1" t="s">
        <v>12</v>
      </c>
    </row>
    <row r="205" spans="8:19" x14ac:dyDescent="0.35">
      <c r="H205" s="1" t="s">
        <v>13</v>
      </c>
      <c r="I205" s="2">
        <v>0.01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1106.03</v>
      </c>
      <c r="Q205" s="2">
        <v>416.33</v>
      </c>
      <c r="R205" s="2">
        <v>778.26</v>
      </c>
      <c r="S205" s="2">
        <v>460.98</v>
      </c>
    </row>
    <row r="206" spans="8:19" x14ac:dyDescent="0.35">
      <c r="H206" s="1" t="s">
        <v>14</v>
      </c>
      <c r="I206" s="2">
        <v>0.33</v>
      </c>
      <c r="J206" s="2">
        <v>0.27</v>
      </c>
      <c r="K206" s="2">
        <v>0.15</v>
      </c>
      <c r="L206" s="2">
        <v>0.24</v>
      </c>
      <c r="O206" s="1" t="s">
        <v>14</v>
      </c>
      <c r="P206" s="2">
        <v>93.13</v>
      </c>
      <c r="Q206" s="2">
        <v>60.36</v>
      </c>
      <c r="R206" s="2">
        <v>119.57</v>
      </c>
      <c r="S206" s="2">
        <v>81.88</v>
      </c>
    </row>
    <row r="207" spans="8:19" x14ac:dyDescent="0.35">
      <c r="H207" s="1" t="s">
        <v>15</v>
      </c>
      <c r="I207" s="2">
        <v>0.28999999999999998</v>
      </c>
      <c r="J207" s="2">
        <v>0.35</v>
      </c>
      <c r="K207" s="2">
        <v>0.18</v>
      </c>
      <c r="L207" s="2">
        <v>0.32</v>
      </c>
      <c r="O207" s="1" t="s">
        <v>15</v>
      </c>
      <c r="P207" s="2">
        <v>304.04000000000002</v>
      </c>
      <c r="Q207" s="2">
        <v>271.36</v>
      </c>
      <c r="R207" s="2">
        <v>480.4</v>
      </c>
      <c r="S207" s="2">
        <v>1545.02</v>
      </c>
    </row>
    <row r="208" spans="8:19" x14ac:dyDescent="0.35">
      <c r="H208" s="1" t="s">
        <v>16</v>
      </c>
      <c r="I208" s="2">
        <v>0.34</v>
      </c>
      <c r="J208" s="2">
        <v>0.31</v>
      </c>
      <c r="K208" s="2">
        <v>0.23</v>
      </c>
      <c r="L208" s="2">
        <v>0.37</v>
      </c>
      <c r="O208" s="1" t="s">
        <v>16</v>
      </c>
      <c r="P208" s="2">
        <v>233.21</v>
      </c>
      <c r="Q208" s="2">
        <v>132.05000000000001</v>
      </c>
      <c r="R208" s="2">
        <v>183.41</v>
      </c>
      <c r="S208" s="2">
        <v>223.46</v>
      </c>
    </row>
    <row r="209" spans="8:19" x14ac:dyDescent="0.35">
      <c r="H209" s="1" t="s">
        <v>17</v>
      </c>
      <c r="I209" s="2">
        <v>0.31</v>
      </c>
      <c r="J209" s="2">
        <v>0.31</v>
      </c>
      <c r="K209" s="2">
        <v>0.31</v>
      </c>
      <c r="L209" s="2">
        <v>0.32</v>
      </c>
      <c r="O209" s="1" t="s">
        <v>17</v>
      </c>
      <c r="P209" s="2">
        <v>918.55</v>
      </c>
      <c r="Q209" s="2">
        <v>794.12</v>
      </c>
      <c r="R209" s="2">
        <v>838.37</v>
      </c>
      <c r="S209" s="2">
        <v>775.87</v>
      </c>
    </row>
    <row r="210" spans="8:19" x14ac:dyDescent="0.35">
      <c r="H210" s="1" t="s">
        <v>18</v>
      </c>
      <c r="I210" s="2">
        <v>0.36</v>
      </c>
      <c r="J210" s="2">
        <v>0.28000000000000003</v>
      </c>
      <c r="K210" s="2">
        <v>0.35</v>
      </c>
      <c r="L210" s="2">
        <v>0.35</v>
      </c>
      <c r="O210" s="1" t="s">
        <v>18</v>
      </c>
      <c r="P210" s="2">
        <v>115.57</v>
      </c>
      <c r="Q210" s="2">
        <v>163.63</v>
      </c>
      <c r="R210" s="2">
        <v>88.54</v>
      </c>
      <c r="S210" s="2">
        <v>104.1</v>
      </c>
    </row>
    <row r="211" spans="8:19" x14ac:dyDescent="0.35">
      <c r="H211" s="1" t="s">
        <v>19</v>
      </c>
      <c r="I211" s="2">
        <v>0.27</v>
      </c>
      <c r="J211" s="2">
        <v>0.28999999999999998</v>
      </c>
      <c r="K211" s="2">
        <v>0.26</v>
      </c>
      <c r="L211" s="2">
        <v>0.21</v>
      </c>
      <c r="O211" s="1" t="s">
        <v>19</v>
      </c>
      <c r="P211" s="2">
        <v>983.14</v>
      </c>
      <c r="Q211" s="2">
        <v>434.74</v>
      </c>
      <c r="R211" s="2">
        <v>652.99</v>
      </c>
      <c r="S211" s="2">
        <v>350.09</v>
      </c>
    </row>
    <row r="212" spans="8:19" x14ac:dyDescent="0.35">
      <c r="H212" s="1" t="s">
        <v>20</v>
      </c>
      <c r="I212" s="2">
        <v>7.0000000000000007E-2</v>
      </c>
      <c r="J212" s="2">
        <v>0.04</v>
      </c>
      <c r="K212" s="2">
        <v>0</v>
      </c>
      <c r="L212" s="2">
        <v>0.01</v>
      </c>
      <c r="O212" s="1" t="s">
        <v>20</v>
      </c>
      <c r="P212" s="2">
        <v>278.69</v>
      </c>
      <c r="Q212" s="2">
        <v>210.31</v>
      </c>
      <c r="R212" s="2">
        <v>271.63</v>
      </c>
      <c r="S212" s="2">
        <v>204.48</v>
      </c>
    </row>
    <row r="215" spans="8:19" x14ac:dyDescent="0.35">
      <c r="H215" t="s">
        <v>64</v>
      </c>
      <c r="O215" t="s">
        <v>65</v>
      </c>
    </row>
    <row r="216" spans="8:19" x14ac:dyDescent="0.35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5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5">
      <c r="H218" s="1" t="s">
        <v>12</v>
      </c>
      <c r="O218" s="1" t="s">
        <v>12</v>
      </c>
    </row>
    <row r="219" spans="8:19" x14ac:dyDescent="0.35">
      <c r="H219" s="1" t="s">
        <v>13</v>
      </c>
      <c r="I219" s="2">
        <v>0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395.01</v>
      </c>
      <c r="Q219" s="2">
        <v>277.95</v>
      </c>
      <c r="R219" s="2">
        <v>166.53</v>
      </c>
      <c r="S219" s="2">
        <v>184.39</v>
      </c>
    </row>
    <row r="220" spans="8:19" x14ac:dyDescent="0.35">
      <c r="H220" s="1" t="s">
        <v>14</v>
      </c>
      <c r="I220" s="2">
        <v>0.24</v>
      </c>
      <c r="J220" s="2">
        <v>0.19</v>
      </c>
      <c r="K220" s="2">
        <v>0.11</v>
      </c>
      <c r="L220" s="2">
        <v>0.17</v>
      </c>
      <c r="O220" s="1" t="s">
        <v>14</v>
      </c>
      <c r="P220" s="2">
        <v>33.26</v>
      </c>
      <c r="Q220" s="2">
        <v>42.7</v>
      </c>
      <c r="R220" s="2">
        <v>24.15</v>
      </c>
      <c r="S220" s="2">
        <v>32.75</v>
      </c>
    </row>
    <row r="221" spans="8:19" x14ac:dyDescent="0.35">
      <c r="H221" s="1" t="s">
        <v>15</v>
      </c>
      <c r="I221" s="2">
        <v>0.21</v>
      </c>
      <c r="J221" s="2">
        <v>0.25</v>
      </c>
      <c r="K221" s="2">
        <v>0.13</v>
      </c>
      <c r="L221" s="2">
        <v>0.25</v>
      </c>
      <c r="O221" s="1" t="s">
        <v>15</v>
      </c>
      <c r="P221" s="2">
        <v>108.59</v>
      </c>
      <c r="Q221" s="2">
        <v>171.57</v>
      </c>
      <c r="R221" s="2">
        <v>108.54</v>
      </c>
      <c r="S221" s="2">
        <v>618.01</v>
      </c>
    </row>
    <row r="222" spans="8:19" x14ac:dyDescent="0.35">
      <c r="H222" s="1" t="s">
        <v>16</v>
      </c>
      <c r="I222" s="2">
        <v>0.25</v>
      </c>
      <c r="J222" s="2">
        <v>0.22</v>
      </c>
      <c r="K222" s="2">
        <v>0.16</v>
      </c>
      <c r="L222" s="2">
        <v>0.3</v>
      </c>
      <c r="O222" s="1" t="s">
        <v>16</v>
      </c>
      <c r="P222" s="2">
        <v>83.29</v>
      </c>
      <c r="Q222" s="2">
        <v>65.5</v>
      </c>
      <c r="R222" s="2">
        <v>52.82</v>
      </c>
      <c r="S222" s="2">
        <v>89.38</v>
      </c>
    </row>
    <row r="223" spans="8:19" x14ac:dyDescent="0.35">
      <c r="H223" s="1" t="s">
        <v>17</v>
      </c>
      <c r="I223" s="2">
        <v>0.23</v>
      </c>
      <c r="J223" s="2">
        <v>0.22</v>
      </c>
      <c r="K223" s="2">
        <v>0.22</v>
      </c>
      <c r="L223" s="2">
        <v>0.23</v>
      </c>
      <c r="O223" s="1" t="s">
        <v>17</v>
      </c>
      <c r="P223" s="2">
        <v>328.05</v>
      </c>
      <c r="Q223" s="2">
        <v>299.42</v>
      </c>
      <c r="R223" s="2">
        <v>317.64999999999998</v>
      </c>
      <c r="S223" s="2">
        <v>310.35000000000002</v>
      </c>
    </row>
    <row r="224" spans="8:19" x14ac:dyDescent="0.35">
      <c r="H224" s="1" t="s">
        <v>18</v>
      </c>
      <c r="I224" s="2">
        <v>0.26</v>
      </c>
      <c r="J224" s="2">
        <v>0.2</v>
      </c>
      <c r="K224" s="2">
        <v>0.28000000000000003</v>
      </c>
      <c r="L224" s="2">
        <v>0.28000000000000003</v>
      </c>
      <c r="O224" s="1" t="s">
        <v>18</v>
      </c>
      <c r="P224" s="2">
        <v>41.28</v>
      </c>
      <c r="Q224" s="2">
        <v>31.62</v>
      </c>
      <c r="R224" s="2">
        <v>65.45</v>
      </c>
      <c r="S224" s="2">
        <v>41.64</v>
      </c>
    </row>
    <row r="225" spans="8:19" x14ac:dyDescent="0.35">
      <c r="H225" s="1" t="s">
        <v>19</v>
      </c>
      <c r="I225" s="2">
        <v>0.2</v>
      </c>
      <c r="J225" s="2">
        <v>0.23</v>
      </c>
      <c r="K225" s="2">
        <v>0.2</v>
      </c>
      <c r="L225" s="2">
        <v>0.15</v>
      </c>
      <c r="O225" s="1" t="s">
        <v>19</v>
      </c>
      <c r="P225" s="2">
        <v>351.12</v>
      </c>
      <c r="Q225" s="2">
        <v>233.21</v>
      </c>
      <c r="R225" s="2">
        <v>173.9</v>
      </c>
      <c r="S225" s="2">
        <v>140.04</v>
      </c>
    </row>
    <row r="226" spans="8:19" x14ac:dyDescent="0.35">
      <c r="H226" s="1" t="s">
        <v>20</v>
      </c>
      <c r="I226" s="2">
        <v>0.05</v>
      </c>
      <c r="J226" s="2">
        <v>0.03</v>
      </c>
      <c r="K226" s="2">
        <v>0</v>
      </c>
      <c r="L226" s="2">
        <v>0.01</v>
      </c>
      <c r="O226" s="1" t="s">
        <v>20</v>
      </c>
      <c r="P226" s="2">
        <v>99.53</v>
      </c>
      <c r="Q226" s="2">
        <v>97.01</v>
      </c>
      <c r="R226" s="2">
        <v>84.12</v>
      </c>
      <c r="S226" s="2">
        <v>81.790000000000006</v>
      </c>
    </row>
    <row r="229" spans="8:19" x14ac:dyDescent="0.35">
      <c r="H229" t="s">
        <v>66</v>
      </c>
    </row>
    <row r="230" spans="8:19" x14ac:dyDescent="0.35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5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5">
      <c r="H232" s="1" t="s">
        <v>12</v>
      </c>
    </row>
    <row r="233" spans="8:19" x14ac:dyDescent="0.35">
      <c r="H233" s="1" t="s">
        <v>13</v>
      </c>
      <c r="I233" s="2">
        <v>0.99</v>
      </c>
      <c r="J233" s="2">
        <v>0</v>
      </c>
      <c r="K233" s="2">
        <v>0</v>
      </c>
      <c r="L233" s="2">
        <v>0</v>
      </c>
    </row>
    <row r="234" spans="8:19" x14ac:dyDescent="0.35">
      <c r="H234" s="1" t="s">
        <v>14</v>
      </c>
      <c r="I234" s="2">
        <v>0.43</v>
      </c>
      <c r="J234" s="2">
        <v>0.53</v>
      </c>
      <c r="K234" s="2">
        <v>0.74</v>
      </c>
      <c r="L234" s="2">
        <v>0.6</v>
      </c>
    </row>
    <row r="235" spans="8:19" x14ac:dyDescent="0.35">
      <c r="H235" s="1" t="s">
        <v>15</v>
      </c>
      <c r="I235" s="2">
        <v>0.5</v>
      </c>
      <c r="J235" s="2">
        <v>0.41</v>
      </c>
      <c r="K235" s="2">
        <v>0.69</v>
      </c>
      <c r="L235" s="2">
        <v>0.43</v>
      </c>
    </row>
    <row r="236" spans="8:19" x14ac:dyDescent="0.35">
      <c r="H236" s="1" t="s">
        <v>16</v>
      </c>
      <c r="I236" s="2">
        <v>0.41</v>
      </c>
      <c r="J236" s="2">
        <v>0.46</v>
      </c>
      <c r="K236" s="2">
        <v>0.61</v>
      </c>
      <c r="L236" s="2">
        <v>0.33</v>
      </c>
    </row>
    <row r="237" spans="8:19" x14ac:dyDescent="0.35">
      <c r="H237" s="1" t="s">
        <v>17</v>
      </c>
      <c r="I237" s="2">
        <v>0.46</v>
      </c>
      <c r="J237" s="2">
        <v>0.47</v>
      </c>
      <c r="K237" s="2">
        <v>0.47</v>
      </c>
      <c r="L237" s="2">
        <v>0.45</v>
      </c>
    </row>
    <row r="238" spans="8:19" x14ac:dyDescent="0.35">
      <c r="H238" s="1" t="s">
        <v>18</v>
      </c>
      <c r="I238" s="2">
        <v>0.38</v>
      </c>
      <c r="J238" s="2">
        <v>0.52</v>
      </c>
      <c r="K238" s="2">
        <v>0.37</v>
      </c>
      <c r="L238" s="2">
        <v>0.37</v>
      </c>
    </row>
    <row r="239" spans="8:19" x14ac:dyDescent="0.35">
      <c r="H239" s="1" t="s">
        <v>19</v>
      </c>
      <c r="I239" s="2">
        <v>0.54</v>
      </c>
      <c r="J239" s="2">
        <v>0.49</v>
      </c>
      <c r="K239" s="2">
        <v>0.55000000000000004</v>
      </c>
      <c r="L239" s="2">
        <v>0.64</v>
      </c>
    </row>
    <row r="240" spans="8:19" x14ac:dyDescent="0.35">
      <c r="H240" s="1" t="s">
        <v>20</v>
      </c>
      <c r="I240" s="2">
        <v>0.88</v>
      </c>
      <c r="J240" s="2">
        <v>0.93</v>
      </c>
      <c r="K240" s="2">
        <v>0.99</v>
      </c>
      <c r="L240" s="2">
        <v>0.99</v>
      </c>
    </row>
  </sheetData>
  <mergeCells count="18">
    <mergeCell ref="I90:J90"/>
    <mergeCell ref="I174:J174"/>
    <mergeCell ref="P90:Q90"/>
    <mergeCell ref="P174:Q174"/>
    <mergeCell ref="I118:J118"/>
    <mergeCell ref="I146:J146"/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</mergeCells>
  <conditionalFormatting sqref="C9:F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F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:Z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:Z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1:Z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40"/>
  <sheetViews>
    <sheetView tabSelected="1" topLeftCell="S1" workbookViewId="0">
      <selection activeCell="D44" sqref="D44"/>
    </sheetView>
  </sheetViews>
  <sheetFormatPr defaultRowHeight="14.5" x14ac:dyDescent="0.35"/>
  <cols>
    <col min="3" max="6" width="11.81640625" bestFit="1" customWidth="1"/>
  </cols>
  <sheetData>
    <row r="1" spans="2:26" x14ac:dyDescent="0.35">
      <c r="B1" t="s">
        <v>0</v>
      </c>
    </row>
    <row r="2" spans="2:26" x14ac:dyDescent="0.35">
      <c r="C2" s="1" t="s">
        <v>1</v>
      </c>
      <c r="D2" s="1" t="s">
        <v>2</v>
      </c>
    </row>
    <row r="3" spans="2:26" x14ac:dyDescent="0.35">
      <c r="B3" s="1" t="s">
        <v>3</v>
      </c>
      <c r="C3">
        <v>2.8</v>
      </c>
      <c r="D3">
        <v>2.5</v>
      </c>
    </row>
    <row r="5" spans="2:26" x14ac:dyDescent="0.35">
      <c r="B5" t="s">
        <v>4</v>
      </c>
      <c r="H5" t="s">
        <v>5</v>
      </c>
      <c r="O5" t="s">
        <v>6</v>
      </c>
      <c r="V5" t="s">
        <v>7</v>
      </c>
    </row>
    <row r="6" spans="2:26" x14ac:dyDescent="0.35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5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5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5">
      <c r="B9" s="1" t="s">
        <v>13</v>
      </c>
      <c r="C9" s="2">
        <v>0.77</v>
      </c>
      <c r="D9" s="2">
        <v>0.77</v>
      </c>
      <c r="E9" s="2">
        <v>0.77</v>
      </c>
      <c r="F9" s="2">
        <v>0.77</v>
      </c>
      <c r="H9" s="1" t="s">
        <v>13</v>
      </c>
      <c r="I9" s="2">
        <v>9114.48</v>
      </c>
      <c r="J9" s="2">
        <v>7354.89</v>
      </c>
      <c r="K9" s="2">
        <v>6992.64</v>
      </c>
      <c r="L9" s="2">
        <v>5606.12</v>
      </c>
      <c r="O9" s="1" t="s">
        <v>13</v>
      </c>
      <c r="P9" s="2">
        <v>82622.53</v>
      </c>
      <c r="Q9" s="2">
        <v>67294.55</v>
      </c>
      <c r="R9" s="2">
        <v>63387.64</v>
      </c>
      <c r="S9" s="2">
        <v>51331.88</v>
      </c>
      <c r="V9" s="1" t="s">
        <v>13</v>
      </c>
      <c r="W9" s="2">
        <v>91737.02</v>
      </c>
      <c r="X9" s="2">
        <v>74649.440000000002</v>
      </c>
      <c r="Y9" s="2">
        <v>70380.27</v>
      </c>
      <c r="Z9" s="2">
        <v>56938</v>
      </c>
    </row>
    <row r="10" spans="2:26" x14ac:dyDescent="0.35">
      <c r="B10" s="1" t="s">
        <v>14</v>
      </c>
      <c r="C10" s="2">
        <v>2.57</v>
      </c>
      <c r="D10" s="2">
        <v>2.57</v>
      </c>
      <c r="E10" s="2">
        <v>2.5</v>
      </c>
      <c r="F10" s="2">
        <v>2.57</v>
      </c>
      <c r="H10" s="1" t="s">
        <v>14</v>
      </c>
      <c r="I10" s="2">
        <v>6139.58</v>
      </c>
      <c r="J10" s="2">
        <v>5218</v>
      </c>
      <c r="K10" s="2">
        <v>3778.29</v>
      </c>
      <c r="L10" s="2">
        <v>3084.55</v>
      </c>
      <c r="O10" s="1" t="s">
        <v>14</v>
      </c>
      <c r="P10" s="2">
        <v>25601.22</v>
      </c>
      <c r="Q10" s="2">
        <v>19616.86</v>
      </c>
      <c r="R10" s="2">
        <v>25109.79</v>
      </c>
      <c r="S10" s="2">
        <v>9681.6299999999992</v>
      </c>
      <c r="V10" s="1" t="s">
        <v>14</v>
      </c>
      <c r="W10" s="2">
        <v>31740.799999999999</v>
      </c>
      <c r="X10" s="2">
        <v>24834.86</v>
      </c>
      <c r="Y10" s="2">
        <v>28888.080000000002</v>
      </c>
      <c r="Z10" s="2">
        <v>12766.18</v>
      </c>
    </row>
    <row r="11" spans="2:26" x14ac:dyDescent="0.35">
      <c r="B11" s="1" t="s">
        <v>15</v>
      </c>
      <c r="C11" s="2">
        <v>7.72</v>
      </c>
      <c r="D11" s="2">
        <v>7.73</v>
      </c>
      <c r="E11" s="2">
        <v>5.15</v>
      </c>
      <c r="F11" s="2">
        <v>7.72</v>
      </c>
      <c r="H11" s="1" t="s">
        <v>15</v>
      </c>
      <c r="I11" s="2">
        <v>16364.73</v>
      </c>
      <c r="J11" s="2">
        <v>20604.84</v>
      </c>
      <c r="K11" s="2">
        <v>12730.53</v>
      </c>
      <c r="L11" s="2">
        <v>13938.62</v>
      </c>
      <c r="O11" s="1" t="s">
        <v>15</v>
      </c>
      <c r="P11" s="2">
        <v>63885.72</v>
      </c>
      <c r="Q11" s="2">
        <v>73475.16</v>
      </c>
      <c r="R11" s="2">
        <v>87149.15</v>
      </c>
      <c r="S11" s="2">
        <v>45731.35</v>
      </c>
      <c r="V11" s="1" t="s">
        <v>15</v>
      </c>
      <c r="W11" s="2">
        <v>80250.45</v>
      </c>
      <c r="X11" s="2">
        <v>94080</v>
      </c>
      <c r="Y11" s="2">
        <v>99879.679999999993</v>
      </c>
      <c r="Z11" s="2">
        <v>59669.98</v>
      </c>
    </row>
    <row r="12" spans="2:26" x14ac:dyDescent="0.35">
      <c r="B12" s="1" t="s">
        <v>16</v>
      </c>
      <c r="C12" s="2">
        <v>2.57</v>
      </c>
      <c r="D12" s="2">
        <v>2.57</v>
      </c>
      <c r="E12" s="2">
        <v>4.7699999999999996</v>
      </c>
      <c r="F12" s="2">
        <v>5.15</v>
      </c>
      <c r="H12" s="1" t="s">
        <v>16</v>
      </c>
      <c r="I12" s="2">
        <v>5698.66</v>
      </c>
      <c r="J12" s="2">
        <v>5596.92</v>
      </c>
      <c r="K12" s="2">
        <v>3679.5</v>
      </c>
      <c r="L12" s="2">
        <v>4728.26</v>
      </c>
      <c r="O12" s="1" t="s">
        <v>16</v>
      </c>
      <c r="P12" s="2">
        <v>18150.62</v>
      </c>
      <c r="Q12" s="2">
        <v>17316.97</v>
      </c>
      <c r="R12" s="2">
        <v>27381.200000000001</v>
      </c>
      <c r="S12" s="2">
        <v>23358.19</v>
      </c>
      <c r="V12" s="1" t="s">
        <v>16</v>
      </c>
      <c r="W12" s="2">
        <v>23849.279999999999</v>
      </c>
      <c r="X12" s="2">
        <v>22913.89</v>
      </c>
      <c r="Y12" s="2">
        <v>31060.7</v>
      </c>
      <c r="Z12" s="2">
        <v>28086.45</v>
      </c>
    </row>
    <row r="13" spans="2:26" x14ac:dyDescent="0.35">
      <c r="B13" s="1" t="s">
        <v>17</v>
      </c>
      <c r="C13" s="2">
        <v>2.57</v>
      </c>
      <c r="D13" s="2">
        <v>2.57</v>
      </c>
      <c r="E13" s="2">
        <v>2.57</v>
      </c>
      <c r="F13" s="2">
        <v>2.57</v>
      </c>
      <c r="H13" s="1" t="s">
        <v>17</v>
      </c>
      <c r="I13" s="2">
        <v>27698.73</v>
      </c>
      <c r="J13" s="2">
        <v>27411.53</v>
      </c>
      <c r="K13" s="2">
        <v>26561.57</v>
      </c>
      <c r="L13" s="2">
        <v>25461.38</v>
      </c>
      <c r="O13" s="1" t="s">
        <v>17</v>
      </c>
      <c r="P13" s="2">
        <v>98861.27</v>
      </c>
      <c r="Q13" s="2">
        <v>95504.88</v>
      </c>
      <c r="R13" s="2">
        <v>99102</v>
      </c>
      <c r="S13" s="2">
        <v>90812.160000000003</v>
      </c>
      <c r="V13" s="1" t="s">
        <v>17</v>
      </c>
      <c r="W13" s="2">
        <v>126560</v>
      </c>
      <c r="X13" s="2">
        <v>122916.4</v>
      </c>
      <c r="Y13" s="2">
        <v>125663.57</v>
      </c>
      <c r="Z13" s="2">
        <v>116273.55</v>
      </c>
    </row>
    <row r="14" spans="2:26" x14ac:dyDescent="0.35">
      <c r="B14" s="1" t="s">
        <v>18</v>
      </c>
      <c r="C14" s="2">
        <v>5.15</v>
      </c>
      <c r="D14" s="2">
        <v>2.57</v>
      </c>
      <c r="E14" s="2">
        <v>5.37</v>
      </c>
      <c r="F14" s="2">
        <v>5.37</v>
      </c>
      <c r="H14" s="1" t="s">
        <v>18</v>
      </c>
      <c r="I14" s="2">
        <v>4851.99</v>
      </c>
      <c r="J14" s="2">
        <v>4527.17</v>
      </c>
      <c r="K14" s="2">
        <v>5015.97</v>
      </c>
      <c r="L14" s="2">
        <v>5233.5200000000004</v>
      </c>
      <c r="O14" s="1" t="s">
        <v>18</v>
      </c>
      <c r="P14" s="2">
        <v>21580.01</v>
      </c>
      <c r="Q14" s="2">
        <v>11363.65</v>
      </c>
      <c r="R14" s="2">
        <v>24484.03</v>
      </c>
      <c r="S14" s="2">
        <v>25061.89</v>
      </c>
      <c r="V14" s="1" t="s">
        <v>18</v>
      </c>
      <c r="W14" s="2">
        <v>26432</v>
      </c>
      <c r="X14" s="2">
        <v>15890.82</v>
      </c>
      <c r="Y14" s="2">
        <v>29500</v>
      </c>
      <c r="Z14" s="2">
        <v>30295.42</v>
      </c>
    </row>
    <row r="15" spans="2:26" x14ac:dyDescent="0.35">
      <c r="B15" s="1" t="s">
        <v>19</v>
      </c>
      <c r="C15" s="2">
        <v>7.72</v>
      </c>
      <c r="D15" s="2">
        <v>7.72</v>
      </c>
      <c r="E15" s="2">
        <v>7.73</v>
      </c>
      <c r="F15" s="2">
        <v>5.39</v>
      </c>
      <c r="H15" s="1" t="s">
        <v>19</v>
      </c>
      <c r="I15" s="2">
        <v>14447.52</v>
      </c>
      <c r="J15" s="2">
        <v>17328.21</v>
      </c>
      <c r="K15" s="2">
        <v>13965.38</v>
      </c>
      <c r="L15" s="2">
        <v>14003.69</v>
      </c>
      <c r="O15" s="1" t="s">
        <v>19</v>
      </c>
      <c r="P15" s="2">
        <v>43108.71</v>
      </c>
      <c r="Q15" s="2">
        <v>53578.95</v>
      </c>
      <c r="R15" s="2">
        <v>66165.179999999993</v>
      </c>
      <c r="S15" s="2">
        <v>70125.91</v>
      </c>
      <c r="V15" s="1" t="s">
        <v>19</v>
      </c>
      <c r="W15" s="2">
        <v>57556.22</v>
      </c>
      <c r="X15" s="2">
        <v>70907.17</v>
      </c>
      <c r="Y15" s="2">
        <v>80130.559999999998</v>
      </c>
      <c r="Z15" s="2">
        <v>84129.600000000006</v>
      </c>
    </row>
    <row r="16" spans="2:26" x14ac:dyDescent="0.35">
      <c r="B16" s="1" t="s">
        <v>20</v>
      </c>
      <c r="C16" s="2">
        <v>2.2999999999999998</v>
      </c>
      <c r="D16" s="2">
        <v>1.33</v>
      </c>
      <c r="E16" s="2">
        <v>0.64</v>
      </c>
      <c r="F16" s="2">
        <v>0.57999999999999996</v>
      </c>
      <c r="H16" s="1" t="s">
        <v>20</v>
      </c>
      <c r="I16" s="2">
        <v>7682.1</v>
      </c>
      <c r="J16" s="2">
        <v>9041.61</v>
      </c>
      <c r="K16" s="2">
        <v>5786.33</v>
      </c>
      <c r="L16" s="2">
        <v>6905.78</v>
      </c>
      <c r="O16" s="1" t="s">
        <v>20</v>
      </c>
      <c r="P16" s="2">
        <v>46869.18</v>
      </c>
      <c r="Q16" s="2">
        <v>50268.14</v>
      </c>
      <c r="R16" s="2">
        <v>35392.61</v>
      </c>
      <c r="S16" s="2">
        <v>37981.72</v>
      </c>
      <c r="V16" s="1" t="s">
        <v>20</v>
      </c>
      <c r="W16" s="2">
        <v>54551.28</v>
      </c>
      <c r="X16" s="2">
        <v>59309.75</v>
      </c>
      <c r="Y16" s="2">
        <v>41178.94</v>
      </c>
      <c r="Z16" s="2">
        <v>44887.5</v>
      </c>
    </row>
    <row r="19" spans="2:26" x14ac:dyDescent="0.35">
      <c r="B19" t="s">
        <v>21</v>
      </c>
      <c r="H19" t="s">
        <v>22</v>
      </c>
      <c r="O19" t="s">
        <v>23</v>
      </c>
      <c r="V19" t="s">
        <v>24</v>
      </c>
    </row>
    <row r="20" spans="2:26" x14ac:dyDescent="0.35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5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5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5">
      <c r="B23" s="1" t="s">
        <v>13</v>
      </c>
      <c r="C23" s="2">
        <v>0.1</v>
      </c>
      <c r="D23" s="2">
        <v>0.1</v>
      </c>
      <c r="E23" s="2">
        <v>0.1</v>
      </c>
      <c r="F23" s="2">
        <v>0.1</v>
      </c>
      <c r="H23" s="1" t="s">
        <v>13</v>
      </c>
      <c r="I23" s="2">
        <v>3255.17</v>
      </c>
      <c r="J23" s="2">
        <v>2626.75</v>
      </c>
      <c r="K23" s="2">
        <v>2797.05</v>
      </c>
      <c r="L23" s="2">
        <v>2242.4499999999998</v>
      </c>
      <c r="O23" s="1" t="s">
        <v>13</v>
      </c>
      <c r="P23" s="2">
        <v>29508.05</v>
      </c>
      <c r="Q23" s="2">
        <v>24033.77</v>
      </c>
      <c r="R23" s="2">
        <v>25355.06</v>
      </c>
      <c r="S23" s="2">
        <v>20532.75</v>
      </c>
      <c r="V23" s="1" t="s">
        <v>13</v>
      </c>
      <c r="W23" s="2">
        <v>32763.22</v>
      </c>
      <c r="X23" s="2">
        <v>26660.52</v>
      </c>
      <c r="Y23" s="2">
        <v>28152.11</v>
      </c>
      <c r="Z23" s="2">
        <v>22775.200000000001</v>
      </c>
    </row>
    <row r="24" spans="2:26" x14ac:dyDescent="0.35">
      <c r="B24" s="1" t="s">
        <v>14</v>
      </c>
      <c r="C24" s="2">
        <v>0.22</v>
      </c>
      <c r="D24" s="2">
        <v>0.25</v>
      </c>
      <c r="E24" s="2">
        <v>0.15</v>
      </c>
      <c r="F24" s="2">
        <v>0.28999999999999998</v>
      </c>
      <c r="H24" s="1" t="s">
        <v>14</v>
      </c>
      <c r="I24" s="2">
        <v>2192.71</v>
      </c>
      <c r="J24" s="2">
        <v>1863.57</v>
      </c>
      <c r="K24" s="2">
        <v>1511.32</v>
      </c>
      <c r="L24" s="2">
        <v>1233.82</v>
      </c>
      <c r="O24" s="1" t="s">
        <v>14</v>
      </c>
      <c r="P24" s="2">
        <v>9143.2900000000009</v>
      </c>
      <c r="Q24" s="2">
        <v>7006.02</v>
      </c>
      <c r="R24" s="2">
        <v>10043.91</v>
      </c>
      <c r="S24" s="2">
        <v>3872.65</v>
      </c>
      <c r="V24" s="1" t="s">
        <v>14</v>
      </c>
      <c r="W24" s="2">
        <v>11336</v>
      </c>
      <c r="X24" s="2">
        <v>8869.59</v>
      </c>
      <c r="Y24" s="2">
        <v>11555.23</v>
      </c>
      <c r="Z24" s="2">
        <v>5106.47</v>
      </c>
    </row>
    <row r="25" spans="2:26" x14ac:dyDescent="0.35">
      <c r="B25" s="1" t="s">
        <v>15</v>
      </c>
      <c r="C25" s="2">
        <v>0.24</v>
      </c>
      <c r="D25" s="2">
        <v>0.26</v>
      </c>
      <c r="E25" s="2">
        <v>0.15</v>
      </c>
      <c r="F25" s="2">
        <v>0.28999999999999998</v>
      </c>
      <c r="H25" s="1" t="s">
        <v>15</v>
      </c>
      <c r="I25" s="2">
        <v>5844.55</v>
      </c>
      <c r="J25" s="2">
        <v>7358.87</v>
      </c>
      <c r="K25" s="2">
        <v>5092.21</v>
      </c>
      <c r="L25" s="2">
        <v>5575.45</v>
      </c>
      <c r="O25" s="1" t="s">
        <v>15</v>
      </c>
      <c r="P25" s="2">
        <v>22816.33</v>
      </c>
      <c r="Q25" s="2">
        <v>26241.13</v>
      </c>
      <c r="R25" s="2">
        <v>34859.660000000003</v>
      </c>
      <c r="S25" s="2">
        <v>18292.54</v>
      </c>
      <c r="V25" s="1" t="s">
        <v>15</v>
      </c>
      <c r="W25" s="2">
        <v>28660.880000000001</v>
      </c>
      <c r="X25" s="2">
        <v>33600</v>
      </c>
      <c r="Y25" s="2">
        <v>39951.870000000003</v>
      </c>
      <c r="Z25" s="2">
        <v>23867.99</v>
      </c>
    </row>
    <row r="26" spans="2:26" x14ac:dyDescent="0.35">
      <c r="B26" s="1" t="s">
        <v>16</v>
      </c>
      <c r="C26" s="2">
        <v>0.3</v>
      </c>
      <c r="D26" s="2">
        <v>0.3</v>
      </c>
      <c r="E26" s="2">
        <v>0.15</v>
      </c>
      <c r="F26" s="2">
        <v>0.21</v>
      </c>
      <c r="H26" s="1" t="s">
        <v>16</v>
      </c>
      <c r="I26" s="2">
        <v>2035.24</v>
      </c>
      <c r="J26" s="2">
        <v>1998.9</v>
      </c>
      <c r="K26" s="2">
        <v>1471.8</v>
      </c>
      <c r="L26" s="2">
        <v>1891.31</v>
      </c>
      <c r="O26" s="1" t="s">
        <v>16</v>
      </c>
      <c r="P26" s="2">
        <v>6482.36</v>
      </c>
      <c r="Q26" s="2">
        <v>6184.63</v>
      </c>
      <c r="R26" s="2">
        <v>10952.48</v>
      </c>
      <c r="S26" s="2">
        <v>9343.27</v>
      </c>
      <c r="V26" s="1" t="s">
        <v>16</v>
      </c>
      <c r="W26" s="2">
        <v>8517.6</v>
      </c>
      <c r="X26" s="2">
        <v>8183.53</v>
      </c>
      <c r="Y26" s="2">
        <v>12424.28</v>
      </c>
      <c r="Z26" s="2">
        <v>11234.58</v>
      </c>
    </row>
    <row r="27" spans="2:26" x14ac:dyDescent="0.35">
      <c r="B27" s="1" t="s">
        <v>17</v>
      </c>
      <c r="C27" s="2">
        <v>0.27</v>
      </c>
      <c r="D27" s="2">
        <v>0.27</v>
      </c>
      <c r="E27" s="2">
        <v>0.26</v>
      </c>
      <c r="F27" s="2">
        <v>0.27</v>
      </c>
      <c r="H27" s="1" t="s">
        <v>17</v>
      </c>
      <c r="I27" s="2">
        <v>9892.4</v>
      </c>
      <c r="J27" s="2">
        <v>9789.83</v>
      </c>
      <c r="K27" s="2">
        <v>10624.63</v>
      </c>
      <c r="L27" s="2">
        <v>10184.549999999999</v>
      </c>
      <c r="O27" s="1" t="s">
        <v>17</v>
      </c>
      <c r="P27" s="2">
        <v>35307.599999999999</v>
      </c>
      <c r="Q27" s="2">
        <v>34108.879999999997</v>
      </c>
      <c r="R27" s="2">
        <v>39640.800000000003</v>
      </c>
      <c r="S27" s="2">
        <v>36324.86</v>
      </c>
      <c r="V27" s="1" t="s">
        <v>17</v>
      </c>
      <c r="W27" s="2">
        <v>45200</v>
      </c>
      <c r="X27" s="2">
        <v>43898.71</v>
      </c>
      <c r="Y27" s="2">
        <v>50265.43</v>
      </c>
      <c r="Z27" s="2">
        <v>46509.42</v>
      </c>
    </row>
    <row r="28" spans="2:26" x14ac:dyDescent="0.35">
      <c r="B28" s="1" t="s">
        <v>18</v>
      </c>
      <c r="C28" s="2">
        <v>0.23</v>
      </c>
      <c r="D28" s="2">
        <v>0.33</v>
      </c>
      <c r="E28" s="2">
        <v>0.22</v>
      </c>
      <c r="F28" s="2">
        <v>0.2</v>
      </c>
      <c r="H28" s="1" t="s">
        <v>18</v>
      </c>
      <c r="I28" s="2">
        <v>1732.85</v>
      </c>
      <c r="J28" s="2">
        <v>1616.85</v>
      </c>
      <c r="K28" s="2">
        <v>2006.39</v>
      </c>
      <c r="L28" s="2">
        <v>2093.41</v>
      </c>
      <c r="O28" s="1" t="s">
        <v>18</v>
      </c>
      <c r="P28" s="2">
        <v>7707.15</v>
      </c>
      <c r="Q28" s="2">
        <v>4058.45</v>
      </c>
      <c r="R28" s="2">
        <v>9793.61</v>
      </c>
      <c r="S28" s="2">
        <v>10024.76</v>
      </c>
      <c r="V28" s="1" t="s">
        <v>18</v>
      </c>
      <c r="W28" s="2">
        <v>9440</v>
      </c>
      <c r="X28" s="2">
        <v>5675.29</v>
      </c>
      <c r="Y28" s="2">
        <v>11800</v>
      </c>
      <c r="Z28" s="2">
        <v>12118.17</v>
      </c>
    </row>
    <row r="29" spans="2:26" x14ac:dyDescent="0.35">
      <c r="B29" s="1" t="s">
        <v>19</v>
      </c>
      <c r="C29" s="2">
        <v>0.31</v>
      </c>
      <c r="D29" s="2">
        <v>0.3</v>
      </c>
      <c r="E29" s="2">
        <v>0.22</v>
      </c>
      <c r="F29" s="2">
        <v>0.21</v>
      </c>
      <c r="H29" s="1" t="s">
        <v>19</v>
      </c>
      <c r="I29" s="2">
        <v>5159.83</v>
      </c>
      <c r="J29" s="2">
        <v>6188.65</v>
      </c>
      <c r="K29" s="2">
        <v>5586.15</v>
      </c>
      <c r="L29" s="2">
        <v>5601.48</v>
      </c>
      <c r="O29" s="1" t="s">
        <v>19</v>
      </c>
      <c r="P29" s="2">
        <v>15395.97</v>
      </c>
      <c r="Q29" s="2">
        <v>19135.34</v>
      </c>
      <c r="R29" s="2">
        <v>26466.07</v>
      </c>
      <c r="S29" s="2">
        <v>28050.36</v>
      </c>
      <c r="V29" s="1" t="s">
        <v>19</v>
      </c>
      <c r="W29" s="2">
        <v>20555.79</v>
      </c>
      <c r="X29" s="2">
        <v>25323.99</v>
      </c>
      <c r="Y29" s="2">
        <v>32052.22</v>
      </c>
      <c r="Z29" s="2">
        <v>33651.839999999997</v>
      </c>
    </row>
    <row r="30" spans="2:26" x14ac:dyDescent="0.35">
      <c r="B30" s="1" t="s">
        <v>20</v>
      </c>
      <c r="C30" s="2">
        <v>0.2</v>
      </c>
      <c r="D30" s="2">
        <v>0.2</v>
      </c>
      <c r="E30" s="2">
        <v>0.2</v>
      </c>
      <c r="F30" s="2">
        <v>0.2</v>
      </c>
      <c r="H30" s="1" t="s">
        <v>20</v>
      </c>
      <c r="I30" s="2">
        <v>2743.61</v>
      </c>
      <c r="J30" s="2">
        <v>3229.15</v>
      </c>
      <c r="K30" s="2">
        <v>2314.5300000000002</v>
      </c>
      <c r="L30" s="2">
        <v>2762.31</v>
      </c>
      <c r="O30" s="1" t="s">
        <v>20</v>
      </c>
      <c r="P30" s="2">
        <v>16738.990000000002</v>
      </c>
      <c r="Q30" s="2">
        <v>17952.91</v>
      </c>
      <c r="R30" s="2">
        <v>14157.04</v>
      </c>
      <c r="S30" s="2">
        <v>15192.69</v>
      </c>
      <c r="V30" s="1" t="s">
        <v>20</v>
      </c>
      <c r="W30" s="2">
        <v>19482.599999999999</v>
      </c>
      <c r="X30" s="2">
        <v>21182.06</v>
      </c>
      <c r="Y30" s="2">
        <v>16471.580000000002</v>
      </c>
      <c r="Z30" s="2">
        <v>17955</v>
      </c>
    </row>
    <row r="33" spans="2:26" x14ac:dyDescent="0.35">
      <c r="B33" t="s">
        <v>25</v>
      </c>
      <c r="H33" t="s">
        <v>26</v>
      </c>
      <c r="O33" t="s">
        <v>27</v>
      </c>
      <c r="V33" t="s">
        <v>28</v>
      </c>
    </row>
    <row r="34" spans="2:26" x14ac:dyDescent="0.35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5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5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5">
      <c r="B37" s="1" t="s">
        <v>13</v>
      </c>
      <c r="C37" s="2">
        <v>7040.94</v>
      </c>
      <c r="D37" s="2">
        <v>5681.65</v>
      </c>
      <c r="E37" s="2">
        <v>5401.81</v>
      </c>
      <c r="F37" s="2">
        <v>4330.7299999999996</v>
      </c>
      <c r="H37" s="1" t="s">
        <v>13</v>
      </c>
      <c r="I37" s="2">
        <v>465.02</v>
      </c>
      <c r="J37" s="2">
        <v>375.25</v>
      </c>
      <c r="K37" s="2">
        <v>399.58</v>
      </c>
      <c r="L37" s="2">
        <v>320.35000000000002</v>
      </c>
      <c r="O37" s="1" t="s">
        <v>13</v>
      </c>
      <c r="P37" s="2">
        <v>4215.4399999999996</v>
      </c>
      <c r="Q37" s="2">
        <v>3433.4</v>
      </c>
      <c r="R37" s="2">
        <v>3622.15</v>
      </c>
      <c r="S37" s="2">
        <v>2933.25</v>
      </c>
      <c r="V37" s="1" t="s">
        <v>13</v>
      </c>
      <c r="W37" s="2">
        <v>4680.46</v>
      </c>
      <c r="X37" s="2">
        <v>3808.64</v>
      </c>
      <c r="Y37" s="2">
        <v>4021.73</v>
      </c>
      <c r="Z37" s="2">
        <v>3253.6</v>
      </c>
    </row>
    <row r="38" spans="2:26" x14ac:dyDescent="0.35">
      <c r="B38" s="1" t="s">
        <v>14</v>
      </c>
      <c r="C38" s="2">
        <v>15809.41</v>
      </c>
      <c r="D38" s="2">
        <v>13436.35</v>
      </c>
      <c r="E38" s="2">
        <v>9457.52</v>
      </c>
      <c r="F38" s="2">
        <v>7942.72</v>
      </c>
      <c r="H38" s="1" t="s">
        <v>14</v>
      </c>
      <c r="I38" s="2">
        <v>2192.71</v>
      </c>
      <c r="J38" s="2">
        <v>1863.57</v>
      </c>
      <c r="K38" s="2">
        <v>1511.32</v>
      </c>
      <c r="L38" s="2">
        <v>1233.82</v>
      </c>
      <c r="O38" s="1" t="s">
        <v>14</v>
      </c>
      <c r="P38" s="2">
        <v>9143.2900000000009</v>
      </c>
      <c r="Q38" s="2">
        <v>7006.02</v>
      </c>
      <c r="R38" s="2">
        <v>10043.91</v>
      </c>
      <c r="S38" s="2">
        <v>3872.65</v>
      </c>
      <c r="V38" s="1" t="s">
        <v>14</v>
      </c>
      <c r="W38" s="2">
        <v>11336</v>
      </c>
      <c r="X38" s="2">
        <v>8869.59</v>
      </c>
      <c r="Y38" s="2">
        <v>11555.23</v>
      </c>
      <c r="Z38" s="2">
        <v>5106.47</v>
      </c>
    </row>
    <row r="39" spans="2:26" x14ac:dyDescent="0.35">
      <c r="B39" s="1" t="s">
        <v>15</v>
      </c>
      <c r="C39" s="2">
        <v>126417.54</v>
      </c>
      <c r="D39" s="2">
        <v>159172.41</v>
      </c>
      <c r="E39" s="2">
        <v>65562.22</v>
      </c>
      <c r="F39" s="2">
        <v>107675.86</v>
      </c>
      <c r="H39" s="1" t="s">
        <v>15</v>
      </c>
      <c r="I39" s="2">
        <v>1948.18</v>
      </c>
      <c r="J39" s="2">
        <v>2452.96</v>
      </c>
      <c r="K39" s="2">
        <v>1697.4</v>
      </c>
      <c r="L39" s="2">
        <v>1858.48</v>
      </c>
      <c r="O39" s="1" t="s">
        <v>15</v>
      </c>
      <c r="P39" s="2">
        <v>7605.44</v>
      </c>
      <c r="Q39" s="2">
        <v>8747.0400000000009</v>
      </c>
      <c r="R39" s="2">
        <v>11619.89</v>
      </c>
      <c r="S39" s="2">
        <v>6097.51</v>
      </c>
      <c r="V39" s="1" t="s">
        <v>15</v>
      </c>
      <c r="W39" s="2">
        <v>9553.6200000000008</v>
      </c>
      <c r="X39" s="2">
        <v>11200</v>
      </c>
      <c r="Y39" s="2">
        <v>13317.29</v>
      </c>
      <c r="Z39" s="2">
        <v>7956</v>
      </c>
    </row>
    <row r="40" spans="2:26" x14ac:dyDescent="0.35">
      <c r="B40" s="1" t="s">
        <v>16</v>
      </c>
      <c r="C40" s="2">
        <v>14674.05</v>
      </c>
      <c r="D40" s="2">
        <v>14412.07</v>
      </c>
      <c r="E40" s="2">
        <v>17550.560000000001</v>
      </c>
      <c r="F40" s="2">
        <v>24350.560000000001</v>
      </c>
      <c r="H40" s="1" t="s">
        <v>16</v>
      </c>
      <c r="I40" s="2">
        <v>2035.24</v>
      </c>
      <c r="J40" s="2">
        <v>1998.9</v>
      </c>
      <c r="K40" s="2">
        <v>1471.8</v>
      </c>
      <c r="L40" s="2">
        <v>1891.31</v>
      </c>
      <c r="O40" s="1" t="s">
        <v>16</v>
      </c>
      <c r="P40" s="2">
        <v>6482.36</v>
      </c>
      <c r="Q40" s="2">
        <v>6184.63</v>
      </c>
      <c r="R40" s="2">
        <v>10952.48</v>
      </c>
      <c r="S40" s="2">
        <v>9343.27</v>
      </c>
      <c r="V40" s="1" t="s">
        <v>16</v>
      </c>
      <c r="W40" s="2">
        <v>8517.6</v>
      </c>
      <c r="X40" s="2">
        <v>8183.53</v>
      </c>
      <c r="Y40" s="2">
        <v>12424.28</v>
      </c>
      <c r="Z40" s="2">
        <v>11234.58</v>
      </c>
    </row>
    <row r="41" spans="2:26" x14ac:dyDescent="0.35">
      <c r="B41" s="1" t="s">
        <v>17</v>
      </c>
      <c r="C41" s="2">
        <v>71324.210000000006</v>
      </c>
      <c r="D41" s="2">
        <v>70584.679999999993</v>
      </c>
      <c r="E41" s="2">
        <v>68396.03</v>
      </c>
      <c r="F41" s="2">
        <v>65563.06</v>
      </c>
      <c r="H41" s="1" t="s">
        <v>17</v>
      </c>
      <c r="I41" s="2">
        <v>1978.48</v>
      </c>
      <c r="J41" s="2">
        <v>1957.97</v>
      </c>
      <c r="K41" s="2">
        <v>2124.9299999999998</v>
      </c>
      <c r="L41" s="2">
        <v>2036.91</v>
      </c>
      <c r="O41" s="1" t="s">
        <v>17</v>
      </c>
      <c r="P41" s="2">
        <v>7061.52</v>
      </c>
      <c r="Q41" s="2">
        <v>6821.78</v>
      </c>
      <c r="R41" s="2">
        <v>7928.16</v>
      </c>
      <c r="S41" s="2">
        <v>7264.97</v>
      </c>
      <c r="V41" s="1" t="s">
        <v>17</v>
      </c>
      <c r="W41" s="2">
        <v>9040</v>
      </c>
      <c r="X41" s="2">
        <v>8779.74</v>
      </c>
      <c r="Y41" s="2">
        <v>10053.09</v>
      </c>
      <c r="Z41" s="2">
        <v>9301.8799999999992</v>
      </c>
    </row>
    <row r="42" spans="2:26" x14ac:dyDescent="0.35">
      <c r="B42" s="1" t="s">
        <v>18</v>
      </c>
      <c r="C42" s="2">
        <v>24987.759999999998</v>
      </c>
      <c r="D42" s="2">
        <v>11657.47</v>
      </c>
      <c r="E42" s="2">
        <v>26940.53</v>
      </c>
      <c r="F42" s="2">
        <v>28115.23</v>
      </c>
      <c r="H42" s="1" t="s">
        <v>18</v>
      </c>
      <c r="I42" s="2">
        <v>1732.85</v>
      </c>
      <c r="J42" s="2">
        <v>1616.85</v>
      </c>
      <c r="K42" s="2">
        <v>2006.39</v>
      </c>
      <c r="L42" s="2">
        <v>2093.41</v>
      </c>
      <c r="O42" s="1" t="s">
        <v>18</v>
      </c>
      <c r="P42" s="2">
        <v>7707.15</v>
      </c>
      <c r="Q42" s="2">
        <v>4058.45</v>
      </c>
      <c r="R42" s="2">
        <v>9793.61</v>
      </c>
      <c r="S42" s="2">
        <v>10024.76</v>
      </c>
      <c r="V42" s="1" t="s">
        <v>18</v>
      </c>
      <c r="W42" s="2">
        <v>9440</v>
      </c>
      <c r="X42" s="2">
        <v>5675.29</v>
      </c>
      <c r="Y42" s="2">
        <v>11800</v>
      </c>
      <c r="Z42" s="2">
        <v>12118.17</v>
      </c>
    </row>
    <row r="43" spans="2:26" x14ac:dyDescent="0.35">
      <c r="B43" s="1" t="s">
        <v>19</v>
      </c>
      <c r="C43" s="2">
        <v>111607.07</v>
      </c>
      <c r="D43" s="2">
        <v>133860.43</v>
      </c>
      <c r="E43" s="2">
        <v>107882.58</v>
      </c>
      <c r="F43" s="2">
        <v>75451.63</v>
      </c>
      <c r="H43" s="1" t="s">
        <v>19</v>
      </c>
      <c r="I43" s="2">
        <v>1719.94</v>
      </c>
      <c r="J43" s="2">
        <v>2062.88</v>
      </c>
      <c r="K43" s="2">
        <v>1862.05</v>
      </c>
      <c r="L43" s="2">
        <v>1867.16</v>
      </c>
      <c r="O43" s="1" t="s">
        <v>19</v>
      </c>
      <c r="P43" s="2">
        <v>5131.99</v>
      </c>
      <c r="Q43" s="2">
        <v>6378.45</v>
      </c>
      <c r="R43" s="2">
        <v>8822.02</v>
      </c>
      <c r="S43" s="2">
        <v>9350.1200000000008</v>
      </c>
      <c r="V43" s="1" t="s">
        <v>19</v>
      </c>
      <c r="W43" s="2">
        <v>6851.93</v>
      </c>
      <c r="X43" s="2">
        <v>8441.33</v>
      </c>
      <c r="Y43" s="2">
        <v>10684.08</v>
      </c>
      <c r="Z43" s="2">
        <v>11217.28</v>
      </c>
    </row>
    <row r="44" spans="2:26" x14ac:dyDescent="0.35">
      <c r="B44" s="1" t="s">
        <v>20</v>
      </c>
      <c r="C44" s="2">
        <v>17632.16</v>
      </c>
      <c r="D44" s="2">
        <v>12052.56</v>
      </c>
      <c r="E44" s="2">
        <v>3682.71</v>
      </c>
      <c r="F44" s="2">
        <v>4010.19</v>
      </c>
      <c r="H44" s="1" t="s">
        <v>20</v>
      </c>
      <c r="I44" s="2">
        <v>914.54</v>
      </c>
      <c r="J44" s="2">
        <v>1076.3800000000001</v>
      </c>
      <c r="K44" s="2">
        <v>771.51</v>
      </c>
      <c r="L44" s="2">
        <v>920.77</v>
      </c>
      <c r="O44" s="1" t="s">
        <v>20</v>
      </c>
      <c r="P44" s="2">
        <v>5579.66</v>
      </c>
      <c r="Q44" s="2">
        <v>5984.3</v>
      </c>
      <c r="R44" s="2">
        <v>4719.01</v>
      </c>
      <c r="S44" s="2">
        <v>5064.2299999999996</v>
      </c>
      <c r="V44" s="1" t="s">
        <v>20</v>
      </c>
      <c r="W44" s="2">
        <v>6494.2</v>
      </c>
      <c r="X44" s="2">
        <v>7060.68</v>
      </c>
      <c r="Y44" s="2">
        <v>5490.52</v>
      </c>
      <c r="Z44" s="2">
        <v>5985</v>
      </c>
    </row>
    <row r="45" spans="2:26" x14ac:dyDescent="0.35">
      <c r="C45" s="3">
        <f>SUM(C37:C44)/C3*296</f>
        <v>41174989.085714288</v>
      </c>
      <c r="D45" s="3">
        <f>SUM(D37:D44)/C3*296</f>
        <v>44490662.68571429</v>
      </c>
      <c r="E45" s="3">
        <f>SUM(E37:E44)/D3*296</f>
        <v>36097076.864</v>
      </c>
      <c r="F45" s="3">
        <f>SUM(F37:F44)/D3*296</f>
        <v>37584893.632000007</v>
      </c>
    </row>
    <row r="47" spans="2:26" x14ac:dyDescent="0.35">
      <c r="B47" t="s">
        <v>29</v>
      </c>
      <c r="H47" t="s">
        <v>30</v>
      </c>
      <c r="O47" t="s">
        <v>31</v>
      </c>
      <c r="V47" t="s">
        <v>32</v>
      </c>
    </row>
    <row r="48" spans="2:26" x14ac:dyDescent="0.35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5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5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5">
      <c r="B51" s="1" t="s">
        <v>13</v>
      </c>
      <c r="C51" s="2">
        <v>3754.49</v>
      </c>
      <c r="D51" s="2">
        <v>2441.39</v>
      </c>
      <c r="E51" s="2">
        <v>2922.51</v>
      </c>
      <c r="F51" s="2">
        <v>1850.31</v>
      </c>
      <c r="H51" s="1" t="s">
        <v>13</v>
      </c>
      <c r="I51" s="2">
        <v>0.13</v>
      </c>
      <c r="J51" s="2">
        <v>0.1</v>
      </c>
      <c r="K51" s="2">
        <v>0.11</v>
      </c>
      <c r="L51" s="2">
        <v>0.09</v>
      </c>
      <c r="O51" s="1" t="s">
        <v>13</v>
      </c>
      <c r="P51" s="2">
        <v>0.41</v>
      </c>
      <c r="Q51" s="2">
        <v>0.33</v>
      </c>
      <c r="R51" s="2">
        <v>0.32</v>
      </c>
      <c r="S51" s="2">
        <v>0.32</v>
      </c>
      <c r="V51" s="1" t="s">
        <v>13</v>
      </c>
      <c r="W51" s="2">
        <v>0.45</v>
      </c>
      <c r="X51" s="2">
        <v>0.37</v>
      </c>
      <c r="Y51" s="2">
        <v>0.36</v>
      </c>
      <c r="Z51" s="2">
        <v>0.36</v>
      </c>
    </row>
    <row r="52" spans="2:26" x14ac:dyDescent="0.35">
      <c r="B52" s="1" t="s">
        <v>14</v>
      </c>
      <c r="C52" s="2">
        <v>13228.34</v>
      </c>
      <c r="D52" s="2">
        <v>9825.07</v>
      </c>
      <c r="E52" s="2">
        <v>7912.57</v>
      </c>
      <c r="F52" s="2">
        <v>5775.67</v>
      </c>
      <c r="H52" s="1" t="s">
        <v>14</v>
      </c>
      <c r="I52" s="2">
        <v>0.61</v>
      </c>
      <c r="J52" s="2">
        <v>0.52</v>
      </c>
      <c r="K52" s="2">
        <v>0.42</v>
      </c>
      <c r="L52" s="2">
        <v>0.34</v>
      </c>
      <c r="O52" s="1" t="s">
        <v>14</v>
      </c>
      <c r="P52" s="2">
        <v>0.88</v>
      </c>
      <c r="Q52" s="2">
        <v>0.86</v>
      </c>
      <c r="R52" s="2">
        <v>0.77</v>
      </c>
      <c r="S52" s="2">
        <v>0.83</v>
      </c>
      <c r="V52" s="1" t="s">
        <v>14</v>
      </c>
      <c r="W52" s="2">
        <v>1.0900000000000001</v>
      </c>
      <c r="X52" s="2">
        <v>1.0900000000000001</v>
      </c>
      <c r="Y52" s="2">
        <v>0.89</v>
      </c>
      <c r="Z52" s="2">
        <v>1.0900000000000001</v>
      </c>
    </row>
    <row r="53" spans="2:26" x14ac:dyDescent="0.35">
      <c r="B53" s="1" t="s">
        <v>15</v>
      </c>
      <c r="C53" s="2">
        <v>101084.67</v>
      </c>
      <c r="D53" s="2">
        <v>117845.54</v>
      </c>
      <c r="E53" s="2">
        <v>52578.33</v>
      </c>
      <c r="F53" s="2">
        <v>77020.81</v>
      </c>
      <c r="H53" s="1" t="s">
        <v>15</v>
      </c>
      <c r="I53" s="2">
        <v>0.54</v>
      </c>
      <c r="J53" s="2">
        <v>0.68</v>
      </c>
      <c r="K53" s="2">
        <v>0.47</v>
      </c>
      <c r="L53" s="2">
        <v>0.52</v>
      </c>
      <c r="O53" s="1" t="s">
        <v>15</v>
      </c>
      <c r="P53" s="2">
        <v>1.06</v>
      </c>
      <c r="Q53" s="2">
        <v>1.0900000000000001</v>
      </c>
      <c r="R53" s="2">
        <v>0.89</v>
      </c>
      <c r="S53" s="2">
        <v>1.07</v>
      </c>
      <c r="V53" s="1" t="s">
        <v>15</v>
      </c>
      <c r="W53" s="2">
        <v>1.33</v>
      </c>
      <c r="X53" s="2">
        <v>1.4</v>
      </c>
      <c r="Y53" s="2">
        <v>1.02</v>
      </c>
      <c r="Z53" s="2">
        <v>1.4</v>
      </c>
    </row>
    <row r="54" spans="2:26" x14ac:dyDescent="0.35">
      <c r="B54" s="1" t="s">
        <v>16</v>
      </c>
      <c r="C54" s="2">
        <v>10417.94</v>
      </c>
      <c r="D54" s="2">
        <v>10053.39</v>
      </c>
      <c r="E54" s="2">
        <v>12736.91</v>
      </c>
      <c r="F54" s="2">
        <v>17310.79</v>
      </c>
      <c r="H54" s="1" t="s">
        <v>16</v>
      </c>
      <c r="I54" s="2">
        <v>0.56999999999999995</v>
      </c>
      <c r="J54" s="2">
        <v>0.56000000000000005</v>
      </c>
      <c r="K54" s="2">
        <v>0.41</v>
      </c>
      <c r="L54" s="2">
        <v>0.53</v>
      </c>
      <c r="O54" s="1" t="s">
        <v>16</v>
      </c>
      <c r="P54" s="2">
        <v>0.9</v>
      </c>
      <c r="Q54" s="2">
        <v>0.89</v>
      </c>
      <c r="R54" s="2">
        <v>0.91</v>
      </c>
      <c r="S54" s="2">
        <v>0.98</v>
      </c>
      <c r="V54" s="1" t="s">
        <v>16</v>
      </c>
      <c r="W54" s="2">
        <v>1.18</v>
      </c>
      <c r="X54" s="2">
        <v>1.18</v>
      </c>
      <c r="Y54" s="2">
        <v>1.03</v>
      </c>
      <c r="Z54" s="2">
        <v>1.18</v>
      </c>
    </row>
    <row r="55" spans="2:26" x14ac:dyDescent="0.35">
      <c r="B55" s="1" t="s">
        <v>17</v>
      </c>
      <c r="C55" s="2">
        <v>52452.959999999999</v>
      </c>
      <c r="D55" s="2">
        <v>52911.21</v>
      </c>
      <c r="E55" s="2">
        <v>50329.33</v>
      </c>
      <c r="F55" s="2">
        <v>49185.83</v>
      </c>
      <c r="H55" s="1" t="s">
        <v>17</v>
      </c>
      <c r="I55" s="2">
        <v>0.55000000000000004</v>
      </c>
      <c r="J55" s="2">
        <v>0.54</v>
      </c>
      <c r="K55" s="2">
        <v>0.59</v>
      </c>
      <c r="L55" s="2">
        <v>0.56999999999999995</v>
      </c>
      <c r="O55" s="1" t="s">
        <v>17</v>
      </c>
      <c r="P55" s="2">
        <v>0.88</v>
      </c>
      <c r="Q55" s="2">
        <v>0.88</v>
      </c>
      <c r="R55" s="2">
        <v>0.89</v>
      </c>
      <c r="S55" s="2">
        <v>0.88</v>
      </c>
      <c r="V55" s="1" t="s">
        <v>17</v>
      </c>
      <c r="W55" s="2">
        <v>1.1299999999999999</v>
      </c>
      <c r="X55" s="2">
        <v>1.1299999999999999</v>
      </c>
      <c r="Y55" s="2">
        <v>1.1299999999999999</v>
      </c>
      <c r="Z55" s="2">
        <v>1.1299999999999999</v>
      </c>
    </row>
    <row r="56" spans="2:26" x14ac:dyDescent="0.35">
      <c r="B56" s="1" t="s">
        <v>18</v>
      </c>
      <c r="C56" s="2">
        <v>20281.28</v>
      </c>
      <c r="D56" s="2">
        <v>9987.3700000000008</v>
      </c>
      <c r="E56" s="2">
        <v>21934.13</v>
      </c>
      <c r="F56" s="2">
        <v>24428.18</v>
      </c>
      <c r="H56" s="1" t="s">
        <v>18</v>
      </c>
      <c r="I56" s="2">
        <v>0.48</v>
      </c>
      <c r="J56" s="2">
        <v>0.45</v>
      </c>
      <c r="K56" s="2">
        <v>0.56000000000000005</v>
      </c>
      <c r="L56" s="2">
        <v>0.57999999999999996</v>
      </c>
      <c r="O56" s="1" t="s">
        <v>18</v>
      </c>
      <c r="P56" s="2">
        <v>0.96</v>
      </c>
      <c r="Q56" s="2">
        <v>0.84</v>
      </c>
      <c r="R56" s="2">
        <v>0.98</v>
      </c>
      <c r="S56" s="2">
        <v>0.98</v>
      </c>
      <c r="V56" s="1" t="s">
        <v>18</v>
      </c>
      <c r="W56" s="2">
        <v>1.18</v>
      </c>
      <c r="X56" s="2">
        <v>1.18</v>
      </c>
      <c r="Y56" s="2">
        <v>1.18</v>
      </c>
      <c r="Z56" s="2">
        <v>1.18</v>
      </c>
    </row>
    <row r="57" spans="2:26" x14ac:dyDescent="0.35">
      <c r="B57" s="1" t="s">
        <v>19</v>
      </c>
      <c r="C57" s="2">
        <v>92269.97</v>
      </c>
      <c r="D57" s="2">
        <v>112720.43</v>
      </c>
      <c r="E57" s="2">
        <v>91631.14</v>
      </c>
      <c r="F57" s="2">
        <v>64720.98</v>
      </c>
      <c r="H57" s="1" t="s">
        <v>19</v>
      </c>
      <c r="I57" s="2">
        <v>0.48</v>
      </c>
      <c r="J57" s="2">
        <v>0.56999999999999995</v>
      </c>
      <c r="K57" s="2">
        <v>0.52</v>
      </c>
      <c r="L57" s="2">
        <v>0.52</v>
      </c>
      <c r="O57" s="1" t="s">
        <v>19</v>
      </c>
      <c r="P57" s="2">
        <v>1.05</v>
      </c>
      <c r="Q57" s="2">
        <v>1.06</v>
      </c>
      <c r="R57" s="2">
        <v>1.02</v>
      </c>
      <c r="S57" s="2">
        <v>0.93</v>
      </c>
      <c r="V57" s="1" t="s">
        <v>19</v>
      </c>
      <c r="W57" s="2">
        <v>1.4</v>
      </c>
      <c r="X57" s="2">
        <v>1.4</v>
      </c>
      <c r="Y57" s="2">
        <v>1.23</v>
      </c>
      <c r="Z57" s="2">
        <v>1.1100000000000001</v>
      </c>
    </row>
    <row r="58" spans="2:26" x14ac:dyDescent="0.35">
      <c r="B58" s="1" t="s">
        <v>20</v>
      </c>
      <c r="C58" s="2">
        <v>14402.89</v>
      </c>
      <c r="D58" s="2">
        <v>10338.01</v>
      </c>
      <c r="E58" s="2">
        <v>3008.91</v>
      </c>
      <c r="F58" s="2">
        <v>3444.18</v>
      </c>
      <c r="H58" s="1" t="s">
        <v>20</v>
      </c>
      <c r="I58" s="2">
        <v>0.25</v>
      </c>
      <c r="J58" s="2">
        <v>0.3</v>
      </c>
      <c r="K58" s="2">
        <v>0.21</v>
      </c>
      <c r="L58" s="2">
        <v>0.26</v>
      </c>
      <c r="O58" s="1" t="s">
        <v>20</v>
      </c>
      <c r="P58" s="2">
        <v>0.69</v>
      </c>
      <c r="Q58" s="2">
        <v>0.57999999999999996</v>
      </c>
      <c r="R58" s="2">
        <v>0.36</v>
      </c>
      <c r="S58" s="2">
        <v>0.39</v>
      </c>
      <c r="V58" s="1" t="s">
        <v>20</v>
      </c>
      <c r="W58" s="2">
        <v>0.8</v>
      </c>
      <c r="X58" s="2">
        <v>0.68</v>
      </c>
      <c r="Y58" s="2">
        <v>0.42</v>
      </c>
      <c r="Z58" s="2">
        <v>0.46</v>
      </c>
    </row>
    <row r="61" spans="2:26" x14ac:dyDescent="0.35">
      <c r="B61" t="s">
        <v>33</v>
      </c>
      <c r="H61" t="s">
        <v>34</v>
      </c>
      <c r="O61" t="s">
        <v>35</v>
      </c>
      <c r="V61" t="s">
        <v>36</v>
      </c>
    </row>
    <row r="62" spans="2:26" x14ac:dyDescent="0.35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5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5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5">
      <c r="B65" s="1" t="s">
        <v>13</v>
      </c>
      <c r="C65" s="2">
        <v>346.08</v>
      </c>
      <c r="D65" s="2">
        <v>424.61</v>
      </c>
      <c r="E65" s="2">
        <v>268.16000000000003</v>
      </c>
      <c r="F65" s="2">
        <v>319.18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59.74</v>
      </c>
      <c r="Q65" s="2">
        <v>59.92</v>
      </c>
      <c r="R65" s="2">
        <v>59.93</v>
      </c>
      <c r="S65" s="2">
        <v>59.93</v>
      </c>
      <c r="V65" s="1" t="s">
        <v>13</v>
      </c>
      <c r="W65" s="2">
        <v>-0.01</v>
      </c>
      <c r="X65" s="2">
        <v>0</v>
      </c>
      <c r="Y65" s="2">
        <v>0</v>
      </c>
      <c r="Z65" s="2">
        <v>0</v>
      </c>
    </row>
    <row r="66" spans="2:26" x14ac:dyDescent="0.35">
      <c r="B66" s="1" t="s">
        <v>14</v>
      </c>
      <c r="C66" s="2">
        <v>1210.6099999999999</v>
      </c>
      <c r="D66" s="2">
        <v>1197.24</v>
      </c>
      <c r="E66" s="2">
        <v>731.52</v>
      </c>
      <c r="F66" s="2">
        <v>704.56</v>
      </c>
      <c r="H66" s="1" t="s">
        <v>14</v>
      </c>
      <c r="I66" s="2">
        <v>56.05</v>
      </c>
      <c r="J66" s="2">
        <v>58.52</v>
      </c>
      <c r="K66" s="2">
        <v>59.6</v>
      </c>
      <c r="L66" s="2">
        <v>59.89</v>
      </c>
      <c r="O66" s="1" t="s">
        <v>14</v>
      </c>
      <c r="P66" s="2">
        <v>41.05</v>
      </c>
      <c r="Q66" s="2">
        <v>42.63</v>
      </c>
      <c r="R66" s="2">
        <v>49.48</v>
      </c>
      <c r="S66" s="2">
        <v>45.49</v>
      </c>
      <c r="V66" s="1" t="s">
        <v>14</v>
      </c>
      <c r="W66" s="2">
        <v>-1.1000000000000001</v>
      </c>
      <c r="X66" s="2">
        <v>-1.07</v>
      </c>
      <c r="Y66" s="2">
        <v>-0.51</v>
      </c>
      <c r="Z66" s="2">
        <v>-0.79</v>
      </c>
    </row>
    <row r="67" spans="2:26" x14ac:dyDescent="0.35">
      <c r="B67" s="1" t="s">
        <v>15</v>
      </c>
      <c r="C67" s="2">
        <v>11931.08</v>
      </c>
      <c r="D67" s="2">
        <v>15367.69</v>
      </c>
      <c r="E67" s="2">
        <v>6291.4</v>
      </c>
      <c r="F67" s="2">
        <v>10874.4</v>
      </c>
      <c r="H67" s="1" t="s">
        <v>15</v>
      </c>
      <c r="I67" s="2">
        <v>58.06</v>
      </c>
      <c r="J67" s="2">
        <v>52.51</v>
      </c>
      <c r="K67" s="2">
        <v>59.17</v>
      </c>
      <c r="L67" s="2">
        <v>58.55</v>
      </c>
      <c r="O67" s="1" t="s">
        <v>15</v>
      </c>
      <c r="P67" s="2">
        <v>25.11</v>
      </c>
      <c r="Q67" s="2">
        <v>22.15</v>
      </c>
      <c r="R67" s="2">
        <v>39.74</v>
      </c>
      <c r="S67" s="2">
        <v>23.75</v>
      </c>
      <c r="V67" s="1" t="s">
        <v>15</v>
      </c>
      <c r="W67" s="2">
        <v>-3.8</v>
      </c>
      <c r="X67" s="2">
        <v>-4.38</v>
      </c>
      <c r="Y67" s="2">
        <v>-1.24</v>
      </c>
      <c r="Z67" s="2">
        <v>-3.75</v>
      </c>
    </row>
    <row r="68" spans="2:26" x14ac:dyDescent="0.35">
      <c r="B68" s="1" t="s">
        <v>16</v>
      </c>
      <c r="C68" s="2">
        <v>1613.17</v>
      </c>
      <c r="D68" s="2">
        <v>1637.09</v>
      </c>
      <c r="E68" s="2">
        <v>2007.03</v>
      </c>
      <c r="F68" s="2">
        <v>2831.57</v>
      </c>
      <c r="H68" s="1" t="s">
        <v>16</v>
      </c>
      <c r="I68" s="2">
        <v>57.47</v>
      </c>
      <c r="J68" s="2">
        <v>57.73</v>
      </c>
      <c r="K68" s="2">
        <v>59.66</v>
      </c>
      <c r="L68" s="2">
        <v>58.38</v>
      </c>
      <c r="O68" s="1" t="s">
        <v>16</v>
      </c>
      <c r="P68" s="2">
        <v>39.36</v>
      </c>
      <c r="Q68" s="2">
        <v>39.92</v>
      </c>
      <c r="R68" s="2">
        <v>38.06</v>
      </c>
      <c r="S68" s="2">
        <v>31.69</v>
      </c>
      <c r="V68" s="1" t="s">
        <v>16</v>
      </c>
      <c r="W68" s="2">
        <v>-1.35</v>
      </c>
      <c r="X68" s="2">
        <v>-1.3</v>
      </c>
      <c r="Y68" s="2">
        <v>-1.43</v>
      </c>
      <c r="Z68" s="2">
        <v>-2.16</v>
      </c>
    </row>
    <row r="69" spans="2:26" x14ac:dyDescent="0.35">
      <c r="B69" s="1" t="s">
        <v>17</v>
      </c>
      <c r="C69" s="2">
        <v>7502.38</v>
      </c>
      <c r="D69" s="2">
        <v>7047.2</v>
      </c>
      <c r="E69" s="2">
        <v>7254.26</v>
      </c>
      <c r="F69" s="2">
        <v>6557.56</v>
      </c>
      <c r="H69" s="1" t="s">
        <v>17</v>
      </c>
      <c r="I69" s="2">
        <v>57.87</v>
      </c>
      <c r="J69" s="2">
        <v>58</v>
      </c>
      <c r="K69" s="2">
        <v>56.72</v>
      </c>
      <c r="L69" s="2">
        <v>57.46</v>
      </c>
      <c r="O69" s="1" t="s">
        <v>17</v>
      </c>
      <c r="P69" s="2">
        <v>40.729999999999997</v>
      </c>
      <c r="Q69" s="2">
        <v>41.15</v>
      </c>
      <c r="R69" s="2">
        <v>39.979999999999997</v>
      </c>
      <c r="S69" s="2">
        <v>40.75</v>
      </c>
      <c r="V69" s="1" t="s">
        <v>17</v>
      </c>
      <c r="W69" s="2">
        <v>-1.22</v>
      </c>
      <c r="X69" s="2">
        <v>-1.19</v>
      </c>
      <c r="Y69" s="2">
        <v>-1.1100000000000001</v>
      </c>
      <c r="Z69" s="2">
        <v>-1.07</v>
      </c>
    </row>
    <row r="70" spans="2:26" x14ac:dyDescent="0.35">
      <c r="B70" s="1" t="s">
        <v>18</v>
      </c>
      <c r="C70" s="2">
        <v>1810.91</v>
      </c>
      <c r="D70" s="2">
        <v>543.63</v>
      </c>
      <c r="E70" s="2">
        <v>1961.12</v>
      </c>
      <c r="F70" s="2">
        <v>1354.68</v>
      </c>
      <c r="H70" s="1" t="s">
        <v>18</v>
      </c>
      <c r="I70" s="2">
        <v>59.06</v>
      </c>
      <c r="J70" s="2">
        <v>59.39</v>
      </c>
      <c r="K70" s="2">
        <v>57.68</v>
      </c>
      <c r="L70" s="2">
        <v>57</v>
      </c>
      <c r="O70" s="1" t="s">
        <v>18</v>
      </c>
      <c r="P70" s="2">
        <v>33.340000000000003</v>
      </c>
      <c r="Q70" s="2">
        <v>44.08</v>
      </c>
      <c r="R70" s="2">
        <v>31.87</v>
      </c>
      <c r="S70" s="2">
        <v>32.17</v>
      </c>
      <c r="V70" s="1" t="s">
        <v>18</v>
      </c>
      <c r="W70" s="2">
        <v>-2.19</v>
      </c>
      <c r="X70" s="2">
        <v>-0.98</v>
      </c>
      <c r="Y70" s="2">
        <v>-2.11</v>
      </c>
      <c r="Z70" s="2">
        <v>-2.0299999999999998</v>
      </c>
    </row>
    <row r="71" spans="2:26" x14ac:dyDescent="0.35">
      <c r="B71" s="1" t="s">
        <v>19</v>
      </c>
      <c r="C71" s="2">
        <v>6891.9</v>
      </c>
      <c r="D71" s="2">
        <v>6822.91</v>
      </c>
      <c r="E71" s="2">
        <v>6678.68</v>
      </c>
      <c r="F71" s="2">
        <v>3941.46</v>
      </c>
      <c r="H71" s="1" t="s">
        <v>19</v>
      </c>
      <c r="I71" s="2">
        <v>59.1</v>
      </c>
      <c r="J71" s="2">
        <v>57.26</v>
      </c>
      <c r="K71" s="2">
        <v>58.53</v>
      </c>
      <c r="L71" s="2">
        <v>58.5</v>
      </c>
      <c r="O71" s="1" t="s">
        <v>19</v>
      </c>
      <c r="P71" s="2">
        <v>25.76</v>
      </c>
      <c r="Q71" s="2">
        <v>24.98</v>
      </c>
      <c r="R71" s="2">
        <v>28.64</v>
      </c>
      <c r="S71" s="2">
        <v>36.67</v>
      </c>
      <c r="V71" s="1" t="s">
        <v>19</v>
      </c>
      <c r="W71" s="2">
        <v>-3.68</v>
      </c>
      <c r="X71" s="2">
        <v>-3.79</v>
      </c>
      <c r="Y71" s="2">
        <v>-2.67</v>
      </c>
      <c r="Z71" s="2">
        <v>-1.53</v>
      </c>
    </row>
    <row r="72" spans="2:26" x14ac:dyDescent="0.35">
      <c r="B72" s="1" t="s">
        <v>20</v>
      </c>
      <c r="C72" s="2">
        <v>952.37</v>
      </c>
      <c r="D72" s="2">
        <v>384.26</v>
      </c>
      <c r="E72" s="2">
        <v>197.68</v>
      </c>
      <c r="F72" s="2">
        <v>127.34</v>
      </c>
      <c r="H72" s="1" t="s">
        <v>20</v>
      </c>
      <c r="I72" s="2">
        <v>59.98</v>
      </c>
      <c r="J72" s="2">
        <v>59.95</v>
      </c>
      <c r="K72" s="2">
        <v>59.99</v>
      </c>
      <c r="L72" s="2">
        <v>59.98</v>
      </c>
      <c r="O72" s="1" t="s">
        <v>20</v>
      </c>
      <c r="P72" s="2">
        <v>54.26</v>
      </c>
      <c r="Q72" s="2">
        <v>57.9</v>
      </c>
      <c r="R72" s="2">
        <v>59.86</v>
      </c>
      <c r="S72" s="2">
        <v>59.79</v>
      </c>
      <c r="V72" s="1" t="s">
        <v>20</v>
      </c>
      <c r="W72" s="2">
        <v>-0.3</v>
      </c>
      <c r="X72" s="2">
        <v>-0.1</v>
      </c>
      <c r="Y72" s="2">
        <v>-0.01</v>
      </c>
      <c r="Z72" s="2">
        <v>-0.01</v>
      </c>
    </row>
    <row r="75" spans="2:26" x14ac:dyDescent="0.35">
      <c r="B75" t="s">
        <v>37</v>
      </c>
      <c r="H75" t="s">
        <v>38</v>
      </c>
      <c r="O75" t="s">
        <v>39</v>
      </c>
      <c r="V75" t="s">
        <v>40</v>
      </c>
    </row>
    <row r="76" spans="2:26" x14ac:dyDescent="0.35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5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5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5">
      <c r="B79" s="1" t="s">
        <v>13</v>
      </c>
      <c r="C79" s="2">
        <v>32.799999999999997</v>
      </c>
      <c r="D79" s="2">
        <v>65.16</v>
      </c>
      <c r="E79" s="2">
        <v>23.5</v>
      </c>
      <c r="F79" s="2">
        <v>49.07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2.81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5">
      <c r="B80" s="1" t="s">
        <v>14</v>
      </c>
      <c r="C80" s="2">
        <v>496.84</v>
      </c>
      <c r="D80" s="2">
        <v>1138.5899999999999</v>
      </c>
      <c r="E80" s="2">
        <v>299.36</v>
      </c>
      <c r="F80" s="2">
        <v>663.47</v>
      </c>
      <c r="H80" s="1" t="s">
        <v>14</v>
      </c>
      <c r="I80" s="2">
        <v>3</v>
      </c>
      <c r="J80" s="2">
        <v>2.87</v>
      </c>
      <c r="K80" s="2">
        <v>2.52</v>
      </c>
      <c r="L80" s="2">
        <v>2.5</v>
      </c>
      <c r="O80" s="1" t="s">
        <v>14</v>
      </c>
      <c r="P80" s="2">
        <v>4.09</v>
      </c>
      <c r="Q80" s="2">
        <v>3.94</v>
      </c>
      <c r="R80" s="2">
        <v>3.03</v>
      </c>
      <c r="S80" s="2">
        <v>3.3</v>
      </c>
      <c r="V80" s="1" t="s">
        <v>14</v>
      </c>
      <c r="W80" s="2">
        <v>-0.27</v>
      </c>
      <c r="X80" s="2">
        <v>-0.27</v>
      </c>
      <c r="Y80" s="2">
        <v>-0.17</v>
      </c>
      <c r="Z80" s="2">
        <v>-0.24</v>
      </c>
    </row>
    <row r="81" spans="2:26" x14ac:dyDescent="0.35">
      <c r="B81" s="1" t="s">
        <v>15</v>
      </c>
      <c r="C81" s="2">
        <v>3655.21</v>
      </c>
      <c r="D81" s="2">
        <v>9048.06</v>
      </c>
      <c r="E81" s="2">
        <v>1936.02</v>
      </c>
      <c r="F81" s="2">
        <v>6530.23</v>
      </c>
      <c r="H81" s="1" t="s">
        <v>15</v>
      </c>
      <c r="I81" s="2">
        <v>2.89</v>
      </c>
      <c r="J81" s="2">
        <v>3.2</v>
      </c>
      <c r="K81" s="2">
        <v>2.54</v>
      </c>
      <c r="L81" s="2">
        <v>2.56</v>
      </c>
      <c r="O81" s="1" t="s">
        <v>15</v>
      </c>
      <c r="P81" s="2">
        <v>6.69</v>
      </c>
      <c r="Q81" s="2">
        <v>7.58</v>
      </c>
      <c r="R81" s="2">
        <v>3.77</v>
      </c>
      <c r="S81" s="2">
        <v>6.31</v>
      </c>
      <c r="V81" s="1" t="s">
        <v>15</v>
      </c>
      <c r="W81" s="2">
        <v>-0.56999999999999995</v>
      </c>
      <c r="X81" s="2">
        <v>-0.57999999999999996</v>
      </c>
      <c r="Y81" s="2">
        <v>-0.33</v>
      </c>
      <c r="Z81" s="2">
        <v>-0.59</v>
      </c>
    </row>
    <row r="82" spans="2:26" x14ac:dyDescent="0.35">
      <c r="B82" s="1" t="s">
        <v>16</v>
      </c>
      <c r="C82" s="2">
        <v>527.70000000000005</v>
      </c>
      <c r="D82" s="2">
        <v>855.47</v>
      </c>
      <c r="E82" s="2">
        <v>663.45</v>
      </c>
      <c r="F82" s="2">
        <v>1485.69</v>
      </c>
      <c r="H82" s="1" t="s">
        <v>16</v>
      </c>
      <c r="I82" s="2">
        <v>2.92</v>
      </c>
      <c r="J82" s="2">
        <v>2.91</v>
      </c>
      <c r="K82" s="2">
        <v>2.5099999999999998</v>
      </c>
      <c r="L82" s="2">
        <v>2.57</v>
      </c>
      <c r="O82" s="1" t="s">
        <v>16</v>
      </c>
      <c r="P82" s="2">
        <v>4.2699999999999996</v>
      </c>
      <c r="Q82" s="2">
        <v>4.21</v>
      </c>
      <c r="R82" s="2">
        <v>3.94</v>
      </c>
      <c r="S82" s="2">
        <v>4.7300000000000004</v>
      </c>
      <c r="V82" s="1" t="s">
        <v>16</v>
      </c>
      <c r="W82" s="2">
        <v>-0.32</v>
      </c>
      <c r="X82" s="2">
        <v>-0.31</v>
      </c>
      <c r="Y82" s="2">
        <v>-0.36</v>
      </c>
      <c r="Z82" s="2">
        <v>-0.46</v>
      </c>
    </row>
    <row r="83" spans="2:26" x14ac:dyDescent="0.35">
      <c r="B83" s="1" t="s">
        <v>17</v>
      </c>
      <c r="C83" s="2">
        <v>2434.36</v>
      </c>
      <c r="D83" s="2">
        <v>2483.6</v>
      </c>
      <c r="E83" s="2">
        <v>2358.69</v>
      </c>
      <c r="F83" s="2">
        <v>2312.65</v>
      </c>
      <c r="H83" s="1" t="s">
        <v>17</v>
      </c>
      <c r="I83" s="2">
        <v>2.9</v>
      </c>
      <c r="J83" s="2">
        <v>2.9</v>
      </c>
      <c r="K83" s="2">
        <v>2.64</v>
      </c>
      <c r="L83" s="2">
        <v>2.61</v>
      </c>
      <c r="O83" s="1" t="s">
        <v>17</v>
      </c>
      <c r="P83" s="2">
        <v>4.12</v>
      </c>
      <c r="Q83" s="2">
        <v>4.08</v>
      </c>
      <c r="R83" s="2">
        <v>3.75</v>
      </c>
      <c r="S83" s="2">
        <v>3.68</v>
      </c>
      <c r="V83" s="1" t="s">
        <v>17</v>
      </c>
      <c r="W83" s="2">
        <v>-0.3</v>
      </c>
      <c r="X83" s="2">
        <v>-0.28999999999999998</v>
      </c>
      <c r="Y83" s="2">
        <v>-0.3</v>
      </c>
      <c r="Z83" s="2">
        <v>-0.28999999999999998</v>
      </c>
    </row>
    <row r="84" spans="2:26" x14ac:dyDescent="0.35">
      <c r="B84" s="1" t="s">
        <v>18</v>
      </c>
      <c r="C84" s="2">
        <v>623.27</v>
      </c>
      <c r="D84" s="2">
        <v>302.61</v>
      </c>
      <c r="E84" s="2">
        <v>687.91</v>
      </c>
      <c r="F84" s="2">
        <v>753.78</v>
      </c>
      <c r="H84" s="1" t="s">
        <v>18</v>
      </c>
      <c r="I84" s="2">
        <v>2.84</v>
      </c>
      <c r="J84" s="2">
        <v>2.83</v>
      </c>
      <c r="K84" s="2">
        <v>2.6</v>
      </c>
      <c r="L84" s="2">
        <v>2.63</v>
      </c>
      <c r="O84" s="1" t="s">
        <v>18</v>
      </c>
      <c r="P84" s="2">
        <v>5.04</v>
      </c>
      <c r="Q84" s="2">
        <v>3.81</v>
      </c>
      <c r="R84" s="2">
        <v>4.71</v>
      </c>
      <c r="S84" s="2">
        <v>4.66</v>
      </c>
      <c r="V84" s="1" t="s">
        <v>18</v>
      </c>
      <c r="W84" s="2">
        <v>-0.44</v>
      </c>
      <c r="X84" s="2">
        <v>-0.26</v>
      </c>
      <c r="Y84" s="2">
        <v>-0.45</v>
      </c>
      <c r="Z84" s="2">
        <v>-0.44</v>
      </c>
    </row>
    <row r="85" spans="2:26" x14ac:dyDescent="0.35">
      <c r="B85" s="1" t="s">
        <v>19</v>
      </c>
      <c r="C85" s="2">
        <v>938.82</v>
      </c>
      <c r="D85" s="2">
        <v>1653.82</v>
      </c>
      <c r="E85" s="2">
        <v>1012.53</v>
      </c>
      <c r="F85" s="2">
        <v>935.98</v>
      </c>
      <c r="H85" s="1" t="s">
        <v>19</v>
      </c>
      <c r="I85" s="2">
        <v>2.84</v>
      </c>
      <c r="J85" s="2">
        <v>2.93</v>
      </c>
      <c r="K85" s="2">
        <v>2.56</v>
      </c>
      <c r="L85" s="2">
        <v>2.56</v>
      </c>
      <c r="O85" s="1" t="s">
        <v>19</v>
      </c>
      <c r="P85" s="2">
        <v>6.52</v>
      </c>
      <c r="Q85" s="2">
        <v>6.72</v>
      </c>
      <c r="R85" s="2">
        <v>5.24</v>
      </c>
      <c r="S85" s="2">
        <v>4.09</v>
      </c>
      <c r="V85" s="1" t="s">
        <v>19</v>
      </c>
      <c r="W85" s="2">
        <v>-0.56000000000000005</v>
      </c>
      <c r="X85" s="2">
        <v>-0.56000000000000005</v>
      </c>
      <c r="Y85" s="2">
        <v>-0.51</v>
      </c>
      <c r="Z85" s="2">
        <v>-0.37</v>
      </c>
    </row>
    <row r="86" spans="2:26" x14ac:dyDescent="0.35">
      <c r="B86" s="1" t="s">
        <v>20</v>
      </c>
      <c r="C86" s="2">
        <v>100.45</v>
      </c>
      <c r="D86" s="2">
        <v>98.36</v>
      </c>
      <c r="E86" s="2">
        <v>20.67</v>
      </c>
      <c r="F86" s="2">
        <v>34.64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3.1</v>
      </c>
      <c r="Q86" s="2">
        <v>2.9</v>
      </c>
      <c r="R86" s="2">
        <v>2.5099999999999998</v>
      </c>
      <c r="S86" s="2">
        <v>2.5099999999999998</v>
      </c>
      <c r="V86" s="1" t="s">
        <v>20</v>
      </c>
      <c r="W86" s="2">
        <v>-0.1</v>
      </c>
      <c r="X86" s="2">
        <v>-0.03</v>
      </c>
      <c r="Y86" s="2">
        <v>0</v>
      </c>
      <c r="Z86" s="2">
        <v>0</v>
      </c>
    </row>
    <row r="89" spans="2:26" x14ac:dyDescent="0.35">
      <c r="B89" t="s">
        <v>41</v>
      </c>
      <c r="H89" t="s">
        <v>42</v>
      </c>
      <c r="O89" t="s">
        <v>43</v>
      </c>
      <c r="V89" t="s">
        <v>44</v>
      </c>
    </row>
    <row r="90" spans="2:26" x14ac:dyDescent="0.35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5" t="s">
        <v>9</v>
      </c>
      <c r="J90" s="5"/>
      <c r="K90" s="5" t="s">
        <v>10</v>
      </c>
      <c r="L90" s="5"/>
      <c r="O90" s="1" t="s">
        <v>8</v>
      </c>
      <c r="P90" s="5" t="s">
        <v>9</v>
      </c>
      <c r="Q90" s="5"/>
      <c r="R90" s="5" t="s">
        <v>10</v>
      </c>
      <c r="S90" s="5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5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5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5">
      <c r="B93" s="1" t="s">
        <v>13</v>
      </c>
      <c r="C93" s="2">
        <v>2907.57</v>
      </c>
      <c r="D93" s="2">
        <v>2750.49</v>
      </c>
      <c r="E93" s="2">
        <v>2187.64</v>
      </c>
      <c r="F93" s="2">
        <v>2112.17</v>
      </c>
      <c r="H93" s="1" t="s">
        <v>13</v>
      </c>
      <c r="I93" s="2">
        <v>4860.1899999999996</v>
      </c>
      <c r="J93" s="2">
        <v>3783.18</v>
      </c>
      <c r="K93" s="2">
        <v>3160.37</v>
      </c>
      <c r="L93" s="2">
        <v>2395.2199999999998</v>
      </c>
      <c r="O93" s="1" t="s">
        <v>13</v>
      </c>
      <c r="P93" s="2">
        <v>4860.1899999999996</v>
      </c>
      <c r="Q93" s="2">
        <v>3783.18</v>
      </c>
      <c r="R93" s="2">
        <v>3160.37</v>
      </c>
      <c r="S93" s="2">
        <v>2395.2199999999998</v>
      </c>
      <c r="V93" s="1" t="s">
        <v>13</v>
      </c>
      <c r="W93" s="2">
        <v>2.16</v>
      </c>
      <c r="X93" s="2">
        <v>2.16</v>
      </c>
      <c r="Y93" s="2">
        <v>1.93</v>
      </c>
      <c r="Z93" s="2">
        <v>1.93</v>
      </c>
    </row>
    <row r="94" spans="2:26" x14ac:dyDescent="0.35">
      <c r="B94" s="1" t="s">
        <v>14</v>
      </c>
      <c r="C94" s="2">
        <v>873.62</v>
      </c>
      <c r="D94" s="2">
        <v>1275.44</v>
      </c>
      <c r="E94" s="2">
        <v>514.05999999999995</v>
      </c>
      <c r="F94" s="2">
        <v>799.02</v>
      </c>
      <c r="H94" s="1" t="s">
        <v>14</v>
      </c>
      <c r="I94" s="2">
        <v>5137.22</v>
      </c>
      <c r="J94" s="2">
        <v>3161.08</v>
      </c>
      <c r="K94" s="2">
        <v>3815.56</v>
      </c>
      <c r="L94" s="2">
        <v>2242.98</v>
      </c>
      <c r="O94" s="1" t="s">
        <v>14</v>
      </c>
      <c r="P94" s="2">
        <v>5137.22</v>
      </c>
      <c r="Q94" s="2">
        <v>3161.08</v>
      </c>
      <c r="R94" s="2">
        <v>3815.56</v>
      </c>
      <c r="S94" s="2">
        <v>2242.98</v>
      </c>
      <c r="V94" s="1" t="s">
        <v>14</v>
      </c>
      <c r="W94" s="2">
        <v>7.21</v>
      </c>
      <c r="X94" s="2">
        <v>7.21</v>
      </c>
      <c r="Y94" s="2">
        <v>6.26</v>
      </c>
      <c r="Z94" s="2">
        <v>6.44</v>
      </c>
    </row>
    <row r="95" spans="2:26" x14ac:dyDescent="0.35">
      <c r="B95" s="1" t="s">
        <v>15</v>
      </c>
      <c r="C95" s="2">
        <v>9746.59</v>
      </c>
      <c r="D95" s="2">
        <v>16911.12</v>
      </c>
      <c r="E95" s="2">
        <v>4756.4799999999996</v>
      </c>
      <c r="F95" s="2">
        <v>13250.43</v>
      </c>
      <c r="H95" s="1" t="s">
        <v>15</v>
      </c>
      <c r="I95" s="2">
        <v>13085.39</v>
      </c>
      <c r="J95" s="2">
        <v>10209.379999999999</v>
      </c>
      <c r="K95" s="2">
        <v>15255.09</v>
      </c>
      <c r="L95" s="2">
        <v>9970.33</v>
      </c>
      <c r="O95" s="1" t="s">
        <v>15</v>
      </c>
      <c r="P95" s="2">
        <v>13085.39</v>
      </c>
      <c r="Q95" s="2">
        <v>10209.379999999999</v>
      </c>
      <c r="R95" s="2">
        <v>15255.09</v>
      </c>
      <c r="S95" s="2">
        <v>9970.33</v>
      </c>
      <c r="V95" s="1" t="s">
        <v>15</v>
      </c>
      <c r="W95" s="2">
        <v>21.63</v>
      </c>
      <c r="X95" s="2">
        <v>21.63</v>
      </c>
      <c r="Y95" s="2">
        <v>12.88</v>
      </c>
      <c r="Z95" s="2">
        <v>19.309999999999999</v>
      </c>
    </row>
    <row r="96" spans="2:26" x14ac:dyDescent="0.35">
      <c r="B96" s="1" t="s">
        <v>16</v>
      </c>
      <c r="C96" s="2">
        <v>2115.2399999999998</v>
      </c>
      <c r="D96" s="2">
        <v>1866.13</v>
      </c>
      <c r="E96" s="2">
        <v>2143.17</v>
      </c>
      <c r="F96" s="2">
        <v>2722.5</v>
      </c>
      <c r="H96" s="1" t="s">
        <v>16</v>
      </c>
      <c r="I96" s="2">
        <v>4045.8</v>
      </c>
      <c r="J96" s="2">
        <v>2670.31</v>
      </c>
      <c r="K96" s="2">
        <v>3904.23</v>
      </c>
      <c r="L96" s="2">
        <v>3361.32</v>
      </c>
      <c r="O96" s="1" t="s">
        <v>16</v>
      </c>
      <c r="P96" s="2">
        <v>4045.8</v>
      </c>
      <c r="Q96" s="2">
        <v>2670.31</v>
      </c>
      <c r="R96" s="2">
        <v>3904.23</v>
      </c>
      <c r="S96" s="2">
        <v>3361.32</v>
      </c>
      <c r="V96" s="1" t="s">
        <v>16</v>
      </c>
      <c r="W96" s="2">
        <v>7.21</v>
      </c>
      <c r="X96" s="2">
        <v>7.21</v>
      </c>
      <c r="Y96" s="2">
        <v>11.92</v>
      </c>
      <c r="Z96" s="2">
        <v>12.88</v>
      </c>
    </row>
    <row r="97" spans="2:26" x14ac:dyDescent="0.35">
      <c r="B97" s="1" t="s">
        <v>17</v>
      </c>
      <c r="C97" s="2">
        <v>8934.5</v>
      </c>
      <c r="D97" s="2">
        <v>8142.68</v>
      </c>
      <c r="E97" s="2">
        <v>8453.75</v>
      </c>
      <c r="F97" s="2">
        <v>7507.02</v>
      </c>
      <c r="H97" s="1" t="s">
        <v>17</v>
      </c>
      <c r="I97" s="2">
        <v>20370.09</v>
      </c>
      <c r="J97" s="2">
        <v>19545.37</v>
      </c>
      <c r="K97" s="2">
        <v>20548.04</v>
      </c>
      <c r="L97" s="2">
        <v>19101.29</v>
      </c>
      <c r="O97" s="1" t="s">
        <v>17</v>
      </c>
      <c r="P97" s="2">
        <v>20370.09</v>
      </c>
      <c r="Q97" s="2">
        <v>19545.37</v>
      </c>
      <c r="R97" s="2">
        <v>20548.04</v>
      </c>
      <c r="S97" s="2">
        <v>19101.29</v>
      </c>
      <c r="V97" s="1" t="s">
        <v>17</v>
      </c>
      <c r="W97" s="2">
        <v>7.21</v>
      </c>
      <c r="X97" s="2">
        <v>7.21</v>
      </c>
      <c r="Y97" s="2">
        <v>6.44</v>
      </c>
      <c r="Z97" s="2">
        <v>6.44</v>
      </c>
    </row>
    <row r="98" spans="2:26" x14ac:dyDescent="0.35">
      <c r="B98" s="1" t="s">
        <v>18</v>
      </c>
      <c r="C98" s="2">
        <v>2272.29</v>
      </c>
      <c r="D98" s="2">
        <v>823.87</v>
      </c>
      <c r="E98" s="2">
        <v>2357.36</v>
      </c>
      <c r="F98" s="2">
        <v>1578.59</v>
      </c>
      <c r="H98" s="1" t="s">
        <v>18</v>
      </c>
      <c r="I98" s="2">
        <v>3938.11</v>
      </c>
      <c r="J98" s="2">
        <v>4083.85</v>
      </c>
      <c r="K98" s="2">
        <v>3878.59</v>
      </c>
      <c r="L98" s="2">
        <v>4547.2</v>
      </c>
      <c r="O98" s="1" t="s">
        <v>18</v>
      </c>
      <c r="P98" s="2">
        <v>3938.11</v>
      </c>
      <c r="Q98" s="2">
        <v>4083.85</v>
      </c>
      <c r="R98" s="2">
        <v>3878.59</v>
      </c>
      <c r="S98" s="2">
        <v>4547.2</v>
      </c>
      <c r="V98" s="1" t="s">
        <v>18</v>
      </c>
      <c r="W98" s="2">
        <v>14.42</v>
      </c>
      <c r="X98" s="2">
        <v>7.21</v>
      </c>
      <c r="Y98" s="2">
        <v>13.43</v>
      </c>
      <c r="Z98" s="2">
        <v>13.43</v>
      </c>
    </row>
    <row r="99" spans="2:26" x14ac:dyDescent="0.35">
      <c r="B99" s="1" t="s">
        <v>19</v>
      </c>
      <c r="C99" s="2">
        <v>11506.38</v>
      </c>
      <c r="D99" s="2">
        <v>12663.27</v>
      </c>
      <c r="E99" s="2">
        <v>8560.24</v>
      </c>
      <c r="F99" s="2">
        <v>5853.21</v>
      </c>
      <c r="H99" s="1" t="s">
        <v>19</v>
      </c>
      <c r="I99" s="2">
        <v>11944.33</v>
      </c>
      <c r="J99" s="2">
        <v>11861.64</v>
      </c>
      <c r="K99" s="2">
        <v>14591.64</v>
      </c>
      <c r="L99" s="2">
        <v>12012.1</v>
      </c>
      <c r="O99" s="1" t="s">
        <v>19</v>
      </c>
      <c r="P99" s="2">
        <v>11944.33</v>
      </c>
      <c r="Q99" s="2">
        <v>11861.64</v>
      </c>
      <c r="R99" s="2">
        <v>14591.64</v>
      </c>
      <c r="S99" s="2">
        <v>12012.1</v>
      </c>
      <c r="V99" s="1" t="s">
        <v>19</v>
      </c>
      <c r="W99" s="2">
        <v>21.63</v>
      </c>
      <c r="X99" s="2">
        <v>21.63</v>
      </c>
      <c r="Y99" s="2">
        <v>19.309999999999999</v>
      </c>
      <c r="Z99" s="2">
        <v>13.47</v>
      </c>
    </row>
    <row r="100" spans="2:26" x14ac:dyDescent="0.35">
      <c r="B100" s="1" t="s">
        <v>20</v>
      </c>
      <c r="C100" s="2">
        <v>2176.4499999999998</v>
      </c>
      <c r="D100" s="2">
        <v>1231.92</v>
      </c>
      <c r="E100" s="2">
        <v>455.45</v>
      </c>
      <c r="F100" s="2">
        <v>404.02</v>
      </c>
      <c r="H100" s="1" t="s">
        <v>20</v>
      </c>
      <c r="I100" s="2">
        <v>6275.15</v>
      </c>
      <c r="J100" s="2">
        <v>4727.6400000000003</v>
      </c>
      <c r="K100" s="2">
        <v>7755.39</v>
      </c>
      <c r="L100" s="2">
        <v>5931.08</v>
      </c>
      <c r="O100" s="1" t="s">
        <v>20</v>
      </c>
      <c r="P100" s="2">
        <v>6275.15</v>
      </c>
      <c r="Q100" s="2">
        <v>4727.6400000000003</v>
      </c>
      <c r="R100" s="2">
        <v>7755.39</v>
      </c>
      <c r="S100" s="2">
        <v>5931.08</v>
      </c>
      <c r="V100" s="1" t="s">
        <v>20</v>
      </c>
      <c r="W100" s="2">
        <v>6.43</v>
      </c>
      <c r="X100" s="2">
        <v>3.73</v>
      </c>
      <c r="Y100" s="2">
        <v>1.59</v>
      </c>
      <c r="Z100" s="2">
        <v>1.45</v>
      </c>
    </row>
    <row r="103" spans="2:26" x14ac:dyDescent="0.35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5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5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5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5">
      <c r="B107" s="1" t="s">
        <v>13</v>
      </c>
      <c r="C107" s="2">
        <v>1.8077186160454589E-2</v>
      </c>
      <c r="D107" s="2">
        <v>1.350017138812884E-2</v>
      </c>
      <c r="E107" s="2">
        <v>1.7718174421980811E-2</v>
      </c>
      <c r="F107" s="2">
        <v>1.364267349059183E-2</v>
      </c>
      <c r="H107" s="1" t="s">
        <v>13</v>
      </c>
      <c r="I107" s="2">
        <v>1735.78</v>
      </c>
      <c r="J107" s="2">
        <v>1128.7</v>
      </c>
      <c r="K107" s="2">
        <v>1513.27</v>
      </c>
      <c r="L107" s="2">
        <v>958.09</v>
      </c>
      <c r="O107" s="1" t="s">
        <v>13</v>
      </c>
      <c r="P107" s="2">
        <v>15622.05</v>
      </c>
      <c r="Q107" s="2">
        <v>10158.34</v>
      </c>
      <c r="R107" s="2">
        <v>13619.47</v>
      </c>
      <c r="S107" s="2">
        <v>8622.81</v>
      </c>
      <c r="V107" s="1" t="s">
        <v>13</v>
      </c>
      <c r="W107" s="2">
        <v>6.49</v>
      </c>
      <c r="X107" s="2">
        <v>6.49</v>
      </c>
      <c r="Y107" s="2">
        <v>5.79</v>
      </c>
      <c r="Z107" s="2">
        <v>5.79</v>
      </c>
    </row>
    <row r="108" spans="2:26" x14ac:dyDescent="0.35">
      <c r="B108" s="1" t="s">
        <v>14</v>
      </c>
      <c r="C108" s="2">
        <v>4.0589700758272673E-2</v>
      </c>
      <c r="D108" s="2">
        <v>3.1926117911325928E-2</v>
      </c>
      <c r="E108" s="2">
        <v>3.1021081629929951E-2</v>
      </c>
      <c r="F108" s="2">
        <v>2.502117093127337E-2</v>
      </c>
      <c r="H108" s="1" t="s">
        <v>14</v>
      </c>
      <c r="I108" s="2">
        <v>1834.72</v>
      </c>
      <c r="J108" s="2">
        <v>1362.7</v>
      </c>
      <c r="K108" s="2">
        <v>1264.43</v>
      </c>
      <c r="L108" s="2">
        <v>897.19</v>
      </c>
      <c r="O108" s="1" t="s">
        <v>14</v>
      </c>
      <c r="P108" s="2">
        <v>6616.62</v>
      </c>
      <c r="Q108" s="2">
        <v>4069.65</v>
      </c>
      <c r="R108" s="2">
        <v>7352.73</v>
      </c>
      <c r="S108" s="2">
        <v>2230.1</v>
      </c>
      <c r="V108" s="1" t="s">
        <v>14</v>
      </c>
      <c r="W108" s="2">
        <v>21.63</v>
      </c>
      <c r="X108" s="2">
        <v>21.63</v>
      </c>
      <c r="Y108" s="2">
        <v>18.77</v>
      </c>
      <c r="Z108" s="2">
        <v>19.309999999999999</v>
      </c>
    </row>
    <row r="109" spans="2:26" x14ac:dyDescent="0.35">
      <c r="B109" s="1" t="s">
        <v>15</v>
      </c>
      <c r="C109" s="2">
        <v>0.32456936212021598</v>
      </c>
      <c r="D109" s="2">
        <v>0.37820964249144401</v>
      </c>
      <c r="E109" s="2">
        <v>0.21504696563786549</v>
      </c>
      <c r="F109" s="2">
        <v>0.33920068921375313</v>
      </c>
      <c r="H109" s="1" t="s">
        <v>15</v>
      </c>
      <c r="I109" s="2">
        <v>4673.3599999999997</v>
      </c>
      <c r="J109" s="2">
        <v>5448.25</v>
      </c>
      <c r="K109" s="2">
        <v>4083.75</v>
      </c>
      <c r="L109" s="2">
        <v>3988.13</v>
      </c>
      <c r="O109" s="1" t="s">
        <v>15</v>
      </c>
      <c r="P109" s="2">
        <v>15149.65</v>
      </c>
      <c r="Q109" s="2">
        <v>15155.67</v>
      </c>
      <c r="R109" s="2">
        <v>23579.16</v>
      </c>
      <c r="S109" s="2">
        <v>9923.24</v>
      </c>
      <c r="V109" s="1" t="s">
        <v>15</v>
      </c>
      <c r="W109" s="2">
        <v>64.89</v>
      </c>
      <c r="X109" s="2">
        <v>64.89</v>
      </c>
      <c r="Y109" s="2">
        <v>38.630000000000003</v>
      </c>
      <c r="Z109" s="2">
        <v>57.94</v>
      </c>
    </row>
    <row r="110" spans="2:26" x14ac:dyDescent="0.35">
      <c r="B110" s="1" t="s">
        <v>16</v>
      </c>
      <c r="C110" s="2">
        <v>3.7674732859223153E-2</v>
      </c>
      <c r="D110" s="2">
        <v>3.4244526688146933E-2</v>
      </c>
      <c r="E110" s="2">
        <v>5.7566608837304439E-2</v>
      </c>
      <c r="F110" s="2">
        <v>7.6709178220084315E-2</v>
      </c>
      <c r="H110" s="1" t="s">
        <v>16</v>
      </c>
      <c r="I110" s="2">
        <v>1444.93</v>
      </c>
      <c r="J110" s="2">
        <v>1394.37</v>
      </c>
      <c r="K110" s="2">
        <v>1068.1199999999999</v>
      </c>
      <c r="L110" s="2">
        <v>1344.53</v>
      </c>
      <c r="O110" s="1" t="s">
        <v>16</v>
      </c>
      <c r="P110" s="2">
        <v>3393</v>
      </c>
      <c r="Q110" s="2">
        <v>3250.75</v>
      </c>
      <c r="R110" s="2">
        <v>5985.6</v>
      </c>
      <c r="S110" s="2">
        <v>5033.13</v>
      </c>
      <c r="V110" s="1" t="s">
        <v>16</v>
      </c>
      <c r="W110" s="2">
        <v>21.63</v>
      </c>
      <c r="X110" s="2">
        <v>21.63</v>
      </c>
      <c r="Y110" s="2">
        <v>35.770000000000003</v>
      </c>
      <c r="Z110" s="2">
        <v>38.630000000000003</v>
      </c>
    </row>
    <row r="111" spans="2:26" x14ac:dyDescent="0.35">
      <c r="B111" s="1" t="s">
        <v>17</v>
      </c>
      <c r="C111" s="2">
        <v>0.18312058076298859</v>
      </c>
      <c r="D111" s="2">
        <v>0.1677162932204958</v>
      </c>
      <c r="E111" s="2">
        <v>0.22434198709525729</v>
      </c>
      <c r="F111" s="2">
        <v>0.2065368703715266</v>
      </c>
      <c r="H111" s="1" t="s">
        <v>17</v>
      </c>
      <c r="I111" s="2">
        <v>7275.03</v>
      </c>
      <c r="J111" s="2">
        <v>7338.59</v>
      </c>
      <c r="K111" s="2">
        <v>7818.15</v>
      </c>
      <c r="L111" s="2">
        <v>7640.52</v>
      </c>
      <c r="O111" s="1" t="s">
        <v>17</v>
      </c>
      <c r="P111" s="2">
        <v>19531.14</v>
      </c>
      <c r="Q111" s="2">
        <v>19517.099999999999</v>
      </c>
      <c r="R111" s="2">
        <v>21951.07</v>
      </c>
      <c r="S111" s="2">
        <v>20802.02</v>
      </c>
      <c r="V111" s="1" t="s">
        <v>17</v>
      </c>
      <c r="W111" s="2">
        <v>21.63</v>
      </c>
      <c r="X111" s="2">
        <v>21.63</v>
      </c>
      <c r="Y111" s="2">
        <v>19.309999999999999</v>
      </c>
      <c r="Z111" s="2">
        <v>19.309999999999999</v>
      </c>
    </row>
    <row r="112" spans="2:26" x14ac:dyDescent="0.35">
      <c r="B112" s="1" t="s">
        <v>18</v>
      </c>
      <c r="C112" s="2">
        <v>6.4154557381934887E-2</v>
      </c>
      <c r="D112" s="2">
        <v>2.7699320259426449E-2</v>
      </c>
      <c r="E112" s="2">
        <v>8.8366123495755414E-2</v>
      </c>
      <c r="F112" s="2">
        <v>8.8568648473327141E-2</v>
      </c>
      <c r="H112" s="1" t="s">
        <v>18</v>
      </c>
      <c r="I112" s="2">
        <v>1406.47</v>
      </c>
      <c r="J112" s="2">
        <v>1385.21</v>
      </c>
      <c r="K112" s="2">
        <v>1633.54</v>
      </c>
      <c r="L112" s="2">
        <v>1818.88</v>
      </c>
      <c r="O112" s="1" t="s">
        <v>18</v>
      </c>
      <c r="P112" s="2">
        <v>4593.57</v>
      </c>
      <c r="Q112" s="2">
        <v>2782.14</v>
      </c>
      <c r="R112" s="2">
        <v>5863.93</v>
      </c>
      <c r="S112" s="2">
        <v>7084.15</v>
      </c>
      <c r="V112" s="1" t="s">
        <v>18</v>
      </c>
      <c r="W112" s="2">
        <v>43.26</v>
      </c>
      <c r="X112" s="2">
        <v>21.63</v>
      </c>
      <c r="Y112" s="2">
        <v>40.28</v>
      </c>
      <c r="Z112" s="2">
        <v>40.29</v>
      </c>
    </row>
    <row r="113" spans="2:26" x14ac:dyDescent="0.35">
      <c r="B113" s="1" t="s">
        <v>19</v>
      </c>
      <c r="C113" s="2">
        <v>0.28654437918983638</v>
      </c>
      <c r="D113" s="2">
        <v>0.31806583423629109</v>
      </c>
      <c r="E113" s="2">
        <v>0.35385960808197592</v>
      </c>
      <c r="F113" s="2">
        <v>0.23768786149747109</v>
      </c>
      <c r="H113" s="1" t="s">
        <v>19</v>
      </c>
      <c r="I113" s="2">
        <v>4265.83</v>
      </c>
      <c r="J113" s="2">
        <v>5211.3</v>
      </c>
      <c r="K113" s="2">
        <v>4744.6499999999996</v>
      </c>
      <c r="L113" s="2">
        <v>4804.84</v>
      </c>
      <c r="O113" s="1" t="s">
        <v>19</v>
      </c>
      <c r="P113" s="2">
        <v>9323.02</v>
      </c>
      <c r="Q113" s="2">
        <v>11953.44</v>
      </c>
      <c r="R113" s="2">
        <v>16917.21</v>
      </c>
      <c r="S113" s="2">
        <v>18039.84</v>
      </c>
      <c r="V113" s="1" t="s">
        <v>19</v>
      </c>
      <c r="W113" s="2">
        <v>64.89</v>
      </c>
      <c r="X113" s="2">
        <v>64.89</v>
      </c>
      <c r="Y113" s="2">
        <v>57.94</v>
      </c>
      <c r="Z113" s="2">
        <v>40.409999999999997</v>
      </c>
    </row>
    <row r="114" spans="2:26" x14ac:dyDescent="0.35">
      <c r="B114" s="1" t="s">
        <v>20</v>
      </c>
      <c r="C114" s="2">
        <v>4.5269500767073853E-2</v>
      </c>
      <c r="D114" s="2">
        <v>2.8638093804740899E-2</v>
      </c>
      <c r="E114" s="2">
        <v>1.207945079993057E-2</v>
      </c>
      <c r="F114" s="2">
        <v>1.263290780197252E-2</v>
      </c>
      <c r="H114" s="1" t="s">
        <v>20</v>
      </c>
      <c r="I114" s="2">
        <v>2241.13</v>
      </c>
      <c r="J114" s="2">
        <v>2769.78</v>
      </c>
      <c r="K114" s="2">
        <v>1891.06</v>
      </c>
      <c r="L114" s="2">
        <v>2372.4299999999998</v>
      </c>
      <c r="O114" s="1" t="s">
        <v>20</v>
      </c>
      <c r="P114" s="2">
        <v>8969.35</v>
      </c>
      <c r="Q114" s="2">
        <v>10878.87</v>
      </c>
      <c r="R114" s="2">
        <v>7589.18</v>
      </c>
      <c r="S114" s="2">
        <v>9226.5</v>
      </c>
      <c r="V114" s="1" t="s">
        <v>20</v>
      </c>
      <c r="W114" s="2">
        <v>19.28</v>
      </c>
      <c r="X114" s="2">
        <v>11.2</v>
      </c>
      <c r="Y114" s="2">
        <v>4.7699999999999996</v>
      </c>
      <c r="Z114" s="2">
        <v>4.3600000000000003</v>
      </c>
    </row>
    <row r="117" spans="2:26" x14ac:dyDescent="0.35">
      <c r="H117" t="s">
        <v>49</v>
      </c>
      <c r="O117" t="s">
        <v>50</v>
      </c>
      <c r="V117" t="s">
        <v>51</v>
      </c>
    </row>
    <row r="118" spans="2:26" x14ac:dyDescent="0.35">
      <c r="H118" s="1" t="s">
        <v>8</v>
      </c>
      <c r="I118" s="5" t="s">
        <v>9</v>
      </c>
      <c r="J118" s="5"/>
      <c r="K118" s="5" t="s">
        <v>10</v>
      </c>
      <c r="L118" s="5"/>
      <c r="O118" s="1" t="s">
        <v>8</v>
      </c>
      <c r="P118" s="5" t="s">
        <v>9</v>
      </c>
      <c r="Q118" s="5"/>
      <c r="R118" s="5" t="s">
        <v>10</v>
      </c>
      <c r="S118" s="5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5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5">
      <c r="H120" s="1" t="s">
        <v>12</v>
      </c>
      <c r="O120" s="1" t="s">
        <v>12</v>
      </c>
      <c r="V120" s="1" t="s">
        <v>12</v>
      </c>
    </row>
    <row r="121" spans="2:26" x14ac:dyDescent="0.35">
      <c r="H121" s="1" t="s">
        <v>13</v>
      </c>
      <c r="I121" s="2">
        <v>149.33000000000001</v>
      </c>
      <c r="J121" s="2">
        <v>115.71</v>
      </c>
      <c r="K121" s="2">
        <v>183.22</v>
      </c>
      <c r="L121" s="2">
        <v>137.72</v>
      </c>
      <c r="O121" s="1" t="s">
        <v>13</v>
      </c>
      <c r="P121" s="2">
        <v>149.33000000000001</v>
      </c>
      <c r="Q121" s="2">
        <v>115.71</v>
      </c>
      <c r="R121" s="2">
        <v>183.22</v>
      </c>
      <c r="S121" s="2">
        <v>137.72</v>
      </c>
      <c r="V121" s="1" t="s">
        <v>13</v>
      </c>
      <c r="W121" s="2">
        <v>10461.39</v>
      </c>
      <c r="X121" s="2">
        <v>35830.79</v>
      </c>
      <c r="Y121" s="2">
        <v>39689.32</v>
      </c>
      <c r="Z121" s="2">
        <v>39427.519999999997</v>
      </c>
    </row>
    <row r="122" spans="2:26" x14ac:dyDescent="0.35">
      <c r="H122" s="1" t="s">
        <v>14</v>
      </c>
      <c r="I122" s="2">
        <v>156.71</v>
      </c>
      <c r="J122" s="2">
        <v>97.41</v>
      </c>
      <c r="K122" s="2">
        <v>154.97999999999999</v>
      </c>
      <c r="L122" s="2">
        <v>91.21</v>
      </c>
      <c r="O122" s="1" t="s">
        <v>14</v>
      </c>
      <c r="P122" s="2">
        <v>156.71</v>
      </c>
      <c r="Q122" s="2">
        <v>97.41</v>
      </c>
      <c r="R122" s="2">
        <v>154.97999999999999</v>
      </c>
      <c r="S122" s="2">
        <v>91.21</v>
      </c>
      <c r="V122" s="1" t="s">
        <v>14</v>
      </c>
      <c r="W122" s="2">
        <v>394.78</v>
      </c>
      <c r="X122" s="2">
        <v>404.37</v>
      </c>
      <c r="Y122" s="2">
        <v>729.26</v>
      </c>
      <c r="Z122" s="2">
        <v>487.09</v>
      </c>
    </row>
    <row r="123" spans="2:26" x14ac:dyDescent="0.35">
      <c r="H123" s="1" t="s">
        <v>15</v>
      </c>
      <c r="I123" s="2">
        <v>514.83000000000004</v>
      </c>
      <c r="J123" s="2">
        <v>407.21</v>
      </c>
      <c r="K123" s="2">
        <v>663.11</v>
      </c>
      <c r="L123" s="2">
        <v>469.23</v>
      </c>
      <c r="O123" s="1" t="s">
        <v>15</v>
      </c>
      <c r="P123" s="2">
        <v>514.83000000000004</v>
      </c>
      <c r="Q123" s="2">
        <v>407.21</v>
      </c>
      <c r="R123" s="2">
        <v>663.11</v>
      </c>
      <c r="S123" s="2">
        <v>469.23</v>
      </c>
      <c r="V123" s="1" t="s">
        <v>15</v>
      </c>
      <c r="W123" s="2">
        <v>341.84</v>
      </c>
      <c r="X123" s="2">
        <v>296.01</v>
      </c>
      <c r="Y123" s="2">
        <v>623.04999999999995</v>
      </c>
      <c r="Z123" s="2">
        <v>308.79000000000002</v>
      </c>
    </row>
    <row r="124" spans="2:26" x14ac:dyDescent="0.35">
      <c r="H124" s="1" t="s">
        <v>16</v>
      </c>
      <c r="I124" s="2">
        <v>208.82</v>
      </c>
      <c r="J124" s="2">
        <v>140.26</v>
      </c>
      <c r="K124" s="2">
        <v>211.92</v>
      </c>
      <c r="L124" s="2">
        <v>183.27</v>
      </c>
      <c r="O124" s="1" t="s">
        <v>16</v>
      </c>
      <c r="P124" s="2">
        <v>208.82</v>
      </c>
      <c r="Q124" s="2">
        <v>140.26</v>
      </c>
      <c r="R124" s="2">
        <v>211.92</v>
      </c>
      <c r="S124" s="2">
        <v>183.27</v>
      </c>
      <c r="V124" s="1" t="s">
        <v>16</v>
      </c>
      <c r="W124" s="2">
        <v>321.52</v>
      </c>
      <c r="X124" s="2">
        <v>333.22</v>
      </c>
      <c r="Y124" s="2">
        <v>501.3</v>
      </c>
      <c r="Z124" s="2">
        <v>357.04</v>
      </c>
    </row>
    <row r="125" spans="2:26" x14ac:dyDescent="0.35">
      <c r="H125" s="1" t="s">
        <v>17</v>
      </c>
      <c r="I125" s="2">
        <v>971.18</v>
      </c>
      <c r="J125" s="2">
        <v>939.06</v>
      </c>
      <c r="K125" s="2">
        <v>912.26</v>
      </c>
      <c r="L125" s="2">
        <v>848.88</v>
      </c>
      <c r="O125" s="1" t="s">
        <v>17</v>
      </c>
      <c r="P125" s="2">
        <v>971.18</v>
      </c>
      <c r="Q125" s="2">
        <v>939.06</v>
      </c>
      <c r="R125" s="2">
        <v>912.26</v>
      </c>
      <c r="S125" s="2">
        <v>848.88</v>
      </c>
      <c r="V125" s="1" t="s">
        <v>17</v>
      </c>
      <c r="W125" s="2">
        <v>354.24</v>
      </c>
      <c r="X125" s="2">
        <v>364.72</v>
      </c>
      <c r="Y125" s="2">
        <v>348.69</v>
      </c>
      <c r="Z125" s="2">
        <v>360.73</v>
      </c>
    </row>
    <row r="126" spans="2:26" x14ac:dyDescent="0.35">
      <c r="H126" s="1" t="s">
        <v>18</v>
      </c>
      <c r="I126" s="2">
        <v>117.21</v>
      </c>
      <c r="J126" s="2">
        <v>121.71</v>
      </c>
      <c r="K126" s="2">
        <v>70.37</v>
      </c>
      <c r="L126" s="2">
        <v>84.06</v>
      </c>
      <c r="O126" s="1" t="s">
        <v>18</v>
      </c>
      <c r="P126" s="2">
        <v>117.21</v>
      </c>
      <c r="Q126" s="2">
        <v>121.71</v>
      </c>
      <c r="R126" s="2">
        <v>70.37</v>
      </c>
      <c r="S126" s="2">
        <v>84.06</v>
      </c>
      <c r="V126" s="1" t="s">
        <v>18</v>
      </c>
      <c r="W126" s="2">
        <v>394.37</v>
      </c>
      <c r="X126" s="2">
        <v>440.57</v>
      </c>
      <c r="Y126" s="2">
        <v>382.66</v>
      </c>
      <c r="Z126" s="2">
        <v>396.65</v>
      </c>
    </row>
    <row r="127" spans="2:26" x14ac:dyDescent="0.35">
      <c r="H127" s="1" t="s">
        <v>19</v>
      </c>
      <c r="I127" s="2">
        <v>297.39</v>
      </c>
      <c r="J127" s="2">
        <v>288.18</v>
      </c>
      <c r="K127" s="2">
        <v>294.41000000000003</v>
      </c>
      <c r="L127" s="2">
        <v>243.84</v>
      </c>
      <c r="O127" s="1" t="s">
        <v>19</v>
      </c>
      <c r="P127" s="2">
        <v>297.39</v>
      </c>
      <c r="Q127" s="2">
        <v>288.18</v>
      </c>
      <c r="R127" s="2">
        <v>294.41000000000003</v>
      </c>
      <c r="S127" s="2">
        <v>243.84</v>
      </c>
      <c r="V127" s="1" t="s">
        <v>19</v>
      </c>
      <c r="W127" s="2">
        <v>352.74</v>
      </c>
      <c r="X127" s="2">
        <v>342.43</v>
      </c>
      <c r="Y127" s="2">
        <v>433.22</v>
      </c>
      <c r="Z127" s="2">
        <v>529.55999999999995</v>
      </c>
    </row>
    <row r="128" spans="2:26" x14ac:dyDescent="0.35">
      <c r="H128" s="1" t="s">
        <v>20</v>
      </c>
      <c r="I128" s="2">
        <v>138.31</v>
      </c>
      <c r="J128" s="2">
        <v>103.53</v>
      </c>
      <c r="K128" s="2">
        <v>96.09</v>
      </c>
      <c r="L128" s="2">
        <v>73.099999999999994</v>
      </c>
      <c r="O128" s="1" t="s">
        <v>20</v>
      </c>
      <c r="P128" s="2">
        <v>138.31</v>
      </c>
      <c r="Q128" s="2">
        <v>103.53</v>
      </c>
      <c r="R128" s="2">
        <v>96.09</v>
      </c>
      <c r="S128" s="2">
        <v>73.099999999999994</v>
      </c>
      <c r="V128" s="1" t="s">
        <v>20</v>
      </c>
      <c r="W128" s="2">
        <v>1304.94</v>
      </c>
      <c r="X128" s="2">
        <v>2252.84</v>
      </c>
      <c r="Y128" s="2">
        <v>17434.55</v>
      </c>
      <c r="Z128" s="2">
        <v>10897.58</v>
      </c>
    </row>
    <row r="131" spans="8:19" x14ac:dyDescent="0.35">
      <c r="H131" t="s">
        <v>52</v>
      </c>
      <c r="O131" t="s">
        <v>53</v>
      </c>
    </row>
    <row r="132" spans="8:19" x14ac:dyDescent="0.35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5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5">
      <c r="H134" s="1" t="s">
        <v>12</v>
      </c>
      <c r="O134" s="1" t="s">
        <v>12</v>
      </c>
    </row>
    <row r="135" spans="8:19" x14ac:dyDescent="0.35">
      <c r="H135" s="1" t="s">
        <v>13</v>
      </c>
      <c r="I135" s="2">
        <v>53.33</v>
      </c>
      <c r="J135" s="2">
        <v>65.44</v>
      </c>
      <c r="K135" s="2">
        <v>46.28</v>
      </c>
      <c r="L135" s="2">
        <v>55.09</v>
      </c>
      <c r="O135" s="1" t="s">
        <v>13</v>
      </c>
      <c r="P135" s="2">
        <v>480</v>
      </c>
      <c r="Q135" s="2">
        <v>588.91999999999996</v>
      </c>
      <c r="R135" s="2">
        <v>416.56</v>
      </c>
      <c r="S135" s="2">
        <v>495.81</v>
      </c>
    </row>
    <row r="136" spans="8:19" x14ac:dyDescent="0.35">
      <c r="H136" s="1" t="s">
        <v>14</v>
      </c>
      <c r="I136" s="2">
        <v>55.97</v>
      </c>
      <c r="J136" s="2">
        <v>55.35</v>
      </c>
      <c r="K136" s="2">
        <v>38.97</v>
      </c>
      <c r="L136" s="2">
        <v>36.479999999999997</v>
      </c>
      <c r="O136" s="1" t="s">
        <v>14</v>
      </c>
      <c r="P136" s="2">
        <v>199.39</v>
      </c>
      <c r="Q136" s="2">
        <v>164.11</v>
      </c>
      <c r="R136" s="2">
        <v>221.33</v>
      </c>
      <c r="S136" s="2">
        <v>90.39</v>
      </c>
    </row>
    <row r="137" spans="8:19" x14ac:dyDescent="0.35">
      <c r="H137" s="1" t="s">
        <v>15</v>
      </c>
      <c r="I137" s="2">
        <v>183.87</v>
      </c>
      <c r="J137" s="2">
        <v>236.83</v>
      </c>
      <c r="K137" s="2">
        <v>162.88</v>
      </c>
      <c r="L137" s="2">
        <v>187.69</v>
      </c>
      <c r="O137" s="1" t="s">
        <v>15</v>
      </c>
      <c r="P137" s="2">
        <v>584.1</v>
      </c>
      <c r="Q137" s="2">
        <v>644.16</v>
      </c>
      <c r="R137" s="2">
        <v>906.59</v>
      </c>
      <c r="S137" s="2">
        <v>461.34</v>
      </c>
    </row>
    <row r="138" spans="8:19" x14ac:dyDescent="0.35">
      <c r="H138" s="1" t="s">
        <v>16</v>
      </c>
      <c r="I138" s="2">
        <v>74.58</v>
      </c>
      <c r="J138" s="2">
        <v>75.69</v>
      </c>
      <c r="K138" s="2">
        <v>56.1</v>
      </c>
      <c r="L138" s="2">
        <v>73.31</v>
      </c>
      <c r="O138" s="1" t="s">
        <v>16</v>
      </c>
      <c r="P138" s="2">
        <v>174.16</v>
      </c>
      <c r="Q138" s="2">
        <v>175.47</v>
      </c>
      <c r="R138" s="2">
        <v>306.85000000000002</v>
      </c>
      <c r="S138" s="2">
        <v>270.17</v>
      </c>
    </row>
    <row r="139" spans="8:19" x14ac:dyDescent="0.35">
      <c r="H139" s="1" t="s">
        <v>17</v>
      </c>
      <c r="I139" s="2">
        <v>346.85</v>
      </c>
      <c r="J139" s="2">
        <v>325.81</v>
      </c>
      <c r="K139" s="2">
        <v>375.63</v>
      </c>
      <c r="L139" s="2">
        <v>339.55</v>
      </c>
      <c r="O139" s="1" t="s">
        <v>17</v>
      </c>
      <c r="P139" s="2">
        <v>925.2</v>
      </c>
      <c r="Q139" s="2">
        <v>860.5</v>
      </c>
      <c r="R139" s="2">
        <v>1047.6600000000001</v>
      </c>
      <c r="S139" s="2">
        <v>918.29</v>
      </c>
    </row>
    <row r="140" spans="8:19" x14ac:dyDescent="0.35">
      <c r="H140" s="1" t="s">
        <v>18</v>
      </c>
      <c r="I140" s="2">
        <v>41.86</v>
      </c>
      <c r="J140" s="2">
        <v>25.13</v>
      </c>
      <c r="K140" s="2">
        <v>48.68</v>
      </c>
      <c r="L140" s="2">
        <v>33.619999999999997</v>
      </c>
      <c r="O140" s="1" t="s">
        <v>18</v>
      </c>
      <c r="P140" s="2">
        <v>134.57</v>
      </c>
      <c r="Q140" s="2">
        <v>50.22</v>
      </c>
      <c r="R140" s="2">
        <v>171.41</v>
      </c>
      <c r="S140" s="2">
        <v>127.29</v>
      </c>
    </row>
    <row r="141" spans="8:19" x14ac:dyDescent="0.35">
      <c r="H141" s="1" t="s">
        <v>19</v>
      </c>
      <c r="I141" s="2">
        <v>106.21</v>
      </c>
      <c r="J141" s="2">
        <v>105.15</v>
      </c>
      <c r="K141" s="2">
        <v>115.27</v>
      </c>
      <c r="L141" s="2">
        <v>97.54</v>
      </c>
      <c r="O141" s="1" t="s">
        <v>19</v>
      </c>
      <c r="P141" s="2">
        <v>229.1</v>
      </c>
      <c r="Q141" s="2">
        <v>236.7</v>
      </c>
      <c r="R141" s="2">
        <v>401.88</v>
      </c>
      <c r="S141" s="2">
        <v>358.15</v>
      </c>
    </row>
    <row r="142" spans="8:19" x14ac:dyDescent="0.35">
      <c r="H142" s="1" t="s">
        <v>20</v>
      </c>
      <c r="I142" s="2">
        <v>49.4</v>
      </c>
      <c r="J142" s="2">
        <v>34.32</v>
      </c>
      <c r="K142" s="2">
        <v>41.41</v>
      </c>
      <c r="L142" s="2">
        <v>29.24</v>
      </c>
      <c r="O142" s="1" t="s">
        <v>20</v>
      </c>
      <c r="P142" s="2">
        <v>196.56</v>
      </c>
      <c r="Q142" s="2">
        <v>133.83000000000001</v>
      </c>
      <c r="R142" s="2">
        <v>165.78</v>
      </c>
      <c r="S142" s="2">
        <v>113.26</v>
      </c>
    </row>
    <row r="145" spans="8:19" x14ac:dyDescent="0.35">
      <c r="H145" t="s">
        <v>54</v>
      </c>
      <c r="O145" t="s">
        <v>55</v>
      </c>
    </row>
    <row r="146" spans="8:19" x14ac:dyDescent="0.35">
      <c r="H146" s="1" t="s">
        <v>8</v>
      </c>
      <c r="I146" s="5" t="s">
        <v>9</v>
      </c>
      <c r="J146" s="5"/>
      <c r="K146" s="5" t="s">
        <v>10</v>
      </c>
      <c r="L146" s="5"/>
      <c r="O146" s="1" t="s">
        <v>8</v>
      </c>
      <c r="P146" s="5" t="s">
        <v>9</v>
      </c>
      <c r="Q146" s="5"/>
      <c r="R146" s="5" t="s">
        <v>10</v>
      </c>
      <c r="S146" s="5"/>
    </row>
    <row r="147" spans="8:19" x14ac:dyDescent="0.35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5">
      <c r="H148" s="1" t="s">
        <v>12</v>
      </c>
      <c r="O148" s="1" t="s">
        <v>12</v>
      </c>
    </row>
    <row r="149" spans="8:19" x14ac:dyDescent="0.35">
      <c r="H149" s="1" t="s">
        <v>13</v>
      </c>
      <c r="I149" s="2">
        <v>14.15</v>
      </c>
      <c r="J149" s="2">
        <v>10.14</v>
      </c>
      <c r="K149" s="2">
        <v>28.12</v>
      </c>
      <c r="L149" s="2">
        <v>21.17</v>
      </c>
      <c r="O149" s="1" t="s">
        <v>13</v>
      </c>
      <c r="P149" s="2">
        <v>14.15</v>
      </c>
      <c r="Q149" s="2">
        <v>10.14</v>
      </c>
      <c r="R149" s="2">
        <v>28.12</v>
      </c>
      <c r="S149" s="2">
        <v>21.17</v>
      </c>
    </row>
    <row r="150" spans="8:19" x14ac:dyDescent="0.35">
      <c r="H150" s="1" t="s">
        <v>14</v>
      </c>
      <c r="I150" s="2">
        <v>64.319999999999993</v>
      </c>
      <c r="J150" s="2">
        <v>39.869999999999997</v>
      </c>
      <c r="K150" s="2">
        <v>147.38999999999999</v>
      </c>
      <c r="L150" s="2">
        <v>85.89</v>
      </c>
      <c r="O150" s="1" t="s">
        <v>14</v>
      </c>
      <c r="P150" s="2">
        <v>64.319999999999993</v>
      </c>
      <c r="Q150" s="2">
        <v>39.869999999999997</v>
      </c>
      <c r="R150" s="2">
        <v>147.38999999999999</v>
      </c>
      <c r="S150" s="2">
        <v>85.89</v>
      </c>
    </row>
    <row r="151" spans="8:19" x14ac:dyDescent="0.35">
      <c r="H151" s="1" t="s">
        <v>15</v>
      </c>
      <c r="I151" s="2">
        <v>157.72</v>
      </c>
      <c r="J151" s="2">
        <v>125.31</v>
      </c>
      <c r="K151" s="2">
        <v>390.42</v>
      </c>
      <c r="L151" s="2">
        <v>281.77999999999997</v>
      </c>
      <c r="O151" s="1" t="s">
        <v>15</v>
      </c>
      <c r="P151" s="2">
        <v>157.72</v>
      </c>
      <c r="Q151" s="2">
        <v>125.31</v>
      </c>
      <c r="R151" s="2">
        <v>390.42</v>
      </c>
      <c r="S151" s="2">
        <v>281.77999999999997</v>
      </c>
    </row>
    <row r="152" spans="8:19" x14ac:dyDescent="0.35">
      <c r="H152" s="1" t="s">
        <v>16</v>
      </c>
      <c r="I152" s="2">
        <v>68.31</v>
      </c>
      <c r="J152" s="2">
        <v>46.36</v>
      </c>
      <c r="K152" s="2">
        <v>110.74</v>
      </c>
      <c r="L152" s="2">
        <v>96.16</v>
      </c>
      <c r="O152" s="1" t="s">
        <v>16</v>
      </c>
      <c r="P152" s="2">
        <v>68.31</v>
      </c>
      <c r="Q152" s="2">
        <v>46.36</v>
      </c>
      <c r="R152" s="2">
        <v>110.74</v>
      </c>
      <c r="S152" s="2">
        <v>96.16</v>
      </c>
    </row>
    <row r="153" spans="8:19" x14ac:dyDescent="0.35">
      <c r="H153" s="1" t="s">
        <v>17</v>
      </c>
      <c r="I153" s="2">
        <v>315.13</v>
      </c>
      <c r="J153" s="2">
        <v>305.33</v>
      </c>
      <c r="K153" s="2">
        <v>321.5</v>
      </c>
      <c r="L153" s="2">
        <v>299.37</v>
      </c>
      <c r="O153" s="1" t="s">
        <v>17</v>
      </c>
      <c r="P153" s="2">
        <v>315.13</v>
      </c>
      <c r="Q153" s="2">
        <v>305.33</v>
      </c>
      <c r="R153" s="2">
        <v>321.5</v>
      </c>
      <c r="S153" s="2">
        <v>299.37</v>
      </c>
    </row>
    <row r="154" spans="8:19" x14ac:dyDescent="0.35">
      <c r="H154" s="1" t="s">
        <v>18</v>
      </c>
      <c r="I154" s="2">
        <v>40.340000000000003</v>
      </c>
      <c r="J154" s="2">
        <v>42.69</v>
      </c>
      <c r="K154" s="2">
        <v>39.17</v>
      </c>
      <c r="L154" s="2">
        <v>46.77</v>
      </c>
      <c r="O154" s="1" t="s">
        <v>18</v>
      </c>
      <c r="P154" s="2">
        <v>40.340000000000003</v>
      </c>
      <c r="Q154" s="2">
        <v>42.69</v>
      </c>
      <c r="R154" s="2">
        <v>39.17</v>
      </c>
      <c r="S154" s="2">
        <v>46.77</v>
      </c>
    </row>
    <row r="155" spans="8:19" x14ac:dyDescent="0.35">
      <c r="H155" s="1" t="s">
        <v>19</v>
      </c>
      <c r="I155" s="2">
        <v>40.51</v>
      </c>
      <c r="J155" s="2">
        <v>43.69</v>
      </c>
      <c r="K155" s="2">
        <v>71.36</v>
      </c>
      <c r="L155" s="2">
        <v>57.91</v>
      </c>
      <c r="O155" s="1" t="s">
        <v>19</v>
      </c>
      <c r="P155" s="2">
        <v>40.51</v>
      </c>
      <c r="Q155" s="2">
        <v>43.69</v>
      </c>
      <c r="R155" s="2">
        <v>71.36</v>
      </c>
      <c r="S155" s="2">
        <v>57.91</v>
      </c>
    </row>
    <row r="156" spans="8:19" x14ac:dyDescent="0.35">
      <c r="H156" s="1" t="s">
        <v>20</v>
      </c>
      <c r="I156" s="2">
        <v>14.59</v>
      </c>
      <c r="J156" s="2">
        <v>10.82</v>
      </c>
      <c r="K156" s="2">
        <v>24.6</v>
      </c>
      <c r="L156" s="2">
        <v>19.88</v>
      </c>
      <c r="O156" s="1" t="s">
        <v>20</v>
      </c>
      <c r="P156" s="2">
        <v>14.59</v>
      </c>
      <c r="Q156" s="2">
        <v>10.82</v>
      </c>
      <c r="R156" s="2">
        <v>24.6</v>
      </c>
      <c r="S156" s="2">
        <v>19.88</v>
      </c>
    </row>
    <row r="159" spans="8:19" x14ac:dyDescent="0.35">
      <c r="H159" t="s">
        <v>56</v>
      </c>
      <c r="O159" t="s">
        <v>57</v>
      </c>
    </row>
    <row r="160" spans="8:19" x14ac:dyDescent="0.35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5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5">
      <c r="H162" s="1" t="s">
        <v>12</v>
      </c>
      <c r="O162" s="1" t="s">
        <v>12</v>
      </c>
    </row>
    <row r="163" spans="8:19" x14ac:dyDescent="0.35">
      <c r="H163" s="1" t="s">
        <v>13</v>
      </c>
      <c r="I163" s="2">
        <v>5.05</v>
      </c>
      <c r="J163" s="2">
        <v>10.039999999999999</v>
      </c>
      <c r="K163" s="2">
        <v>4.0599999999999996</v>
      </c>
      <c r="L163" s="2">
        <v>8.4700000000000006</v>
      </c>
      <c r="O163" s="1" t="s">
        <v>13</v>
      </c>
      <c r="P163" s="2">
        <v>5.05</v>
      </c>
      <c r="Q163" s="2">
        <v>10.039999999999999</v>
      </c>
      <c r="R163" s="2">
        <v>4.0599999999999996</v>
      </c>
      <c r="S163" s="2">
        <v>8.4700000000000006</v>
      </c>
    </row>
    <row r="164" spans="8:19" x14ac:dyDescent="0.35">
      <c r="H164" s="1" t="s">
        <v>14</v>
      </c>
      <c r="I164" s="2">
        <v>22.97</v>
      </c>
      <c r="J164" s="2">
        <v>52.64</v>
      </c>
      <c r="K164" s="2">
        <v>15.95</v>
      </c>
      <c r="L164" s="2">
        <v>34.35</v>
      </c>
      <c r="O164" s="1" t="s">
        <v>14</v>
      </c>
      <c r="P164" s="2">
        <v>22.97</v>
      </c>
      <c r="Q164" s="2">
        <v>52.64</v>
      </c>
      <c r="R164" s="2">
        <v>15.95</v>
      </c>
      <c r="S164" s="2">
        <v>34.35</v>
      </c>
    </row>
    <row r="165" spans="8:19" x14ac:dyDescent="0.35">
      <c r="H165" s="1" t="s">
        <v>15</v>
      </c>
      <c r="I165" s="2">
        <v>56.33</v>
      </c>
      <c r="J165" s="2">
        <v>139.44</v>
      </c>
      <c r="K165" s="2">
        <v>50.12</v>
      </c>
      <c r="L165" s="2">
        <v>112.71</v>
      </c>
      <c r="O165" s="1" t="s">
        <v>15</v>
      </c>
      <c r="P165" s="2">
        <v>56.33</v>
      </c>
      <c r="Q165" s="2">
        <v>139.44</v>
      </c>
      <c r="R165" s="2">
        <v>50.12</v>
      </c>
      <c r="S165" s="2">
        <v>112.71</v>
      </c>
    </row>
    <row r="166" spans="8:19" x14ac:dyDescent="0.35">
      <c r="H166" s="1" t="s">
        <v>16</v>
      </c>
      <c r="I166" s="2">
        <v>24.4</v>
      </c>
      <c r="J166" s="2">
        <v>39.549999999999997</v>
      </c>
      <c r="K166" s="2">
        <v>18.55</v>
      </c>
      <c r="L166" s="2">
        <v>38.46</v>
      </c>
      <c r="O166" s="1" t="s">
        <v>16</v>
      </c>
      <c r="P166" s="2">
        <v>24.4</v>
      </c>
      <c r="Q166" s="2">
        <v>39.549999999999997</v>
      </c>
      <c r="R166" s="2">
        <v>18.55</v>
      </c>
      <c r="S166" s="2">
        <v>38.46</v>
      </c>
    </row>
    <row r="167" spans="8:19" x14ac:dyDescent="0.35">
      <c r="H167" s="1" t="s">
        <v>17</v>
      </c>
      <c r="I167" s="2">
        <v>112.55</v>
      </c>
      <c r="J167" s="2">
        <v>114.82</v>
      </c>
      <c r="K167" s="2">
        <v>122.13</v>
      </c>
      <c r="L167" s="2">
        <v>119.75</v>
      </c>
      <c r="O167" s="1" t="s">
        <v>17</v>
      </c>
      <c r="P167" s="2">
        <v>112.55</v>
      </c>
      <c r="Q167" s="2">
        <v>114.82</v>
      </c>
      <c r="R167" s="2">
        <v>122.13</v>
      </c>
      <c r="S167" s="2">
        <v>119.75</v>
      </c>
    </row>
    <row r="168" spans="8:19" x14ac:dyDescent="0.35">
      <c r="H168" s="1" t="s">
        <v>18</v>
      </c>
      <c r="I168" s="2">
        <v>14.41</v>
      </c>
      <c r="J168" s="2">
        <v>13.99</v>
      </c>
      <c r="K168" s="2">
        <v>17.079999999999998</v>
      </c>
      <c r="L168" s="2">
        <v>18.71</v>
      </c>
      <c r="O168" s="1" t="s">
        <v>18</v>
      </c>
      <c r="P168" s="2">
        <v>14.41</v>
      </c>
      <c r="Q168" s="2">
        <v>13.99</v>
      </c>
      <c r="R168" s="2">
        <v>17.079999999999998</v>
      </c>
      <c r="S168" s="2">
        <v>18.71</v>
      </c>
    </row>
    <row r="169" spans="8:19" x14ac:dyDescent="0.35">
      <c r="H169" s="1" t="s">
        <v>19</v>
      </c>
      <c r="I169" s="2">
        <v>14.47</v>
      </c>
      <c r="J169" s="2">
        <v>25.49</v>
      </c>
      <c r="K169" s="2">
        <v>17.48</v>
      </c>
      <c r="L169" s="2">
        <v>23.16</v>
      </c>
      <c r="O169" s="1" t="s">
        <v>19</v>
      </c>
      <c r="P169" s="2">
        <v>14.47</v>
      </c>
      <c r="Q169" s="2">
        <v>25.49</v>
      </c>
      <c r="R169" s="2">
        <v>17.48</v>
      </c>
      <c r="S169" s="2">
        <v>23.16</v>
      </c>
    </row>
    <row r="170" spans="8:19" x14ac:dyDescent="0.35">
      <c r="H170" s="1" t="s">
        <v>20</v>
      </c>
      <c r="I170" s="2">
        <v>5.21</v>
      </c>
      <c r="J170" s="2">
        <v>8.7799999999999994</v>
      </c>
      <c r="K170" s="2">
        <v>4.33</v>
      </c>
      <c r="L170" s="2">
        <v>7.95</v>
      </c>
      <c r="O170" s="1" t="s">
        <v>20</v>
      </c>
      <c r="P170" s="2">
        <v>5.21</v>
      </c>
      <c r="Q170" s="2">
        <v>8.7799999999999994</v>
      </c>
      <c r="R170" s="2">
        <v>4.33</v>
      </c>
      <c r="S170" s="2">
        <v>7.95</v>
      </c>
    </row>
    <row r="173" spans="8:19" x14ac:dyDescent="0.35">
      <c r="H173" t="s">
        <v>58</v>
      </c>
      <c r="O173" t="s">
        <v>59</v>
      </c>
    </row>
    <row r="174" spans="8:19" x14ac:dyDescent="0.35">
      <c r="H174" s="1" t="s">
        <v>8</v>
      </c>
      <c r="I174" s="5" t="s">
        <v>9</v>
      </c>
      <c r="J174" s="5"/>
      <c r="K174" s="5" t="s">
        <v>10</v>
      </c>
      <c r="L174" s="5"/>
      <c r="O174" s="1" t="s">
        <v>8</v>
      </c>
      <c r="P174" s="5" t="s">
        <v>9</v>
      </c>
      <c r="Q174" s="5"/>
      <c r="R174" s="5" t="s">
        <v>10</v>
      </c>
      <c r="S174" s="5"/>
    </row>
    <row r="175" spans="8:19" x14ac:dyDescent="0.35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5">
      <c r="H176" s="1" t="s">
        <v>12</v>
      </c>
      <c r="O176" s="1" t="s">
        <v>12</v>
      </c>
    </row>
    <row r="177" spans="8:19" x14ac:dyDescent="0.35">
      <c r="H177" s="1" t="s">
        <v>13</v>
      </c>
      <c r="I177" s="2">
        <v>1254.6199999999999</v>
      </c>
      <c r="J177" s="2">
        <v>943.97</v>
      </c>
      <c r="K177" s="2">
        <v>1186.8399999999999</v>
      </c>
      <c r="L177" s="2">
        <v>911.4</v>
      </c>
      <c r="O177" s="1" t="s">
        <v>13</v>
      </c>
      <c r="P177" s="2">
        <v>1254.6199999999999</v>
      </c>
      <c r="Q177" s="2">
        <v>943.97</v>
      </c>
      <c r="R177" s="2">
        <v>1186.8399999999999</v>
      </c>
      <c r="S177" s="2">
        <v>911.4</v>
      </c>
    </row>
    <row r="178" spans="8:19" x14ac:dyDescent="0.35">
      <c r="H178" s="1" t="s">
        <v>14</v>
      </c>
      <c r="I178" s="2">
        <v>113.09</v>
      </c>
      <c r="J178" s="2">
        <v>68.459999999999994</v>
      </c>
      <c r="K178" s="2">
        <v>165.11</v>
      </c>
      <c r="L178" s="2">
        <v>103.43</v>
      </c>
      <c r="O178" s="1" t="s">
        <v>14</v>
      </c>
      <c r="P178" s="2">
        <v>113.09</v>
      </c>
      <c r="Q178" s="2">
        <v>68.459999999999994</v>
      </c>
      <c r="R178" s="2">
        <v>165.11</v>
      </c>
      <c r="S178" s="2">
        <v>103.43</v>
      </c>
    </row>
    <row r="179" spans="8:19" x14ac:dyDescent="0.35">
      <c r="H179" s="1" t="s">
        <v>15</v>
      </c>
      <c r="I179" s="2">
        <v>420.56</v>
      </c>
      <c r="J179" s="2">
        <v>307.86</v>
      </c>
      <c r="K179" s="2">
        <v>729.71</v>
      </c>
      <c r="L179" s="2">
        <v>571.76</v>
      </c>
      <c r="O179" s="1" t="s">
        <v>15</v>
      </c>
      <c r="P179" s="2">
        <v>420.56</v>
      </c>
      <c r="Q179" s="2">
        <v>307.86</v>
      </c>
      <c r="R179" s="2">
        <v>729.71</v>
      </c>
      <c r="S179" s="2">
        <v>571.76</v>
      </c>
    </row>
    <row r="180" spans="8:19" x14ac:dyDescent="0.35">
      <c r="H180" s="1" t="s">
        <v>16</v>
      </c>
      <c r="I180" s="2">
        <v>273.82</v>
      </c>
      <c r="J180" s="2">
        <v>149.77000000000001</v>
      </c>
      <c r="K180" s="2">
        <v>241.57</v>
      </c>
      <c r="L180" s="2">
        <v>176.21</v>
      </c>
      <c r="O180" s="1" t="s">
        <v>16</v>
      </c>
      <c r="P180" s="2">
        <v>273.82</v>
      </c>
      <c r="Q180" s="2">
        <v>149.77000000000001</v>
      </c>
      <c r="R180" s="2">
        <v>241.57</v>
      </c>
      <c r="S180" s="2">
        <v>176.21</v>
      </c>
    </row>
    <row r="181" spans="8:19" x14ac:dyDescent="0.35">
      <c r="H181" s="1" t="s">
        <v>17</v>
      </c>
      <c r="I181" s="2">
        <v>1156.57</v>
      </c>
      <c r="J181" s="2">
        <v>1094.3399999999999</v>
      </c>
      <c r="K181" s="2">
        <v>1054.07</v>
      </c>
      <c r="L181" s="2">
        <v>971.78</v>
      </c>
      <c r="O181" s="1" t="s">
        <v>17</v>
      </c>
      <c r="P181" s="2">
        <v>1156.57</v>
      </c>
      <c r="Q181" s="2">
        <v>1094.3399999999999</v>
      </c>
      <c r="R181" s="2">
        <v>1054.07</v>
      </c>
      <c r="S181" s="2">
        <v>971.78</v>
      </c>
    </row>
    <row r="182" spans="8:19" x14ac:dyDescent="0.35">
      <c r="H182" s="1" t="s">
        <v>18</v>
      </c>
      <c r="I182" s="2">
        <v>147.07</v>
      </c>
      <c r="J182" s="2">
        <v>146.30000000000001</v>
      </c>
      <c r="K182" s="2">
        <v>106.65</v>
      </c>
      <c r="L182" s="2">
        <v>97.95</v>
      </c>
      <c r="O182" s="1" t="s">
        <v>18</v>
      </c>
      <c r="P182" s="2">
        <v>147.07</v>
      </c>
      <c r="Q182" s="2">
        <v>146.30000000000001</v>
      </c>
      <c r="R182" s="2">
        <v>106.65</v>
      </c>
      <c r="S182" s="2">
        <v>97.95</v>
      </c>
    </row>
    <row r="183" spans="8:19" x14ac:dyDescent="0.35">
      <c r="H183" s="1" t="s">
        <v>19</v>
      </c>
      <c r="I183" s="2">
        <v>496.5</v>
      </c>
      <c r="J183" s="2">
        <v>369.37</v>
      </c>
      <c r="K183" s="2">
        <v>546.41999999999996</v>
      </c>
      <c r="L183" s="2">
        <v>362.11</v>
      </c>
      <c r="O183" s="1" t="s">
        <v>19</v>
      </c>
      <c r="P183" s="2">
        <v>496.5</v>
      </c>
      <c r="Q183" s="2">
        <v>369.37</v>
      </c>
      <c r="R183" s="2">
        <v>546.41999999999996</v>
      </c>
      <c r="S183" s="2">
        <v>362.11</v>
      </c>
    </row>
    <row r="184" spans="8:19" x14ac:dyDescent="0.35">
      <c r="H184" s="1" t="s">
        <v>20</v>
      </c>
      <c r="I184" s="2">
        <v>316.08</v>
      </c>
      <c r="J184" s="2">
        <v>238.54</v>
      </c>
      <c r="K184" s="2">
        <v>308.06</v>
      </c>
      <c r="L184" s="2">
        <v>231.92</v>
      </c>
      <c r="O184" s="1" t="s">
        <v>20</v>
      </c>
      <c r="P184" s="2">
        <v>316.08</v>
      </c>
      <c r="Q184" s="2">
        <v>238.54</v>
      </c>
      <c r="R184" s="2">
        <v>308.06</v>
      </c>
      <c r="S184" s="2">
        <v>231.92</v>
      </c>
    </row>
    <row r="187" spans="8:19" x14ac:dyDescent="0.35">
      <c r="H187" t="s">
        <v>60</v>
      </c>
      <c r="O187" t="s">
        <v>61</v>
      </c>
    </row>
    <row r="188" spans="8:19" x14ac:dyDescent="0.35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5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5">
      <c r="H190" s="1" t="s">
        <v>12</v>
      </c>
      <c r="O190" s="1" t="s">
        <v>12</v>
      </c>
    </row>
    <row r="191" spans="8:19" x14ac:dyDescent="0.35">
      <c r="H191" s="1" t="s">
        <v>13</v>
      </c>
      <c r="I191" s="2">
        <v>448.08</v>
      </c>
      <c r="J191" s="2">
        <v>423.87</v>
      </c>
      <c r="K191" s="2">
        <v>377.59</v>
      </c>
      <c r="L191" s="2">
        <v>364.56</v>
      </c>
      <c r="O191" s="1" t="s">
        <v>13</v>
      </c>
      <c r="P191" s="2">
        <v>448.08</v>
      </c>
      <c r="Q191" s="2">
        <v>423.87</v>
      </c>
      <c r="R191" s="2">
        <v>377.59</v>
      </c>
      <c r="S191" s="2">
        <v>364.56</v>
      </c>
    </row>
    <row r="192" spans="8:19" x14ac:dyDescent="0.35">
      <c r="H192" s="1" t="s">
        <v>14</v>
      </c>
      <c r="I192" s="2">
        <v>40.39</v>
      </c>
      <c r="J192" s="2">
        <v>58.97</v>
      </c>
      <c r="K192" s="2">
        <v>27.38</v>
      </c>
      <c r="L192" s="2">
        <v>41.37</v>
      </c>
      <c r="O192" s="1" t="s">
        <v>14</v>
      </c>
      <c r="P192" s="2">
        <v>40.39</v>
      </c>
      <c r="Q192" s="2">
        <v>58.97</v>
      </c>
      <c r="R192" s="2">
        <v>27.38</v>
      </c>
      <c r="S192" s="2">
        <v>41.37</v>
      </c>
    </row>
    <row r="193" spans="8:19" x14ac:dyDescent="0.35">
      <c r="H193" s="1" t="s">
        <v>15</v>
      </c>
      <c r="I193" s="2">
        <v>150.19999999999999</v>
      </c>
      <c r="J193" s="2">
        <v>260.61</v>
      </c>
      <c r="K193" s="2">
        <v>123.15</v>
      </c>
      <c r="L193" s="2">
        <v>228.7</v>
      </c>
      <c r="O193" s="1" t="s">
        <v>15</v>
      </c>
      <c r="P193" s="2">
        <v>150.19999999999999</v>
      </c>
      <c r="Q193" s="2">
        <v>260.61</v>
      </c>
      <c r="R193" s="2">
        <v>123.15</v>
      </c>
      <c r="S193" s="2">
        <v>228.7</v>
      </c>
    </row>
    <row r="194" spans="8:19" x14ac:dyDescent="0.35">
      <c r="H194" s="1" t="s">
        <v>16</v>
      </c>
      <c r="I194" s="2">
        <v>97.79</v>
      </c>
      <c r="J194" s="2">
        <v>86.27</v>
      </c>
      <c r="K194" s="2">
        <v>59.91</v>
      </c>
      <c r="L194" s="2">
        <v>70.489999999999995</v>
      </c>
      <c r="O194" s="1" t="s">
        <v>16</v>
      </c>
      <c r="P194" s="2">
        <v>97.79</v>
      </c>
      <c r="Q194" s="2">
        <v>86.27</v>
      </c>
      <c r="R194" s="2">
        <v>59.91</v>
      </c>
      <c r="S194" s="2">
        <v>70.489999999999995</v>
      </c>
    </row>
    <row r="195" spans="8:19" x14ac:dyDescent="0.35">
      <c r="H195" s="1" t="s">
        <v>17</v>
      </c>
      <c r="I195" s="2">
        <v>413.06</v>
      </c>
      <c r="J195" s="2">
        <v>376.45</v>
      </c>
      <c r="K195" s="2">
        <v>437.73</v>
      </c>
      <c r="L195" s="2">
        <v>388.71</v>
      </c>
      <c r="O195" s="1" t="s">
        <v>17</v>
      </c>
      <c r="P195" s="2">
        <v>413.06</v>
      </c>
      <c r="Q195" s="2">
        <v>376.45</v>
      </c>
      <c r="R195" s="2">
        <v>437.73</v>
      </c>
      <c r="S195" s="2">
        <v>388.71</v>
      </c>
    </row>
    <row r="196" spans="8:19" x14ac:dyDescent="0.35">
      <c r="H196" s="1" t="s">
        <v>18</v>
      </c>
      <c r="I196" s="2">
        <v>52.53</v>
      </c>
      <c r="J196" s="2">
        <v>38.090000000000003</v>
      </c>
      <c r="K196" s="2">
        <v>58.52</v>
      </c>
      <c r="L196" s="2">
        <v>39.18</v>
      </c>
      <c r="O196" s="1" t="s">
        <v>18</v>
      </c>
      <c r="P196" s="2">
        <v>52.53</v>
      </c>
      <c r="Q196" s="2">
        <v>38.090000000000003</v>
      </c>
      <c r="R196" s="2">
        <v>58.52</v>
      </c>
      <c r="S196" s="2">
        <v>39.18</v>
      </c>
    </row>
    <row r="197" spans="8:19" x14ac:dyDescent="0.35">
      <c r="H197" s="1" t="s">
        <v>19</v>
      </c>
      <c r="I197" s="2">
        <v>177.32</v>
      </c>
      <c r="J197" s="2">
        <v>195.15</v>
      </c>
      <c r="K197" s="2">
        <v>147.75</v>
      </c>
      <c r="L197" s="2">
        <v>144.85</v>
      </c>
      <c r="O197" s="1" t="s">
        <v>19</v>
      </c>
      <c r="P197" s="2">
        <v>177.32</v>
      </c>
      <c r="Q197" s="2">
        <v>195.15</v>
      </c>
      <c r="R197" s="2">
        <v>147.75</v>
      </c>
      <c r="S197" s="2">
        <v>144.85</v>
      </c>
    </row>
    <row r="198" spans="8:19" x14ac:dyDescent="0.35">
      <c r="H198" s="1" t="s">
        <v>20</v>
      </c>
      <c r="I198" s="2">
        <v>112.89</v>
      </c>
      <c r="J198" s="2">
        <v>110.02</v>
      </c>
      <c r="K198" s="2">
        <v>95.41</v>
      </c>
      <c r="L198" s="2">
        <v>92.77</v>
      </c>
      <c r="O198" s="1" t="s">
        <v>20</v>
      </c>
      <c r="P198" s="2">
        <v>112.89</v>
      </c>
      <c r="Q198" s="2">
        <v>110.02</v>
      </c>
      <c r="R198" s="2">
        <v>95.41</v>
      </c>
      <c r="S198" s="2">
        <v>92.77</v>
      </c>
    </row>
    <row r="201" spans="8:19" x14ac:dyDescent="0.35">
      <c r="H201" t="s">
        <v>62</v>
      </c>
      <c r="O201" t="s">
        <v>63</v>
      </c>
    </row>
    <row r="202" spans="8:19" x14ac:dyDescent="0.35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5" t="s">
        <v>9</v>
      </c>
      <c r="Q202" s="5"/>
      <c r="R202" s="5" t="s">
        <v>10</v>
      </c>
      <c r="S202" s="5"/>
    </row>
    <row r="203" spans="8:19" x14ac:dyDescent="0.35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5">
      <c r="H204" s="1" t="s">
        <v>12</v>
      </c>
      <c r="O204" s="1" t="s">
        <v>12</v>
      </c>
    </row>
    <row r="205" spans="8:19" x14ac:dyDescent="0.35">
      <c r="H205" s="1" t="s">
        <v>13</v>
      </c>
      <c r="I205" s="2">
        <v>0.01</v>
      </c>
      <c r="J205" s="2">
        <v>0</v>
      </c>
      <c r="K205" s="2">
        <v>0</v>
      </c>
      <c r="L205" s="2">
        <v>0</v>
      </c>
      <c r="O205" s="1" t="s">
        <v>13</v>
      </c>
      <c r="P205" s="2">
        <v>1254.6199999999999</v>
      </c>
      <c r="Q205" s="2">
        <v>943.97</v>
      </c>
      <c r="R205" s="2">
        <v>1186.8399999999999</v>
      </c>
      <c r="S205" s="2">
        <v>911.4</v>
      </c>
    </row>
    <row r="206" spans="8:19" x14ac:dyDescent="0.35">
      <c r="H206" s="1" t="s">
        <v>14</v>
      </c>
      <c r="I206" s="2">
        <v>0.34</v>
      </c>
      <c r="J206" s="2">
        <v>0.31</v>
      </c>
      <c r="K206" s="2">
        <v>0.22</v>
      </c>
      <c r="L206" s="2">
        <v>0.24</v>
      </c>
      <c r="O206" s="1" t="s">
        <v>14</v>
      </c>
      <c r="P206" s="2">
        <v>113.09</v>
      </c>
      <c r="Q206" s="2">
        <v>68.459999999999994</v>
      </c>
      <c r="R206" s="2">
        <v>165.11</v>
      </c>
      <c r="S206" s="2">
        <v>103.43</v>
      </c>
    </row>
    <row r="207" spans="8:19" x14ac:dyDescent="0.35">
      <c r="H207" s="1" t="s">
        <v>15</v>
      </c>
      <c r="I207" s="2">
        <v>0.37</v>
      </c>
      <c r="J207" s="2">
        <v>0.41</v>
      </c>
      <c r="K207" s="2">
        <v>0.26</v>
      </c>
      <c r="L207" s="2">
        <v>0.38</v>
      </c>
      <c r="O207" s="1" t="s">
        <v>15</v>
      </c>
      <c r="P207" s="2">
        <v>420.56</v>
      </c>
      <c r="Q207" s="2">
        <v>307.86</v>
      </c>
      <c r="R207" s="2">
        <v>729.71</v>
      </c>
      <c r="S207" s="2">
        <v>571.76</v>
      </c>
    </row>
    <row r="208" spans="8:19" x14ac:dyDescent="0.35">
      <c r="H208" s="1" t="s">
        <v>16</v>
      </c>
      <c r="I208" s="2">
        <v>0.35</v>
      </c>
      <c r="J208" s="2">
        <v>0.34</v>
      </c>
      <c r="K208" s="2">
        <v>0.32</v>
      </c>
      <c r="L208" s="2">
        <v>0.39</v>
      </c>
      <c r="O208" s="1" t="s">
        <v>16</v>
      </c>
      <c r="P208" s="2">
        <v>273.82</v>
      </c>
      <c r="Q208" s="2">
        <v>149.77000000000001</v>
      </c>
      <c r="R208" s="2">
        <v>241.57</v>
      </c>
      <c r="S208" s="2">
        <v>176.21</v>
      </c>
    </row>
    <row r="209" spans="8:19" x14ac:dyDescent="0.35">
      <c r="H209" s="1" t="s">
        <v>17</v>
      </c>
      <c r="I209" s="2">
        <v>0.34</v>
      </c>
      <c r="J209" s="2">
        <v>0.33</v>
      </c>
      <c r="K209" s="2">
        <v>0.35</v>
      </c>
      <c r="L209" s="2">
        <v>0.34</v>
      </c>
      <c r="O209" s="1" t="s">
        <v>17</v>
      </c>
      <c r="P209" s="2">
        <v>1156.57</v>
      </c>
      <c r="Q209" s="2">
        <v>1094.3399999999999</v>
      </c>
      <c r="R209" s="2">
        <v>1054.07</v>
      </c>
      <c r="S209" s="2">
        <v>971.78</v>
      </c>
    </row>
    <row r="210" spans="8:19" x14ac:dyDescent="0.35">
      <c r="H210" s="1" t="s">
        <v>18</v>
      </c>
      <c r="I210" s="2">
        <v>0.37</v>
      </c>
      <c r="J210" s="2">
        <v>0.28000000000000003</v>
      </c>
      <c r="K210" s="2">
        <v>0.39</v>
      </c>
      <c r="L210" s="2">
        <v>0.4</v>
      </c>
      <c r="O210" s="1" t="s">
        <v>18</v>
      </c>
      <c r="P210" s="2">
        <v>147.07</v>
      </c>
      <c r="Q210" s="2">
        <v>146.30000000000001</v>
      </c>
      <c r="R210" s="2">
        <v>106.65</v>
      </c>
      <c r="S210" s="2">
        <v>97.95</v>
      </c>
    </row>
    <row r="211" spans="8:19" x14ac:dyDescent="0.35">
      <c r="H211" s="1" t="s">
        <v>19</v>
      </c>
      <c r="I211" s="2">
        <v>0.36</v>
      </c>
      <c r="J211" s="2">
        <v>0.38</v>
      </c>
      <c r="K211" s="2">
        <v>0.35</v>
      </c>
      <c r="L211" s="2">
        <v>0.28999999999999998</v>
      </c>
      <c r="O211" s="1" t="s">
        <v>19</v>
      </c>
      <c r="P211" s="2">
        <v>496.5</v>
      </c>
      <c r="Q211" s="2">
        <v>369.37</v>
      </c>
      <c r="R211" s="2">
        <v>546.41999999999996</v>
      </c>
      <c r="S211" s="2">
        <v>362.11</v>
      </c>
    </row>
    <row r="212" spans="8:19" x14ac:dyDescent="0.35">
      <c r="H212" s="1" t="s">
        <v>20</v>
      </c>
      <c r="I212" s="2">
        <v>0.12</v>
      </c>
      <c r="J212" s="2">
        <v>7.0000000000000007E-2</v>
      </c>
      <c r="K212" s="2">
        <v>0.01</v>
      </c>
      <c r="L212" s="2">
        <v>0.01</v>
      </c>
      <c r="O212" s="1" t="s">
        <v>20</v>
      </c>
      <c r="P212" s="2">
        <v>316.08</v>
      </c>
      <c r="Q212" s="2">
        <v>238.54</v>
      </c>
      <c r="R212" s="2">
        <v>308.06</v>
      </c>
      <c r="S212" s="2">
        <v>231.92</v>
      </c>
    </row>
    <row r="215" spans="8:19" x14ac:dyDescent="0.35">
      <c r="H215" t="s">
        <v>64</v>
      </c>
      <c r="O215" t="s">
        <v>65</v>
      </c>
    </row>
    <row r="216" spans="8:19" x14ac:dyDescent="0.35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5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5">
      <c r="H218" s="1" t="s">
        <v>12</v>
      </c>
      <c r="O218" s="1" t="s">
        <v>12</v>
      </c>
    </row>
    <row r="219" spans="8:19" x14ac:dyDescent="0.35">
      <c r="H219" s="1" t="s">
        <v>13</v>
      </c>
      <c r="I219" s="2">
        <v>0.01</v>
      </c>
      <c r="J219" s="2">
        <v>0</v>
      </c>
      <c r="K219" s="2">
        <v>0</v>
      </c>
      <c r="L219" s="2">
        <v>0</v>
      </c>
      <c r="O219" s="1" t="s">
        <v>13</v>
      </c>
      <c r="P219" s="2">
        <v>448.08</v>
      </c>
      <c r="Q219" s="2">
        <v>423.87</v>
      </c>
      <c r="R219" s="2">
        <v>377.59</v>
      </c>
      <c r="S219" s="2">
        <v>364.56</v>
      </c>
    </row>
    <row r="220" spans="8:19" x14ac:dyDescent="0.35">
      <c r="H220" s="1" t="s">
        <v>14</v>
      </c>
      <c r="I220" s="2">
        <v>0.28000000000000003</v>
      </c>
      <c r="J220" s="2">
        <v>0.23</v>
      </c>
      <c r="K220" s="2">
        <v>0.16</v>
      </c>
      <c r="L220" s="2">
        <v>0.17</v>
      </c>
      <c r="O220" s="1" t="s">
        <v>14</v>
      </c>
      <c r="P220" s="2">
        <v>40.39</v>
      </c>
      <c r="Q220" s="2">
        <v>58.97</v>
      </c>
      <c r="R220" s="2">
        <v>27.38</v>
      </c>
      <c r="S220" s="2">
        <v>41.37</v>
      </c>
    </row>
    <row r="221" spans="8:19" x14ac:dyDescent="0.35">
      <c r="H221" s="1" t="s">
        <v>15</v>
      </c>
      <c r="I221" s="2">
        <v>0.27</v>
      </c>
      <c r="J221" s="2">
        <v>0.32</v>
      </c>
      <c r="K221" s="2">
        <v>0.19</v>
      </c>
      <c r="L221" s="2">
        <v>0.27</v>
      </c>
      <c r="O221" s="1" t="s">
        <v>15</v>
      </c>
      <c r="P221" s="2">
        <v>150.19999999999999</v>
      </c>
      <c r="Q221" s="2">
        <v>260.61</v>
      </c>
      <c r="R221" s="2">
        <v>123.15</v>
      </c>
      <c r="S221" s="2">
        <v>228.7</v>
      </c>
    </row>
    <row r="222" spans="8:19" x14ac:dyDescent="0.35">
      <c r="H222" s="1" t="s">
        <v>16</v>
      </c>
      <c r="I222" s="2">
        <v>0.27</v>
      </c>
      <c r="J222" s="2">
        <v>0.26</v>
      </c>
      <c r="K222" s="2">
        <v>0.23</v>
      </c>
      <c r="L222" s="2">
        <v>0.28000000000000003</v>
      </c>
      <c r="O222" s="1" t="s">
        <v>16</v>
      </c>
      <c r="P222" s="2">
        <v>97.79</v>
      </c>
      <c r="Q222" s="2">
        <v>86.27</v>
      </c>
      <c r="R222" s="2">
        <v>59.91</v>
      </c>
      <c r="S222" s="2">
        <v>70.489999999999995</v>
      </c>
    </row>
    <row r="223" spans="8:19" x14ac:dyDescent="0.35">
      <c r="H223" s="1" t="s">
        <v>17</v>
      </c>
      <c r="I223" s="2">
        <v>0.25</v>
      </c>
      <c r="J223" s="2">
        <v>0.25</v>
      </c>
      <c r="K223" s="2">
        <v>0.27</v>
      </c>
      <c r="L223" s="2">
        <v>0.26</v>
      </c>
      <c r="O223" s="1" t="s">
        <v>17</v>
      </c>
      <c r="P223" s="2">
        <v>413.06</v>
      </c>
      <c r="Q223" s="2">
        <v>376.45</v>
      </c>
      <c r="R223" s="2">
        <v>437.73</v>
      </c>
      <c r="S223" s="2">
        <v>388.71</v>
      </c>
    </row>
    <row r="224" spans="8:19" x14ac:dyDescent="0.35">
      <c r="H224" s="1" t="s">
        <v>18</v>
      </c>
      <c r="I224" s="2">
        <v>0.26</v>
      </c>
      <c r="J224" s="2">
        <v>0.2</v>
      </c>
      <c r="K224" s="2">
        <v>0.28999999999999998</v>
      </c>
      <c r="L224" s="2">
        <v>0.3</v>
      </c>
      <c r="O224" s="1" t="s">
        <v>18</v>
      </c>
      <c r="P224" s="2">
        <v>52.53</v>
      </c>
      <c r="Q224" s="2">
        <v>38.090000000000003</v>
      </c>
      <c r="R224" s="2">
        <v>58.52</v>
      </c>
      <c r="S224" s="2">
        <v>39.18</v>
      </c>
    </row>
    <row r="225" spans="8:19" x14ac:dyDescent="0.35">
      <c r="H225" s="1" t="s">
        <v>19</v>
      </c>
      <c r="I225" s="2">
        <v>0.25</v>
      </c>
      <c r="J225" s="2">
        <v>0.28000000000000003</v>
      </c>
      <c r="K225" s="2">
        <v>0.25</v>
      </c>
      <c r="L225" s="2">
        <v>0.21</v>
      </c>
      <c r="O225" s="1" t="s">
        <v>19</v>
      </c>
      <c r="P225" s="2">
        <v>177.32</v>
      </c>
      <c r="Q225" s="2">
        <v>195.15</v>
      </c>
      <c r="R225" s="2">
        <v>147.75</v>
      </c>
      <c r="S225" s="2">
        <v>144.85</v>
      </c>
    </row>
    <row r="226" spans="8:19" x14ac:dyDescent="0.35">
      <c r="H226" s="1" t="s">
        <v>20</v>
      </c>
      <c r="I226" s="2">
        <v>0.08</v>
      </c>
      <c r="J226" s="2">
        <v>0.05</v>
      </c>
      <c r="K226" s="2">
        <v>0.01</v>
      </c>
      <c r="L226" s="2">
        <v>0.01</v>
      </c>
      <c r="O226" s="1" t="s">
        <v>20</v>
      </c>
      <c r="P226" s="2">
        <v>112.89</v>
      </c>
      <c r="Q226" s="2">
        <v>110.02</v>
      </c>
      <c r="R226" s="2">
        <v>95.41</v>
      </c>
      <c r="S226" s="2">
        <v>92.77</v>
      </c>
    </row>
    <row r="229" spans="8:19" x14ac:dyDescent="0.35">
      <c r="H229" t="s">
        <v>66</v>
      </c>
    </row>
    <row r="230" spans="8:19" x14ac:dyDescent="0.35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5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5">
      <c r="H232" s="1" t="s">
        <v>12</v>
      </c>
    </row>
    <row r="233" spans="8:19" x14ac:dyDescent="0.35">
      <c r="H233" s="1" t="s">
        <v>13</v>
      </c>
      <c r="I233" s="2">
        <v>0.98</v>
      </c>
      <c r="J233" s="2">
        <v>0.99</v>
      </c>
      <c r="K233" s="2">
        <v>0.99</v>
      </c>
      <c r="L233" s="2">
        <v>0.99</v>
      </c>
    </row>
    <row r="234" spans="8:19" x14ac:dyDescent="0.35">
      <c r="H234" s="1" t="s">
        <v>14</v>
      </c>
      <c r="I234" s="2">
        <v>0.38</v>
      </c>
      <c r="J234" s="2">
        <v>0.45</v>
      </c>
      <c r="K234" s="2">
        <v>0.61</v>
      </c>
      <c r="L234" s="2">
        <v>0.59</v>
      </c>
    </row>
    <row r="235" spans="8:19" x14ac:dyDescent="0.35">
      <c r="H235" s="1" t="s">
        <v>15</v>
      </c>
      <c r="I235" s="2">
        <v>0.36</v>
      </c>
      <c r="J235" s="2">
        <v>0.27</v>
      </c>
      <c r="K235" s="2">
        <v>0.55000000000000004</v>
      </c>
      <c r="L235" s="2">
        <v>0.35</v>
      </c>
    </row>
    <row r="236" spans="8:19" x14ac:dyDescent="0.35">
      <c r="H236" s="1" t="s">
        <v>16</v>
      </c>
      <c r="I236" s="2">
        <v>0.39</v>
      </c>
      <c r="J236" s="2">
        <v>0.4</v>
      </c>
      <c r="K236" s="2">
        <v>0.45</v>
      </c>
      <c r="L236" s="2">
        <v>0.33</v>
      </c>
    </row>
    <row r="237" spans="8:19" x14ac:dyDescent="0.35">
      <c r="H237" s="1" t="s">
        <v>17</v>
      </c>
      <c r="I237" s="2">
        <v>0.41</v>
      </c>
      <c r="J237" s="2">
        <v>0.42</v>
      </c>
      <c r="K237" s="2">
        <v>0.38</v>
      </c>
      <c r="L237" s="2">
        <v>0.4</v>
      </c>
    </row>
    <row r="238" spans="8:19" x14ac:dyDescent="0.35">
      <c r="H238" s="1" t="s">
        <v>18</v>
      </c>
      <c r="I238" s="2">
        <v>0.36</v>
      </c>
      <c r="J238" s="2">
        <v>0.51</v>
      </c>
      <c r="K238" s="2">
        <v>0.32</v>
      </c>
      <c r="L238" s="2">
        <v>0.31</v>
      </c>
    </row>
    <row r="239" spans="8:19" x14ac:dyDescent="0.35">
      <c r="H239" s="1" t="s">
        <v>19</v>
      </c>
      <c r="I239" s="2">
        <v>0.39</v>
      </c>
      <c r="J239" s="2">
        <v>0.34</v>
      </c>
      <c r="K239" s="2">
        <v>0.4</v>
      </c>
      <c r="L239" s="2">
        <v>0.49</v>
      </c>
    </row>
    <row r="240" spans="8:19" x14ac:dyDescent="0.35">
      <c r="H240" s="1" t="s">
        <v>20</v>
      </c>
      <c r="I240" s="2">
        <v>0.79</v>
      </c>
      <c r="J240" s="2">
        <v>0.88</v>
      </c>
      <c r="K240" s="2">
        <v>0.98</v>
      </c>
      <c r="L240" s="2">
        <v>0.97</v>
      </c>
    </row>
  </sheetData>
  <mergeCells count="18">
    <mergeCell ref="I90:J90"/>
    <mergeCell ref="I174:J174"/>
    <mergeCell ref="P90:Q90"/>
    <mergeCell ref="P174:Q174"/>
    <mergeCell ref="I118:J118"/>
    <mergeCell ref="I146:J146"/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F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Emperanza</cp:lastModifiedBy>
  <dcterms:created xsi:type="dcterms:W3CDTF">2026-01-07T17:05:29Z</dcterms:created>
  <dcterms:modified xsi:type="dcterms:W3CDTF">2026-01-07T19:20:56Z</dcterms:modified>
</cp:coreProperties>
</file>