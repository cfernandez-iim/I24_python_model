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risp\Desktop\infrastructureinmotion\I-24\I24_python_model_rafa\outputs\2025-12-19\share_fixed\"/>
    </mc:Choice>
  </mc:AlternateContent>
  <xr:revisionPtr revIDLastSave="0" documentId="8_{D406A1BF-A96F-4F2C-AC74-E7951DDA2C9C}" xr6:coauthVersionLast="47" xr6:coauthVersionMax="47" xr10:uidLastSave="{00000000-0000-0000-0000-000000000000}"/>
  <bookViews>
    <workbookView xWindow="24" yWindow="744" windowWidth="23016" windowHeight="12216" xr2:uid="{00000000-000D-0000-FFFF-FFFF00000000}"/>
  </bookViews>
  <sheets>
    <sheet name="2025 No Build Scenario Data" sheetId="1" r:id="rId1"/>
    <sheet name="Year_2025" sheetId="8" r:id="rId2"/>
    <sheet name="Year_2032" sheetId="2" r:id="rId3"/>
    <sheet name="Year_2040" sheetId="3" r:id="rId4"/>
    <sheet name="Year_2050" sheetId="4" r:id="rId5"/>
    <sheet name="Sheet1" sheetId="5" r:id="rId6"/>
    <sheet name="aux sheets" sheetId="7" r:id="rId7"/>
    <sheet name="Speeds" sheetId="9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59" i="2" l="1"/>
  <c r="Z57" i="7"/>
  <c r="CO65" i="2"/>
  <c r="CP65" i="2"/>
  <c r="CQ65" i="2"/>
  <c r="CR65" i="2"/>
  <c r="CS65" i="2"/>
  <c r="CT65" i="2"/>
  <c r="CU65" i="2"/>
  <c r="CV65" i="2"/>
  <c r="CW65" i="2"/>
  <c r="CX65" i="2"/>
  <c r="CY65" i="2"/>
  <c r="CZ65" i="2"/>
  <c r="DA65" i="2"/>
  <c r="DB65" i="2"/>
  <c r="DC65" i="2"/>
  <c r="DD65" i="2"/>
  <c r="DE65" i="2"/>
  <c r="DF65" i="2"/>
  <c r="DG65" i="2"/>
  <c r="CO66" i="2"/>
  <c r="CP66" i="2"/>
  <c r="CQ66" i="2"/>
  <c r="CR66" i="2"/>
  <c r="CS66" i="2"/>
  <c r="CT66" i="2"/>
  <c r="CU66" i="2"/>
  <c r="CV66" i="2"/>
  <c r="CW66" i="2"/>
  <c r="CX66" i="2"/>
  <c r="CY66" i="2"/>
  <c r="CZ66" i="2"/>
  <c r="DA66" i="2"/>
  <c r="DB66" i="2"/>
  <c r="DC66" i="2"/>
  <c r="DD66" i="2"/>
  <c r="DE66" i="2"/>
  <c r="DF66" i="2"/>
  <c r="DG66" i="2"/>
  <c r="CO67" i="2"/>
  <c r="CP67" i="2"/>
  <c r="CQ67" i="2"/>
  <c r="CR67" i="2"/>
  <c r="CS67" i="2"/>
  <c r="CT67" i="2"/>
  <c r="CU67" i="2"/>
  <c r="CV67" i="2"/>
  <c r="CW67" i="2"/>
  <c r="CX67" i="2"/>
  <c r="CY67" i="2"/>
  <c r="CZ67" i="2"/>
  <c r="DA67" i="2"/>
  <c r="DB67" i="2"/>
  <c r="DC67" i="2"/>
  <c r="DD67" i="2"/>
  <c r="DE67" i="2"/>
  <c r="DF67" i="2"/>
  <c r="DG67" i="2"/>
  <c r="CO68" i="2"/>
  <c r="CP68" i="2"/>
  <c r="CQ68" i="2"/>
  <c r="CR68" i="2"/>
  <c r="CS68" i="2"/>
  <c r="CT68" i="2"/>
  <c r="CU68" i="2"/>
  <c r="CV68" i="2"/>
  <c r="CW68" i="2"/>
  <c r="CX68" i="2"/>
  <c r="CY68" i="2"/>
  <c r="CZ68" i="2"/>
  <c r="DA68" i="2"/>
  <c r="DB68" i="2"/>
  <c r="DC68" i="2"/>
  <c r="DD68" i="2"/>
  <c r="DE68" i="2"/>
  <c r="DF68" i="2"/>
  <c r="DG68" i="2"/>
  <c r="CO69" i="2"/>
  <c r="CP69" i="2"/>
  <c r="CQ69" i="2"/>
  <c r="CR69" i="2"/>
  <c r="CS69" i="2"/>
  <c r="CT69" i="2"/>
  <c r="CU69" i="2"/>
  <c r="CV69" i="2"/>
  <c r="CW69" i="2"/>
  <c r="CX69" i="2"/>
  <c r="CY69" i="2"/>
  <c r="CZ69" i="2"/>
  <c r="DA69" i="2"/>
  <c r="DB69" i="2"/>
  <c r="DC69" i="2"/>
  <c r="DD69" i="2"/>
  <c r="DE69" i="2"/>
  <c r="DF69" i="2"/>
  <c r="DG69" i="2"/>
  <c r="CO70" i="2"/>
  <c r="CP70" i="2"/>
  <c r="CQ70" i="2"/>
  <c r="CR70" i="2"/>
  <c r="CS70" i="2"/>
  <c r="CT70" i="2"/>
  <c r="CU70" i="2"/>
  <c r="CV70" i="2"/>
  <c r="CW70" i="2"/>
  <c r="CX70" i="2"/>
  <c r="CY70" i="2"/>
  <c r="CZ70" i="2"/>
  <c r="DA70" i="2"/>
  <c r="DB70" i="2"/>
  <c r="DC70" i="2"/>
  <c r="DD70" i="2"/>
  <c r="DE70" i="2"/>
  <c r="DF70" i="2"/>
  <c r="DG70" i="2"/>
  <c r="CO71" i="2"/>
  <c r="CP71" i="2"/>
  <c r="CQ71" i="2"/>
  <c r="CR71" i="2"/>
  <c r="CS71" i="2"/>
  <c r="CT71" i="2"/>
  <c r="CU71" i="2"/>
  <c r="CV71" i="2"/>
  <c r="CW71" i="2"/>
  <c r="CX71" i="2"/>
  <c r="CY71" i="2"/>
  <c r="CZ71" i="2"/>
  <c r="DA71" i="2"/>
  <c r="DB71" i="2"/>
  <c r="DC71" i="2"/>
  <c r="DD71" i="2"/>
  <c r="DE71" i="2"/>
  <c r="DF71" i="2"/>
  <c r="DG71" i="2"/>
  <c r="CO72" i="2"/>
  <c r="CP72" i="2"/>
  <c r="CQ72" i="2"/>
  <c r="CR72" i="2"/>
  <c r="CS72" i="2"/>
  <c r="CT72" i="2"/>
  <c r="CU72" i="2"/>
  <c r="CV72" i="2"/>
  <c r="CW72" i="2"/>
  <c r="CX72" i="2"/>
  <c r="CY72" i="2"/>
  <c r="CZ72" i="2"/>
  <c r="DA72" i="2"/>
  <c r="DB72" i="2"/>
  <c r="DC72" i="2"/>
  <c r="DD72" i="2"/>
  <c r="DE72" i="2"/>
  <c r="DF72" i="2"/>
  <c r="DG72" i="2"/>
  <c r="CN66" i="2"/>
  <c r="CN67" i="2"/>
  <c r="CN68" i="2"/>
  <c r="CN69" i="2"/>
  <c r="CN70" i="2"/>
  <c r="CN71" i="2"/>
  <c r="CN72" i="2"/>
  <c r="CN65" i="2"/>
  <c r="AR254" i="2"/>
  <c r="AQ254" i="2"/>
  <c r="AP254" i="2"/>
  <c r="AO254" i="2"/>
  <c r="AN254" i="2"/>
  <c r="AM254" i="2"/>
  <c r="AL254" i="2"/>
  <c r="AK254" i="2"/>
  <c r="AJ254" i="2"/>
  <c r="AI254" i="2"/>
  <c r="AH254" i="2"/>
  <c r="AG254" i="2"/>
  <c r="AF254" i="2"/>
  <c r="AE254" i="2"/>
  <c r="AD254" i="2"/>
  <c r="AC254" i="2"/>
  <c r="AB254" i="2"/>
  <c r="AA254" i="2"/>
  <c r="Z254" i="2"/>
  <c r="Y254" i="2"/>
  <c r="AR253" i="2"/>
  <c r="AQ253" i="2"/>
  <c r="AP253" i="2"/>
  <c r="AO253" i="2"/>
  <c r="AN253" i="2"/>
  <c r="AM253" i="2"/>
  <c r="AL253" i="2"/>
  <c r="AK253" i="2"/>
  <c r="AJ253" i="2"/>
  <c r="AI253" i="2"/>
  <c r="AH253" i="2"/>
  <c r="AG253" i="2"/>
  <c r="AF253" i="2"/>
  <c r="AE253" i="2"/>
  <c r="AD253" i="2"/>
  <c r="AC253" i="2"/>
  <c r="AB253" i="2"/>
  <c r="AA253" i="2"/>
  <c r="Z253" i="2"/>
  <c r="Y253" i="2"/>
  <c r="AR252" i="2"/>
  <c r="AQ252" i="2"/>
  <c r="AP252" i="2"/>
  <c r="AO252" i="2"/>
  <c r="AN252" i="2"/>
  <c r="AM252" i="2"/>
  <c r="AL252" i="2"/>
  <c r="AK252" i="2"/>
  <c r="AJ252" i="2"/>
  <c r="AI252" i="2"/>
  <c r="AH252" i="2"/>
  <c r="AG252" i="2"/>
  <c r="AF252" i="2"/>
  <c r="AE252" i="2"/>
  <c r="AD252" i="2"/>
  <c r="AC252" i="2"/>
  <c r="AB252" i="2"/>
  <c r="AA252" i="2"/>
  <c r="Z252" i="2"/>
  <c r="Y252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C206" i="1"/>
  <c r="C207" i="1"/>
  <c r="C208" i="1"/>
  <c r="C209" i="1"/>
  <c r="C210" i="1"/>
  <c r="C211" i="1"/>
  <c r="C212" i="1"/>
  <c r="C205" i="1"/>
  <c r="C191" i="1"/>
  <c r="C192" i="1"/>
  <c r="C193" i="1"/>
  <c r="C194" i="1"/>
  <c r="C195" i="1"/>
  <c r="C196" i="1"/>
  <c r="C197" i="1"/>
  <c r="C198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C107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C94" i="1"/>
  <c r="C95" i="1"/>
  <c r="C96" i="1"/>
  <c r="C97" i="1"/>
  <c r="C98" i="1"/>
  <c r="C99" i="1"/>
  <c r="C100" i="1"/>
  <c r="C93" i="1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Y7" i="9"/>
  <c r="Y8" i="9"/>
  <c r="Y9" i="9"/>
  <c r="Y10" i="9"/>
  <c r="Y11" i="9"/>
  <c r="Y12" i="9"/>
  <c r="Y13" i="9"/>
  <c r="Y6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C13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C12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C11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C10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C9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C8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C7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C6" i="9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C9" i="7"/>
  <c r="C10" i="7"/>
  <c r="C11" i="7"/>
  <c r="C12" i="7"/>
  <c r="C13" i="7"/>
  <c r="C14" i="7"/>
  <c r="C15" i="7"/>
  <c r="C8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AN64" i="7"/>
  <c r="AO64" i="7"/>
  <c r="AP64" i="7"/>
  <c r="AQ64" i="7"/>
  <c r="AR64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AN65" i="7"/>
  <c r="AO65" i="7"/>
  <c r="AP65" i="7"/>
  <c r="AQ65" i="7"/>
  <c r="AR65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AN66" i="7"/>
  <c r="AO66" i="7"/>
  <c r="AP66" i="7"/>
  <c r="AQ66" i="7"/>
  <c r="AR66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AN67" i="7"/>
  <c r="AO67" i="7"/>
  <c r="AP67" i="7"/>
  <c r="AQ67" i="7"/>
  <c r="AR67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AN68" i="7"/>
  <c r="AO68" i="7"/>
  <c r="AP68" i="7"/>
  <c r="AQ68" i="7"/>
  <c r="AR68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AN69" i="7"/>
  <c r="AO69" i="7"/>
  <c r="AP69" i="7"/>
  <c r="AQ69" i="7"/>
  <c r="AR69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AN70" i="7"/>
  <c r="AO70" i="7"/>
  <c r="AP70" i="7"/>
  <c r="AQ70" i="7"/>
  <c r="AR70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AN71" i="7"/>
  <c r="AO71" i="7"/>
  <c r="AP71" i="7"/>
  <c r="AQ71" i="7"/>
  <c r="AR71" i="7"/>
  <c r="Y65" i="7"/>
  <c r="Y66" i="7"/>
  <c r="Y67" i="7"/>
  <c r="Y68" i="7"/>
  <c r="Y69" i="7"/>
  <c r="Y70" i="7"/>
  <c r="Y71" i="7"/>
  <c r="Y64" i="7"/>
  <c r="D64" i="7"/>
  <c r="E64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D65" i="7"/>
  <c r="E65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D66" i="7"/>
  <c r="E66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D67" i="7"/>
  <c r="E67" i="7"/>
  <c r="F67" i="7"/>
  <c r="G67" i="7"/>
  <c r="H67" i="7"/>
  <c r="I67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D68" i="7"/>
  <c r="E68" i="7"/>
  <c r="F68" i="7"/>
  <c r="G68" i="7"/>
  <c r="H68" i="7"/>
  <c r="I68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D69" i="7"/>
  <c r="E69" i="7"/>
  <c r="F69" i="7"/>
  <c r="G69" i="7"/>
  <c r="H69" i="7"/>
  <c r="I69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C65" i="7"/>
  <c r="C66" i="7"/>
  <c r="C67" i="7"/>
  <c r="C68" i="7"/>
  <c r="C69" i="7"/>
  <c r="C70" i="7"/>
  <c r="C71" i="7"/>
  <c r="C64" i="7"/>
  <c r="BO266" i="4"/>
  <c r="BN266" i="4"/>
  <c r="BM266" i="4"/>
  <c r="BL266" i="4"/>
  <c r="BK266" i="4"/>
  <c r="BJ266" i="4"/>
  <c r="BI266" i="4"/>
  <c r="BH266" i="4"/>
  <c r="BG266" i="4"/>
  <c r="BF266" i="4"/>
  <c r="BE266" i="4"/>
  <c r="BD266" i="4"/>
  <c r="BC266" i="4"/>
  <c r="BB266" i="4"/>
  <c r="BA266" i="4"/>
  <c r="AZ266" i="4"/>
  <c r="AY266" i="4"/>
  <c r="AX266" i="4"/>
  <c r="AW266" i="4"/>
  <c r="AV266" i="4"/>
  <c r="BO265" i="4"/>
  <c r="BN265" i="4"/>
  <c r="BM265" i="4"/>
  <c r="BL265" i="4"/>
  <c r="BK265" i="4"/>
  <c r="BJ265" i="4"/>
  <c r="BI265" i="4"/>
  <c r="BH265" i="4"/>
  <c r="BG265" i="4"/>
  <c r="BF265" i="4"/>
  <c r="BE265" i="4"/>
  <c r="BD265" i="4"/>
  <c r="BC265" i="4"/>
  <c r="BB265" i="4"/>
  <c r="BA265" i="4"/>
  <c r="AZ265" i="4"/>
  <c r="AY265" i="4"/>
  <c r="AX265" i="4"/>
  <c r="AW265" i="4"/>
  <c r="AV265" i="4"/>
  <c r="BO264" i="4"/>
  <c r="BN264" i="4"/>
  <c r="BM264" i="4"/>
  <c r="BL264" i="4"/>
  <c r="BK264" i="4"/>
  <c r="BJ264" i="4"/>
  <c r="BI264" i="4"/>
  <c r="BH264" i="4"/>
  <c r="BG264" i="4"/>
  <c r="BF264" i="4"/>
  <c r="BE264" i="4"/>
  <c r="BD264" i="4"/>
  <c r="BC264" i="4"/>
  <c r="BB264" i="4"/>
  <c r="BA264" i="4"/>
  <c r="AZ264" i="4"/>
  <c r="AY264" i="4"/>
  <c r="AX264" i="4"/>
  <c r="AW264" i="4"/>
  <c r="AV264" i="4"/>
  <c r="BO263" i="4"/>
  <c r="BN263" i="4"/>
  <c r="BM263" i="4"/>
  <c r="BL263" i="4"/>
  <c r="BK263" i="4"/>
  <c r="BJ263" i="4"/>
  <c r="BI263" i="4"/>
  <c r="BH263" i="4"/>
  <c r="BG263" i="4"/>
  <c r="BF263" i="4"/>
  <c r="BE263" i="4"/>
  <c r="BD263" i="4"/>
  <c r="BC263" i="4"/>
  <c r="BB263" i="4"/>
  <c r="BA263" i="4"/>
  <c r="AZ263" i="4"/>
  <c r="AY263" i="4"/>
  <c r="AX263" i="4"/>
  <c r="AW263" i="4"/>
  <c r="AV263" i="4"/>
  <c r="BO262" i="4"/>
  <c r="BN262" i="4"/>
  <c r="BM262" i="4"/>
  <c r="BL262" i="4"/>
  <c r="BK262" i="4"/>
  <c r="BJ262" i="4"/>
  <c r="BI262" i="4"/>
  <c r="BH262" i="4"/>
  <c r="BG262" i="4"/>
  <c r="BF262" i="4"/>
  <c r="BE262" i="4"/>
  <c r="BD262" i="4"/>
  <c r="BC262" i="4"/>
  <c r="BB262" i="4"/>
  <c r="BA262" i="4"/>
  <c r="AZ262" i="4"/>
  <c r="AY262" i="4"/>
  <c r="AX262" i="4"/>
  <c r="AW262" i="4"/>
  <c r="AV262" i="4"/>
  <c r="BO261" i="4"/>
  <c r="BN261" i="4"/>
  <c r="BM261" i="4"/>
  <c r="BL261" i="4"/>
  <c r="BK261" i="4"/>
  <c r="BJ261" i="4"/>
  <c r="BI261" i="4"/>
  <c r="BH261" i="4"/>
  <c r="BG261" i="4"/>
  <c r="BF261" i="4"/>
  <c r="BE261" i="4"/>
  <c r="BD261" i="4"/>
  <c r="BC261" i="4"/>
  <c r="BB261" i="4"/>
  <c r="BA261" i="4"/>
  <c r="AZ261" i="4"/>
  <c r="AY261" i="4"/>
  <c r="AX261" i="4"/>
  <c r="AW261" i="4"/>
  <c r="AV261" i="4"/>
  <c r="BO260" i="4"/>
  <c r="BN260" i="4"/>
  <c r="BM260" i="4"/>
  <c r="BL260" i="4"/>
  <c r="BK260" i="4"/>
  <c r="BJ260" i="4"/>
  <c r="BI260" i="4"/>
  <c r="BH260" i="4"/>
  <c r="BG260" i="4"/>
  <c r="BF260" i="4"/>
  <c r="BE260" i="4"/>
  <c r="BD260" i="4"/>
  <c r="BC260" i="4"/>
  <c r="BB260" i="4"/>
  <c r="BA260" i="4"/>
  <c r="AZ260" i="4"/>
  <c r="AY260" i="4"/>
  <c r="AX260" i="4"/>
  <c r="AW260" i="4"/>
  <c r="AV260" i="4"/>
  <c r="BO259" i="4"/>
  <c r="BN259" i="4"/>
  <c r="BM259" i="4"/>
  <c r="BL259" i="4"/>
  <c r="BK259" i="4"/>
  <c r="BJ259" i="4"/>
  <c r="BI259" i="4"/>
  <c r="BH259" i="4"/>
  <c r="BG259" i="4"/>
  <c r="BF259" i="4"/>
  <c r="BE259" i="4"/>
  <c r="BD259" i="4"/>
  <c r="BC259" i="4"/>
  <c r="BB259" i="4"/>
  <c r="BA259" i="4"/>
  <c r="AZ259" i="4"/>
  <c r="AY259" i="4"/>
  <c r="AX259" i="4"/>
  <c r="AW259" i="4"/>
  <c r="AV259" i="4"/>
  <c r="BO266" i="3"/>
  <c r="BN266" i="3"/>
  <c r="BM266" i="3"/>
  <c r="BL266" i="3"/>
  <c r="BK266" i="3"/>
  <c r="BJ266" i="3"/>
  <c r="BI266" i="3"/>
  <c r="BH266" i="3"/>
  <c r="BG266" i="3"/>
  <c r="BF266" i="3"/>
  <c r="BE266" i="3"/>
  <c r="BD266" i="3"/>
  <c r="BC266" i="3"/>
  <c r="BB266" i="3"/>
  <c r="BA266" i="3"/>
  <c r="AZ266" i="3"/>
  <c r="AY266" i="3"/>
  <c r="AX266" i="3"/>
  <c r="AW266" i="3"/>
  <c r="AV266" i="3"/>
  <c r="BO265" i="3"/>
  <c r="BN265" i="3"/>
  <c r="BM265" i="3"/>
  <c r="BL265" i="3"/>
  <c r="BK265" i="3"/>
  <c r="BJ265" i="3"/>
  <c r="BI265" i="3"/>
  <c r="BH265" i="3"/>
  <c r="BG265" i="3"/>
  <c r="BF265" i="3"/>
  <c r="BE265" i="3"/>
  <c r="BD265" i="3"/>
  <c r="BC265" i="3"/>
  <c r="BB265" i="3"/>
  <c r="BA265" i="3"/>
  <c r="AZ265" i="3"/>
  <c r="AY265" i="3"/>
  <c r="AX265" i="3"/>
  <c r="AW265" i="3"/>
  <c r="AV265" i="3"/>
  <c r="BO264" i="3"/>
  <c r="BN264" i="3"/>
  <c r="BM264" i="3"/>
  <c r="BL264" i="3"/>
  <c r="BK264" i="3"/>
  <c r="BJ264" i="3"/>
  <c r="BI264" i="3"/>
  <c r="BH264" i="3"/>
  <c r="BG264" i="3"/>
  <c r="BF264" i="3"/>
  <c r="BE264" i="3"/>
  <c r="BD264" i="3"/>
  <c r="BC264" i="3"/>
  <c r="BB264" i="3"/>
  <c r="BA264" i="3"/>
  <c r="AZ264" i="3"/>
  <c r="AY264" i="3"/>
  <c r="AX264" i="3"/>
  <c r="AW264" i="3"/>
  <c r="AV264" i="3"/>
  <c r="BO263" i="3"/>
  <c r="BN263" i="3"/>
  <c r="BM263" i="3"/>
  <c r="BL263" i="3"/>
  <c r="BK263" i="3"/>
  <c r="BJ263" i="3"/>
  <c r="BI263" i="3"/>
  <c r="BH263" i="3"/>
  <c r="BG263" i="3"/>
  <c r="BF263" i="3"/>
  <c r="BE263" i="3"/>
  <c r="BD263" i="3"/>
  <c r="BC263" i="3"/>
  <c r="BB263" i="3"/>
  <c r="BA263" i="3"/>
  <c r="AZ263" i="3"/>
  <c r="AY263" i="3"/>
  <c r="AX263" i="3"/>
  <c r="AW263" i="3"/>
  <c r="AV263" i="3"/>
  <c r="BO262" i="3"/>
  <c r="BN262" i="3"/>
  <c r="BM262" i="3"/>
  <c r="BL262" i="3"/>
  <c r="BK262" i="3"/>
  <c r="BJ262" i="3"/>
  <c r="BI262" i="3"/>
  <c r="BH262" i="3"/>
  <c r="BG262" i="3"/>
  <c r="BF262" i="3"/>
  <c r="BE262" i="3"/>
  <c r="BD262" i="3"/>
  <c r="BC262" i="3"/>
  <c r="BB262" i="3"/>
  <c r="BA262" i="3"/>
  <c r="AZ262" i="3"/>
  <c r="AY262" i="3"/>
  <c r="AX262" i="3"/>
  <c r="AW262" i="3"/>
  <c r="AV262" i="3"/>
  <c r="BO261" i="3"/>
  <c r="BN261" i="3"/>
  <c r="BM261" i="3"/>
  <c r="BL261" i="3"/>
  <c r="BK261" i="3"/>
  <c r="BJ261" i="3"/>
  <c r="BI261" i="3"/>
  <c r="BH261" i="3"/>
  <c r="BG261" i="3"/>
  <c r="BF261" i="3"/>
  <c r="BE261" i="3"/>
  <c r="BD261" i="3"/>
  <c r="BC261" i="3"/>
  <c r="BB261" i="3"/>
  <c r="BA261" i="3"/>
  <c r="AZ261" i="3"/>
  <c r="AY261" i="3"/>
  <c r="AX261" i="3"/>
  <c r="AW261" i="3"/>
  <c r="AV261" i="3"/>
  <c r="BO260" i="3"/>
  <c r="BN260" i="3"/>
  <c r="BM260" i="3"/>
  <c r="BL260" i="3"/>
  <c r="BK260" i="3"/>
  <c r="BJ260" i="3"/>
  <c r="BI260" i="3"/>
  <c r="BH260" i="3"/>
  <c r="BG260" i="3"/>
  <c r="BF260" i="3"/>
  <c r="BE260" i="3"/>
  <c r="BD260" i="3"/>
  <c r="BC260" i="3"/>
  <c r="BB260" i="3"/>
  <c r="BA260" i="3"/>
  <c r="AZ260" i="3"/>
  <c r="AY260" i="3"/>
  <c r="AX260" i="3"/>
  <c r="AW260" i="3"/>
  <c r="AV260" i="3"/>
  <c r="BO259" i="3"/>
  <c r="BN259" i="3"/>
  <c r="BM259" i="3"/>
  <c r="BL259" i="3"/>
  <c r="BK259" i="3"/>
  <c r="BJ259" i="3"/>
  <c r="BI259" i="3"/>
  <c r="BH259" i="3"/>
  <c r="BG259" i="3"/>
  <c r="BF259" i="3"/>
  <c r="BE259" i="3"/>
  <c r="BD259" i="3"/>
  <c r="BC259" i="3"/>
  <c r="BB259" i="3"/>
  <c r="BA259" i="3"/>
  <c r="AZ259" i="3"/>
  <c r="AY259" i="3"/>
  <c r="AX259" i="3"/>
  <c r="AW259" i="3"/>
  <c r="AV259" i="3"/>
  <c r="AW259" i="2"/>
  <c r="AY259" i="2"/>
  <c r="AZ259" i="2"/>
  <c r="BA259" i="2"/>
  <c r="BB259" i="2"/>
  <c r="BC259" i="2"/>
  <c r="BD259" i="2"/>
  <c r="BE259" i="2"/>
  <c r="BF259" i="2"/>
  <c r="BG259" i="2"/>
  <c r="BH259" i="2"/>
  <c r="BI259" i="2"/>
  <c r="BJ259" i="2"/>
  <c r="BK259" i="2"/>
  <c r="BL259" i="2"/>
  <c r="BM259" i="2"/>
  <c r="BN259" i="2"/>
  <c r="BO259" i="2"/>
  <c r="AW260" i="2"/>
  <c r="AX260" i="2"/>
  <c r="AY260" i="2"/>
  <c r="AZ260" i="2"/>
  <c r="BA260" i="2"/>
  <c r="BB260" i="2"/>
  <c r="BC260" i="2"/>
  <c r="BD260" i="2"/>
  <c r="BE260" i="2"/>
  <c r="BF260" i="2"/>
  <c r="BG260" i="2"/>
  <c r="BH260" i="2"/>
  <c r="BI260" i="2"/>
  <c r="BJ260" i="2"/>
  <c r="BK260" i="2"/>
  <c r="BL260" i="2"/>
  <c r="BM260" i="2"/>
  <c r="BN260" i="2"/>
  <c r="BO260" i="2"/>
  <c r="AW261" i="2"/>
  <c r="AX261" i="2"/>
  <c r="AY261" i="2"/>
  <c r="AZ261" i="2"/>
  <c r="BA261" i="2"/>
  <c r="BB261" i="2"/>
  <c r="BC261" i="2"/>
  <c r="BD261" i="2"/>
  <c r="BE261" i="2"/>
  <c r="BF261" i="2"/>
  <c r="BG261" i="2"/>
  <c r="BH261" i="2"/>
  <c r="BI261" i="2"/>
  <c r="BJ261" i="2"/>
  <c r="BK261" i="2"/>
  <c r="BL261" i="2"/>
  <c r="BM261" i="2"/>
  <c r="BN261" i="2"/>
  <c r="BO261" i="2"/>
  <c r="AW262" i="2"/>
  <c r="AX262" i="2"/>
  <c r="AY262" i="2"/>
  <c r="AZ262" i="2"/>
  <c r="BA262" i="2"/>
  <c r="BB262" i="2"/>
  <c r="BC262" i="2"/>
  <c r="BD262" i="2"/>
  <c r="BE262" i="2"/>
  <c r="BF262" i="2"/>
  <c r="BG262" i="2"/>
  <c r="BH262" i="2"/>
  <c r="BI262" i="2"/>
  <c r="BJ262" i="2"/>
  <c r="BK262" i="2"/>
  <c r="BL262" i="2"/>
  <c r="BM262" i="2"/>
  <c r="BN262" i="2"/>
  <c r="BO262" i="2"/>
  <c r="AW263" i="2"/>
  <c r="AX263" i="2"/>
  <c r="AY263" i="2"/>
  <c r="AZ263" i="2"/>
  <c r="BA263" i="2"/>
  <c r="BB263" i="2"/>
  <c r="BC263" i="2"/>
  <c r="BD263" i="2"/>
  <c r="BE263" i="2"/>
  <c r="BF263" i="2"/>
  <c r="BG263" i="2"/>
  <c r="BH263" i="2"/>
  <c r="BI263" i="2"/>
  <c r="BJ263" i="2"/>
  <c r="BK263" i="2"/>
  <c r="BL263" i="2"/>
  <c r="BM263" i="2"/>
  <c r="BN263" i="2"/>
  <c r="BO263" i="2"/>
  <c r="AW264" i="2"/>
  <c r="AX264" i="2"/>
  <c r="AY264" i="2"/>
  <c r="AZ264" i="2"/>
  <c r="BA264" i="2"/>
  <c r="BB264" i="2"/>
  <c r="BC264" i="2"/>
  <c r="BD264" i="2"/>
  <c r="BE264" i="2"/>
  <c r="BF264" i="2"/>
  <c r="BG264" i="2"/>
  <c r="BH264" i="2"/>
  <c r="BI264" i="2"/>
  <c r="BJ264" i="2"/>
  <c r="BK264" i="2"/>
  <c r="BL264" i="2"/>
  <c r="BM264" i="2"/>
  <c r="BN264" i="2"/>
  <c r="BO264" i="2"/>
  <c r="AW265" i="2"/>
  <c r="AX265" i="2"/>
  <c r="AY265" i="2"/>
  <c r="AZ265" i="2"/>
  <c r="BA265" i="2"/>
  <c r="BB265" i="2"/>
  <c r="BC265" i="2"/>
  <c r="BD265" i="2"/>
  <c r="BE265" i="2"/>
  <c r="BF265" i="2"/>
  <c r="BG265" i="2"/>
  <c r="BH265" i="2"/>
  <c r="BI265" i="2"/>
  <c r="BJ265" i="2"/>
  <c r="BK265" i="2"/>
  <c r="BL265" i="2"/>
  <c r="BM265" i="2"/>
  <c r="BN265" i="2"/>
  <c r="BO265" i="2"/>
  <c r="AW266" i="2"/>
  <c r="AX266" i="2"/>
  <c r="AY266" i="2"/>
  <c r="AZ266" i="2"/>
  <c r="BA266" i="2"/>
  <c r="BB266" i="2"/>
  <c r="BC266" i="2"/>
  <c r="BD266" i="2"/>
  <c r="BE266" i="2"/>
  <c r="BF266" i="2"/>
  <c r="BG266" i="2"/>
  <c r="BH266" i="2"/>
  <c r="BI266" i="2"/>
  <c r="BJ266" i="2"/>
  <c r="BK266" i="2"/>
  <c r="BL266" i="2"/>
  <c r="BM266" i="2"/>
  <c r="BN266" i="2"/>
  <c r="BO266" i="2"/>
  <c r="AV260" i="2"/>
  <c r="AV261" i="2"/>
  <c r="AV262" i="2"/>
  <c r="AV263" i="2"/>
  <c r="AV264" i="2"/>
  <c r="AV265" i="2"/>
  <c r="AV266" i="2"/>
  <c r="AV259" i="2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AN50" i="7"/>
  <c r="AO50" i="7"/>
  <c r="AP50" i="7"/>
  <c r="AQ50" i="7"/>
  <c r="AR50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AN51" i="7"/>
  <c r="AO51" i="7"/>
  <c r="AP51" i="7"/>
  <c r="AQ51" i="7"/>
  <c r="AR51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AN52" i="7"/>
  <c r="AO52" i="7"/>
  <c r="AP52" i="7"/>
  <c r="AQ52" i="7"/>
  <c r="AR52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AN53" i="7"/>
  <c r="AO53" i="7"/>
  <c r="AP53" i="7"/>
  <c r="AQ53" i="7"/>
  <c r="AR53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AN54" i="7"/>
  <c r="AO54" i="7"/>
  <c r="AP54" i="7"/>
  <c r="AQ54" i="7"/>
  <c r="AR54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AN55" i="7"/>
  <c r="AO55" i="7"/>
  <c r="AP55" i="7"/>
  <c r="AQ55" i="7"/>
  <c r="AR55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AN56" i="7"/>
  <c r="AO56" i="7"/>
  <c r="AP56" i="7"/>
  <c r="AQ56" i="7"/>
  <c r="AR56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AN57" i="7"/>
  <c r="AO57" i="7"/>
  <c r="AP57" i="7"/>
  <c r="AQ57" i="7"/>
  <c r="AR57" i="7"/>
  <c r="Y51" i="7"/>
  <c r="Y52" i="7"/>
  <c r="Y53" i="7"/>
  <c r="Y54" i="7"/>
  <c r="Y55" i="7"/>
  <c r="Y56" i="7"/>
  <c r="Y57" i="7"/>
  <c r="Y50" i="7"/>
  <c r="BO253" i="4"/>
  <c r="BN253" i="4"/>
  <c r="BM253" i="4"/>
  <c r="BL253" i="4"/>
  <c r="BK253" i="4"/>
  <c r="BJ253" i="4"/>
  <c r="BI253" i="4"/>
  <c r="BH253" i="4"/>
  <c r="BG253" i="4"/>
  <c r="BF253" i="4"/>
  <c r="BE253" i="4"/>
  <c r="BD253" i="4"/>
  <c r="BC253" i="4"/>
  <c r="BB253" i="4"/>
  <c r="BA253" i="4"/>
  <c r="AZ253" i="4"/>
  <c r="AY253" i="4"/>
  <c r="AX253" i="4"/>
  <c r="AW253" i="4"/>
  <c r="AV253" i="4"/>
  <c r="BO252" i="4"/>
  <c r="BN252" i="4"/>
  <c r="BM252" i="4"/>
  <c r="BL252" i="4"/>
  <c r="BK252" i="4"/>
  <c r="BJ252" i="4"/>
  <c r="BI252" i="4"/>
  <c r="BH252" i="4"/>
  <c r="BG252" i="4"/>
  <c r="BF252" i="4"/>
  <c r="BE252" i="4"/>
  <c r="BD252" i="4"/>
  <c r="BC252" i="4"/>
  <c r="BB252" i="4"/>
  <c r="BA252" i="4"/>
  <c r="AZ252" i="4"/>
  <c r="AY252" i="4"/>
  <c r="AX252" i="4"/>
  <c r="AW252" i="4"/>
  <c r="AV252" i="4"/>
  <c r="BO251" i="4"/>
  <c r="BN251" i="4"/>
  <c r="BM251" i="4"/>
  <c r="BL251" i="4"/>
  <c r="BK251" i="4"/>
  <c r="BJ251" i="4"/>
  <c r="BI251" i="4"/>
  <c r="BH251" i="4"/>
  <c r="BG251" i="4"/>
  <c r="BF251" i="4"/>
  <c r="BE251" i="4"/>
  <c r="BD251" i="4"/>
  <c r="BC251" i="4"/>
  <c r="BB251" i="4"/>
  <c r="BA251" i="4"/>
  <c r="AZ251" i="4"/>
  <c r="AY251" i="4"/>
  <c r="AX251" i="4"/>
  <c r="AW251" i="4"/>
  <c r="AV251" i="4"/>
  <c r="BO250" i="4"/>
  <c r="BN250" i="4"/>
  <c r="BM250" i="4"/>
  <c r="BL250" i="4"/>
  <c r="BK250" i="4"/>
  <c r="BJ250" i="4"/>
  <c r="BI250" i="4"/>
  <c r="BH250" i="4"/>
  <c r="BG250" i="4"/>
  <c r="BF250" i="4"/>
  <c r="BE250" i="4"/>
  <c r="BD250" i="4"/>
  <c r="BC250" i="4"/>
  <c r="BB250" i="4"/>
  <c r="BA250" i="4"/>
  <c r="AZ250" i="4"/>
  <c r="AY250" i="4"/>
  <c r="AX250" i="4"/>
  <c r="AW250" i="4"/>
  <c r="AV250" i="4"/>
  <c r="BO249" i="4"/>
  <c r="BN249" i="4"/>
  <c r="BM249" i="4"/>
  <c r="BL249" i="4"/>
  <c r="BK249" i="4"/>
  <c r="BJ249" i="4"/>
  <c r="BI249" i="4"/>
  <c r="BH249" i="4"/>
  <c r="BG249" i="4"/>
  <c r="BF249" i="4"/>
  <c r="BE249" i="4"/>
  <c r="BD249" i="4"/>
  <c r="BC249" i="4"/>
  <c r="BB249" i="4"/>
  <c r="BA249" i="4"/>
  <c r="AZ249" i="4"/>
  <c r="AY249" i="4"/>
  <c r="AX249" i="4"/>
  <c r="AW249" i="4"/>
  <c r="AV249" i="4"/>
  <c r="BO248" i="4"/>
  <c r="BN248" i="4"/>
  <c r="BM248" i="4"/>
  <c r="BL248" i="4"/>
  <c r="BK248" i="4"/>
  <c r="BJ248" i="4"/>
  <c r="BI248" i="4"/>
  <c r="BH248" i="4"/>
  <c r="BG248" i="4"/>
  <c r="BF248" i="4"/>
  <c r="BE248" i="4"/>
  <c r="BD248" i="4"/>
  <c r="BC248" i="4"/>
  <c r="BB248" i="4"/>
  <c r="BA248" i="4"/>
  <c r="AZ248" i="4"/>
  <c r="AY248" i="4"/>
  <c r="AX248" i="4"/>
  <c r="AW248" i="4"/>
  <c r="AV248" i="4"/>
  <c r="BO247" i="4"/>
  <c r="BN247" i="4"/>
  <c r="BM247" i="4"/>
  <c r="BL247" i="4"/>
  <c r="BK247" i="4"/>
  <c r="BJ247" i="4"/>
  <c r="BI247" i="4"/>
  <c r="BH247" i="4"/>
  <c r="BG247" i="4"/>
  <c r="BF247" i="4"/>
  <c r="BE247" i="4"/>
  <c r="BD247" i="4"/>
  <c r="BC247" i="4"/>
  <c r="BB247" i="4"/>
  <c r="BA247" i="4"/>
  <c r="AZ247" i="4"/>
  <c r="AY247" i="4"/>
  <c r="AX247" i="4"/>
  <c r="AW247" i="4"/>
  <c r="AV247" i="4"/>
  <c r="BO246" i="4"/>
  <c r="BN246" i="4"/>
  <c r="BM246" i="4"/>
  <c r="BL246" i="4"/>
  <c r="BK246" i="4"/>
  <c r="BJ246" i="4"/>
  <c r="BI246" i="4"/>
  <c r="BH246" i="4"/>
  <c r="BG246" i="4"/>
  <c r="BF246" i="4"/>
  <c r="BE246" i="4"/>
  <c r="BD246" i="4"/>
  <c r="BC246" i="4"/>
  <c r="BB246" i="4"/>
  <c r="BA246" i="4"/>
  <c r="AZ246" i="4"/>
  <c r="AY246" i="4"/>
  <c r="AX246" i="4"/>
  <c r="AW246" i="4"/>
  <c r="AV246" i="4"/>
  <c r="BO253" i="3"/>
  <c r="BN253" i="3"/>
  <c r="BM253" i="3"/>
  <c r="BL253" i="3"/>
  <c r="BK253" i="3"/>
  <c r="BJ253" i="3"/>
  <c r="BI253" i="3"/>
  <c r="BH253" i="3"/>
  <c r="BG253" i="3"/>
  <c r="BF253" i="3"/>
  <c r="BE253" i="3"/>
  <c r="BD253" i="3"/>
  <c r="BC253" i="3"/>
  <c r="BB253" i="3"/>
  <c r="BA253" i="3"/>
  <c r="AZ253" i="3"/>
  <c r="G57" i="7" s="1"/>
  <c r="AY253" i="3"/>
  <c r="AX253" i="3"/>
  <c r="AW253" i="3"/>
  <c r="AV253" i="3"/>
  <c r="BO252" i="3"/>
  <c r="V56" i="7" s="1"/>
  <c r="BN252" i="3"/>
  <c r="BM252" i="3"/>
  <c r="BL252" i="3"/>
  <c r="BK252" i="3"/>
  <c r="BJ252" i="3"/>
  <c r="BI252" i="3"/>
  <c r="BH252" i="3"/>
  <c r="BG252" i="3"/>
  <c r="BF252" i="3"/>
  <c r="BE252" i="3"/>
  <c r="BD252" i="3"/>
  <c r="BC252" i="3"/>
  <c r="BB252" i="3"/>
  <c r="BA252" i="3"/>
  <c r="AZ252" i="3"/>
  <c r="AY252" i="3"/>
  <c r="AX252" i="3"/>
  <c r="AW252" i="3"/>
  <c r="D56" i="7" s="1"/>
  <c r="AV252" i="3"/>
  <c r="BO251" i="3"/>
  <c r="BN251" i="3"/>
  <c r="BM251" i="3"/>
  <c r="BL251" i="3"/>
  <c r="BK251" i="3"/>
  <c r="R55" i="7" s="1"/>
  <c r="BJ251" i="3"/>
  <c r="BI251" i="3"/>
  <c r="BH251" i="3"/>
  <c r="BG251" i="3"/>
  <c r="BF251" i="3"/>
  <c r="BE251" i="3"/>
  <c r="BD251" i="3"/>
  <c r="BC251" i="3"/>
  <c r="BB251" i="3"/>
  <c r="BA251" i="3"/>
  <c r="AZ251" i="3"/>
  <c r="AY251" i="3"/>
  <c r="AX251" i="3"/>
  <c r="AW251" i="3"/>
  <c r="AV251" i="3"/>
  <c r="BO250" i="3"/>
  <c r="BN250" i="3"/>
  <c r="BM250" i="3"/>
  <c r="BL250" i="3"/>
  <c r="BK250" i="3"/>
  <c r="BJ250" i="3"/>
  <c r="BI250" i="3"/>
  <c r="BH250" i="3"/>
  <c r="O54" i="7" s="1"/>
  <c r="BG250" i="3"/>
  <c r="BF250" i="3"/>
  <c r="BE250" i="3"/>
  <c r="BD250" i="3"/>
  <c r="BC250" i="3"/>
  <c r="BB250" i="3"/>
  <c r="BA250" i="3"/>
  <c r="AZ250" i="3"/>
  <c r="AY250" i="3"/>
  <c r="AX250" i="3"/>
  <c r="AW250" i="3"/>
  <c r="AV250" i="3"/>
  <c r="BO249" i="3"/>
  <c r="BN249" i="3"/>
  <c r="BM249" i="3"/>
  <c r="T53" i="7" s="1"/>
  <c r="BL249" i="3"/>
  <c r="S53" i="7" s="1"/>
  <c r="BK249" i="3"/>
  <c r="BJ249" i="3"/>
  <c r="BI249" i="3"/>
  <c r="BH249" i="3"/>
  <c r="BG249" i="3"/>
  <c r="BF249" i="3"/>
  <c r="BE249" i="3"/>
  <c r="L53" i="7" s="1"/>
  <c r="BD249" i="3"/>
  <c r="BC249" i="3"/>
  <c r="BB249" i="3"/>
  <c r="BA249" i="3"/>
  <c r="AZ249" i="3"/>
  <c r="AY249" i="3"/>
  <c r="AX249" i="3"/>
  <c r="AW249" i="3"/>
  <c r="AV249" i="3"/>
  <c r="BO248" i="3"/>
  <c r="BN248" i="3"/>
  <c r="BM248" i="3"/>
  <c r="BL248" i="3"/>
  <c r="BK248" i="3"/>
  <c r="BJ248" i="3"/>
  <c r="BI248" i="3"/>
  <c r="P52" i="7" s="1"/>
  <c r="BH248" i="3"/>
  <c r="O52" i="7" s="1"/>
  <c r="BG248" i="3"/>
  <c r="BF248" i="3"/>
  <c r="BE248" i="3"/>
  <c r="BD248" i="3"/>
  <c r="BC248" i="3"/>
  <c r="BB248" i="3"/>
  <c r="BA248" i="3"/>
  <c r="AZ248" i="3"/>
  <c r="AY248" i="3"/>
  <c r="AX248" i="3"/>
  <c r="AW248" i="3"/>
  <c r="AV248" i="3"/>
  <c r="BO247" i="3"/>
  <c r="BN247" i="3"/>
  <c r="U51" i="7" s="1"/>
  <c r="BM247" i="3"/>
  <c r="BL247" i="3"/>
  <c r="BK247" i="3"/>
  <c r="BJ247" i="3"/>
  <c r="BI247" i="3"/>
  <c r="BH247" i="3"/>
  <c r="BG247" i="3"/>
  <c r="BF247" i="3"/>
  <c r="M51" i="7" s="1"/>
  <c r="BE247" i="3"/>
  <c r="L51" i="7" s="1"/>
  <c r="BD247" i="3"/>
  <c r="K51" i="7" s="1"/>
  <c r="BC247" i="3"/>
  <c r="BB247" i="3"/>
  <c r="BA247" i="3"/>
  <c r="AZ247" i="3"/>
  <c r="AY247" i="3"/>
  <c r="AX247" i="3"/>
  <c r="AW247" i="3"/>
  <c r="AV247" i="3"/>
  <c r="BO246" i="3"/>
  <c r="BN246" i="3"/>
  <c r="U50" i="7" s="1"/>
  <c r="BM246" i="3"/>
  <c r="T50" i="7" s="1"/>
  <c r="BL246" i="3"/>
  <c r="S50" i="7" s="1"/>
  <c r="BK246" i="3"/>
  <c r="R50" i="7" s="1"/>
  <c r="BJ246" i="3"/>
  <c r="Q50" i="7" s="1"/>
  <c r="BI246" i="3"/>
  <c r="BH246" i="3"/>
  <c r="BG246" i="3"/>
  <c r="BF246" i="3"/>
  <c r="BE246" i="3"/>
  <c r="BD246" i="3"/>
  <c r="BC246" i="3"/>
  <c r="J50" i="7" s="1"/>
  <c r="BB246" i="3"/>
  <c r="I50" i="7" s="1"/>
  <c r="BA246" i="3"/>
  <c r="H50" i="7" s="1"/>
  <c r="AZ246" i="3"/>
  <c r="AY246" i="3"/>
  <c r="AX246" i="3"/>
  <c r="AW246" i="3"/>
  <c r="AV246" i="3"/>
  <c r="AW246" i="2"/>
  <c r="AX246" i="2"/>
  <c r="AY246" i="2"/>
  <c r="AZ246" i="2"/>
  <c r="BA246" i="2"/>
  <c r="BB246" i="2"/>
  <c r="BC246" i="2"/>
  <c r="BD246" i="2"/>
  <c r="K50" i="7" s="1"/>
  <c r="BE246" i="2"/>
  <c r="BF246" i="2"/>
  <c r="M50" i="7" s="1"/>
  <c r="BG246" i="2"/>
  <c r="N50" i="7" s="1"/>
  <c r="BH246" i="2"/>
  <c r="O50" i="7" s="1"/>
  <c r="BI246" i="2"/>
  <c r="BJ246" i="2"/>
  <c r="BK246" i="2"/>
  <c r="BL246" i="2"/>
  <c r="BM246" i="2"/>
  <c r="BN246" i="2"/>
  <c r="BO246" i="2"/>
  <c r="AW247" i="2"/>
  <c r="D51" i="7" s="1"/>
  <c r="AX247" i="2"/>
  <c r="E51" i="7" s="1"/>
  <c r="AY247" i="2"/>
  <c r="F51" i="7" s="1"/>
  <c r="AZ247" i="2"/>
  <c r="G51" i="7" s="1"/>
  <c r="BA247" i="2"/>
  <c r="H51" i="7" s="1"/>
  <c r="BB247" i="2"/>
  <c r="BC247" i="2"/>
  <c r="BD247" i="2"/>
  <c r="BE247" i="2"/>
  <c r="BF247" i="2"/>
  <c r="BG247" i="2"/>
  <c r="BH247" i="2"/>
  <c r="BI247" i="2"/>
  <c r="P51" i="7" s="1"/>
  <c r="BJ247" i="2"/>
  <c r="Q51" i="7" s="1"/>
  <c r="BK247" i="2"/>
  <c r="R51" i="7" s="1"/>
  <c r="BL247" i="2"/>
  <c r="S51" i="7" s="1"/>
  <c r="BM247" i="2"/>
  <c r="T51" i="7" s="1"/>
  <c r="BN247" i="2"/>
  <c r="BO247" i="2"/>
  <c r="AW248" i="2"/>
  <c r="AX248" i="2"/>
  <c r="AY248" i="2"/>
  <c r="AZ248" i="2"/>
  <c r="BA248" i="2"/>
  <c r="BB248" i="2"/>
  <c r="I52" i="7" s="1"/>
  <c r="BC248" i="2"/>
  <c r="J52" i="7" s="1"/>
  <c r="BD248" i="2"/>
  <c r="K52" i="7" s="1"/>
  <c r="BE248" i="2"/>
  <c r="L52" i="7" s="1"/>
  <c r="BF248" i="2"/>
  <c r="M52" i="7" s="1"/>
  <c r="BG248" i="2"/>
  <c r="BH248" i="2"/>
  <c r="BI248" i="2"/>
  <c r="BJ248" i="2"/>
  <c r="BK248" i="2"/>
  <c r="BL248" i="2"/>
  <c r="BM248" i="2"/>
  <c r="BN248" i="2"/>
  <c r="U52" i="7" s="1"/>
  <c r="BO248" i="2"/>
  <c r="V52" i="7" s="1"/>
  <c r="AW249" i="2"/>
  <c r="D53" i="7" s="1"/>
  <c r="AX249" i="2"/>
  <c r="E53" i="7" s="1"/>
  <c r="AY249" i="2"/>
  <c r="F53" i="7" s="1"/>
  <c r="AZ249" i="2"/>
  <c r="BA249" i="2"/>
  <c r="BB249" i="2"/>
  <c r="BC249" i="2"/>
  <c r="BD249" i="2"/>
  <c r="BE249" i="2"/>
  <c r="BF249" i="2"/>
  <c r="BG249" i="2"/>
  <c r="N53" i="7" s="1"/>
  <c r="BH249" i="2"/>
  <c r="BI249" i="2"/>
  <c r="P53" i="7" s="1"/>
  <c r="BJ249" i="2"/>
  <c r="Q53" i="7" s="1"/>
  <c r="BK249" i="2"/>
  <c r="R53" i="7" s="1"/>
  <c r="BL249" i="2"/>
  <c r="BM249" i="2"/>
  <c r="BN249" i="2"/>
  <c r="BO249" i="2"/>
  <c r="AW250" i="2"/>
  <c r="AX250" i="2"/>
  <c r="AY250" i="2"/>
  <c r="AZ250" i="2"/>
  <c r="G54" i="7" s="1"/>
  <c r="BA250" i="2"/>
  <c r="BB250" i="2"/>
  <c r="I54" i="7" s="1"/>
  <c r="BC250" i="2"/>
  <c r="J54" i="7" s="1"/>
  <c r="BD250" i="2"/>
  <c r="BE250" i="2"/>
  <c r="BF250" i="2"/>
  <c r="BG250" i="2"/>
  <c r="BH250" i="2"/>
  <c r="BI250" i="2"/>
  <c r="BJ250" i="2"/>
  <c r="BK250" i="2"/>
  <c r="BL250" i="2"/>
  <c r="S54" i="7" s="1"/>
  <c r="BM250" i="2"/>
  <c r="T54" i="7" s="1"/>
  <c r="BN250" i="2"/>
  <c r="U54" i="7" s="1"/>
  <c r="BO250" i="2"/>
  <c r="V54" i="7" s="1"/>
  <c r="AW251" i="2"/>
  <c r="AX251" i="2"/>
  <c r="AY251" i="2"/>
  <c r="AZ251" i="2"/>
  <c r="BA251" i="2"/>
  <c r="BB251" i="2"/>
  <c r="BC251" i="2"/>
  <c r="BD251" i="2"/>
  <c r="BE251" i="2"/>
  <c r="L55" i="7" s="1"/>
  <c r="BF251" i="2"/>
  <c r="BG251" i="2"/>
  <c r="N55" i="7" s="1"/>
  <c r="BH251" i="2"/>
  <c r="BI251" i="2"/>
  <c r="BJ251" i="2"/>
  <c r="BK251" i="2"/>
  <c r="BL251" i="2"/>
  <c r="BM251" i="2"/>
  <c r="BN251" i="2"/>
  <c r="BO251" i="2"/>
  <c r="AW252" i="2"/>
  <c r="AX252" i="2"/>
  <c r="E56" i="7" s="1"/>
  <c r="AY252" i="2"/>
  <c r="F56" i="7" s="1"/>
  <c r="AZ252" i="2"/>
  <c r="BA252" i="2"/>
  <c r="BB252" i="2"/>
  <c r="BC252" i="2"/>
  <c r="BD252" i="2"/>
  <c r="BE252" i="2"/>
  <c r="BF252" i="2"/>
  <c r="BG252" i="2"/>
  <c r="BH252" i="2"/>
  <c r="BI252" i="2"/>
  <c r="BJ252" i="2"/>
  <c r="Q56" i="7" s="1"/>
  <c r="BK252" i="2"/>
  <c r="R56" i="7" s="1"/>
  <c r="BL252" i="2"/>
  <c r="BM252" i="2"/>
  <c r="BN252" i="2"/>
  <c r="BO252" i="2"/>
  <c r="AW253" i="2"/>
  <c r="AX253" i="2"/>
  <c r="AY253" i="2"/>
  <c r="AZ253" i="2"/>
  <c r="BA253" i="2"/>
  <c r="BB253" i="2"/>
  <c r="BC253" i="2"/>
  <c r="J57" i="7" s="1"/>
  <c r="BD253" i="2"/>
  <c r="BE253" i="2"/>
  <c r="BF253" i="2"/>
  <c r="BG253" i="2"/>
  <c r="BH253" i="2"/>
  <c r="BI253" i="2"/>
  <c r="BJ253" i="2"/>
  <c r="BK253" i="2"/>
  <c r="BL253" i="2"/>
  <c r="BM253" i="2"/>
  <c r="BN253" i="2"/>
  <c r="BO253" i="2"/>
  <c r="V57" i="7" s="1"/>
  <c r="AV247" i="2"/>
  <c r="AV248" i="2"/>
  <c r="AV249" i="2"/>
  <c r="AV250" i="2"/>
  <c r="AV251" i="2"/>
  <c r="AV252" i="2"/>
  <c r="AV253" i="2"/>
  <c r="AV246" i="2"/>
  <c r="D50" i="7"/>
  <c r="E50" i="7"/>
  <c r="F50" i="7"/>
  <c r="G50" i="7"/>
  <c r="P50" i="7"/>
  <c r="V50" i="7"/>
  <c r="I51" i="7"/>
  <c r="J51" i="7"/>
  <c r="V51" i="7"/>
  <c r="F52" i="7"/>
  <c r="G52" i="7"/>
  <c r="H52" i="7"/>
  <c r="N52" i="7"/>
  <c r="T52" i="7"/>
  <c r="I53" i="7"/>
  <c r="J53" i="7"/>
  <c r="K53" i="7"/>
  <c r="M53" i="7"/>
  <c r="D54" i="7"/>
  <c r="E54" i="7"/>
  <c r="F54" i="7"/>
  <c r="M54" i="7"/>
  <c r="N54" i="7"/>
  <c r="P54" i="7"/>
  <c r="Q54" i="7"/>
  <c r="R54" i="7"/>
  <c r="H55" i="7"/>
  <c r="I55" i="7"/>
  <c r="J55" i="7"/>
  <c r="K55" i="7"/>
  <c r="Q55" i="7"/>
  <c r="T55" i="7"/>
  <c r="U55" i="7"/>
  <c r="V55" i="7"/>
  <c r="K56" i="7"/>
  <c r="L56" i="7"/>
  <c r="M56" i="7"/>
  <c r="N56" i="7"/>
  <c r="O56" i="7"/>
  <c r="P56" i="7"/>
  <c r="D57" i="7"/>
  <c r="E57" i="7"/>
  <c r="F57" i="7"/>
  <c r="H57" i="7"/>
  <c r="I57" i="7"/>
  <c r="O57" i="7"/>
  <c r="P57" i="7"/>
  <c r="Q57" i="7"/>
  <c r="R57" i="7"/>
  <c r="S57" i="7"/>
  <c r="T57" i="7"/>
  <c r="U57" i="7"/>
  <c r="C53" i="7"/>
  <c r="C56" i="7"/>
  <c r="C57" i="7"/>
  <c r="C50" i="7"/>
  <c r="AV233" i="2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AN36" i="7"/>
  <c r="AO36" i="7"/>
  <c r="AP36" i="7"/>
  <c r="AQ36" i="7"/>
  <c r="AR36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AN37" i="7"/>
  <c r="AO37" i="7"/>
  <c r="AP37" i="7"/>
  <c r="AQ37" i="7"/>
  <c r="AR37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AN38" i="7"/>
  <c r="AO38" i="7"/>
  <c r="AP38" i="7"/>
  <c r="AQ38" i="7"/>
  <c r="AR38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AN39" i="7"/>
  <c r="AO39" i="7"/>
  <c r="AP39" i="7"/>
  <c r="AQ39" i="7"/>
  <c r="AR39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AN40" i="7"/>
  <c r="AO40" i="7"/>
  <c r="AP40" i="7"/>
  <c r="AQ40" i="7"/>
  <c r="AR40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AN42" i="7"/>
  <c r="AO42" i="7"/>
  <c r="AP42" i="7"/>
  <c r="AQ42" i="7"/>
  <c r="AR42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AN43" i="7"/>
  <c r="AO43" i="7"/>
  <c r="AP43" i="7"/>
  <c r="AQ43" i="7"/>
  <c r="AR43" i="7"/>
  <c r="Y37" i="7"/>
  <c r="Y38" i="7"/>
  <c r="Y39" i="7"/>
  <c r="Y40" i="7"/>
  <c r="Y41" i="7"/>
  <c r="Y42" i="7"/>
  <c r="Y43" i="7"/>
  <c r="Y36" i="7"/>
  <c r="F36" i="7"/>
  <c r="N36" i="7"/>
  <c r="R36" i="7"/>
  <c r="S36" i="7"/>
  <c r="V36" i="7"/>
  <c r="E37" i="7"/>
  <c r="F37" i="7"/>
  <c r="H37" i="7"/>
  <c r="K37" i="7"/>
  <c r="L37" i="7"/>
  <c r="N37" i="7"/>
  <c r="Q37" i="7"/>
  <c r="R37" i="7"/>
  <c r="T37" i="7"/>
  <c r="E38" i="7"/>
  <c r="H38" i="7"/>
  <c r="J38" i="7"/>
  <c r="M38" i="7"/>
  <c r="O38" i="7"/>
  <c r="Q38" i="7"/>
  <c r="T38" i="7"/>
  <c r="V38" i="7"/>
  <c r="D39" i="7"/>
  <c r="F39" i="7"/>
  <c r="J39" i="7"/>
  <c r="M39" i="7"/>
  <c r="N39" i="7"/>
  <c r="P39" i="7"/>
  <c r="R39" i="7"/>
  <c r="V39" i="7"/>
  <c r="E40" i="7"/>
  <c r="F40" i="7"/>
  <c r="K40" i="7"/>
  <c r="N40" i="7"/>
  <c r="Q40" i="7"/>
  <c r="R40" i="7"/>
  <c r="D41" i="7"/>
  <c r="F41" i="7"/>
  <c r="H41" i="7"/>
  <c r="J41" i="7"/>
  <c r="N41" i="7"/>
  <c r="O41" i="7"/>
  <c r="P41" i="7"/>
  <c r="R41" i="7"/>
  <c r="T41" i="7"/>
  <c r="V41" i="7"/>
  <c r="D42" i="7"/>
  <c r="G42" i="7"/>
  <c r="I42" i="7"/>
  <c r="M42" i="7"/>
  <c r="N42" i="7"/>
  <c r="P42" i="7"/>
  <c r="S42" i="7"/>
  <c r="U42" i="7"/>
  <c r="E43" i="7"/>
  <c r="F43" i="7"/>
  <c r="H43" i="7"/>
  <c r="K43" i="7"/>
  <c r="L43" i="7"/>
  <c r="N43" i="7"/>
  <c r="Q43" i="7"/>
  <c r="R43" i="7"/>
  <c r="T43" i="7"/>
  <c r="C38" i="7"/>
  <c r="C36" i="7"/>
  <c r="BO240" i="4"/>
  <c r="BN240" i="4"/>
  <c r="BM240" i="4"/>
  <c r="BL240" i="4"/>
  <c r="BK240" i="4"/>
  <c r="BJ240" i="4"/>
  <c r="BI240" i="4"/>
  <c r="BH240" i="4"/>
  <c r="BG240" i="4"/>
  <c r="BF240" i="4"/>
  <c r="BE240" i="4"/>
  <c r="BD240" i="4"/>
  <c r="BC240" i="4"/>
  <c r="BB240" i="4"/>
  <c r="BA240" i="4"/>
  <c r="AZ240" i="4"/>
  <c r="AY240" i="4"/>
  <c r="AX240" i="4"/>
  <c r="AW240" i="4"/>
  <c r="AV240" i="4"/>
  <c r="BO239" i="4"/>
  <c r="BN239" i="4"/>
  <c r="BM239" i="4"/>
  <c r="BL239" i="4"/>
  <c r="BK239" i="4"/>
  <c r="BJ239" i="4"/>
  <c r="BI239" i="4"/>
  <c r="BH239" i="4"/>
  <c r="BG239" i="4"/>
  <c r="BF239" i="4"/>
  <c r="BE239" i="4"/>
  <c r="BD239" i="4"/>
  <c r="BC239" i="4"/>
  <c r="BB239" i="4"/>
  <c r="BA239" i="4"/>
  <c r="AZ239" i="4"/>
  <c r="AY239" i="4"/>
  <c r="AX239" i="4"/>
  <c r="AW239" i="4"/>
  <c r="AV239" i="4"/>
  <c r="BO238" i="4"/>
  <c r="BN238" i="4"/>
  <c r="BM238" i="4"/>
  <c r="BL238" i="4"/>
  <c r="BK238" i="4"/>
  <c r="BJ238" i="4"/>
  <c r="BI238" i="4"/>
  <c r="BH238" i="4"/>
  <c r="BG238" i="4"/>
  <c r="BF238" i="4"/>
  <c r="BE238" i="4"/>
  <c r="BD238" i="4"/>
  <c r="BC238" i="4"/>
  <c r="BB238" i="4"/>
  <c r="BA238" i="4"/>
  <c r="AZ238" i="4"/>
  <c r="AY238" i="4"/>
  <c r="AX238" i="4"/>
  <c r="AW238" i="4"/>
  <c r="AV238" i="4"/>
  <c r="BO237" i="4"/>
  <c r="BN237" i="4"/>
  <c r="BM237" i="4"/>
  <c r="BL237" i="4"/>
  <c r="BK237" i="4"/>
  <c r="BJ237" i="4"/>
  <c r="BI237" i="4"/>
  <c r="BH237" i="4"/>
  <c r="BG237" i="4"/>
  <c r="BF237" i="4"/>
  <c r="BE237" i="4"/>
  <c r="BD237" i="4"/>
  <c r="BC237" i="4"/>
  <c r="BB237" i="4"/>
  <c r="BA237" i="4"/>
  <c r="AZ237" i="4"/>
  <c r="AY237" i="4"/>
  <c r="AX237" i="4"/>
  <c r="AW237" i="4"/>
  <c r="AV237" i="4"/>
  <c r="BO236" i="4"/>
  <c r="BN236" i="4"/>
  <c r="BM236" i="4"/>
  <c r="BL236" i="4"/>
  <c r="BK236" i="4"/>
  <c r="BJ236" i="4"/>
  <c r="BI236" i="4"/>
  <c r="BH236" i="4"/>
  <c r="BG236" i="4"/>
  <c r="BF236" i="4"/>
  <c r="BE236" i="4"/>
  <c r="BD236" i="4"/>
  <c r="BC236" i="4"/>
  <c r="BB236" i="4"/>
  <c r="BA236" i="4"/>
  <c r="AZ236" i="4"/>
  <c r="AY236" i="4"/>
  <c r="AX236" i="4"/>
  <c r="AW236" i="4"/>
  <c r="AV236" i="4"/>
  <c r="BO235" i="4"/>
  <c r="BN235" i="4"/>
  <c r="BM235" i="4"/>
  <c r="BL235" i="4"/>
  <c r="BK235" i="4"/>
  <c r="BJ235" i="4"/>
  <c r="BI235" i="4"/>
  <c r="BH235" i="4"/>
  <c r="BG235" i="4"/>
  <c r="BF235" i="4"/>
  <c r="BE235" i="4"/>
  <c r="BD235" i="4"/>
  <c r="BC235" i="4"/>
  <c r="BB235" i="4"/>
  <c r="BA235" i="4"/>
  <c r="AZ235" i="4"/>
  <c r="AY235" i="4"/>
  <c r="AX235" i="4"/>
  <c r="AW235" i="4"/>
  <c r="AV235" i="4"/>
  <c r="BO234" i="4"/>
  <c r="BN234" i="4"/>
  <c r="BM234" i="4"/>
  <c r="BL234" i="4"/>
  <c r="BK234" i="4"/>
  <c r="BJ234" i="4"/>
  <c r="BI234" i="4"/>
  <c r="BH234" i="4"/>
  <c r="BG234" i="4"/>
  <c r="BF234" i="4"/>
  <c r="BE234" i="4"/>
  <c r="BD234" i="4"/>
  <c r="BC234" i="4"/>
  <c r="BB234" i="4"/>
  <c r="BA234" i="4"/>
  <c r="AZ234" i="4"/>
  <c r="AY234" i="4"/>
  <c r="AX234" i="4"/>
  <c r="AW234" i="4"/>
  <c r="AV234" i="4"/>
  <c r="BO233" i="4"/>
  <c r="BN233" i="4"/>
  <c r="BM233" i="4"/>
  <c r="BL233" i="4"/>
  <c r="BK233" i="4"/>
  <c r="BJ233" i="4"/>
  <c r="BI233" i="4"/>
  <c r="BH233" i="4"/>
  <c r="BG233" i="4"/>
  <c r="BF233" i="4"/>
  <c r="BE233" i="4"/>
  <c r="BD233" i="4"/>
  <c r="BC233" i="4"/>
  <c r="BB233" i="4"/>
  <c r="BA233" i="4"/>
  <c r="AZ233" i="4"/>
  <c r="AY233" i="4"/>
  <c r="AX233" i="4"/>
  <c r="AW233" i="4"/>
  <c r="AV233" i="4"/>
  <c r="BO240" i="2"/>
  <c r="V43" i="7" s="1"/>
  <c r="BN240" i="2"/>
  <c r="U43" i="7" s="1"/>
  <c r="BM240" i="2"/>
  <c r="BL240" i="2"/>
  <c r="S43" i="7" s="1"/>
  <c r="BK240" i="2"/>
  <c r="BJ240" i="2"/>
  <c r="BI240" i="2"/>
  <c r="P43" i="7" s="1"/>
  <c r="BH240" i="2"/>
  <c r="O43" i="7" s="1"/>
  <c r="BG240" i="2"/>
  <c r="BF240" i="2"/>
  <c r="M43" i="7" s="1"/>
  <c r="BE240" i="2"/>
  <c r="BD240" i="2"/>
  <c r="BC240" i="2"/>
  <c r="J43" i="7" s="1"/>
  <c r="BB240" i="2"/>
  <c r="I43" i="7" s="1"/>
  <c r="BA240" i="2"/>
  <c r="AZ240" i="2"/>
  <c r="G43" i="7" s="1"/>
  <c r="AY240" i="2"/>
  <c r="AX240" i="2"/>
  <c r="AW240" i="2"/>
  <c r="D43" i="7" s="1"/>
  <c r="AV240" i="2"/>
  <c r="C43" i="7" s="1"/>
  <c r="BO239" i="2"/>
  <c r="V42" i="7" s="1"/>
  <c r="BN239" i="2"/>
  <c r="BM239" i="2"/>
  <c r="T42" i="7" s="1"/>
  <c r="BL239" i="2"/>
  <c r="BK239" i="2"/>
  <c r="R42" i="7" s="1"/>
  <c r="BJ239" i="2"/>
  <c r="Q42" i="7" s="1"/>
  <c r="BI239" i="2"/>
  <c r="BH239" i="2"/>
  <c r="O42" i="7" s="1"/>
  <c r="BG239" i="2"/>
  <c r="BF239" i="2"/>
  <c r="BE239" i="2"/>
  <c r="L42" i="7" s="1"/>
  <c r="BD239" i="2"/>
  <c r="K42" i="7" s="1"/>
  <c r="BC239" i="2"/>
  <c r="J42" i="7" s="1"/>
  <c r="BB239" i="2"/>
  <c r="BA239" i="2"/>
  <c r="H42" i="7" s="1"/>
  <c r="AZ239" i="2"/>
  <c r="AY239" i="2"/>
  <c r="F42" i="7" s="1"/>
  <c r="AX239" i="2"/>
  <c r="E42" i="7" s="1"/>
  <c r="AW239" i="2"/>
  <c r="AV239" i="2"/>
  <c r="C42" i="7" s="1"/>
  <c r="BO238" i="2"/>
  <c r="BN238" i="2"/>
  <c r="U41" i="7" s="1"/>
  <c r="BM238" i="2"/>
  <c r="BL238" i="2"/>
  <c r="S41" i="7" s="1"/>
  <c r="BK238" i="2"/>
  <c r="BJ238" i="2"/>
  <c r="Q41" i="7" s="1"/>
  <c r="BI238" i="2"/>
  <c r="BH238" i="2"/>
  <c r="BG238" i="2"/>
  <c r="BF238" i="2"/>
  <c r="M41" i="7" s="1"/>
  <c r="BE238" i="2"/>
  <c r="L41" i="7" s="1"/>
  <c r="BD238" i="2"/>
  <c r="K41" i="7" s="1"/>
  <c r="BC238" i="2"/>
  <c r="BB238" i="2"/>
  <c r="I41" i="7" s="1"/>
  <c r="BA238" i="2"/>
  <c r="AZ238" i="2"/>
  <c r="G41" i="7" s="1"/>
  <c r="AY238" i="2"/>
  <c r="AX238" i="2"/>
  <c r="E41" i="7" s="1"/>
  <c r="AW238" i="2"/>
  <c r="AV238" i="2"/>
  <c r="C41" i="7" s="1"/>
  <c r="BO237" i="2"/>
  <c r="V40" i="7" s="1"/>
  <c r="BN237" i="2"/>
  <c r="U40" i="7" s="1"/>
  <c r="BM237" i="2"/>
  <c r="T40" i="7" s="1"/>
  <c r="BL237" i="2"/>
  <c r="S40" i="7" s="1"/>
  <c r="BK237" i="2"/>
  <c r="BJ237" i="2"/>
  <c r="BI237" i="2"/>
  <c r="P40" i="7" s="1"/>
  <c r="BH237" i="2"/>
  <c r="O40" i="7" s="1"/>
  <c r="BG237" i="2"/>
  <c r="BF237" i="2"/>
  <c r="M40" i="7" s="1"/>
  <c r="BE237" i="2"/>
  <c r="L40" i="7" s="1"/>
  <c r="BD237" i="2"/>
  <c r="BC237" i="2"/>
  <c r="J40" i="7" s="1"/>
  <c r="BB237" i="2"/>
  <c r="I40" i="7" s="1"/>
  <c r="BA237" i="2"/>
  <c r="H40" i="7" s="1"/>
  <c r="AZ237" i="2"/>
  <c r="G40" i="7" s="1"/>
  <c r="AY237" i="2"/>
  <c r="AX237" i="2"/>
  <c r="AW237" i="2"/>
  <c r="D40" i="7" s="1"/>
  <c r="AV237" i="2"/>
  <c r="C40" i="7" s="1"/>
  <c r="BO236" i="2"/>
  <c r="BN236" i="2"/>
  <c r="U39" i="7" s="1"/>
  <c r="BM236" i="2"/>
  <c r="T39" i="7" s="1"/>
  <c r="BL236" i="2"/>
  <c r="S39" i="7" s="1"/>
  <c r="BK236" i="2"/>
  <c r="BJ236" i="2"/>
  <c r="Q39" i="7" s="1"/>
  <c r="BI236" i="2"/>
  <c r="BH236" i="2"/>
  <c r="O39" i="7" s="1"/>
  <c r="BG236" i="2"/>
  <c r="BF236" i="2"/>
  <c r="BE236" i="2"/>
  <c r="L39" i="7" s="1"/>
  <c r="BD236" i="2"/>
  <c r="K39" i="7" s="1"/>
  <c r="BC236" i="2"/>
  <c r="BB236" i="2"/>
  <c r="I39" i="7" s="1"/>
  <c r="BA236" i="2"/>
  <c r="H39" i="7" s="1"/>
  <c r="AZ236" i="2"/>
  <c r="G39" i="7" s="1"/>
  <c r="AY236" i="2"/>
  <c r="AX236" i="2"/>
  <c r="E39" i="7" s="1"/>
  <c r="AW236" i="2"/>
  <c r="AV236" i="2"/>
  <c r="C39" i="7" s="1"/>
  <c r="BO235" i="2"/>
  <c r="BN235" i="2"/>
  <c r="U38" i="7" s="1"/>
  <c r="BM235" i="2"/>
  <c r="BL235" i="2"/>
  <c r="S38" i="7" s="1"/>
  <c r="BK235" i="2"/>
  <c r="R38" i="7" s="1"/>
  <c r="BJ235" i="2"/>
  <c r="BI235" i="2"/>
  <c r="P38" i="7" s="1"/>
  <c r="BH235" i="2"/>
  <c r="BG235" i="2"/>
  <c r="N38" i="7" s="1"/>
  <c r="BF235" i="2"/>
  <c r="BE235" i="2"/>
  <c r="L38" i="7" s="1"/>
  <c r="BD235" i="2"/>
  <c r="K38" i="7" s="1"/>
  <c r="BC235" i="2"/>
  <c r="BB235" i="2"/>
  <c r="I38" i="7" s="1"/>
  <c r="BA235" i="2"/>
  <c r="AZ235" i="2"/>
  <c r="G38" i="7" s="1"/>
  <c r="AY235" i="2"/>
  <c r="F38" i="7" s="1"/>
  <c r="AX235" i="2"/>
  <c r="AW235" i="2"/>
  <c r="D38" i="7" s="1"/>
  <c r="AV235" i="2"/>
  <c r="BO234" i="2"/>
  <c r="V37" i="7" s="1"/>
  <c r="BN234" i="2"/>
  <c r="U37" i="7" s="1"/>
  <c r="BM234" i="2"/>
  <c r="BL234" i="2"/>
  <c r="S37" i="7" s="1"/>
  <c r="BK234" i="2"/>
  <c r="BJ234" i="2"/>
  <c r="BI234" i="2"/>
  <c r="P37" i="7" s="1"/>
  <c r="BH234" i="2"/>
  <c r="O37" i="7" s="1"/>
  <c r="BG234" i="2"/>
  <c r="BF234" i="2"/>
  <c r="M37" i="7" s="1"/>
  <c r="BE234" i="2"/>
  <c r="BD234" i="2"/>
  <c r="BC234" i="2"/>
  <c r="J37" i="7" s="1"/>
  <c r="BB234" i="2"/>
  <c r="I37" i="7" s="1"/>
  <c r="BA234" i="2"/>
  <c r="AZ234" i="2"/>
  <c r="G37" i="7" s="1"/>
  <c r="AY234" i="2"/>
  <c r="AX234" i="2"/>
  <c r="AW234" i="2"/>
  <c r="D37" i="7" s="1"/>
  <c r="AV234" i="2"/>
  <c r="C37" i="7" s="1"/>
  <c r="BO233" i="2"/>
  <c r="BN233" i="2"/>
  <c r="U36" i="7" s="1"/>
  <c r="BM233" i="2"/>
  <c r="T36" i="7" s="1"/>
  <c r="BL233" i="2"/>
  <c r="BK233" i="2"/>
  <c r="BJ233" i="2"/>
  <c r="Q36" i="7" s="1"/>
  <c r="BI233" i="2"/>
  <c r="P36" i="7" s="1"/>
  <c r="BH233" i="2"/>
  <c r="O36" i="7" s="1"/>
  <c r="BG233" i="2"/>
  <c r="BF233" i="2"/>
  <c r="M36" i="7" s="1"/>
  <c r="BE233" i="2"/>
  <c r="L36" i="7" s="1"/>
  <c r="BD233" i="2"/>
  <c r="K36" i="7" s="1"/>
  <c r="BC233" i="2"/>
  <c r="J36" i="7" s="1"/>
  <c r="BB233" i="2"/>
  <c r="I36" i="7" s="1"/>
  <c r="BA233" i="2"/>
  <c r="H36" i="7" s="1"/>
  <c r="AZ233" i="2"/>
  <c r="G36" i="7" s="1"/>
  <c r="AY233" i="2"/>
  <c r="AX233" i="2"/>
  <c r="E36" i="7" s="1"/>
  <c r="AW233" i="2"/>
  <c r="D36" i="7" s="1"/>
  <c r="AW233" i="3"/>
  <c r="AX233" i="3"/>
  <c r="AY233" i="3"/>
  <c r="AZ233" i="3"/>
  <c r="BA233" i="3"/>
  <c r="BB233" i="3"/>
  <c r="BC233" i="3"/>
  <c r="BD233" i="3"/>
  <c r="BE233" i="3"/>
  <c r="BF233" i="3"/>
  <c r="BG233" i="3"/>
  <c r="BH233" i="3"/>
  <c r="BI233" i="3"/>
  <c r="BJ233" i="3"/>
  <c r="BK233" i="3"/>
  <c r="BL233" i="3"/>
  <c r="BM233" i="3"/>
  <c r="BN233" i="3"/>
  <c r="BO233" i="3"/>
  <c r="AW234" i="3"/>
  <c r="AX234" i="3"/>
  <c r="AY234" i="3"/>
  <c r="AZ234" i="3"/>
  <c r="BA234" i="3"/>
  <c r="BB234" i="3"/>
  <c r="BC234" i="3"/>
  <c r="BD234" i="3"/>
  <c r="BE234" i="3"/>
  <c r="BF234" i="3"/>
  <c r="BG234" i="3"/>
  <c r="BH234" i="3"/>
  <c r="BI234" i="3"/>
  <c r="BJ234" i="3"/>
  <c r="BK234" i="3"/>
  <c r="BL234" i="3"/>
  <c r="BM234" i="3"/>
  <c r="BN234" i="3"/>
  <c r="BO234" i="3"/>
  <c r="AW235" i="3"/>
  <c r="AX235" i="3"/>
  <c r="AY235" i="3"/>
  <c r="AZ235" i="3"/>
  <c r="BA235" i="3"/>
  <c r="BB235" i="3"/>
  <c r="BC235" i="3"/>
  <c r="BD235" i="3"/>
  <c r="BE235" i="3"/>
  <c r="BF235" i="3"/>
  <c r="BG235" i="3"/>
  <c r="BH235" i="3"/>
  <c r="BI235" i="3"/>
  <c r="BJ235" i="3"/>
  <c r="BK235" i="3"/>
  <c r="BL235" i="3"/>
  <c r="BM235" i="3"/>
  <c r="BN235" i="3"/>
  <c r="BO235" i="3"/>
  <c r="AW236" i="3"/>
  <c r="AX236" i="3"/>
  <c r="AY236" i="3"/>
  <c r="AZ236" i="3"/>
  <c r="BA236" i="3"/>
  <c r="BB236" i="3"/>
  <c r="BC236" i="3"/>
  <c r="BD236" i="3"/>
  <c r="BE236" i="3"/>
  <c r="BF236" i="3"/>
  <c r="BG236" i="3"/>
  <c r="BH236" i="3"/>
  <c r="BI236" i="3"/>
  <c r="BJ236" i="3"/>
  <c r="BK236" i="3"/>
  <c r="BL236" i="3"/>
  <c r="BM236" i="3"/>
  <c r="BN236" i="3"/>
  <c r="BO236" i="3"/>
  <c r="AW237" i="3"/>
  <c r="AX237" i="3"/>
  <c r="AY237" i="3"/>
  <c r="AZ237" i="3"/>
  <c r="BA237" i="3"/>
  <c r="BB237" i="3"/>
  <c r="BC237" i="3"/>
  <c r="BD237" i="3"/>
  <c r="BE237" i="3"/>
  <c r="BF237" i="3"/>
  <c r="BG237" i="3"/>
  <c r="BH237" i="3"/>
  <c r="BI237" i="3"/>
  <c r="BJ237" i="3"/>
  <c r="BK237" i="3"/>
  <c r="BL237" i="3"/>
  <c r="BM237" i="3"/>
  <c r="BN237" i="3"/>
  <c r="BO237" i="3"/>
  <c r="AW238" i="3"/>
  <c r="AX238" i="3"/>
  <c r="AY238" i="3"/>
  <c r="AZ238" i="3"/>
  <c r="BA238" i="3"/>
  <c r="BB238" i="3"/>
  <c r="BC238" i="3"/>
  <c r="BD238" i="3"/>
  <c r="BE238" i="3"/>
  <c r="BF238" i="3"/>
  <c r="BG238" i="3"/>
  <c r="BH238" i="3"/>
  <c r="BI238" i="3"/>
  <c r="BJ238" i="3"/>
  <c r="BK238" i="3"/>
  <c r="BL238" i="3"/>
  <c r="BM238" i="3"/>
  <c r="BN238" i="3"/>
  <c r="BO238" i="3"/>
  <c r="AW239" i="3"/>
  <c r="AX239" i="3"/>
  <c r="AY239" i="3"/>
  <c r="AZ239" i="3"/>
  <c r="BA239" i="3"/>
  <c r="BB239" i="3"/>
  <c r="BC239" i="3"/>
  <c r="BD239" i="3"/>
  <c r="BE239" i="3"/>
  <c r="BF239" i="3"/>
  <c r="BG239" i="3"/>
  <c r="BH239" i="3"/>
  <c r="BI239" i="3"/>
  <c r="BJ239" i="3"/>
  <c r="BK239" i="3"/>
  <c r="BL239" i="3"/>
  <c r="BM239" i="3"/>
  <c r="BN239" i="3"/>
  <c r="BO239" i="3"/>
  <c r="AW240" i="3"/>
  <c r="AX240" i="3"/>
  <c r="AY240" i="3"/>
  <c r="AZ240" i="3"/>
  <c r="BA240" i="3"/>
  <c r="BB240" i="3"/>
  <c r="BC240" i="3"/>
  <c r="BD240" i="3"/>
  <c r="BE240" i="3"/>
  <c r="BF240" i="3"/>
  <c r="BG240" i="3"/>
  <c r="BH240" i="3"/>
  <c r="BI240" i="3"/>
  <c r="BJ240" i="3"/>
  <c r="BK240" i="3"/>
  <c r="BL240" i="3"/>
  <c r="BM240" i="3"/>
  <c r="BN240" i="3"/>
  <c r="BO240" i="3"/>
  <c r="AV234" i="3"/>
  <c r="AV235" i="3"/>
  <c r="AV236" i="3"/>
  <c r="AV237" i="3"/>
  <c r="AV238" i="3"/>
  <c r="AV239" i="3"/>
  <c r="AV240" i="3"/>
  <c r="AV233" i="3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C23" i="7"/>
  <c r="C24" i="7"/>
  <c r="C25" i="7"/>
  <c r="C26" i="7"/>
  <c r="C27" i="7"/>
  <c r="C28" i="7"/>
  <c r="C29" i="7"/>
  <c r="C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AR23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AR24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Z29" i="7"/>
  <c r="AA29" i="7"/>
  <c r="AB29" i="7"/>
  <c r="AC29" i="7"/>
  <c r="AD29" i="7"/>
  <c r="AE29" i="7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Y28" i="7"/>
  <c r="Y29" i="7"/>
  <c r="Y27" i="7"/>
  <c r="Y23" i="7"/>
  <c r="Y24" i="7"/>
  <c r="Y25" i="7"/>
  <c r="Y26" i="7"/>
  <c r="Y22" i="7"/>
  <c r="BA8" i="7"/>
  <c r="BB8" i="7"/>
  <c r="BC8" i="7"/>
  <c r="BD8" i="7"/>
  <c r="BE8" i="7"/>
  <c r="BF8" i="7"/>
  <c r="BG8" i="7"/>
  <c r="BH8" i="7"/>
  <c r="BI8" i="7"/>
  <c r="BJ8" i="7"/>
  <c r="BK8" i="7"/>
  <c r="BL8" i="7"/>
  <c r="BM8" i="7"/>
  <c r="BN8" i="7"/>
  <c r="BA9" i="7"/>
  <c r="BB9" i="7"/>
  <c r="BC9" i="7"/>
  <c r="BD9" i="7"/>
  <c r="BE9" i="7"/>
  <c r="BF9" i="7"/>
  <c r="BG9" i="7"/>
  <c r="BH9" i="7"/>
  <c r="BI9" i="7"/>
  <c r="BJ9" i="7"/>
  <c r="BK9" i="7"/>
  <c r="BL9" i="7"/>
  <c r="BM9" i="7"/>
  <c r="BN9" i="7"/>
  <c r="BA10" i="7"/>
  <c r="BB10" i="7"/>
  <c r="BC10" i="7"/>
  <c r="BD10" i="7"/>
  <c r="BE10" i="7"/>
  <c r="BF10" i="7"/>
  <c r="BG10" i="7"/>
  <c r="BH10" i="7"/>
  <c r="BI10" i="7"/>
  <c r="BJ10" i="7"/>
  <c r="BK10" i="7"/>
  <c r="BL10" i="7"/>
  <c r="BM10" i="7"/>
  <c r="BN10" i="7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A12" i="7"/>
  <c r="BB12" i="7"/>
  <c r="BC12" i="7"/>
  <c r="BD12" i="7"/>
  <c r="BE12" i="7"/>
  <c r="BF12" i="7"/>
  <c r="BG12" i="7"/>
  <c r="BH12" i="7"/>
  <c r="BI12" i="7"/>
  <c r="BJ12" i="7"/>
  <c r="BK12" i="7"/>
  <c r="BL12" i="7"/>
  <c r="BM12" i="7"/>
  <c r="BN12" i="7"/>
  <c r="BA13" i="7"/>
  <c r="BB13" i="7"/>
  <c r="BC13" i="7"/>
  <c r="BD13" i="7"/>
  <c r="BE13" i="7"/>
  <c r="BF13" i="7"/>
  <c r="BG13" i="7"/>
  <c r="BH13" i="7"/>
  <c r="BI13" i="7"/>
  <c r="BJ13" i="7"/>
  <c r="BK13" i="7"/>
  <c r="BL13" i="7"/>
  <c r="BM13" i="7"/>
  <c r="BN13" i="7"/>
  <c r="BA14" i="7"/>
  <c r="BB14" i="7"/>
  <c r="BC14" i="7"/>
  <c r="BD14" i="7"/>
  <c r="BE14" i="7"/>
  <c r="BF14" i="7"/>
  <c r="BG14" i="7"/>
  <c r="BH14" i="7"/>
  <c r="BI14" i="7"/>
  <c r="BJ14" i="7"/>
  <c r="BK14" i="7"/>
  <c r="BL14" i="7"/>
  <c r="BM14" i="7"/>
  <c r="BN14" i="7"/>
  <c r="BA15" i="7"/>
  <c r="BB15" i="7"/>
  <c r="BC15" i="7"/>
  <c r="BD15" i="7"/>
  <c r="BE15" i="7"/>
  <c r="BF15" i="7"/>
  <c r="BG15" i="7"/>
  <c r="BH15" i="7"/>
  <c r="BI15" i="7"/>
  <c r="BJ15" i="7"/>
  <c r="BK15" i="7"/>
  <c r="BL15" i="7"/>
  <c r="BM15" i="7"/>
  <c r="BN15" i="7"/>
  <c r="AZ8" i="7"/>
  <c r="AZ9" i="7"/>
  <c r="AZ10" i="7"/>
  <c r="AZ11" i="7"/>
  <c r="AZ12" i="7"/>
  <c r="AZ13" i="7"/>
  <c r="AZ14" i="7"/>
  <c r="AZ15" i="7"/>
  <c r="AV8" i="7"/>
  <c r="AW8" i="7"/>
  <c r="AX8" i="7"/>
  <c r="AY8" i="7"/>
  <c r="AV9" i="7"/>
  <c r="AW9" i="7"/>
  <c r="AX9" i="7"/>
  <c r="AY9" i="7"/>
  <c r="AV10" i="7"/>
  <c r="AW10" i="7"/>
  <c r="AX10" i="7"/>
  <c r="AY10" i="7"/>
  <c r="AV11" i="7"/>
  <c r="AW11" i="7"/>
  <c r="AX11" i="7"/>
  <c r="AY11" i="7"/>
  <c r="AV12" i="7"/>
  <c r="AW12" i="7"/>
  <c r="AX12" i="7"/>
  <c r="AY12" i="7"/>
  <c r="AV13" i="7"/>
  <c r="AW13" i="7"/>
  <c r="AX13" i="7"/>
  <c r="AY13" i="7"/>
  <c r="AV14" i="7"/>
  <c r="AW14" i="7"/>
  <c r="AX14" i="7"/>
  <c r="AY14" i="7"/>
  <c r="AV15" i="7"/>
  <c r="AW15" i="7"/>
  <c r="AX15" i="7"/>
  <c r="AY15" i="7"/>
  <c r="AU9" i="7"/>
  <c r="AU10" i="7"/>
  <c r="AU11" i="7"/>
  <c r="AU12" i="7"/>
  <c r="AU13" i="7"/>
  <c r="AU14" i="7"/>
  <c r="AU15" i="7"/>
  <c r="AU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Y9" i="7"/>
  <c r="Y10" i="7"/>
  <c r="Y11" i="7"/>
  <c r="Y12" i="7"/>
  <c r="Y13" i="7"/>
  <c r="Y14" i="7"/>
  <c r="Y15" i="7"/>
  <c r="Y8" i="7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T118" i="4"/>
  <c r="U118" i="4"/>
  <c r="V118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T119" i="4"/>
  <c r="U119" i="4"/>
  <c r="V119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T120" i="4"/>
  <c r="U120" i="4"/>
  <c r="V120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T121" i="4"/>
  <c r="U121" i="4"/>
  <c r="V121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T122" i="4"/>
  <c r="U122" i="4"/>
  <c r="V122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T123" i="4"/>
  <c r="U123" i="4"/>
  <c r="V123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T124" i="4"/>
  <c r="U124" i="4"/>
  <c r="V124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T125" i="4"/>
  <c r="U125" i="4"/>
  <c r="V125" i="4"/>
  <c r="C119" i="4"/>
  <c r="C120" i="4"/>
  <c r="C121" i="4"/>
  <c r="C122" i="4"/>
  <c r="C123" i="4"/>
  <c r="C124" i="4"/>
  <c r="C125" i="4"/>
  <c r="C118" i="4"/>
  <c r="C55" i="7" l="1"/>
  <c r="F55" i="7"/>
  <c r="V53" i="7"/>
  <c r="S52" i="7"/>
  <c r="L54" i="7"/>
  <c r="H53" i="7"/>
  <c r="E52" i="7"/>
  <c r="G53" i="7"/>
  <c r="D52" i="7"/>
  <c r="J56" i="7"/>
  <c r="G55" i="7"/>
  <c r="C54" i="7"/>
  <c r="E55" i="7"/>
  <c r="U53" i="7"/>
  <c r="R52" i="7"/>
  <c r="O51" i="7"/>
  <c r="Q52" i="7"/>
  <c r="N51" i="7"/>
  <c r="N57" i="7"/>
  <c r="U56" i="7"/>
  <c r="I56" i="7"/>
  <c r="P55" i="7"/>
  <c r="D55" i="7"/>
  <c r="K54" i="7"/>
  <c r="M57" i="7"/>
  <c r="T56" i="7"/>
  <c r="H56" i="7"/>
  <c r="O55" i="7"/>
  <c r="S55" i="7"/>
  <c r="C52" i="7"/>
  <c r="L57" i="7"/>
  <c r="S56" i="7"/>
  <c r="G56" i="7"/>
  <c r="C51" i="7"/>
  <c r="K57" i="7"/>
  <c r="M55" i="7"/>
  <c r="H54" i="7"/>
  <c r="O53" i="7"/>
  <c r="L50" i="7"/>
  <c r="BT73" i="2" l="1"/>
  <c r="BU73" i="2"/>
  <c r="BV73" i="2"/>
  <c r="BW73" i="2"/>
  <c r="BS74" i="2" s="1"/>
  <c r="BX73" i="2"/>
  <c r="BY73" i="2"/>
  <c r="BZ73" i="2"/>
  <c r="CA73" i="2"/>
  <c r="CB73" i="2"/>
  <c r="CB74" i="2" s="1"/>
  <c r="CC73" i="2"/>
  <c r="CA74" i="2" s="1"/>
  <c r="CD73" i="2"/>
  <c r="CE73" i="2"/>
  <c r="CF73" i="2"/>
  <c r="CG73" i="2"/>
  <c r="CH73" i="2"/>
  <c r="CI73" i="2"/>
  <c r="CJ73" i="2"/>
  <c r="CK73" i="2"/>
  <c r="CL73" i="2"/>
  <c r="CJ74" i="2" s="1"/>
  <c r="BS73" i="2"/>
  <c r="BU74" i="2" s="1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C45" i="2"/>
  <c r="CI74" i="2"/>
  <c r="O45" i="4"/>
  <c r="M45" i="4"/>
  <c r="K45" i="4"/>
  <c r="I45" i="4"/>
  <c r="G45" i="4"/>
  <c r="E45" i="4"/>
  <c r="C45" i="4"/>
  <c r="V39" i="5"/>
  <c r="V38" i="5"/>
  <c r="V37" i="5"/>
  <c r="V36" i="5"/>
  <c r="V35" i="5"/>
  <c r="V34" i="5"/>
  <c r="V33" i="5"/>
  <c r="V32" i="5"/>
  <c r="V29" i="5"/>
  <c r="V28" i="5"/>
  <c r="V27" i="5"/>
  <c r="V26" i="5"/>
  <c r="V25" i="5"/>
  <c r="V24" i="5"/>
  <c r="V23" i="5"/>
  <c r="V22" i="5"/>
  <c r="V19" i="5"/>
  <c r="V18" i="5"/>
  <c r="V17" i="5"/>
  <c r="V16" i="5"/>
  <c r="V15" i="5"/>
  <c r="V14" i="5"/>
  <c r="V13" i="5"/>
  <c r="V12" i="5"/>
  <c r="V3" i="5"/>
  <c r="V4" i="5"/>
  <c r="V5" i="5"/>
  <c r="V6" i="5"/>
  <c r="V7" i="5"/>
  <c r="V8" i="5"/>
  <c r="V9" i="5"/>
  <c r="V2" i="5"/>
  <c r="E46" i="2" l="1"/>
  <c r="BT74" i="2"/>
  <c r="W45" i="2"/>
  <c r="K46" i="2" s="1"/>
  <c r="S46" i="2" l="1"/>
  <c r="C46" i="2"/>
</calcChain>
</file>

<file path=xl/sharedStrings.xml><?xml version="1.0" encoding="utf-8"?>
<sst xmlns="http://schemas.openxmlformats.org/spreadsheetml/2006/main" count="11854" uniqueCount="108">
  <si>
    <t>Lenght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</si>
  <si>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</si>
  <si>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</si>
  <si>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</si>
  <si>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</si>
  <si>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</si>
  <si>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</si>
  <si>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</si>
  <si>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</si>
  <si>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</si>
  <si>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</si>
  <si>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Length</t>
  </si>
  <si>
    <t>TollLights</t>
  </si>
  <si>
    <t>ML PCE.Miles</t>
  </si>
  <si>
    <t>GP PCE.Miles</t>
  </si>
  <si>
    <t>Highway PCE.Miles</t>
  </si>
  <si>
    <t>Direction</t>
  </si>
  <si>
    <t>NB</t>
  </si>
  <si>
    <t>SB</t>
  </si>
  <si>
    <t>Segment</t>
  </si>
  <si>
    <t>Period</t>
  </si>
  <si>
    <t>Night</t>
  </si>
  <si>
    <t>AM-Early</t>
  </si>
  <si>
    <t>AM-Peak</t>
  </si>
  <si>
    <t>AM-Shoulder</t>
  </si>
  <si>
    <t>MD</t>
  </si>
  <si>
    <t>PM-Shoulder</t>
  </si>
  <si>
    <t>PM-Peak</t>
  </si>
  <si>
    <t>PM-Late</t>
  </si>
  <si>
    <t>CaptureRateLights</t>
  </si>
  <si>
    <t>ML Volume (PCE/Period)</t>
  </si>
  <si>
    <t>GP Volume (PCE/Period)</t>
  </si>
  <si>
    <t>Highway Volume</t>
  </si>
  <si>
    <t>Revenue Per Period</t>
  </si>
  <si>
    <t>ML Flow (PCE/hr)</t>
  </si>
  <si>
    <t>GP Flow (PCE/hr)</t>
  </si>
  <si>
    <t>Highway Flow</t>
  </si>
  <si>
    <t>Revenue Per Period Lights</t>
  </si>
  <si>
    <t>ML V/C</t>
  </si>
  <si>
    <t>GP V/C real</t>
  </si>
  <si>
    <t>Highway Vol / GP Capacity</t>
  </si>
  <si>
    <t>Revenue Per Period Medium A</t>
  </si>
  <si>
    <t>ML Speed</t>
  </si>
  <si>
    <t>GP Speed</t>
  </si>
  <si>
    <t>Time Saving</t>
  </si>
  <si>
    <t>Revenue Per Period Medium B</t>
  </si>
  <si>
    <t>ML time</t>
  </si>
  <si>
    <t>GP Time</t>
  </si>
  <si>
    <t>Difference in travel time</t>
  </si>
  <si>
    <t>Revenue Per Period Heavy A</t>
  </si>
  <si>
    <t>ML light veh.Miles</t>
  </si>
  <si>
    <t>GP light veh.Miles</t>
  </si>
  <si>
    <t>LVr Toll</t>
  </si>
  <si>
    <t>% Workday Revenue</t>
  </si>
  <si>
    <t>ML light veh/period</t>
  </si>
  <si>
    <t>GP light veh/period</t>
  </si>
  <si>
    <t>Medium A Toll</t>
  </si>
  <si>
    <t>ML medium A veh.Miles</t>
  </si>
  <si>
    <t>GP medium A veh.Miles</t>
  </si>
  <si>
    <t>Implied VOT</t>
  </si>
  <si>
    <t>ML medium A veh/period</t>
  </si>
  <si>
    <t>GP medium A veh/period</t>
  </si>
  <si>
    <t>ML medium B veh.Miles</t>
  </si>
  <si>
    <t>GP medium B veh.Miles</t>
  </si>
  <si>
    <t>ML medium B veh/period</t>
  </si>
  <si>
    <t>GP medium B veh/period</t>
  </si>
  <si>
    <t>ML heavy A veh.Miles</t>
  </si>
  <si>
    <t>GP heavy A veh.Miles</t>
  </si>
  <si>
    <t>ML heavy A veh/period</t>
  </si>
  <si>
    <t>GP heavy A veh/period</t>
  </si>
  <si>
    <t>Time Savings %</t>
  </si>
  <si>
    <t>GP heavy B veh.Miles</t>
  </si>
  <si>
    <t>Reliability %</t>
  </si>
  <si>
    <t>GP heavy B veh/period</t>
  </si>
  <si>
    <t>Bonus %</t>
  </si>
  <si>
    <t>2025- 2032</t>
  </si>
  <si>
    <t>2032-2040</t>
  </si>
  <si>
    <t>2040-2050</t>
  </si>
  <si>
    <t>Revenues Heavy A</t>
  </si>
  <si>
    <t>Corridor Lights</t>
  </si>
  <si>
    <t>Corridor PCE</t>
  </si>
  <si>
    <t>Lights Corridor</t>
  </si>
  <si>
    <t>Corridor Medium A</t>
  </si>
  <si>
    <t>Medium A Corridor</t>
  </si>
  <si>
    <t>Heavy A Corridor</t>
  </si>
  <si>
    <t>Corridor Heavy A</t>
  </si>
  <si>
    <t>Base Speeds</t>
  </si>
  <si>
    <t>1NB</t>
  </si>
  <si>
    <t>2NB</t>
  </si>
  <si>
    <t>3NB</t>
  </si>
  <si>
    <t>4NB</t>
  </si>
  <si>
    <t>5NB</t>
  </si>
  <si>
    <t>6NB</t>
  </si>
  <si>
    <t>7NB</t>
  </si>
  <si>
    <t>8NB</t>
  </si>
  <si>
    <t>9NB</t>
  </si>
  <si>
    <t>10NB</t>
  </si>
  <si>
    <t>1SB</t>
  </si>
  <si>
    <t>2SB</t>
  </si>
  <si>
    <t>3SB</t>
  </si>
  <si>
    <t>4SB</t>
  </si>
  <si>
    <t>5SB</t>
  </si>
  <si>
    <t>6SB</t>
  </si>
  <si>
    <t>7SB</t>
  </si>
  <si>
    <t>8SB</t>
  </si>
  <si>
    <t>9SB</t>
  </si>
  <si>
    <t>10SB</t>
  </si>
  <si>
    <t>ML PCE/Lane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</si>
</sst>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10" fontId="0" fillId="0" borderId="2" xfId="1" applyNumberFormat="1" applyFont="1" applyBorder="1"/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2" fontId="0" fillId="0" borderId="2" xfId="1" applyNumberFormat="1" applyFont="1" applyBorder="1"/>
    <xf numFmtId="2" fontId="0" fillId="0" borderId="2" xfId="0" applyNumberFormat="1" applyBorder="1"/>
    <xf numFmtId="2" fontId="0" fillId="0" borderId="4" xfId="1" applyNumberFormat="1" applyFont="1" applyBorder="1"/>
    <xf numFmtId="0" fontId="1" fillId="0" borderId="5" xfId="0" applyFont="1" applyBorder="1" applyAlignment="1">
      <alignment horizontal="center" vertical="top"/>
    </xf>
    <xf numFmtId="0" fontId="0" fillId="0" borderId="0" xfId="1" applyNumberFormat="1" applyFont="1" applyBorder="1"/>
    <xf numFmtId="164" fontId="0" fillId="0" borderId="2" xfId="0" applyNumberFormat="1" applyBorder="1"/>
    <xf numFmtId="0" fontId="1" fillId="0" borderId="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Year_2032!$DF$65:$DF$72</c:f>
              <c:numCache>
                <c:formatCode>General</c:formatCode>
                <c:ptCount val="8"/>
                <c:pt idx="0">
                  <c:v>0.42</c:v>
                </c:pt>
                <c:pt idx="1">
                  <c:v>0.28000000000000003</c:v>
                </c:pt>
                <c:pt idx="2">
                  <c:v>0.21</c:v>
                </c:pt>
                <c:pt idx="3">
                  <c:v>0.28000000000000003</c:v>
                </c:pt>
                <c:pt idx="4">
                  <c:v>0.26</c:v>
                </c:pt>
                <c:pt idx="5">
                  <c:v>0.28999999999999998</c:v>
                </c:pt>
                <c:pt idx="6">
                  <c:v>0.37</c:v>
                </c:pt>
                <c:pt idx="7">
                  <c:v>0.26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D1-41D9-B6D4-CEC165F14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29903"/>
        <c:axId val="1168399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Year_2032!$U$9:$U$16</c:f>
              <c:numCache>
                <c:formatCode>General</c:formatCode>
                <c:ptCount val="8"/>
                <c:pt idx="0">
                  <c:v>0.54</c:v>
                </c:pt>
                <c:pt idx="1">
                  <c:v>0.78</c:v>
                </c:pt>
                <c:pt idx="2">
                  <c:v>1.3</c:v>
                </c:pt>
                <c:pt idx="3">
                  <c:v>0.95</c:v>
                </c:pt>
                <c:pt idx="4">
                  <c:v>0.9</c:v>
                </c:pt>
                <c:pt idx="5">
                  <c:v>0.8</c:v>
                </c:pt>
                <c:pt idx="6">
                  <c:v>1.27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D1-41D9-B6D4-CEC165F14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41423"/>
        <c:axId val="116840943"/>
      </c:lineChart>
      <c:catAx>
        <c:axId val="1168299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39983"/>
        <c:crosses val="autoZero"/>
        <c:auto val="1"/>
        <c:lblAlgn val="ctr"/>
        <c:lblOffset val="100"/>
        <c:noMultiLvlLbl val="0"/>
      </c:catAx>
      <c:valAx>
        <c:axId val="1168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29903"/>
        <c:crosses val="autoZero"/>
        <c:crossBetween val="between"/>
      </c:valAx>
      <c:valAx>
        <c:axId val="116840943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41423"/>
        <c:crosses val="max"/>
        <c:crossBetween val="between"/>
      </c:valAx>
      <c:catAx>
        <c:axId val="116841423"/>
        <c:scaling>
          <c:orientation val="minMax"/>
        </c:scaling>
        <c:delete val="1"/>
        <c:axPos val="b"/>
        <c:majorTickMark val="out"/>
        <c:minorTickMark val="none"/>
        <c:tickLblPos val="nextTo"/>
        <c:crossAx val="116840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Speeds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Night</c:v>
                </c:pt>
                <c:pt idx="1">
                  <c:v>AM-Early</c:v>
                </c:pt>
                <c:pt idx="2">
                  <c:v>AM-Peak</c:v>
                </c:pt>
                <c:pt idx="3">
                  <c:v>AM-Shoulder</c:v>
                </c:pt>
                <c:pt idx="4">
                  <c:v>MD</c:v>
                </c:pt>
                <c:pt idx="5">
                  <c:v>PM-Shoulder</c:v>
                </c:pt>
                <c:pt idx="6">
                  <c:v>PM-Peak</c:v>
                </c:pt>
                <c:pt idx="7">
                  <c:v>PM-Late</c:v>
                </c:pt>
              </c:strCache>
            </c:strRef>
          </c:cat>
          <c:val>
            <c:numRef>
              <c:f>Sheet1!$V$2:$V$9</c:f>
              <c:numCache>
                <c:formatCode>General</c:formatCode>
                <c:ptCount val="8"/>
                <c:pt idx="0">
                  <c:v>51.511500000000012</c:v>
                </c:pt>
                <c:pt idx="1">
                  <c:v>48.734999999999999</c:v>
                </c:pt>
                <c:pt idx="2">
                  <c:v>38.478999999999999</c:v>
                </c:pt>
                <c:pt idx="3">
                  <c:v>42.281000000000006</c:v>
                </c:pt>
                <c:pt idx="4">
                  <c:v>44.1</c:v>
                </c:pt>
                <c:pt idx="5">
                  <c:v>42.147000000000006</c:v>
                </c:pt>
                <c:pt idx="6">
                  <c:v>35.031999999999996</c:v>
                </c:pt>
                <c:pt idx="7">
                  <c:v>54.035000000000004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A3-4AA9-AAD5-20C8D2651F4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Sheet1!$V$12:$V$19</c:f>
              <c:numCache>
                <c:formatCode>General</c:formatCode>
                <c:ptCount val="8"/>
                <c:pt idx="0">
                  <c:v>55.453500000000005</c:v>
                </c:pt>
                <c:pt idx="1">
                  <c:v>55.274999999999999</c:v>
                </c:pt>
                <c:pt idx="2">
                  <c:v>44.800000000000011</c:v>
                </c:pt>
                <c:pt idx="3">
                  <c:v>46.9345</c:v>
                </c:pt>
                <c:pt idx="4">
                  <c:v>48.673999999999992</c:v>
                </c:pt>
                <c:pt idx="5">
                  <c:v>46.112500000000004</c:v>
                </c:pt>
                <c:pt idx="6">
                  <c:v>39.119499999999995</c:v>
                </c:pt>
                <c:pt idx="7">
                  <c:v>55.393499999999996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A3-4AA9-AAD5-20C8D2651F4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Sheet1!$V$22:$V$29</c:f>
              <c:numCache>
                <c:formatCode>General</c:formatCode>
                <c:ptCount val="8"/>
                <c:pt idx="0">
                  <c:v>59.763999999999989</c:v>
                </c:pt>
                <c:pt idx="1">
                  <c:v>60.380999999999993</c:v>
                </c:pt>
                <c:pt idx="2">
                  <c:v>49.301500000000004</c:v>
                </c:pt>
                <c:pt idx="3">
                  <c:v>51.433499999999995</c:v>
                </c:pt>
                <c:pt idx="4">
                  <c:v>53.630499999999984</c:v>
                </c:pt>
                <c:pt idx="5">
                  <c:v>50.247499999999988</c:v>
                </c:pt>
                <c:pt idx="6">
                  <c:v>46.000500000000002</c:v>
                </c:pt>
                <c:pt idx="7">
                  <c:v>58.869000000000007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A3-4AA9-AAD5-20C8D2651F4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Sheet1!$V$32:$V$39</c:f>
              <c:numCache>
                <c:formatCode>General</c:formatCode>
                <c:ptCount val="8"/>
                <c:pt idx="0">
                  <c:v>63.382500000000007</c:v>
                </c:pt>
                <c:pt idx="1">
                  <c:v>63.648500000000013</c:v>
                </c:pt>
                <c:pt idx="2">
                  <c:v>54.536000000000001</c:v>
                </c:pt>
                <c:pt idx="3">
                  <c:v>56.830500000000008</c:v>
                </c:pt>
                <c:pt idx="4">
                  <c:v>60.039499999999997</c:v>
                </c:pt>
                <c:pt idx="5">
                  <c:v>56.601500000000009</c:v>
                </c:pt>
                <c:pt idx="6">
                  <c:v>54.363500000000002</c:v>
                </c:pt>
                <c:pt idx="7">
                  <c:v>62.717999999999996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A3-4AA9-AAD5-20C8D2651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309296"/>
        <c:axId val="2056309776"/>
      </c:lineChart>
      <c:catAx>
        <c:axId val="205630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09776"/>
        <c:crosses val="autoZero"/>
        <c:auto val="1"/>
        <c:lblAlgn val="ctr"/>
        <c:lblOffset val="100"/>
        <c:noMultiLvlLbl val="0"/>
      </c:catAx>
      <c:valAx>
        <c:axId val="205630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386080</xdr:colOff>
      <xdr:row>19</xdr:row>
      <xdr:rowOff>172720</xdr:rowOff>
    </xdr:from>
    <xdr:to>
      <xdr:col>30</xdr:col>
      <xdr:colOff>81280</xdr:colOff>
      <xdr:row>34</xdr:row>
      <xdr:rowOff>172720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72386-C60A-5D5D-B431-96E0197105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535460</xdr:colOff>
      <xdr:row>5</xdr:row>
      <xdr:rowOff>28832</xdr:rowOff>
    </xdr:from>
    <xdr:to>
      <xdr:col>30</xdr:col>
      <xdr:colOff>247136</xdr:colOff>
      <xdr:row>19</xdr:row>
      <xdr:rowOff>177113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6A7674-FA49-7FD2-2EDC-7AA293475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S226"/>
  <sheetViews>
    <sheetView tabSelected="1" zoomScale="74" workbookViewId="0">
      <selection sqref="A1:XFD1048576"/>
    </sheetView>
  </sheetViews>
  <sheetFormatPr defaultRowHeight="14.4" x14ac:dyDescent="0.3"/>
  <sheetData>
    <row r="2" spans="2:22" x14ac:dyDescent="0.3"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</row>
    <row r="3" spans="2:22" x14ac:dyDescent="0.3">
      <c r="B3" s="1" t="s">
        <v>11</v>
      </c>
      <c r="C3">
        <v>1.3</v>
      </c>
      <c r="D3">
        <v>1.3</v>
      </c>
      <c r="E3">
        <v>0.5</v>
      </c>
      <c r="F3">
        <v>1.6</v>
      </c>
      <c r="G3">
        <v>2</v>
      </c>
      <c r="H3">
        <v>3.6</v>
      </c>
      <c r="I3">
        <v>2.9</v>
      </c>
      <c r="J3">
        <v>3.8</v>
      </c>
      <c r="K3">
        <v>3.4</v>
      </c>
      <c r="L3">
        <v>4.5</v>
      </c>
    </row>
    <row r="5" spans="2:22" x14ac:dyDescent="0.3">
      <c r="B5" t="s">
        <v>14</v>
      </c>
    </row>
    <row r="6" spans="2:22" x14ac:dyDescent="0.3">
      <c r="B6" s="1" t="s">
        <v>16</v>
      </c>
      <c r="C6" s="1" t="s">
        <v>17</v>
      </c>
      <c r="D6" s="1" t="s">
        <v>18</v>
      </c>
      <c r="E6" s="1" t="s">
        <v>17</v>
      </c>
      <c r="F6" s="1" t="s">
        <v>18</v>
      </c>
      <c r="G6" s="1" t="s">
        <v>17</v>
      </c>
      <c r="H6" s="1" t="s">
        <v>18</v>
      </c>
      <c r="I6" s="1" t="s">
        <v>17</v>
      </c>
      <c r="J6" s="1" t="s">
        <v>18</v>
      </c>
      <c r="K6" s="1" t="s">
        <v>17</v>
      </c>
      <c r="L6" s="1" t="s">
        <v>18</v>
      </c>
      <c r="M6" s="1" t="s">
        <v>17</v>
      </c>
      <c r="N6" s="1" t="s">
        <v>18</v>
      </c>
      <c r="O6" s="1" t="s">
        <v>17</v>
      </c>
      <c r="P6" s="1" t="s">
        <v>18</v>
      </c>
      <c r="Q6" s="1" t="s">
        <v>17</v>
      </c>
      <c r="R6" s="1" t="s">
        <v>18</v>
      </c>
      <c r="S6" s="1" t="s">
        <v>17</v>
      </c>
      <c r="T6" s="1" t="s">
        <v>18</v>
      </c>
      <c r="U6" s="1" t="s">
        <v>17</v>
      </c>
      <c r="V6" s="1" t="s">
        <v>18</v>
      </c>
    </row>
    <row r="7" spans="2:22" x14ac:dyDescent="0.3">
      <c r="B7" s="1" t="s">
        <v>19</v>
      </c>
      <c r="C7" s="1" t="s">
        <v>1</v>
      </c>
      <c r="D7" s="1" t="s">
        <v>1</v>
      </c>
      <c r="E7" s="1" t="s">
        <v>2</v>
      </c>
      <c r="F7" s="1" t="s">
        <v>2</v>
      </c>
      <c r="G7" s="1" t="s">
        <v>3</v>
      </c>
      <c r="H7" s="1" t="s">
        <v>3</v>
      </c>
      <c r="I7" s="1" t="s">
        <v>4</v>
      </c>
      <c r="J7" s="1" t="s">
        <v>4</v>
      </c>
      <c r="K7" s="1" t="s">
        <v>5</v>
      </c>
      <c r="L7" s="1" t="s">
        <v>5</v>
      </c>
      <c r="M7" s="1" t="s">
        <v>6</v>
      </c>
      <c r="N7" s="1" t="s">
        <v>6</v>
      </c>
      <c r="O7" s="1" t="s">
        <v>7</v>
      </c>
      <c r="P7" s="1" t="s">
        <v>7</v>
      </c>
      <c r="Q7" s="1" t="s">
        <v>8</v>
      </c>
      <c r="R7" s="1" t="s">
        <v>8</v>
      </c>
      <c r="S7" s="1" t="s">
        <v>9</v>
      </c>
      <c r="T7" s="1" t="s">
        <v>9</v>
      </c>
      <c r="U7" s="1" t="s">
        <v>10</v>
      </c>
      <c r="V7" s="1" t="s">
        <v>10</v>
      </c>
    </row>
    <row r="8" spans="2:22" x14ac:dyDescent="0.3">
      <c r="B8" s="1" t="s">
        <v>20</v>
      </c>
    </row>
    <row r="9" spans="2:22" x14ac:dyDescent="0.3">
      <c r="B9" s="1" t="s">
        <v>21</v>
      </c>
      <c r="C9" s="2">
        <v>20505.939999999999</v>
      </c>
      <c r="D9" s="2">
        <v>20367.62</v>
      </c>
      <c r="E9" s="2">
        <v>15506.4</v>
      </c>
      <c r="F9" s="2">
        <v>14505.4</v>
      </c>
      <c r="G9" s="2">
        <v>5684</v>
      </c>
      <c r="H9" s="2">
        <v>6779.68</v>
      </c>
      <c r="I9" s="2">
        <v>23259.040000000001</v>
      </c>
      <c r="J9" s="2">
        <v>23139.200000000001</v>
      </c>
      <c r="K9" s="2">
        <v>33082</v>
      </c>
      <c r="L9" s="2">
        <v>29190</v>
      </c>
      <c r="M9" s="2">
        <v>59623.199999999997</v>
      </c>
      <c r="N9" s="2">
        <v>51534</v>
      </c>
      <c r="O9" s="2">
        <v>47055.4</v>
      </c>
      <c r="P9" s="2">
        <v>39991</v>
      </c>
      <c r="Q9" s="2">
        <v>59131.8</v>
      </c>
      <c r="R9" s="2">
        <v>53838.400000000001</v>
      </c>
      <c r="S9" s="2">
        <v>46505.2</v>
      </c>
      <c r="T9" s="2">
        <v>35866.6</v>
      </c>
      <c r="U9" s="2">
        <v>62401.5</v>
      </c>
      <c r="V9" s="2">
        <v>49455</v>
      </c>
    </row>
    <row r="10" spans="2:22" x14ac:dyDescent="0.3">
      <c r="B10" s="1" t="s">
        <v>22</v>
      </c>
      <c r="C10" s="2">
        <v>8367.1200000000008</v>
      </c>
      <c r="D10" s="2">
        <v>5436.47</v>
      </c>
      <c r="E10" s="2">
        <v>7501.39</v>
      </c>
      <c r="F10" s="2">
        <v>4984.46</v>
      </c>
      <c r="G10" s="2">
        <v>1996</v>
      </c>
      <c r="H10" s="2">
        <v>2453.85</v>
      </c>
      <c r="I10" s="2">
        <v>10535.12</v>
      </c>
      <c r="J10" s="2">
        <v>7616</v>
      </c>
      <c r="K10" s="2">
        <v>13438.7</v>
      </c>
      <c r="L10" s="2">
        <v>9552</v>
      </c>
      <c r="M10" s="2">
        <v>23468.04</v>
      </c>
      <c r="N10" s="2">
        <v>17456.400000000001</v>
      </c>
      <c r="O10" s="2">
        <v>16544.5</v>
      </c>
      <c r="P10" s="2">
        <v>14856.7</v>
      </c>
      <c r="Q10" s="2">
        <v>20768.900000000001</v>
      </c>
      <c r="R10" s="2">
        <v>18613.16</v>
      </c>
      <c r="S10" s="2">
        <v>18170.330000000002</v>
      </c>
      <c r="T10" s="2">
        <v>14129.01</v>
      </c>
      <c r="U10" s="2">
        <v>28364.62</v>
      </c>
      <c r="V10" s="2">
        <v>18031.95</v>
      </c>
    </row>
    <row r="11" spans="2:22" x14ac:dyDescent="0.3">
      <c r="B11" s="1" t="s">
        <v>23</v>
      </c>
      <c r="C11" s="2">
        <v>31142.48</v>
      </c>
      <c r="D11" s="2">
        <v>13867.82</v>
      </c>
      <c r="E11" s="2">
        <v>32727.24</v>
      </c>
      <c r="F11" s="2">
        <v>11326.19</v>
      </c>
      <c r="G11" s="2">
        <v>8566.42</v>
      </c>
      <c r="H11" s="2">
        <v>13288.28</v>
      </c>
      <c r="I11" s="2">
        <v>36774.29</v>
      </c>
      <c r="J11" s="2">
        <v>26911.93</v>
      </c>
      <c r="K11" s="2">
        <v>48995.9</v>
      </c>
      <c r="L11" s="2">
        <v>32801.230000000003</v>
      </c>
      <c r="M11" s="2">
        <v>93618.67</v>
      </c>
      <c r="N11" s="2">
        <v>59077.77</v>
      </c>
      <c r="O11" s="2">
        <v>77491.03</v>
      </c>
      <c r="P11" s="2">
        <v>47796.93</v>
      </c>
      <c r="Q11" s="2">
        <v>90828.36</v>
      </c>
      <c r="R11" s="2">
        <v>60282.81</v>
      </c>
      <c r="S11" s="2">
        <v>59602.3</v>
      </c>
      <c r="T11" s="2">
        <v>48344.94</v>
      </c>
      <c r="U11" s="2">
        <v>62032.1</v>
      </c>
      <c r="V11" s="2">
        <v>56008.68</v>
      </c>
    </row>
    <row r="12" spans="2:22" x14ac:dyDescent="0.3">
      <c r="B12" s="1" t="s">
        <v>24</v>
      </c>
      <c r="C12" s="2">
        <v>10526.1</v>
      </c>
      <c r="D12" s="2">
        <v>5188.82</v>
      </c>
      <c r="E12" s="2">
        <v>9984.64</v>
      </c>
      <c r="F12" s="2">
        <v>4688.0600000000004</v>
      </c>
      <c r="G12" s="2">
        <v>3281.81</v>
      </c>
      <c r="H12" s="2">
        <v>4200</v>
      </c>
      <c r="I12" s="2">
        <v>11456.72</v>
      </c>
      <c r="J12" s="2">
        <v>9316.2900000000009</v>
      </c>
      <c r="K12" s="2">
        <v>15224.36</v>
      </c>
      <c r="L12" s="2">
        <v>11257.68</v>
      </c>
      <c r="M12" s="2">
        <v>28011.919999999998</v>
      </c>
      <c r="N12" s="2">
        <v>19702.96</v>
      </c>
      <c r="O12" s="2">
        <v>22511.919999999998</v>
      </c>
      <c r="P12" s="2">
        <v>15826.51</v>
      </c>
      <c r="Q12" s="2">
        <v>24900.32</v>
      </c>
      <c r="R12" s="2">
        <v>19760.099999999999</v>
      </c>
      <c r="S12" s="2">
        <v>17776.71</v>
      </c>
      <c r="T12" s="2">
        <v>16636.82</v>
      </c>
      <c r="U12" s="2">
        <v>21527.97</v>
      </c>
      <c r="V12" s="2">
        <v>20426.46</v>
      </c>
    </row>
    <row r="13" spans="2:22" x14ac:dyDescent="0.3">
      <c r="B13" s="1" t="s">
        <v>25</v>
      </c>
      <c r="C13" s="2">
        <v>35171.5</v>
      </c>
      <c r="D13" s="2">
        <v>39000</v>
      </c>
      <c r="E13" s="2">
        <v>38584</v>
      </c>
      <c r="F13" s="2">
        <v>39804.050000000003</v>
      </c>
      <c r="G13" s="2">
        <v>11190</v>
      </c>
      <c r="H13" s="2">
        <v>14829.28</v>
      </c>
      <c r="I13" s="2">
        <v>45106</v>
      </c>
      <c r="J13" s="2">
        <v>46416</v>
      </c>
      <c r="K13" s="2">
        <v>64492.85</v>
      </c>
      <c r="L13" s="2">
        <v>65700</v>
      </c>
      <c r="M13" s="2">
        <v>109225.11</v>
      </c>
      <c r="N13" s="2">
        <v>110089.8</v>
      </c>
      <c r="O13" s="2">
        <v>82629.570000000007</v>
      </c>
      <c r="P13" s="2">
        <v>86148.85</v>
      </c>
      <c r="Q13" s="2">
        <v>102962.77</v>
      </c>
      <c r="R13" s="2">
        <v>99205.37</v>
      </c>
      <c r="S13" s="2">
        <v>86496</v>
      </c>
      <c r="T13" s="2">
        <v>83866.95</v>
      </c>
      <c r="U13" s="2">
        <v>109931.62</v>
      </c>
      <c r="V13" s="2">
        <v>122371.87</v>
      </c>
    </row>
    <row r="14" spans="2:22" x14ac:dyDescent="0.3">
      <c r="B14" s="1" t="s">
        <v>26</v>
      </c>
      <c r="C14" s="2">
        <v>8493.51</v>
      </c>
      <c r="D14" s="2">
        <v>8655.76</v>
      </c>
      <c r="E14" s="2">
        <v>9105.43</v>
      </c>
      <c r="F14" s="2">
        <v>10561.04</v>
      </c>
      <c r="G14" s="2">
        <v>2732.24</v>
      </c>
      <c r="H14" s="2">
        <v>3100.8</v>
      </c>
      <c r="I14" s="2">
        <v>8429.0300000000007</v>
      </c>
      <c r="J14" s="2">
        <v>8430.15</v>
      </c>
      <c r="K14" s="2">
        <v>10804.42</v>
      </c>
      <c r="L14" s="2">
        <v>16381.89</v>
      </c>
      <c r="M14" s="2">
        <v>20872.82</v>
      </c>
      <c r="N14" s="2">
        <v>26955.53</v>
      </c>
      <c r="O14" s="2">
        <v>16544.599999999999</v>
      </c>
      <c r="P14" s="2">
        <v>19751.25</v>
      </c>
      <c r="Q14" s="2">
        <v>21545.040000000001</v>
      </c>
      <c r="R14" s="2">
        <v>25837.62</v>
      </c>
      <c r="S14" s="2">
        <v>18690.939999999999</v>
      </c>
      <c r="T14" s="2">
        <v>22088.78</v>
      </c>
      <c r="U14" s="2">
        <v>22672.240000000002</v>
      </c>
      <c r="V14" s="2">
        <v>21199.7</v>
      </c>
    </row>
    <row r="15" spans="2:22" x14ac:dyDescent="0.3">
      <c r="B15" s="1" t="s">
        <v>27</v>
      </c>
      <c r="C15" s="2">
        <v>29897.599999999999</v>
      </c>
      <c r="D15" s="2">
        <v>31871.38</v>
      </c>
      <c r="E15" s="2">
        <v>25470.9</v>
      </c>
      <c r="F15" s="2">
        <v>30377.19</v>
      </c>
      <c r="G15" s="2">
        <v>8449.8799999999992</v>
      </c>
      <c r="H15" s="2">
        <v>11105.32</v>
      </c>
      <c r="I15" s="2">
        <v>28526.400000000001</v>
      </c>
      <c r="J15" s="2">
        <v>32135.58</v>
      </c>
      <c r="K15" s="2">
        <v>35141.410000000003</v>
      </c>
      <c r="L15" s="2">
        <v>55828.85</v>
      </c>
      <c r="M15" s="2">
        <v>65613.149999999994</v>
      </c>
      <c r="N15" s="2">
        <v>92693.94</v>
      </c>
      <c r="O15" s="2">
        <v>52499.74</v>
      </c>
      <c r="P15" s="2">
        <v>67455.960000000006</v>
      </c>
      <c r="Q15" s="2">
        <v>72010.19</v>
      </c>
      <c r="R15" s="2">
        <v>77389.13</v>
      </c>
      <c r="S15" s="2">
        <v>57430.74</v>
      </c>
      <c r="T15" s="2">
        <v>58631.22</v>
      </c>
      <c r="U15" s="2">
        <v>70522.05</v>
      </c>
      <c r="V15" s="2">
        <v>69358.39</v>
      </c>
    </row>
    <row r="16" spans="2:22" x14ac:dyDescent="0.3">
      <c r="B16" s="1" t="s">
        <v>28</v>
      </c>
      <c r="C16" s="2">
        <v>14730.3</v>
      </c>
      <c r="D16" s="2">
        <v>18037.5</v>
      </c>
      <c r="E16" s="2">
        <v>11852.3</v>
      </c>
      <c r="F16" s="2">
        <v>12634.05</v>
      </c>
      <c r="G16" s="2">
        <v>3505.5</v>
      </c>
      <c r="H16" s="2">
        <v>5405.02</v>
      </c>
      <c r="I16" s="2">
        <v>12882</v>
      </c>
      <c r="J16" s="2">
        <v>20385.599999999999</v>
      </c>
      <c r="K16" s="2">
        <v>19110</v>
      </c>
      <c r="L16" s="2">
        <v>26286</v>
      </c>
      <c r="M16" s="2">
        <v>33534</v>
      </c>
      <c r="N16" s="2">
        <v>47422.8</v>
      </c>
      <c r="O16" s="2">
        <v>26752.5</v>
      </c>
      <c r="P16" s="2">
        <v>34269.300000000003</v>
      </c>
      <c r="Q16" s="2">
        <v>33527.4</v>
      </c>
      <c r="R16" s="2">
        <v>36206.400000000001</v>
      </c>
      <c r="S16" s="2">
        <v>28407</v>
      </c>
      <c r="T16" s="2">
        <v>28937.4</v>
      </c>
      <c r="U16" s="2">
        <v>38934</v>
      </c>
      <c r="V16" s="2">
        <v>41013</v>
      </c>
    </row>
    <row r="19" spans="2:22" x14ac:dyDescent="0.3">
      <c r="B19" t="s">
        <v>31</v>
      </c>
    </row>
    <row r="20" spans="2:22" x14ac:dyDescent="0.3">
      <c r="B20" s="1" t="s">
        <v>16</v>
      </c>
      <c r="C20" s="1" t="s">
        <v>17</v>
      </c>
      <c r="D20" s="1" t="s">
        <v>18</v>
      </c>
      <c r="E20" s="1" t="s">
        <v>17</v>
      </c>
      <c r="F20" s="1" t="s">
        <v>18</v>
      </c>
      <c r="G20" s="1" t="s">
        <v>17</v>
      </c>
      <c r="H20" s="1" t="s">
        <v>18</v>
      </c>
      <c r="I20" s="1" t="s">
        <v>17</v>
      </c>
      <c r="J20" s="1" t="s">
        <v>18</v>
      </c>
      <c r="K20" s="1" t="s">
        <v>17</v>
      </c>
      <c r="L20" s="1" t="s">
        <v>18</v>
      </c>
      <c r="M20" s="1" t="s">
        <v>17</v>
      </c>
      <c r="N20" s="1" t="s">
        <v>18</v>
      </c>
      <c r="O20" s="1" t="s">
        <v>17</v>
      </c>
      <c r="P20" s="1" t="s">
        <v>18</v>
      </c>
      <c r="Q20" s="1" t="s">
        <v>17</v>
      </c>
      <c r="R20" s="1" t="s">
        <v>18</v>
      </c>
      <c r="S20" s="1" t="s">
        <v>17</v>
      </c>
      <c r="T20" s="1" t="s">
        <v>18</v>
      </c>
      <c r="U20" s="1" t="s">
        <v>17</v>
      </c>
      <c r="V20" s="1" t="s">
        <v>18</v>
      </c>
    </row>
    <row r="21" spans="2:22" x14ac:dyDescent="0.3">
      <c r="B21" s="1" t="s">
        <v>19</v>
      </c>
      <c r="C21" s="1" t="s">
        <v>1</v>
      </c>
      <c r="D21" s="1" t="s">
        <v>1</v>
      </c>
      <c r="E21" s="1" t="s">
        <v>2</v>
      </c>
      <c r="F21" s="1" t="s">
        <v>2</v>
      </c>
      <c r="G21" s="1" t="s">
        <v>3</v>
      </c>
      <c r="H21" s="1" t="s">
        <v>3</v>
      </c>
      <c r="I21" s="1" t="s">
        <v>4</v>
      </c>
      <c r="J21" s="1" t="s">
        <v>4</v>
      </c>
      <c r="K21" s="1" t="s">
        <v>5</v>
      </c>
      <c r="L21" s="1" t="s">
        <v>5</v>
      </c>
      <c r="M21" s="1" t="s">
        <v>6</v>
      </c>
      <c r="N21" s="1" t="s">
        <v>6</v>
      </c>
      <c r="O21" s="1" t="s">
        <v>7</v>
      </c>
      <c r="P21" s="1" t="s">
        <v>7</v>
      </c>
      <c r="Q21" s="1" t="s">
        <v>8</v>
      </c>
      <c r="R21" s="1" t="s">
        <v>8</v>
      </c>
      <c r="S21" s="1" t="s">
        <v>9</v>
      </c>
      <c r="T21" s="1" t="s">
        <v>9</v>
      </c>
      <c r="U21" s="1" t="s">
        <v>10</v>
      </c>
      <c r="V21" s="1" t="s">
        <v>10</v>
      </c>
    </row>
    <row r="22" spans="2:22" x14ac:dyDescent="0.3">
      <c r="B22" s="1" t="s">
        <v>20</v>
      </c>
    </row>
    <row r="23" spans="2:22" x14ac:dyDescent="0.3">
      <c r="B23" s="1" t="s">
        <v>21</v>
      </c>
      <c r="C23" s="2">
        <v>15773.8</v>
      </c>
      <c r="D23" s="2">
        <v>15667.4</v>
      </c>
      <c r="E23" s="2">
        <v>11928</v>
      </c>
      <c r="F23" s="2">
        <v>11158</v>
      </c>
      <c r="G23" s="2">
        <v>11368</v>
      </c>
      <c r="H23" s="2">
        <v>13559.35</v>
      </c>
      <c r="I23" s="2">
        <v>14536.9</v>
      </c>
      <c r="J23" s="2">
        <v>14462</v>
      </c>
      <c r="K23" s="2">
        <v>16541</v>
      </c>
      <c r="L23" s="2">
        <v>14595</v>
      </c>
      <c r="M23" s="2">
        <v>16562</v>
      </c>
      <c r="N23" s="2">
        <v>14315</v>
      </c>
      <c r="O23" s="2">
        <v>16226</v>
      </c>
      <c r="P23" s="2">
        <v>13790</v>
      </c>
      <c r="Q23" s="2">
        <v>15561</v>
      </c>
      <c r="R23" s="2">
        <v>14168</v>
      </c>
      <c r="S23" s="2">
        <v>13678</v>
      </c>
      <c r="T23" s="2">
        <v>10549</v>
      </c>
      <c r="U23" s="2">
        <v>13867</v>
      </c>
      <c r="V23" s="2">
        <v>10990</v>
      </c>
    </row>
    <row r="24" spans="2:22" x14ac:dyDescent="0.3">
      <c r="B24" s="1" t="s">
        <v>22</v>
      </c>
      <c r="C24" s="2">
        <v>6436.25</v>
      </c>
      <c r="D24" s="2">
        <v>4181.8999999999996</v>
      </c>
      <c r="E24" s="2">
        <v>5770.3</v>
      </c>
      <c r="F24" s="2">
        <v>3834.2</v>
      </c>
      <c r="G24" s="2">
        <v>3992</v>
      </c>
      <c r="H24" s="2">
        <v>4907.7</v>
      </c>
      <c r="I24" s="2">
        <v>6584.45</v>
      </c>
      <c r="J24" s="2">
        <v>4760</v>
      </c>
      <c r="K24" s="2">
        <v>6719.35</v>
      </c>
      <c r="L24" s="2">
        <v>4776</v>
      </c>
      <c r="M24" s="2">
        <v>6518.9</v>
      </c>
      <c r="N24" s="2">
        <v>4849</v>
      </c>
      <c r="O24" s="2">
        <v>5705</v>
      </c>
      <c r="P24" s="2">
        <v>5123</v>
      </c>
      <c r="Q24" s="2">
        <v>5465.5</v>
      </c>
      <c r="R24" s="2">
        <v>4898.2</v>
      </c>
      <c r="S24" s="2">
        <v>5344.21</v>
      </c>
      <c r="T24" s="2">
        <v>4155.59</v>
      </c>
      <c r="U24" s="2">
        <v>6303.25</v>
      </c>
      <c r="V24" s="2">
        <v>4007.1</v>
      </c>
    </row>
    <row r="25" spans="2:22" x14ac:dyDescent="0.3">
      <c r="B25" s="1" t="s">
        <v>23</v>
      </c>
      <c r="C25" s="2">
        <v>23955.75</v>
      </c>
      <c r="D25" s="2">
        <v>10667.55</v>
      </c>
      <c r="E25" s="2">
        <v>25174.799999999999</v>
      </c>
      <c r="F25" s="2">
        <v>8712.4500000000007</v>
      </c>
      <c r="G25" s="2">
        <v>17132.849999999999</v>
      </c>
      <c r="H25" s="2">
        <v>26576.55</v>
      </c>
      <c r="I25" s="2">
        <v>22983.93</v>
      </c>
      <c r="J25" s="2">
        <v>16819.95</v>
      </c>
      <c r="K25" s="2">
        <v>24497.95</v>
      </c>
      <c r="L25" s="2">
        <v>16400.62</v>
      </c>
      <c r="M25" s="2">
        <v>26005.19</v>
      </c>
      <c r="N25" s="2">
        <v>16410.490000000002</v>
      </c>
      <c r="O25" s="2">
        <v>26721.040000000001</v>
      </c>
      <c r="P25" s="2">
        <v>16481.7</v>
      </c>
      <c r="Q25" s="2">
        <v>23902.2</v>
      </c>
      <c r="R25" s="2">
        <v>15863.9</v>
      </c>
      <c r="S25" s="2">
        <v>17530.09</v>
      </c>
      <c r="T25" s="2">
        <v>14219.1</v>
      </c>
      <c r="U25" s="2">
        <v>13784.91</v>
      </c>
      <c r="V25" s="2">
        <v>12446.37</v>
      </c>
    </row>
    <row r="26" spans="2:22" x14ac:dyDescent="0.3">
      <c r="B26" s="1" t="s">
        <v>24</v>
      </c>
      <c r="C26" s="2">
        <v>8097</v>
      </c>
      <c r="D26" s="2">
        <v>3991.4</v>
      </c>
      <c r="E26" s="2">
        <v>7680.49</v>
      </c>
      <c r="F26" s="2">
        <v>3606.2</v>
      </c>
      <c r="G26" s="2">
        <v>6563.62</v>
      </c>
      <c r="H26" s="2">
        <v>8400</v>
      </c>
      <c r="I26" s="2">
        <v>7160.45</v>
      </c>
      <c r="J26" s="2">
        <v>5822.68</v>
      </c>
      <c r="K26" s="2">
        <v>7612.18</v>
      </c>
      <c r="L26" s="2">
        <v>5628.84</v>
      </c>
      <c r="M26" s="2">
        <v>7781.09</v>
      </c>
      <c r="N26" s="2">
        <v>5473.04</v>
      </c>
      <c r="O26" s="2">
        <v>7762.73</v>
      </c>
      <c r="P26" s="2">
        <v>5457.42</v>
      </c>
      <c r="Q26" s="2">
        <v>6552.71</v>
      </c>
      <c r="R26" s="2">
        <v>5200.03</v>
      </c>
      <c r="S26" s="2">
        <v>5228.4399999999996</v>
      </c>
      <c r="T26" s="2">
        <v>4893.18</v>
      </c>
      <c r="U26" s="2">
        <v>4783.99</v>
      </c>
      <c r="V26" s="2">
        <v>4539.21</v>
      </c>
    </row>
    <row r="27" spans="2:22" x14ac:dyDescent="0.3">
      <c r="B27" s="1" t="s">
        <v>25</v>
      </c>
      <c r="C27" s="2">
        <v>27055</v>
      </c>
      <c r="D27" s="2">
        <v>30000</v>
      </c>
      <c r="E27" s="2">
        <v>29680</v>
      </c>
      <c r="F27" s="2">
        <v>30618.5</v>
      </c>
      <c r="G27" s="2">
        <v>22380</v>
      </c>
      <c r="H27" s="2">
        <v>29658.560000000001</v>
      </c>
      <c r="I27" s="2">
        <v>28191.25</v>
      </c>
      <c r="J27" s="2">
        <v>29010</v>
      </c>
      <c r="K27" s="2">
        <v>32246.43</v>
      </c>
      <c r="L27" s="2">
        <v>32850</v>
      </c>
      <c r="M27" s="2">
        <v>30340.31</v>
      </c>
      <c r="N27" s="2">
        <v>30580.5</v>
      </c>
      <c r="O27" s="2">
        <v>28492.95</v>
      </c>
      <c r="P27" s="2">
        <v>29706.5</v>
      </c>
      <c r="Q27" s="2">
        <v>27095.46</v>
      </c>
      <c r="R27" s="2">
        <v>26106.68</v>
      </c>
      <c r="S27" s="2">
        <v>25440</v>
      </c>
      <c r="T27" s="2">
        <v>24666.75</v>
      </c>
      <c r="U27" s="2">
        <v>24429.25</v>
      </c>
      <c r="V27" s="2">
        <v>27193.75</v>
      </c>
    </row>
    <row r="28" spans="2:22" x14ac:dyDescent="0.3">
      <c r="B28" s="1" t="s">
        <v>26</v>
      </c>
      <c r="C28" s="2">
        <v>6533.47</v>
      </c>
      <c r="D28" s="2">
        <v>6658.28</v>
      </c>
      <c r="E28" s="2">
        <v>7004.18</v>
      </c>
      <c r="F28" s="2">
        <v>8123.88</v>
      </c>
      <c r="G28" s="2">
        <v>5464.48</v>
      </c>
      <c r="H28" s="2">
        <v>6201.6</v>
      </c>
      <c r="I28" s="2">
        <v>5268.14</v>
      </c>
      <c r="J28" s="2">
        <v>5268.84</v>
      </c>
      <c r="K28" s="2">
        <v>5402.21</v>
      </c>
      <c r="L28" s="2">
        <v>8190.94</v>
      </c>
      <c r="M28" s="2">
        <v>5798</v>
      </c>
      <c r="N28" s="2">
        <v>7487.65</v>
      </c>
      <c r="O28" s="2">
        <v>5705.03</v>
      </c>
      <c r="P28" s="2">
        <v>6810.78</v>
      </c>
      <c r="Q28" s="2">
        <v>5669.75</v>
      </c>
      <c r="R28" s="2">
        <v>6799.37</v>
      </c>
      <c r="S28" s="2">
        <v>5497.34</v>
      </c>
      <c r="T28" s="2">
        <v>6496.7</v>
      </c>
      <c r="U28" s="2">
        <v>5038.28</v>
      </c>
      <c r="V28" s="2">
        <v>4711.05</v>
      </c>
    </row>
    <row r="29" spans="2:22" x14ac:dyDescent="0.3">
      <c r="B29" s="1" t="s">
        <v>27</v>
      </c>
      <c r="C29" s="2">
        <v>22998.15</v>
      </c>
      <c r="D29" s="2">
        <v>24516.45</v>
      </c>
      <c r="E29" s="2">
        <v>19593</v>
      </c>
      <c r="F29" s="2">
        <v>23367.07</v>
      </c>
      <c r="G29" s="2">
        <v>16899.75</v>
      </c>
      <c r="H29" s="2">
        <v>22210.65</v>
      </c>
      <c r="I29" s="2">
        <v>17829</v>
      </c>
      <c r="J29" s="2">
        <v>20084.740000000002</v>
      </c>
      <c r="K29" s="2">
        <v>17570.7</v>
      </c>
      <c r="L29" s="2">
        <v>27914.42</v>
      </c>
      <c r="M29" s="2">
        <v>18225.87</v>
      </c>
      <c r="N29" s="2">
        <v>25748.32</v>
      </c>
      <c r="O29" s="2">
        <v>18103.36</v>
      </c>
      <c r="P29" s="2">
        <v>23260.68</v>
      </c>
      <c r="Q29" s="2">
        <v>18950.05</v>
      </c>
      <c r="R29" s="2">
        <v>20365.560000000001</v>
      </c>
      <c r="S29" s="2">
        <v>16891.39</v>
      </c>
      <c r="T29" s="2">
        <v>17244.48</v>
      </c>
      <c r="U29" s="2">
        <v>15671.57</v>
      </c>
      <c r="V29" s="2">
        <v>15412.98</v>
      </c>
    </row>
    <row r="30" spans="2:22" x14ac:dyDescent="0.3">
      <c r="B30" s="1" t="s">
        <v>28</v>
      </c>
      <c r="C30" s="2">
        <v>11331</v>
      </c>
      <c r="D30" s="2">
        <v>13875</v>
      </c>
      <c r="E30" s="2">
        <v>9117.15</v>
      </c>
      <c r="F30" s="2">
        <v>9718.5</v>
      </c>
      <c r="G30" s="2">
        <v>7011</v>
      </c>
      <c r="H30" s="2">
        <v>10810.05</v>
      </c>
      <c r="I30" s="2">
        <v>8051.25</v>
      </c>
      <c r="J30" s="2">
        <v>12741</v>
      </c>
      <c r="K30" s="2">
        <v>9555</v>
      </c>
      <c r="L30" s="2">
        <v>13143</v>
      </c>
      <c r="M30" s="2">
        <v>9315</v>
      </c>
      <c r="N30" s="2">
        <v>13173</v>
      </c>
      <c r="O30" s="2">
        <v>9225</v>
      </c>
      <c r="P30" s="2">
        <v>11817</v>
      </c>
      <c r="Q30" s="2">
        <v>8823</v>
      </c>
      <c r="R30" s="2">
        <v>9528</v>
      </c>
      <c r="S30" s="2">
        <v>8355</v>
      </c>
      <c r="T30" s="2">
        <v>8511</v>
      </c>
      <c r="U30" s="2">
        <v>8652</v>
      </c>
      <c r="V30" s="2">
        <v>9114</v>
      </c>
    </row>
    <row r="33" spans="2:45" x14ac:dyDescent="0.3">
      <c r="B33" t="s">
        <v>35</v>
      </c>
    </row>
    <row r="34" spans="2:45" x14ac:dyDescent="0.3">
      <c r="B34" s="1" t="s">
        <v>16</v>
      </c>
      <c r="C34" s="1" t="s">
        <v>17</v>
      </c>
      <c r="D34" s="1" t="s">
        <v>18</v>
      </c>
      <c r="E34" s="1" t="s">
        <v>17</v>
      </c>
      <c r="F34" s="1" t="s">
        <v>18</v>
      </c>
      <c r="G34" s="1" t="s">
        <v>17</v>
      </c>
      <c r="H34" s="1" t="s">
        <v>18</v>
      </c>
      <c r="I34" s="1" t="s">
        <v>17</v>
      </c>
      <c r="J34" s="1" t="s">
        <v>18</v>
      </c>
      <c r="K34" s="1" t="s">
        <v>17</v>
      </c>
      <c r="L34" s="1" t="s">
        <v>18</v>
      </c>
      <c r="M34" s="1" t="s">
        <v>17</v>
      </c>
      <c r="N34" s="1" t="s">
        <v>18</v>
      </c>
      <c r="O34" s="1" t="s">
        <v>17</v>
      </c>
      <c r="P34" s="1" t="s">
        <v>18</v>
      </c>
      <c r="Q34" s="1" t="s">
        <v>17</v>
      </c>
      <c r="R34" s="1" t="s">
        <v>18</v>
      </c>
      <c r="S34" s="1" t="s">
        <v>17</v>
      </c>
      <c r="T34" s="1" t="s">
        <v>18</v>
      </c>
      <c r="U34" s="1" t="s">
        <v>17</v>
      </c>
      <c r="V34" s="1" t="s">
        <v>18</v>
      </c>
    </row>
    <row r="35" spans="2:45" x14ac:dyDescent="0.3">
      <c r="B35" s="1" t="s">
        <v>19</v>
      </c>
      <c r="C35" s="1" t="s">
        <v>1</v>
      </c>
      <c r="D35" s="1" t="s">
        <v>1</v>
      </c>
      <c r="E35" s="1" t="s">
        <v>2</v>
      </c>
      <c r="F35" s="1" t="s">
        <v>2</v>
      </c>
      <c r="G35" s="1" t="s">
        <v>3</v>
      </c>
      <c r="H35" s="1" t="s">
        <v>3</v>
      </c>
      <c r="I35" s="1" t="s">
        <v>4</v>
      </c>
      <c r="J35" s="1" t="s">
        <v>4</v>
      </c>
      <c r="K35" s="1" t="s">
        <v>5</v>
      </c>
      <c r="L35" s="1" t="s">
        <v>5</v>
      </c>
      <c r="M35" s="1" t="s">
        <v>6</v>
      </c>
      <c r="N35" s="1" t="s">
        <v>6</v>
      </c>
      <c r="O35" s="1" t="s">
        <v>7</v>
      </c>
      <c r="P35" s="1" t="s">
        <v>7</v>
      </c>
      <c r="Q35" s="1" t="s">
        <v>8</v>
      </c>
      <c r="R35" s="1" t="s">
        <v>8</v>
      </c>
      <c r="S35" s="1" t="s">
        <v>9</v>
      </c>
      <c r="T35" s="1" t="s">
        <v>9</v>
      </c>
      <c r="U35" s="1" t="s">
        <v>10</v>
      </c>
      <c r="V35" s="1" t="s">
        <v>10</v>
      </c>
    </row>
    <row r="36" spans="2:45" x14ac:dyDescent="0.3">
      <c r="B36" s="1" t="s">
        <v>20</v>
      </c>
    </row>
    <row r="37" spans="2:45" x14ac:dyDescent="0.3">
      <c r="B37" s="1" t="s">
        <v>21</v>
      </c>
      <c r="C37" s="2">
        <v>2253.4</v>
      </c>
      <c r="D37" s="2">
        <v>2238.1999999999998</v>
      </c>
      <c r="E37" s="2">
        <v>1704</v>
      </c>
      <c r="F37" s="2">
        <v>1594</v>
      </c>
      <c r="G37" s="2">
        <v>1624</v>
      </c>
      <c r="H37" s="2">
        <v>1937.05</v>
      </c>
      <c r="I37" s="2">
        <v>2076.6999999999998</v>
      </c>
      <c r="J37" s="2">
        <v>2066</v>
      </c>
      <c r="K37" s="2">
        <v>2363</v>
      </c>
      <c r="L37" s="2">
        <v>2085</v>
      </c>
      <c r="M37" s="2">
        <v>2366</v>
      </c>
      <c r="N37" s="2">
        <v>2045</v>
      </c>
      <c r="O37" s="2">
        <v>2318</v>
      </c>
      <c r="P37" s="2">
        <v>1970</v>
      </c>
      <c r="Q37" s="2">
        <v>2223</v>
      </c>
      <c r="R37" s="2">
        <v>2024</v>
      </c>
      <c r="S37" s="2">
        <v>1954</v>
      </c>
      <c r="T37" s="2">
        <v>1507</v>
      </c>
      <c r="U37" s="2">
        <v>1981</v>
      </c>
      <c r="V37" s="2">
        <v>1570</v>
      </c>
    </row>
    <row r="38" spans="2:45" x14ac:dyDescent="0.3">
      <c r="B38" s="1" t="s">
        <v>22</v>
      </c>
      <c r="C38" s="2">
        <v>6436.25</v>
      </c>
      <c r="D38" s="2">
        <v>4181.8999999999996</v>
      </c>
      <c r="E38" s="2">
        <v>5770.3</v>
      </c>
      <c r="F38" s="2">
        <v>3834.2</v>
      </c>
      <c r="G38" s="2">
        <v>3992</v>
      </c>
      <c r="H38" s="2">
        <v>4907.7</v>
      </c>
      <c r="I38" s="2">
        <v>6584.45</v>
      </c>
      <c r="J38" s="2">
        <v>4760</v>
      </c>
      <c r="K38" s="2">
        <v>6719.35</v>
      </c>
      <c r="L38" s="2">
        <v>4776</v>
      </c>
      <c r="M38" s="2">
        <v>6518.9</v>
      </c>
      <c r="N38" s="2">
        <v>4849</v>
      </c>
      <c r="O38" s="2">
        <v>5705</v>
      </c>
      <c r="P38" s="2">
        <v>5123</v>
      </c>
      <c r="Q38" s="2">
        <v>5465.5</v>
      </c>
      <c r="R38" s="2">
        <v>4898.2</v>
      </c>
      <c r="S38" s="2">
        <v>5344.21</v>
      </c>
      <c r="T38" s="2">
        <v>4155.59</v>
      </c>
      <c r="U38" s="2">
        <v>6303.25</v>
      </c>
      <c r="V38" s="2">
        <v>4007.1</v>
      </c>
    </row>
    <row r="39" spans="2:45" x14ac:dyDescent="0.3">
      <c r="B39" s="1" t="s">
        <v>23</v>
      </c>
      <c r="C39" s="2">
        <v>7985.25</v>
      </c>
      <c r="D39" s="2">
        <v>3555.85</v>
      </c>
      <c r="E39" s="2">
        <v>8391.6</v>
      </c>
      <c r="F39" s="2">
        <v>2904.15</v>
      </c>
      <c r="G39" s="2">
        <v>5710.95</v>
      </c>
      <c r="H39" s="2">
        <v>8858.85</v>
      </c>
      <c r="I39" s="2">
        <v>7661.31</v>
      </c>
      <c r="J39" s="2">
        <v>5606.65</v>
      </c>
      <c r="K39" s="2">
        <v>8165.98</v>
      </c>
      <c r="L39" s="2">
        <v>5466.87</v>
      </c>
      <c r="M39" s="2">
        <v>8668.4</v>
      </c>
      <c r="N39" s="2">
        <v>5470.16</v>
      </c>
      <c r="O39" s="2">
        <v>8907.01</v>
      </c>
      <c r="P39" s="2">
        <v>5493.9</v>
      </c>
      <c r="Q39" s="2">
        <v>7967.4</v>
      </c>
      <c r="R39" s="2">
        <v>5287.97</v>
      </c>
      <c r="S39" s="2">
        <v>5843.36</v>
      </c>
      <c r="T39" s="2">
        <v>4739.7</v>
      </c>
      <c r="U39" s="2">
        <v>4594.97</v>
      </c>
      <c r="V39" s="2">
        <v>4148.79</v>
      </c>
    </row>
    <row r="40" spans="2:45" x14ac:dyDescent="0.3">
      <c r="B40" s="1" t="s">
        <v>24</v>
      </c>
      <c r="C40" s="2">
        <v>8097</v>
      </c>
      <c r="D40" s="2">
        <v>3991.4</v>
      </c>
      <c r="E40" s="2">
        <v>7680.49</v>
      </c>
      <c r="F40" s="2">
        <v>3606.2</v>
      </c>
      <c r="G40" s="2">
        <v>6563.62</v>
      </c>
      <c r="H40" s="2">
        <v>8400</v>
      </c>
      <c r="I40" s="2">
        <v>7160.45</v>
      </c>
      <c r="J40" s="2">
        <v>5822.68</v>
      </c>
      <c r="K40" s="2">
        <v>7612.18</v>
      </c>
      <c r="L40" s="2">
        <v>5628.84</v>
      </c>
      <c r="M40" s="2">
        <v>7781.09</v>
      </c>
      <c r="N40" s="2">
        <v>5473.04</v>
      </c>
      <c r="O40" s="2">
        <v>7762.73</v>
      </c>
      <c r="P40" s="2">
        <v>5457.42</v>
      </c>
      <c r="Q40" s="2">
        <v>6552.71</v>
      </c>
      <c r="R40" s="2">
        <v>5200.03</v>
      </c>
      <c r="S40" s="2">
        <v>5228.4399999999996</v>
      </c>
      <c r="T40" s="2">
        <v>4893.18</v>
      </c>
      <c r="U40" s="2">
        <v>4783.99</v>
      </c>
      <c r="V40" s="2">
        <v>4539.21</v>
      </c>
    </row>
    <row r="41" spans="2:45" x14ac:dyDescent="0.3">
      <c r="B41" s="1" t="s">
        <v>25</v>
      </c>
      <c r="C41" s="2">
        <v>5411</v>
      </c>
      <c r="D41" s="2">
        <v>6000</v>
      </c>
      <c r="E41" s="2">
        <v>5936</v>
      </c>
      <c r="F41" s="2">
        <v>6123.7</v>
      </c>
      <c r="G41" s="2">
        <v>4476</v>
      </c>
      <c r="H41" s="2">
        <v>5931.71</v>
      </c>
      <c r="I41" s="2">
        <v>5638.25</v>
      </c>
      <c r="J41" s="2">
        <v>5802</v>
      </c>
      <c r="K41" s="2">
        <v>6449.29</v>
      </c>
      <c r="L41" s="2">
        <v>6570</v>
      </c>
      <c r="M41" s="2">
        <v>6068.06</v>
      </c>
      <c r="N41" s="2">
        <v>6116.1</v>
      </c>
      <c r="O41" s="2">
        <v>5698.59</v>
      </c>
      <c r="P41" s="2">
        <v>5941.3</v>
      </c>
      <c r="Q41" s="2">
        <v>5419.09</v>
      </c>
      <c r="R41" s="2">
        <v>5221.34</v>
      </c>
      <c r="S41" s="2">
        <v>5088</v>
      </c>
      <c r="T41" s="2">
        <v>4933.3500000000004</v>
      </c>
      <c r="U41" s="2">
        <v>4885.8500000000004</v>
      </c>
      <c r="V41" s="2">
        <v>5438.75</v>
      </c>
    </row>
    <row r="42" spans="2:45" x14ac:dyDescent="0.3">
      <c r="B42" s="1" t="s">
        <v>26</v>
      </c>
      <c r="C42" s="2">
        <v>6533.47</v>
      </c>
      <c r="D42" s="2">
        <v>6658.28</v>
      </c>
      <c r="E42" s="2">
        <v>7004.18</v>
      </c>
      <c r="F42" s="2">
        <v>8123.88</v>
      </c>
      <c r="G42" s="2">
        <v>5464.48</v>
      </c>
      <c r="H42" s="2">
        <v>6201.6</v>
      </c>
      <c r="I42" s="2">
        <v>5268.14</v>
      </c>
      <c r="J42" s="2">
        <v>5268.84</v>
      </c>
      <c r="K42" s="2">
        <v>5402.21</v>
      </c>
      <c r="L42" s="2">
        <v>8190.94</v>
      </c>
      <c r="M42" s="2">
        <v>5798</v>
      </c>
      <c r="N42" s="2">
        <v>7487.65</v>
      </c>
      <c r="O42" s="2">
        <v>5705.03</v>
      </c>
      <c r="P42" s="2">
        <v>6810.78</v>
      </c>
      <c r="Q42" s="2">
        <v>5669.75</v>
      </c>
      <c r="R42" s="2">
        <v>6799.37</v>
      </c>
      <c r="S42" s="2">
        <v>5497.34</v>
      </c>
      <c r="T42" s="2">
        <v>6496.7</v>
      </c>
      <c r="U42" s="2">
        <v>5038.28</v>
      </c>
      <c r="V42" s="2">
        <v>4711.05</v>
      </c>
    </row>
    <row r="43" spans="2:45" x14ac:dyDescent="0.3">
      <c r="B43" s="1" t="s">
        <v>27</v>
      </c>
      <c r="C43" s="2">
        <v>7666.05</v>
      </c>
      <c r="D43" s="2">
        <v>8172.15</v>
      </c>
      <c r="E43" s="2">
        <v>6531</v>
      </c>
      <c r="F43" s="2">
        <v>7789.02</v>
      </c>
      <c r="G43" s="2">
        <v>5633.25</v>
      </c>
      <c r="H43" s="2">
        <v>7403.55</v>
      </c>
      <c r="I43" s="2">
        <v>5943</v>
      </c>
      <c r="J43" s="2">
        <v>6694.91</v>
      </c>
      <c r="K43" s="2">
        <v>5856.9</v>
      </c>
      <c r="L43" s="2">
        <v>9304.81</v>
      </c>
      <c r="M43" s="2">
        <v>6075.29</v>
      </c>
      <c r="N43" s="2">
        <v>8582.77</v>
      </c>
      <c r="O43" s="2">
        <v>6034.45</v>
      </c>
      <c r="P43" s="2">
        <v>7753.56</v>
      </c>
      <c r="Q43" s="2">
        <v>6316.68</v>
      </c>
      <c r="R43" s="2">
        <v>6788.52</v>
      </c>
      <c r="S43" s="2">
        <v>5630.46</v>
      </c>
      <c r="T43" s="2">
        <v>5748.16</v>
      </c>
      <c r="U43" s="2">
        <v>5223.8599999999997</v>
      </c>
      <c r="V43" s="2">
        <v>5137.66</v>
      </c>
    </row>
    <row r="44" spans="2:45" x14ac:dyDescent="0.3">
      <c r="B44" s="1" t="s">
        <v>28</v>
      </c>
      <c r="C44" s="2">
        <v>3777</v>
      </c>
      <c r="D44" s="2">
        <v>4625</v>
      </c>
      <c r="E44" s="2">
        <v>3039.05</v>
      </c>
      <c r="F44" s="2">
        <v>3239.5</v>
      </c>
      <c r="G44" s="2">
        <v>2337</v>
      </c>
      <c r="H44" s="2">
        <v>3603.35</v>
      </c>
      <c r="I44" s="2">
        <v>2683.75</v>
      </c>
      <c r="J44" s="2">
        <v>4247</v>
      </c>
      <c r="K44" s="2">
        <v>3185</v>
      </c>
      <c r="L44" s="2">
        <v>4381</v>
      </c>
      <c r="M44" s="2">
        <v>3105</v>
      </c>
      <c r="N44" s="2">
        <v>4391</v>
      </c>
      <c r="O44" s="2">
        <v>3075</v>
      </c>
      <c r="P44" s="2">
        <v>3939</v>
      </c>
      <c r="Q44" s="2">
        <v>2941</v>
      </c>
      <c r="R44" s="2">
        <v>3176</v>
      </c>
      <c r="S44" s="2">
        <v>2785</v>
      </c>
      <c r="T44" s="2">
        <v>2837</v>
      </c>
      <c r="U44" s="2">
        <v>2884</v>
      </c>
      <c r="V44" s="2">
        <v>3038</v>
      </c>
    </row>
    <row r="47" spans="2:45" x14ac:dyDescent="0.3">
      <c r="B47" t="s">
        <v>39</v>
      </c>
    </row>
    <row r="48" spans="2:45" x14ac:dyDescent="0.3">
      <c r="B48" s="1" t="s">
        <v>16</v>
      </c>
      <c r="C48" s="1" t="s">
        <v>17</v>
      </c>
      <c r="D48" s="1" t="s">
        <v>18</v>
      </c>
      <c r="E48" s="1" t="s">
        <v>17</v>
      </c>
      <c r="F48" s="1" t="s">
        <v>18</v>
      </c>
      <c r="G48" s="1" t="s">
        <v>17</v>
      </c>
      <c r="H48" s="1" t="s">
        <v>18</v>
      </c>
      <c r="I48" s="1" t="s">
        <v>17</v>
      </c>
      <c r="J48" s="1" t="s">
        <v>18</v>
      </c>
      <c r="K48" s="1" t="s">
        <v>17</v>
      </c>
      <c r="L48" s="1" t="s">
        <v>18</v>
      </c>
      <c r="M48" s="1" t="s">
        <v>17</v>
      </c>
      <c r="N48" s="1" t="s">
        <v>18</v>
      </c>
      <c r="O48" s="1" t="s">
        <v>17</v>
      </c>
      <c r="P48" s="1" t="s">
        <v>18</v>
      </c>
      <c r="Q48" s="1" t="s">
        <v>17</v>
      </c>
      <c r="R48" s="1" t="s">
        <v>18</v>
      </c>
      <c r="S48" s="1" t="s">
        <v>17</v>
      </c>
      <c r="T48" s="1" t="s">
        <v>18</v>
      </c>
      <c r="U48" s="1" t="s">
        <v>17</v>
      </c>
      <c r="V48" s="1" t="s">
        <v>18</v>
      </c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</row>
    <row r="49" spans="2:45" x14ac:dyDescent="0.3">
      <c r="B49" s="1" t="s">
        <v>19</v>
      </c>
      <c r="C49" s="1" t="s">
        <v>1</v>
      </c>
      <c r="D49" s="1" t="s">
        <v>1</v>
      </c>
      <c r="E49" s="1" t="s">
        <v>2</v>
      </c>
      <c r="F49" s="1" t="s">
        <v>2</v>
      </c>
      <c r="G49" s="1" t="s">
        <v>3</v>
      </c>
      <c r="H49" s="1" t="s">
        <v>3</v>
      </c>
      <c r="I49" s="1" t="s">
        <v>4</v>
      </c>
      <c r="J49" s="1" t="s">
        <v>4</v>
      </c>
      <c r="K49" s="1" t="s">
        <v>5</v>
      </c>
      <c r="L49" s="1" t="s">
        <v>5</v>
      </c>
      <c r="M49" s="1" t="s">
        <v>6</v>
      </c>
      <c r="N49" s="1" t="s">
        <v>6</v>
      </c>
      <c r="O49" s="1" t="s">
        <v>7</v>
      </c>
      <c r="P49" s="1" t="s">
        <v>7</v>
      </c>
      <c r="Q49" s="1" t="s">
        <v>8</v>
      </c>
      <c r="R49" s="1" t="s">
        <v>8</v>
      </c>
      <c r="S49" s="1" t="s">
        <v>9</v>
      </c>
      <c r="T49" s="1" t="s">
        <v>9</v>
      </c>
      <c r="U49" s="1" t="s">
        <v>10</v>
      </c>
      <c r="V49" s="1" t="s">
        <v>10</v>
      </c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</row>
    <row r="50" spans="2:45" x14ac:dyDescent="0.3">
      <c r="B50" s="1" t="s">
        <v>20</v>
      </c>
    </row>
    <row r="51" spans="2:45" x14ac:dyDescent="0.3">
      <c r="B51" s="1" t="s">
        <v>21</v>
      </c>
      <c r="C51" s="2">
        <v>0.24</v>
      </c>
      <c r="D51" s="2">
        <v>0.24</v>
      </c>
      <c r="E51" s="2">
        <v>0.24</v>
      </c>
      <c r="F51" s="2">
        <v>0.24</v>
      </c>
      <c r="G51" s="2">
        <v>0.24</v>
      </c>
      <c r="H51" s="2">
        <v>0.24</v>
      </c>
      <c r="I51" s="2">
        <v>0.23</v>
      </c>
      <c r="J51" s="2">
        <v>0.65</v>
      </c>
      <c r="K51" s="2">
        <v>0.6</v>
      </c>
      <c r="L51" s="2">
        <v>0.65</v>
      </c>
      <c r="M51" s="2">
        <v>0.72</v>
      </c>
      <c r="N51" s="2">
        <v>0.64</v>
      </c>
      <c r="O51" s="2">
        <v>0.72</v>
      </c>
      <c r="P51" s="2">
        <v>0.62</v>
      </c>
      <c r="Q51" s="2">
        <v>0.67</v>
      </c>
      <c r="R51" s="2">
        <v>0.63</v>
      </c>
      <c r="S51" s="2">
        <v>0.61</v>
      </c>
      <c r="T51" s="2">
        <v>0.47</v>
      </c>
      <c r="U51" s="2">
        <v>0.62</v>
      </c>
      <c r="V51" s="2">
        <v>0.49</v>
      </c>
    </row>
    <row r="52" spans="2:45" x14ac:dyDescent="0.3">
      <c r="B52" s="1" t="s">
        <v>22</v>
      </c>
      <c r="C52" s="2">
        <v>0.62</v>
      </c>
      <c r="D52" s="2">
        <v>0.4</v>
      </c>
      <c r="E52" s="2">
        <v>0.55000000000000004</v>
      </c>
      <c r="F52" s="2">
        <v>0.37</v>
      </c>
      <c r="G52" s="2">
        <v>0.52</v>
      </c>
      <c r="H52" s="2">
        <v>0.47</v>
      </c>
      <c r="I52" s="2">
        <v>0.63</v>
      </c>
      <c r="J52" s="2">
        <v>0.65</v>
      </c>
      <c r="K52" s="2">
        <v>0.68</v>
      </c>
      <c r="L52" s="2">
        <v>0.6</v>
      </c>
      <c r="M52" s="2">
        <v>0.72</v>
      </c>
      <c r="N52" s="2">
        <v>0.61</v>
      </c>
      <c r="O52" s="2">
        <v>0.71</v>
      </c>
      <c r="P52" s="2">
        <v>0.64</v>
      </c>
      <c r="Q52" s="2">
        <v>0.68</v>
      </c>
      <c r="R52" s="2">
        <v>0.56999999999999995</v>
      </c>
      <c r="S52" s="2">
        <v>0.67</v>
      </c>
      <c r="T52" s="2">
        <v>0.52</v>
      </c>
      <c r="U52" s="2">
        <v>0.61</v>
      </c>
      <c r="V52" s="2">
        <v>0.4</v>
      </c>
    </row>
    <row r="53" spans="2:45" x14ac:dyDescent="0.3">
      <c r="B53" s="1" t="s">
        <v>23</v>
      </c>
      <c r="C53" s="2">
        <v>1.05</v>
      </c>
      <c r="D53" s="2">
        <v>0.34</v>
      </c>
      <c r="E53" s="2">
        <v>1.1499999999999999</v>
      </c>
      <c r="F53" s="2">
        <v>0.28000000000000003</v>
      </c>
      <c r="G53" s="2">
        <v>0.98</v>
      </c>
      <c r="H53" s="2">
        <v>1.18</v>
      </c>
      <c r="I53" s="2">
        <v>0.96</v>
      </c>
      <c r="J53" s="2">
        <v>0.7</v>
      </c>
      <c r="K53" s="2">
        <v>1.02</v>
      </c>
      <c r="L53" s="2">
        <v>0.68</v>
      </c>
      <c r="M53" s="2">
        <v>1.08</v>
      </c>
      <c r="N53" s="2">
        <v>0.68</v>
      </c>
      <c r="O53" s="2">
        <v>1.2</v>
      </c>
      <c r="P53" s="2">
        <v>0.69</v>
      </c>
      <c r="Q53" s="2">
        <v>1.1299999999999999</v>
      </c>
      <c r="R53" s="2">
        <v>0.66</v>
      </c>
      <c r="S53" s="2">
        <v>0.73</v>
      </c>
      <c r="T53" s="2">
        <v>0.59</v>
      </c>
      <c r="U53" s="2">
        <v>0.56999999999999995</v>
      </c>
      <c r="V53" s="2">
        <v>0.52</v>
      </c>
    </row>
    <row r="54" spans="2:45" x14ac:dyDescent="0.3">
      <c r="B54" s="1" t="s">
        <v>24</v>
      </c>
      <c r="C54" s="2">
        <v>1.05</v>
      </c>
      <c r="D54" s="2">
        <v>0.5</v>
      </c>
      <c r="E54" s="2">
        <v>1.05</v>
      </c>
      <c r="F54" s="2">
        <v>0.35</v>
      </c>
      <c r="G54" s="2">
        <v>1.05</v>
      </c>
      <c r="H54" s="2">
        <v>1.05</v>
      </c>
      <c r="I54" s="2">
        <v>0.9</v>
      </c>
      <c r="J54" s="2">
        <v>0.73</v>
      </c>
      <c r="K54" s="2">
        <v>0.95</v>
      </c>
      <c r="L54" s="2">
        <v>0.7</v>
      </c>
      <c r="M54" s="2">
        <v>0.97</v>
      </c>
      <c r="N54" s="2">
        <v>0.68</v>
      </c>
      <c r="O54" s="2">
        <v>0.97</v>
      </c>
      <c r="P54" s="2">
        <v>0.68</v>
      </c>
      <c r="Q54" s="2">
        <v>0.82</v>
      </c>
      <c r="R54" s="2">
        <v>0.65</v>
      </c>
      <c r="S54" s="2">
        <v>0.65</v>
      </c>
      <c r="T54" s="2">
        <v>0.61</v>
      </c>
      <c r="U54" s="2">
        <v>0.6</v>
      </c>
      <c r="V54" s="2">
        <v>0.56999999999999995</v>
      </c>
    </row>
    <row r="55" spans="2:45" x14ac:dyDescent="0.3">
      <c r="B55" s="1" t="s">
        <v>25</v>
      </c>
      <c r="C55" s="2">
        <v>0.99</v>
      </c>
      <c r="D55" s="2">
        <v>0.82</v>
      </c>
      <c r="E55" s="2">
        <v>0.84</v>
      </c>
      <c r="F55" s="2">
        <v>0.59</v>
      </c>
      <c r="G55" s="2">
        <v>0.86</v>
      </c>
      <c r="H55" s="2">
        <v>1.02</v>
      </c>
      <c r="I55" s="2">
        <v>0.59</v>
      </c>
      <c r="J55" s="2">
        <v>0.83</v>
      </c>
      <c r="K55" s="2">
        <v>0.81</v>
      </c>
      <c r="L55" s="2">
        <v>0.84</v>
      </c>
      <c r="M55" s="2">
        <v>0.76</v>
      </c>
      <c r="N55" s="2">
        <v>0.72</v>
      </c>
      <c r="O55" s="2">
        <v>0.71</v>
      </c>
      <c r="P55" s="2">
        <v>0.69</v>
      </c>
      <c r="Q55" s="2">
        <v>0.68</v>
      </c>
      <c r="R55" s="2">
        <v>0.65</v>
      </c>
      <c r="S55" s="2">
        <v>0.65</v>
      </c>
      <c r="T55" s="2">
        <v>0.59</v>
      </c>
      <c r="U55" s="2">
        <v>0.6</v>
      </c>
      <c r="V55" s="2">
        <v>0.52</v>
      </c>
    </row>
    <row r="56" spans="2:45" x14ac:dyDescent="0.3">
      <c r="B56" s="1" t="s">
        <v>26</v>
      </c>
      <c r="C56" s="2">
        <v>1.05</v>
      </c>
      <c r="D56" s="2">
        <v>1.05</v>
      </c>
      <c r="E56" s="2">
        <v>0.88</v>
      </c>
      <c r="F56" s="2">
        <v>1.02</v>
      </c>
      <c r="G56" s="2">
        <v>1.05</v>
      </c>
      <c r="H56" s="2">
        <v>1.05</v>
      </c>
      <c r="I56" s="2">
        <v>0.66</v>
      </c>
      <c r="J56" s="2">
        <v>1.05</v>
      </c>
      <c r="K56" s="2">
        <v>0.68</v>
      </c>
      <c r="L56" s="2">
        <v>1.05</v>
      </c>
      <c r="M56" s="2">
        <v>0.72</v>
      </c>
      <c r="N56" s="2">
        <v>0.94</v>
      </c>
      <c r="O56" s="2">
        <v>0.71</v>
      </c>
      <c r="P56" s="2">
        <v>0.85</v>
      </c>
      <c r="Q56" s="2">
        <v>0.71</v>
      </c>
      <c r="R56" s="2">
        <v>0.85</v>
      </c>
      <c r="S56" s="2">
        <v>0.69</v>
      </c>
      <c r="T56" s="2">
        <v>0.81</v>
      </c>
      <c r="U56" s="2">
        <v>0.63</v>
      </c>
      <c r="V56" s="2">
        <v>0.59</v>
      </c>
    </row>
    <row r="57" spans="2:45" x14ac:dyDescent="0.3">
      <c r="B57" s="1" t="s">
        <v>27</v>
      </c>
      <c r="C57" s="2">
        <v>1.1100000000000001</v>
      </c>
      <c r="D57" s="2">
        <v>1.1200000000000001</v>
      </c>
      <c r="E57" s="2">
        <v>0.84</v>
      </c>
      <c r="F57" s="2">
        <v>0.97</v>
      </c>
      <c r="G57" s="2">
        <v>1.02</v>
      </c>
      <c r="H57" s="2">
        <v>1.0900000000000001</v>
      </c>
      <c r="I57" s="2">
        <v>0.77</v>
      </c>
      <c r="J57" s="2">
        <v>1.2</v>
      </c>
      <c r="K57" s="2">
        <v>0.73</v>
      </c>
      <c r="L57" s="2">
        <v>1.1599999999999999</v>
      </c>
      <c r="M57" s="2">
        <v>0.76</v>
      </c>
      <c r="N57" s="2">
        <v>1.07</v>
      </c>
      <c r="O57" s="2">
        <v>0.75</v>
      </c>
      <c r="P57" s="2">
        <v>0.97</v>
      </c>
      <c r="Q57" s="2">
        <v>0.79</v>
      </c>
      <c r="R57" s="2">
        <v>0.85</v>
      </c>
      <c r="S57" s="2">
        <v>0.7</v>
      </c>
      <c r="T57" s="2">
        <v>0.72</v>
      </c>
      <c r="U57" s="2">
        <v>0.65</v>
      </c>
      <c r="V57" s="2">
        <v>0.64</v>
      </c>
    </row>
    <row r="58" spans="2:45" x14ac:dyDescent="0.3">
      <c r="B58" s="1" t="s">
        <v>28</v>
      </c>
      <c r="C58" s="2">
        <v>0.56000000000000005</v>
      </c>
      <c r="D58" s="2">
        <v>0.68</v>
      </c>
      <c r="E58" s="2">
        <v>0.28999999999999998</v>
      </c>
      <c r="F58" s="2">
        <v>0.31</v>
      </c>
      <c r="G58" s="2">
        <v>0.24</v>
      </c>
      <c r="H58" s="2">
        <v>0.35</v>
      </c>
      <c r="I58" s="2">
        <v>0.26</v>
      </c>
      <c r="J58" s="2">
        <v>0.85</v>
      </c>
      <c r="K58" s="2">
        <v>0.59</v>
      </c>
      <c r="L58" s="2">
        <v>0.87</v>
      </c>
      <c r="M58" s="2">
        <v>0.71</v>
      </c>
      <c r="N58" s="2">
        <v>0.84</v>
      </c>
      <c r="O58" s="2">
        <v>0.74</v>
      </c>
      <c r="P58" s="2">
        <v>0.75</v>
      </c>
      <c r="Q58" s="2">
        <v>0.7</v>
      </c>
      <c r="R58" s="2">
        <v>0.67</v>
      </c>
      <c r="S58" s="2">
        <v>0.67</v>
      </c>
      <c r="T58" s="2">
        <v>0.6</v>
      </c>
      <c r="U58" s="2">
        <v>0.61</v>
      </c>
      <c r="V58" s="2">
        <v>0.53</v>
      </c>
    </row>
    <row r="61" spans="2:45" x14ac:dyDescent="0.3">
      <c r="B61" t="s">
        <v>43</v>
      </c>
    </row>
    <row r="62" spans="2:45" x14ac:dyDescent="0.3">
      <c r="B62" s="1" t="s">
        <v>16</v>
      </c>
      <c r="C62" s="1" t="s">
        <v>17</v>
      </c>
      <c r="D62" s="1" t="s">
        <v>18</v>
      </c>
      <c r="E62" s="1" t="s">
        <v>17</v>
      </c>
      <c r="F62" s="1" t="s">
        <v>18</v>
      </c>
      <c r="G62" s="1" t="s">
        <v>17</v>
      </c>
      <c r="H62" s="1" t="s">
        <v>18</v>
      </c>
      <c r="I62" s="1" t="s">
        <v>17</v>
      </c>
      <c r="J62" s="1" t="s">
        <v>18</v>
      </c>
      <c r="K62" s="1" t="s">
        <v>17</v>
      </c>
      <c r="L62" s="1" t="s">
        <v>18</v>
      </c>
      <c r="M62" s="1" t="s">
        <v>17</v>
      </c>
      <c r="N62" s="1" t="s">
        <v>18</v>
      </c>
      <c r="O62" s="1" t="s">
        <v>17</v>
      </c>
      <c r="P62" s="1" t="s">
        <v>18</v>
      </c>
      <c r="Q62" s="1" t="s">
        <v>17</v>
      </c>
      <c r="R62" s="1" t="s">
        <v>18</v>
      </c>
      <c r="S62" s="1" t="s">
        <v>17</v>
      </c>
      <c r="T62" s="1" t="s">
        <v>18</v>
      </c>
      <c r="U62" s="1" t="s">
        <v>17</v>
      </c>
      <c r="V62" s="1" t="s">
        <v>18</v>
      </c>
    </row>
    <row r="63" spans="2:45" x14ac:dyDescent="0.3">
      <c r="B63" s="1" t="s">
        <v>19</v>
      </c>
      <c r="C63" s="1" t="s">
        <v>1</v>
      </c>
      <c r="D63" s="1" t="s">
        <v>1</v>
      </c>
      <c r="E63" s="1" t="s">
        <v>2</v>
      </c>
      <c r="F63" s="1" t="s">
        <v>2</v>
      </c>
      <c r="G63" s="1" t="s">
        <v>3</v>
      </c>
      <c r="H63" s="1" t="s">
        <v>3</v>
      </c>
      <c r="I63" s="1" t="s">
        <v>4</v>
      </c>
      <c r="J63" s="1" t="s">
        <v>4</v>
      </c>
      <c r="K63" s="1" t="s">
        <v>5</v>
      </c>
      <c r="L63" s="1" t="s">
        <v>5</v>
      </c>
      <c r="M63" s="1" t="s">
        <v>6</v>
      </c>
      <c r="N63" s="1" t="s">
        <v>6</v>
      </c>
      <c r="O63" s="1" t="s">
        <v>7</v>
      </c>
      <c r="P63" s="1" t="s">
        <v>7</v>
      </c>
      <c r="Q63" s="1" t="s">
        <v>8</v>
      </c>
      <c r="R63" s="1" t="s">
        <v>8</v>
      </c>
      <c r="S63" s="1" t="s">
        <v>9</v>
      </c>
      <c r="T63" s="1" t="s">
        <v>9</v>
      </c>
      <c r="U63" s="1" t="s">
        <v>10</v>
      </c>
      <c r="V63" s="1" t="s">
        <v>10</v>
      </c>
    </row>
    <row r="64" spans="2:45" x14ac:dyDescent="0.3">
      <c r="B64" s="1" t="s">
        <v>20</v>
      </c>
    </row>
    <row r="65" spans="2:22" x14ac:dyDescent="0.3">
      <c r="B65" s="1" t="s">
        <v>21</v>
      </c>
      <c r="C65" s="8">
        <v>59.403832570000013</v>
      </c>
      <c r="D65" s="8">
        <v>58.406690694285722</v>
      </c>
      <c r="E65" s="8">
        <v>65.426108668571445</v>
      </c>
      <c r="F65" s="8">
        <v>66.706495548571425</v>
      </c>
      <c r="G65" s="8">
        <v>65.865455560000001</v>
      </c>
      <c r="H65" s="8">
        <v>61.35139660285715</v>
      </c>
      <c r="I65" s="8">
        <v>65.234368867142862</v>
      </c>
      <c r="J65" s="8">
        <v>58.54979633</v>
      </c>
      <c r="K65" s="8">
        <v>66.781889751428565</v>
      </c>
      <c r="L65" s="8">
        <v>64.70215966857144</v>
      </c>
      <c r="M65" s="8">
        <v>61.237078117142858</v>
      </c>
      <c r="N65" s="8">
        <v>63.59335770571429</v>
      </c>
      <c r="O65" s="8">
        <v>59.891781991428566</v>
      </c>
      <c r="P65" s="8">
        <v>63.867150232857135</v>
      </c>
      <c r="Q65" s="8">
        <v>64.193946707142857</v>
      </c>
      <c r="R65" s="8">
        <v>65.986152072857152</v>
      </c>
      <c r="S65" s="8">
        <v>65.02299499428571</v>
      </c>
      <c r="T65" s="8">
        <v>66.57733266428572</v>
      </c>
      <c r="U65" s="8">
        <v>66.400907481428575</v>
      </c>
      <c r="V65" s="8">
        <v>67.675741318571426</v>
      </c>
    </row>
    <row r="66" spans="2:22" x14ac:dyDescent="0.3">
      <c r="B66" s="1" t="s">
        <v>22</v>
      </c>
      <c r="C66" s="8">
        <v>53.49204348</v>
      </c>
      <c r="D66" s="8">
        <v>59.226645050000002</v>
      </c>
      <c r="E66" s="8">
        <v>66.842800339999997</v>
      </c>
      <c r="F66" s="8">
        <v>67.331894000000005</v>
      </c>
      <c r="G66" s="8">
        <v>53.889918180000002</v>
      </c>
      <c r="H66" s="8">
        <v>64.249887779999995</v>
      </c>
      <c r="I66" s="8">
        <v>63.26223298</v>
      </c>
      <c r="J66" s="8">
        <v>60.360097670000002</v>
      </c>
      <c r="K66" s="8">
        <v>63.937580699999998</v>
      </c>
      <c r="L66" s="8">
        <v>66.965849270000007</v>
      </c>
      <c r="M66" s="8">
        <v>61.139590509999998</v>
      </c>
      <c r="N66" s="8">
        <v>66.68104563</v>
      </c>
      <c r="O66" s="8">
        <v>61.86339718</v>
      </c>
      <c r="P66" s="8">
        <v>65.483755479999999</v>
      </c>
      <c r="Q66" s="8">
        <v>63.539263910000003</v>
      </c>
      <c r="R66" s="8">
        <v>67.618569809999997</v>
      </c>
      <c r="S66" s="8">
        <v>64.286732959999995</v>
      </c>
      <c r="T66" s="8">
        <v>68.65132973</v>
      </c>
      <c r="U66" s="8">
        <v>69.142618679999998</v>
      </c>
      <c r="V66" s="8">
        <v>69.707134440000004</v>
      </c>
    </row>
    <row r="67" spans="2:22" x14ac:dyDescent="0.3">
      <c r="B67" s="1" t="s">
        <v>23</v>
      </c>
      <c r="C67" s="8">
        <v>23.36876672</v>
      </c>
      <c r="D67" s="8">
        <v>55.165685823333341</v>
      </c>
      <c r="E67" s="8">
        <v>16.611981439999997</v>
      </c>
      <c r="F67" s="8">
        <v>66.596026306666673</v>
      </c>
      <c r="G67" s="8">
        <v>29.311822373333332</v>
      </c>
      <c r="H67" s="8">
        <v>14.98021093</v>
      </c>
      <c r="I67" s="8">
        <v>36.69419212333333</v>
      </c>
      <c r="J67" s="8">
        <v>58.114067489999996</v>
      </c>
      <c r="K67" s="8">
        <v>32.846491493333332</v>
      </c>
      <c r="L67" s="8">
        <v>63.53043284333333</v>
      </c>
      <c r="M67" s="8">
        <v>26.733633706666666</v>
      </c>
      <c r="N67" s="8">
        <v>63.509192840000004</v>
      </c>
      <c r="O67" s="8">
        <v>17.495310273333335</v>
      </c>
      <c r="P67" s="8">
        <v>63.354576059999999</v>
      </c>
      <c r="Q67" s="8">
        <v>22.799974276666671</v>
      </c>
      <c r="R67" s="8">
        <v>64.611111056666672</v>
      </c>
      <c r="S67" s="8">
        <v>60.771390416666669</v>
      </c>
      <c r="T67" s="8">
        <v>67.098143583333339</v>
      </c>
      <c r="U67" s="8">
        <v>67.573756576666668</v>
      </c>
      <c r="V67" s="8">
        <v>68.664264903333333</v>
      </c>
    </row>
    <row r="68" spans="2:22" x14ac:dyDescent="0.3">
      <c r="B68" s="1" t="s">
        <v>24</v>
      </c>
      <c r="C68" s="8">
        <v>22.1280036</v>
      </c>
      <c r="D68" s="8">
        <v>54.164538630000003</v>
      </c>
      <c r="E68" s="8">
        <v>16.9988156</v>
      </c>
      <c r="F68" s="8">
        <v>66.228092459999999</v>
      </c>
      <c r="G68" s="8">
        <v>22.799580769999999</v>
      </c>
      <c r="H68" s="8">
        <v>16.288703940000001</v>
      </c>
      <c r="I68" s="8">
        <v>42.927943810000002</v>
      </c>
      <c r="J68" s="8">
        <v>56.58759156</v>
      </c>
      <c r="K68" s="8">
        <v>40.179353990000003</v>
      </c>
      <c r="L68" s="8">
        <v>62.425791689999997</v>
      </c>
      <c r="M68" s="8">
        <v>37.906546110000001</v>
      </c>
      <c r="N68" s="8">
        <v>63.490564980000002</v>
      </c>
      <c r="O68" s="8">
        <v>38.152687460000003</v>
      </c>
      <c r="P68" s="8">
        <v>63.591161390000003</v>
      </c>
      <c r="Q68" s="8">
        <v>53.763992539999997</v>
      </c>
      <c r="R68" s="8">
        <v>65.090772799999996</v>
      </c>
      <c r="S68" s="8">
        <v>64.939390149999994</v>
      </c>
      <c r="T68" s="8">
        <v>66.517091500000006</v>
      </c>
      <c r="U68" s="8">
        <v>66.938869879999999</v>
      </c>
      <c r="V68" s="8">
        <v>67.739594350000004</v>
      </c>
    </row>
    <row r="69" spans="2:22" x14ac:dyDescent="0.3">
      <c r="B69" s="1" t="s">
        <v>25</v>
      </c>
      <c r="C69" s="8">
        <v>27.969298876</v>
      </c>
      <c r="D69" s="8">
        <v>42.310763546000004</v>
      </c>
      <c r="E69" s="8">
        <v>40.336861532</v>
      </c>
      <c r="F69" s="8">
        <v>57.523701779999996</v>
      </c>
      <c r="G69" s="8">
        <v>39.298964560000002</v>
      </c>
      <c r="H69" s="8">
        <v>21.431522462</v>
      </c>
      <c r="I69" s="8">
        <v>62.404439991999993</v>
      </c>
      <c r="J69" s="8">
        <v>48.719221687999998</v>
      </c>
      <c r="K69" s="8">
        <v>54.923844301999999</v>
      </c>
      <c r="L69" s="8">
        <v>51.471449183999994</v>
      </c>
      <c r="M69" s="8">
        <v>58.801746322</v>
      </c>
      <c r="N69" s="8">
        <v>61.269984520000001</v>
      </c>
      <c r="O69" s="8">
        <v>61.912022055999998</v>
      </c>
      <c r="P69" s="8">
        <v>63.174071921999996</v>
      </c>
      <c r="Q69" s="8">
        <v>63.833116930000003</v>
      </c>
      <c r="R69" s="8">
        <v>64.977579456000001</v>
      </c>
      <c r="S69" s="8">
        <v>65.139533179999987</v>
      </c>
      <c r="T69" s="8">
        <v>67.214342542000011</v>
      </c>
      <c r="U69" s="8">
        <v>66.994121092</v>
      </c>
      <c r="V69" s="8">
        <v>69.024711854000003</v>
      </c>
    </row>
    <row r="70" spans="2:22" x14ac:dyDescent="0.3">
      <c r="B70" s="1" t="s">
        <v>26</v>
      </c>
      <c r="C70" s="8">
        <v>20.169131149999998</v>
      </c>
      <c r="D70" s="8">
        <v>21.265943020000002</v>
      </c>
      <c r="E70" s="8">
        <v>37.920434810000003</v>
      </c>
      <c r="F70" s="8">
        <v>26.23320545</v>
      </c>
      <c r="G70" s="8">
        <v>22.799580769999999</v>
      </c>
      <c r="H70" s="8">
        <v>21.416629260000001</v>
      </c>
      <c r="I70" s="8">
        <v>60.099121330000003</v>
      </c>
      <c r="J70" s="8">
        <v>13.07438939</v>
      </c>
      <c r="K70" s="8">
        <v>63.937580699999998</v>
      </c>
      <c r="L70" s="8">
        <v>26.982576630000001</v>
      </c>
      <c r="M70" s="8">
        <v>61.139590509999998</v>
      </c>
      <c r="N70" s="8">
        <v>41.859710030000002</v>
      </c>
      <c r="O70" s="8">
        <v>61.86339718</v>
      </c>
      <c r="P70" s="8">
        <v>50.697101009999997</v>
      </c>
      <c r="Q70" s="8">
        <v>62.12728027</v>
      </c>
      <c r="R70" s="8">
        <v>50.83731891</v>
      </c>
      <c r="S70" s="8">
        <v>63.331979500000003</v>
      </c>
      <c r="T70" s="8">
        <v>54.397451949999997</v>
      </c>
      <c r="U70" s="8">
        <v>65.888848390000007</v>
      </c>
      <c r="V70" s="8">
        <v>67.197677600000006</v>
      </c>
    </row>
    <row r="71" spans="2:22" x14ac:dyDescent="0.3">
      <c r="B71" s="1" t="s">
        <v>27</v>
      </c>
      <c r="C71" s="8">
        <v>19.131858486666669</v>
      </c>
      <c r="D71" s="8">
        <v>18.742579016666667</v>
      </c>
      <c r="E71" s="8">
        <v>40.659540826666671</v>
      </c>
      <c r="F71" s="8">
        <v>29.700200256666665</v>
      </c>
      <c r="G71" s="8">
        <v>25.491778870000001</v>
      </c>
      <c r="H71" s="8">
        <v>20.762387966666669</v>
      </c>
      <c r="I71" s="8">
        <v>54.003463243333336</v>
      </c>
      <c r="J71" s="8">
        <v>9.8459164143333329</v>
      </c>
      <c r="K71" s="8">
        <v>60.659571973333335</v>
      </c>
      <c r="L71" s="8">
        <v>20.139612290000002</v>
      </c>
      <c r="M71" s="8">
        <v>58.734377856666669</v>
      </c>
      <c r="N71" s="8">
        <v>27.724473213333329</v>
      </c>
      <c r="O71" s="8">
        <v>59.111685326666667</v>
      </c>
      <c r="P71" s="8">
        <v>38.275798406666667</v>
      </c>
      <c r="Q71" s="8">
        <v>56.346052656666672</v>
      </c>
      <c r="R71" s="8">
        <v>50.97042858333333</v>
      </c>
      <c r="S71" s="8">
        <v>62.414081676666676</v>
      </c>
      <c r="T71" s="8">
        <v>61.532810116666667</v>
      </c>
      <c r="U71" s="8">
        <v>64.96406322</v>
      </c>
      <c r="V71" s="8">
        <v>65.411155236666673</v>
      </c>
    </row>
    <row r="72" spans="2:22" x14ac:dyDescent="0.3">
      <c r="B72" s="1" t="s">
        <v>28</v>
      </c>
      <c r="C72" s="8">
        <v>53.298340469999999</v>
      </c>
      <c r="D72" s="8">
        <v>50.071984750000006</v>
      </c>
      <c r="E72" s="8">
        <v>65.010406630000006</v>
      </c>
      <c r="F72" s="8">
        <v>65.515962433333328</v>
      </c>
      <c r="G72" s="8">
        <v>62.39885263</v>
      </c>
      <c r="H72" s="8">
        <v>59.853842826666664</v>
      </c>
      <c r="I72" s="8">
        <v>65.172423783333343</v>
      </c>
      <c r="J72" s="8">
        <v>46.789704966666669</v>
      </c>
      <c r="K72" s="8">
        <v>67.048249756666664</v>
      </c>
      <c r="L72" s="8">
        <v>49.197875886666658</v>
      </c>
      <c r="M72" s="8">
        <v>61.804449776666665</v>
      </c>
      <c r="N72" s="8">
        <v>51.638708629999996</v>
      </c>
      <c r="O72" s="8">
        <v>60.079947886666673</v>
      </c>
      <c r="P72" s="8">
        <v>59.778301159999991</v>
      </c>
      <c r="Q72" s="8">
        <v>62.68447561</v>
      </c>
      <c r="R72" s="8">
        <v>64.160576489999997</v>
      </c>
      <c r="S72" s="8">
        <v>64.087293776666669</v>
      </c>
      <c r="T72" s="8">
        <v>66.868371986666659</v>
      </c>
      <c r="U72" s="8">
        <v>66.597165360000005</v>
      </c>
      <c r="V72" s="8">
        <v>68.482258623333337</v>
      </c>
    </row>
    <row r="75" spans="2:22" x14ac:dyDescent="0.3">
      <c r="B75" t="s">
        <v>47</v>
      </c>
    </row>
    <row r="76" spans="2:22" x14ac:dyDescent="0.3">
      <c r="B76" s="1" t="s">
        <v>16</v>
      </c>
      <c r="C76" s="1" t="s">
        <v>17</v>
      </c>
      <c r="D76" s="1" t="s">
        <v>18</v>
      </c>
      <c r="E76" s="1" t="s">
        <v>17</v>
      </c>
      <c r="F76" s="1" t="s">
        <v>18</v>
      </c>
      <c r="G76" s="1" t="s">
        <v>17</v>
      </c>
      <c r="H76" s="1" t="s">
        <v>18</v>
      </c>
      <c r="I76" s="1" t="s">
        <v>17</v>
      </c>
      <c r="J76" s="1" t="s">
        <v>18</v>
      </c>
      <c r="K76" s="1" t="s">
        <v>17</v>
      </c>
      <c r="L76" s="1" t="s">
        <v>18</v>
      </c>
      <c r="M76" s="1" t="s">
        <v>17</v>
      </c>
      <c r="N76" s="1" t="s">
        <v>18</v>
      </c>
      <c r="O76" s="1" t="s">
        <v>17</v>
      </c>
      <c r="P76" s="1" t="s">
        <v>18</v>
      </c>
      <c r="Q76" s="1" t="s">
        <v>17</v>
      </c>
      <c r="R76" s="1" t="s">
        <v>18</v>
      </c>
      <c r="S76" s="1" t="s">
        <v>17</v>
      </c>
      <c r="T76" s="1" t="s">
        <v>18</v>
      </c>
      <c r="U76" s="1" t="s">
        <v>17</v>
      </c>
      <c r="V76" s="1" t="s">
        <v>18</v>
      </c>
    </row>
    <row r="77" spans="2:22" x14ac:dyDescent="0.3">
      <c r="B77" s="1" t="s">
        <v>19</v>
      </c>
      <c r="C77" s="1" t="s">
        <v>1</v>
      </c>
      <c r="D77" s="1" t="s">
        <v>1</v>
      </c>
      <c r="E77" s="1" t="s">
        <v>2</v>
      </c>
      <c r="F77" s="1" t="s">
        <v>2</v>
      </c>
      <c r="G77" s="1" t="s">
        <v>3</v>
      </c>
      <c r="H77" s="1" t="s">
        <v>3</v>
      </c>
      <c r="I77" s="1" t="s">
        <v>4</v>
      </c>
      <c r="J77" s="1" t="s">
        <v>4</v>
      </c>
      <c r="K77" s="1" t="s">
        <v>5</v>
      </c>
      <c r="L77" s="1" t="s">
        <v>5</v>
      </c>
      <c r="M77" s="1" t="s">
        <v>6</v>
      </c>
      <c r="N77" s="1" t="s">
        <v>6</v>
      </c>
      <c r="O77" s="1" t="s">
        <v>7</v>
      </c>
      <c r="P77" s="1" t="s">
        <v>7</v>
      </c>
      <c r="Q77" s="1" t="s">
        <v>8</v>
      </c>
      <c r="R77" s="1" t="s">
        <v>8</v>
      </c>
      <c r="S77" s="1" t="s">
        <v>9</v>
      </c>
      <c r="T77" s="1" t="s">
        <v>9</v>
      </c>
      <c r="U77" s="1" t="s">
        <v>10</v>
      </c>
      <c r="V77" s="1" t="s">
        <v>10</v>
      </c>
    </row>
    <row r="78" spans="2:22" x14ac:dyDescent="0.3">
      <c r="B78" s="1" t="s">
        <v>20</v>
      </c>
    </row>
    <row r="79" spans="2:22" x14ac:dyDescent="0.3">
      <c r="B79" s="1" t="s">
        <v>21</v>
      </c>
      <c r="C79" s="12">
        <v>1.3130465935524736</v>
      </c>
      <c r="D79" s="12">
        <v>1.3354634387397539</v>
      </c>
      <c r="E79" s="12">
        <v>1.1921846123406792</v>
      </c>
      <c r="F79" s="12">
        <v>1.1693014204771912</v>
      </c>
      <c r="G79" s="12">
        <v>0.45547396195675838</v>
      </c>
      <c r="H79" s="12">
        <v>0.48898642347455368</v>
      </c>
      <c r="I79" s="12">
        <v>1.4716169048176861</v>
      </c>
      <c r="J79" s="12">
        <v>1.6396299563353238</v>
      </c>
      <c r="K79" s="12">
        <v>1.7968943443597749</v>
      </c>
      <c r="L79" s="12">
        <v>1.8546521571255843</v>
      </c>
      <c r="M79" s="12">
        <v>3.5272747596938729</v>
      </c>
      <c r="N79" s="12">
        <v>3.396581149238342</v>
      </c>
      <c r="O79" s="12">
        <v>2.9052399880989026</v>
      </c>
      <c r="P79" s="12">
        <v>2.7244052594424959</v>
      </c>
      <c r="Q79" s="12">
        <v>3.5517367554942756</v>
      </c>
      <c r="R79" s="12">
        <v>3.4552704292903584</v>
      </c>
      <c r="S79" s="12">
        <v>3.1373516402609223</v>
      </c>
      <c r="T79" s="12">
        <v>3.06410593270031</v>
      </c>
      <c r="U79" s="12">
        <v>4.0662094878073063</v>
      </c>
      <c r="V79" s="12">
        <v>3.9896127436421183</v>
      </c>
    </row>
    <row r="80" spans="2:22" x14ac:dyDescent="0.3">
      <c r="B80" s="1" t="s">
        <v>22</v>
      </c>
      <c r="C80" s="12">
        <v>1.4581607829052785</v>
      </c>
      <c r="D80" s="12">
        <v>1.316974816556826</v>
      </c>
      <c r="E80" s="12">
        <v>1.1669169993364763</v>
      </c>
      <c r="F80" s="12">
        <v>1.1584406046857971</v>
      </c>
      <c r="G80" s="12">
        <v>0.55669039800349529</v>
      </c>
      <c r="H80" s="12">
        <v>0.46692688558031287</v>
      </c>
      <c r="I80" s="12">
        <v>1.517493067788958</v>
      </c>
      <c r="J80" s="12">
        <v>1.5904546829074075</v>
      </c>
      <c r="K80" s="12">
        <v>1.8768304756954934</v>
      </c>
      <c r="L80" s="12">
        <v>1.7919581593921297</v>
      </c>
      <c r="M80" s="12">
        <v>3.532899029879355</v>
      </c>
      <c r="N80" s="12">
        <v>3.2393013330735916</v>
      </c>
      <c r="O80" s="12">
        <v>2.8126486409034932</v>
      </c>
      <c r="P80" s="12">
        <v>2.6571475433039717</v>
      </c>
      <c r="Q80" s="12">
        <v>3.5883324100661587</v>
      </c>
      <c r="R80" s="12">
        <v>3.3718548120827228</v>
      </c>
      <c r="S80" s="12">
        <v>3.1732830493490987</v>
      </c>
      <c r="T80" s="12">
        <v>2.9715374895477642</v>
      </c>
      <c r="U80" s="12">
        <v>3.9049721453217021</v>
      </c>
      <c r="V80" s="12">
        <v>3.8733481467725643</v>
      </c>
    </row>
    <row r="81" spans="2:22" x14ac:dyDescent="0.3">
      <c r="B81" s="1" t="s">
        <v>23</v>
      </c>
      <c r="C81" s="12">
        <v>3.3377884650303016</v>
      </c>
      <c r="D81" s="12">
        <v>1.4139224199947944</v>
      </c>
      <c r="E81" s="12">
        <v>4.6954061610124223</v>
      </c>
      <c r="F81" s="12">
        <v>1.1712410533448259</v>
      </c>
      <c r="G81" s="12">
        <v>1.0234778178545714</v>
      </c>
      <c r="H81" s="12">
        <v>2.0026420282187574</v>
      </c>
      <c r="I81" s="12">
        <v>2.6162178384342987</v>
      </c>
      <c r="J81" s="12">
        <v>1.6519236072491268</v>
      </c>
      <c r="K81" s="12">
        <v>3.6533582292755904</v>
      </c>
      <c r="L81" s="12">
        <v>1.8888585301460352</v>
      </c>
      <c r="M81" s="12">
        <v>8.0797097158601101</v>
      </c>
      <c r="N81" s="12">
        <v>3.4010824313918331</v>
      </c>
      <c r="O81" s="12">
        <v>9.9455223875174088</v>
      </c>
      <c r="P81" s="12">
        <v>2.746447231139439</v>
      </c>
      <c r="Q81" s="12">
        <v>10.00001128217647</v>
      </c>
      <c r="R81" s="12">
        <v>3.528804818106817</v>
      </c>
      <c r="S81" s="12">
        <v>3.3568427281540791</v>
      </c>
      <c r="T81" s="12">
        <v>3.0403225649103058</v>
      </c>
      <c r="U81" s="12">
        <v>3.995634010574328</v>
      </c>
      <c r="V81" s="12">
        <v>3.9321763712188629</v>
      </c>
    </row>
    <row r="82" spans="2:22" x14ac:dyDescent="0.3">
      <c r="B82" s="1" t="s">
        <v>24</v>
      </c>
      <c r="C82" s="12">
        <v>3.5249451965924301</v>
      </c>
      <c r="D82" s="12">
        <v>1.4400565752589702</v>
      </c>
      <c r="E82" s="12">
        <v>4.5885549814423543</v>
      </c>
      <c r="F82" s="12">
        <v>1.1777479480797355</v>
      </c>
      <c r="G82" s="12">
        <v>1.3158136679194739</v>
      </c>
      <c r="H82" s="12">
        <v>1.8417671602667731</v>
      </c>
      <c r="I82" s="12">
        <v>2.2363055734720967</v>
      </c>
      <c r="J82" s="12">
        <v>1.6964849952698711</v>
      </c>
      <c r="K82" s="12">
        <v>2.9866084962407826</v>
      </c>
      <c r="L82" s="12">
        <v>1.9222823892391714</v>
      </c>
      <c r="M82" s="12">
        <v>5.6982242426728966</v>
      </c>
      <c r="N82" s="12">
        <v>3.4020802944192039</v>
      </c>
      <c r="O82" s="12">
        <v>4.5606223724717916</v>
      </c>
      <c r="P82" s="12">
        <v>2.7362293154683961</v>
      </c>
      <c r="Q82" s="12">
        <v>4.2407564845629677</v>
      </c>
      <c r="R82" s="12">
        <v>3.5028006304451194</v>
      </c>
      <c r="S82" s="12">
        <v>3.1413907572706088</v>
      </c>
      <c r="T82" s="12">
        <v>3.0668809384126483</v>
      </c>
      <c r="U82" s="12">
        <v>4.0335308989235061</v>
      </c>
      <c r="V82" s="12">
        <v>3.9858520351472992</v>
      </c>
    </row>
    <row r="83" spans="2:22" x14ac:dyDescent="0.3">
      <c r="B83" s="1" t="s">
        <v>25</v>
      </c>
      <c r="C83" s="12">
        <v>2.7887720870590194</v>
      </c>
      <c r="D83" s="12">
        <v>1.8435025384308859</v>
      </c>
      <c r="E83" s="12">
        <v>1.9337151438547373</v>
      </c>
      <c r="F83" s="12">
        <v>1.355962804659405</v>
      </c>
      <c r="G83" s="12">
        <v>0.76337889142593729</v>
      </c>
      <c r="H83" s="12">
        <v>1.3998072256972258</v>
      </c>
      <c r="I83" s="12">
        <v>1.5383520789916043</v>
      </c>
      <c r="J83" s="12">
        <v>1.9704748284935287</v>
      </c>
      <c r="K83" s="12">
        <v>2.1848434231984433</v>
      </c>
      <c r="L83" s="12">
        <v>2.3313895742671695</v>
      </c>
      <c r="M83" s="12">
        <v>3.67336029132839</v>
      </c>
      <c r="N83" s="12">
        <v>3.5253803586239258</v>
      </c>
      <c r="O83" s="12">
        <v>2.810439624191492</v>
      </c>
      <c r="P83" s="12">
        <v>2.7542945184036101</v>
      </c>
      <c r="Q83" s="12">
        <v>3.5718136754942886</v>
      </c>
      <c r="R83" s="12">
        <v>3.5089026385538369</v>
      </c>
      <c r="S83" s="12">
        <v>3.1317387466730389</v>
      </c>
      <c r="T83" s="12">
        <v>3.0350665093916103</v>
      </c>
      <c r="U83" s="12">
        <v>4.0302043761305741</v>
      </c>
      <c r="V83" s="12">
        <v>3.9116425515994879</v>
      </c>
    </row>
    <row r="84" spans="2:22" x14ac:dyDescent="0.3">
      <c r="B84" s="1" t="s">
        <v>26</v>
      </c>
      <c r="C84" s="12">
        <v>3.8672959890986682</v>
      </c>
      <c r="D84" s="12">
        <v>3.6678364052157604</v>
      </c>
      <c r="E84" s="12">
        <v>2.0569384394144818</v>
      </c>
      <c r="F84" s="12">
        <v>2.9733308858754048</v>
      </c>
      <c r="G84" s="12">
        <v>1.3158136679194739</v>
      </c>
      <c r="H84" s="12">
        <v>1.4007806567409384</v>
      </c>
      <c r="I84" s="12">
        <v>1.5973611240149557</v>
      </c>
      <c r="J84" s="12">
        <v>7.3425991177397538</v>
      </c>
      <c r="K84" s="12">
        <v>1.8768304756954934</v>
      </c>
      <c r="L84" s="12">
        <v>4.4473143408617455</v>
      </c>
      <c r="M84" s="12">
        <v>3.532899029879355</v>
      </c>
      <c r="N84" s="12">
        <v>5.1600930786476349</v>
      </c>
      <c r="O84" s="12">
        <v>2.8126486409034932</v>
      </c>
      <c r="P84" s="12">
        <v>3.4321489105595706</v>
      </c>
      <c r="Q84" s="12">
        <v>3.6698854192414498</v>
      </c>
      <c r="R84" s="12">
        <v>4.484894264460336</v>
      </c>
      <c r="S84" s="12">
        <v>3.2211214872890559</v>
      </c>
      <c r="T84" s="12">
        <v>3.7501756550565788</v>
      </c>
      <c r="U84" s="12">
        <v>4.0978102759036545</v>
      </c>
      <c r="V84" s="12">
        <v>4.0179960028856705</v>
      </c>
    </row>
    <row r="85" spans="2:22" x14ac:dyDescent="0.3">
      <c r="B85" s="1" t="s">
        <v>27</v>
      </c>
      <c r="C85" s="12">
        <v>4.0769693155716986</v>
      </c>
      <c r="D85" s="12">
        <v>4.1616471207425194</v>
      </c>
      <c r="E85" s="12">
        <v>1.9183689341824413</v>
      </c>
      <c r="F85" s="12">
        <v>2.6262449184157171</v>
      </c>
      <c r="G85" s="12">
        <v>1.1768500014451915</v>
      </c>
      <c r="H85" s="12">
        <v>1.4449204999041543</v>
      </c>
      <c r="I85" s="12">
        <v>1.7776637688482153</v>
      </c>
      <c r="J85" s="12">
        <v>9.7502351188200862</v>
      </c>
      <c r="K85" s="12">
        <v>1.9782533258354249</v>
      </c>
      <c r="L85" s="12">
        <v>5.9584066600718053</v>
      </c>
      <c r="M85" s="12">
        <v>3.6775736439588904</v>
      </c>
      <c r="N85" s="12">
        <v>7.7909505561361101</v>
      </c>
      <c r="O85" s="12">
        <v>2.9435804281070723</v>
      </c>
      <c r="P85" s="12">
        <v>4.5459535069997035</v>
      </c>
      <c r="Q85" s="12">
        <v>4.046423649040193</v>
      </c>
      <c r="R85" s="12">
        <v>4.4731819279728997</v>
      </c>
      <c r="S85" s="12">
        <v>3.2684931752551094</v>
      </c>
      <c r="T85" s="12">
        <v>3.315304462988355</v>
      </c>
      <c r="U85" s="12">
        <v>4.1561439758724497</v>
      </c>
      <c r="V85" s="12">
        <v>4.1277363016002759</v>
      </c>
    </row>
    <row r="86" spans="2:22" x14ac:dyDescent="0.3">
      <c r="B86" s="1" t="s">
        <v>28</v>
      </c>
      <c r="C86" s="12">
        <v>1.4634601999269341</v>
      </c>
      <c r="D86" s="12">
        <v>1.5577573045973576</v>
      </c>
      <c r="E86" s="12">
        <v>1.1998079083542565</v>
      </c>
      <c r="F86" s="12">
        <v>1.1905495562149451</v>
      </c>
      <c r="G86" s="12">
        <v>0.48077807099896347</v>
      </c>
      <c r="H86" s="12">
        <v>0.50122095062264083</v>
      </c>
      <c r="I86" s="12">
        <v>1.4730156472184213</v>
      </c>
      <c r="J86" s="12">
        <v>2.0517333902487973</v>
      </c>
      <c r="K86" s="12">
        <v>1.7897558912500666</v>
      </c>
      <c r="L86" s="12">
        <v>2.4391296948761512</v>
      </c>
      <c r="M86" s="12">
        <v>3.4948939887099768</v>
      </c>
      <c r="N86" s="12">
        <v>4.1829086305716165</v>
      </c>
      <c r="O86" s="12">
        <v>2.8961409941338379</v>
      </c>
      <c r="P86" s="12">
        <v>2.9107551841307635</v>
      </c>
      <c r="Q86" s="12">
        <v>3.6372642154420025</v>
      </c>
      <c r="R86" s="12">
        <v>3.5535840304604474</v>
      </c>
      <c r="S86" s="12">
        <v>3.1831582826840115</v>
      </c>
      <c r="T86" s="12">
        <v>3.0507696529635409</v>
      </c>
      <c r="U86" s="12">
        <v>4.0542266107045011</v>
      </c>
      <c r="V86" s="12">
        <v>3.9426269727033412</v>
      </c>
    </row>
    <row r="89" spans="2:22" x14ac:dyDescent="0.3">
      <c r="B89" t="s">
        <v>51</v>
      </c>
    </row>
    <row r="90" spans="2:22" x14ac:dyDescent="0.3">
      <c r="B90" s="1" t="s">
        <v>16</v>
      </c>
      <c r="C90" s="1" t="s">
        <v>17</v>
      </c>
      <c r="D90" s="1"/>
      <c r="E90" s="1"/>
      <c r="F90" s="1"/>
      <c r="G90" s="1"/>
      <c r="H90" s="1"/>
      <c r="I90" s="1"/>
      <c r="J90" s="1"/>
      <c r="K90" s="1"/>
      <c r="L90" s="1"/>
      <c r="M90" s="1" t="s">
        <v>18</v>
      </c>
      <c r="N90" s="1"/>
      <c r="O90" s="1"/>
      <c r="P90" s="1"/>
      <c r="Q90" s="1"/>
      <c r="R90" s="1"/>
      <c r="S90" s="1"/>
      <c r="T90" s="1"/>
      <c r="U90" s="1"/>
      <c r="V90" s="1"/>
    </row>
    <row r="91" spans="2:22" x14ac:dyDescent="0.3">
      <c r="B91" s="1" t="s">
        <v>19</v>
      </c>
      <c r="C91" s="1" t="s">
        <v>1</v>
      </c>
      <c r="D91" s="1" t="s">
        <v>10</v>
      </c>
      <c r="E91" s="1" t="s">
        <v>2</v>
      </c>
      <c r="F91" s="1" t="s">
        <v>3</v>
      </c>
      <c r="G91" s="1" t="s">
        <v>4</v>
      </c>
      <c r="H91" s="1" t="s">
        <v>5</v>
      </c>
      <c r="I91" s="1" t="s">
        <v>6</v>
      </c>
      <c r="J91" s="1" t="s">
        <v>7</v>
      </c>
      <c r="K91" s="1" t="s">
        <v>8</v>
      </c>
      <c r="L91" s="1" t="s">
        <v>9</v>
      </c>
      <c r="M91" s="1" t="s">
        <v>1</v>
      </c>
      <c r="N91" s="1" t="s">
        <v>10</v>
      </c>
      <c r="O91" s="1" t="s">
        <v>2</v>
      </c>
      <c r="P91" s="1" t="s">
        <v>3</v>
      </c>
      <c r="Q91" s="1" t="s">
        <v>4</v>
      </c>
      <c r="R91" s="1" t="s">
        <v>5</v>
      </c>
      <c r="S91" s="1" t="s">
        <v>6</v>
      </c>
      <c r="T91" s="1" t="s">
        <v>7</v>
      </c>
      <c r="U91" s="1" t="s">
        <v>8</v>
      </c>
      <c r="V91" s="1" t="s">
        <v>9</v>
      </c>
    </row>
    <row r="92" spans="2:22" x14ac:dyDescent="0.3">
      <c r="B92" s="1" t="s">
        <v>20</v>
      </c>
    </row>
    <row r="93" spans="2:22" x14ac:dyDescent="0.3">
      <c r="B93" s="1" t="s">
        <v>21</v>
      </c>
      <c r="C93" s="2">
        <f>Year_2025!Y93+Year_2025!AV93</f>
        <v>1207.7</v>
      </c>
      <c r="D93" s="2">
        <f>Year_2025!Z93+Year_2025!AW93</f>
        <v>7074.9</v>
      </c>
      <c r="E93" s="2">
        <f>Year_2025!AA93+Year_2025!AX93</f>
        <v>1132.96</v>
      </c>
      <c r="F93" s="2">
        <f>Year_2025!AB93+Year_2025!AY93</f>
        <v>326.89999999999998</v>
      </c>
      <c r="G93" s="2">
        <f>Year_2025!AC93+Year_2025!AZ93</f>
        <v>1393.84</v>
      </c>
      <c r="H93" s="2">
        <f>Year_2025!AD93+Year_2025!BA93</f>
        <v>4054.4</v>
      </c>
      <c r="I93" s="2">
        <f>Year_2025!AE93+Year_2025!BB93</f>
        <v>7494.48</v>
      </c>
      <c r="J93" s="2">
        <f>Year_2025!AF93+Year_2025!BC93</f>
        <v>5732.72</v>
      </c>
      <c r="K93" s="2">
        <f>Year_2025!AG93+Year_2025!BD93</f>
        <v>7293.72</v>
      </c>
      <c r="L93" s="2">
        <f>Year_2025!AH93+Year_2025!BE93</f>
        <v>5759.6</v>
      </c>
      <c r="M93" s="2">
        <f>Year_2025!AI93+Year_2025!BF93</f>
        <v>1173.1199999999999</v>
      </c>
      <c r="N93" s="2">
        <f>Year_2025!AJ93+Year_2025!BG93</f>
        <v>4580.1000000000004</v>
      </c>
      <c r="O93" s="2">
        <f>Year_2025!AK93+Year_2025!BH93</f>
        <v>1027.4000000000001</v>
      </c>
      <c r="P93" s="2">
        <f>Year_2025!AL93+Year_2025!BI93</f>
        <v>415.62</v>
      </c>
      <c r="Q93" s="2">
        <f>Year_2025!AM93+Year_2025!BJ93</f>
        <v>2652.16</v>
      </c>
      <c r="R93" s="2">
        <f>Year_2025!AN93+Year_2025!BK93</f>
        <v>3343.2</v>
      </c>
      <c r="S93" s="2">
        <f>Year_2025!AO93+Year_2025!BL93</f>
        <v>5982.48</v>
      </c>
      <c r="T93" s="2">
        <f>Year_2025!AP93+Year_2025!BM93</f>
        <v>4526.8999999999996</v>
      </c>
      <c r="U93" s="2">
        <f>Year_2025!AQ93+Year_2025!BN93</f>
        <v>6394.64</v>
      </c>
      <c r="V93" s="2">
        <f>Year_2025!AR93+Year_2025!BO93</f>
        <v>3560.48</v>
      </c>
    </row>
    <row r="94" spans="2:22" x14ac:dyDescent="0.3">
      <c r="B94" s="1" t="s">
        <v>22</v>
      </c>
      <c r="C94" s="2">
        <f>Year_2025!Y94+Year_2025!AV94</f>
        <v>2147.9</v>
      </c>
      <c r="D94" s="2">
        <f>Year_2025!Z94+Year_2025!AW94</f>
        <v>7025.26</v>
      </c>
      <c r="E94" s="2">
        <f>Year_2025!AA94+Year_2025!AX94</f>
        <v>2293.14</v>
      </c>
      <c r="F94" s="2">
        <f>Year_2025!AB94+Year_2025!AY94</f>
        <v>554.70000000000005</v>
      </c>
      <c r="G94" s="2">
        <f>Year_2025!AC94+Year_2025!AZ94</f>
        <v>3080.7</v>
      </c>
      <c r="H94" s="2">
        <f>Year_2025!AD94+Year_2025!BA94</f>
        <v>3646.72</v>
      </c>
      <c r="I94" s="2">
        <f>Year_2025!AE94+Year_2025!BB94</f>
        <v>6356.4</v>
      </c>
      <c r="J94" s="2">
        <f>Year_2025!AF94+Year_2025!BC94</f>
        <v>4271.62</v>
      </c>
      <c r="K94" s="2">
        <f>Year_2025!AG94+Year_2025!BD94</f>
        <v>5296.5</v>
      </c>
      <c r="L94" s="2">
        <f>Year_2025!AH94+Year_2025!BE94</f>
        <v>4700.28</v>
      </c>
      <c r="M94" s="2">
        <f>Year_2025!AI94+Year_2025!BF94</f>
        <v>1241.28</v>
      </c>
      <c r="N94" s="2">
        <f>Year_2025!AJ94+Year_2025!BG94</f>
        <v>4014.82</v>
      </c>
      <c r="O94" s="2">
        <f>Year_2025!AK94+Year_2025!BH94</f>
        <v>1387.54</v>
      </c>
      <c r="P94" s="2">
        <f>Year_2025!AL94+Year_2025!BI94</f>
        <v>653.14</v>
      </c>
      <c r="Q94" s="2">
        <f>Year_2025!AM94+Year_2025!BJ94</f>
        <v>1857.74</v>
      </c>
      <c r="R94" s="2">
        <f>Year_2025!AN94+Year_2025!BK94</f>
        <v>2198.3000000000002</v>
      </c>
      <c r="S94" s="2">
        <f>Year_2025!AO94+Year_2025!BL94</f>
        <v>3984.6</v>
      </c>
      <c r="T94" s="2">
        <f>Year_2025!AP94+Year_2025!BM94</f>
        <v>3575.16</v>
      </c>
      <c r="U94" s="2">
        <f>Year_2025!AQ94+Year_2025!BN94</f>
        <v>4632.38</v>
      </c>
      <c r="V94" s="2">
        <f>Year_2025!AR94+Year_2025!BO94</f>
        <v>3245.58</v>
      </c>
    </row>
    <row r="95" spans="2:22" x14ac:dyDescent="0.3">
      <c r="B95" s="1" t="s">
        <v>23</v>
      </c>
      <c r="C95" s="2">
        <f>Year_2025!Y95+Year_2025!AV95</f>
        <v>9093.0400000000009</v>
      </c>
      <c r="D95" s="2">
        <f>Year_2025!Z95+Year_2025!AW95</f>
        <v>13237.9</v>
      </c>
      <c r="E95" s="2">
        <f>Year_2025!AA95+Year_2025!AX95</f>
        <v>9227.36</v>
      </c>
      <c r="F95" s="2">
        <f>Year_2025!AB95+Year_2025!AY95</f>
        <v>2375.3000000000002</v>
      </c>
      <c r="G95" s="2">
        <f>Year_2025!AC95+Year_2025!AZ95</f>
        <v>9353.24</v>
      </c>
      <c r="H95" s="2">
        <f>Year_2025!AD95+Year_2025!BA95</f>
        <v>12233.2</v>
      </c>
      <c r="I95" s="2">
        <f>Year_2025!AE95+Year_2025!BB95</f>
        <v>26000.52</v>
      </c>
      <c r="J95" s="2">
        <f>Year_2025!AF95+Year_2025!BC95</f>
        <v>24781.42</v>
      </c>
      <c r="K95" s="2">
        <f>Year_2025!AG95+Year_2025!BD95</f>
        <v>26874.5</v>
      </c>
      <c r="L95" s="2">
        <f>Year_2025!AH95+Year_2025!BE95</f>
        <v>13492.22</v>
      </c>
      <c r="M95" s="2">
        <f>Year_2025!AI95+Year_2025!BF95</f>
        <v>2636.92</v>
      </c>
      <c r="N95" s="2">
        <f>Year_2025!AJ95+Year_2025!BG95</f>
        <v>11550.96</v>
      </c>
      <c r="O95" s="2">
        <f>Year_2025!AK95+Year_2025!BH95</f>
        <v>882.54</v>
      </c>
      <c r="P95" s="2">
        <f>Year_2025!AL95+Year_2025!BI95</f>
        <v>4456.9799999999996</v>
      </c>
      <c r="Q95" s="2">
        <f>Year_2025!AM95+Year_2025!BJ95</f>
        <v>6171.24</v>
      </c>
      <c r="R95" s="2">
        <f>Year_2025!AN95+Year_2025!BK95</f>
        <v>6852.82</v>
      </c>
      <c r="S95" s="2">
        <f>Year_2025!AO95+Year_2025!BL95</f>
        <v>12084.18</v>
      </c>
      <c r="T95" s="2">
        <f>Year_2025!AP95+Year_2025!BM95</f>
        <v>9900.58</v>
      </c>
      <c r="U95" s="2">
        <f>Year_2025!AQ95+Year_2025!BN95</f>
        <v>13106.4</v>
      </c>
      <c r="V95" s="2">
        <f>Year_2025!AR95+Year_2025!BO95</f>
        <v>9531.3799999999992</v>
      </c>
    </row>
    <row r="96" spans="2:22" x14ac:dyDescent="0.3">
      <c r="B96" s="1" t="s">
        <v>24</v>
      </c>
      <c r="C96" s="2">
        <f>Year_2025!Y96+Year_2025!AV96</f>
        <v>2479.34</v>
      </c>
      <c r="D96" s="2">
        <f>Year_2025!Z96+Year_2025!AW96</f>
        <v>4271.62</v>
      </c>
      <c r="E96" s="2">
        <f>Year_2025!AA96+Year_2025!AX96</f>
        <v>2778.78</v>
      </c>
      <c r="F96" s="2">
        <f>Year_2025!AB96+Year_2025!AY96</f>
        <v>832.12</v>
      </c>
      <c r="G96" s="2">
        <f>Year_2025!AC96+Year_2025!AZ96</f>
        <v>2678.8</v>
      </c>
      <c r="H96" s="2">
        <f>Year_2025!AD96+Year_2025!BA96</f>
        <v>3298.12</v>
      </c>
      <c r="I96" s="2">
        <f>Year_2025!AE96+Year_2025!BB96</f>
        <v>5995.54</v>
      </c>
      <c r="J96" s="2">
        <f>Year_2025!AF96+Year_2025!BC96</f>
        <v>4683</v>
      </c>
      <c r="K96" s="2">
        <f>Year_2025!AG96+Year_2025!BD96</f>
        <v>5167.46</v>
      </c>
      <c r="L96" s="2">
        <f>Year_2025!AH96+Year_2025!BE96</f>
        <v>3703</v>
      </c>
      <c r="M96" s="2">
        <f>Year_2025!AI96+Year_2025!BF96</f>
        <v>1065.54</v>
      </c>
      <c r="N96" s="2">
        <f>Year_2025!AJ96+Year_2025!BG96</f>
        <v>4011.34</v>
      </c>
      <c r="O96" s="2">
        <f>Year_2025!AK96+Year_2025!BH96</f>
        <v>1042.44</v>
      </c>
      <c r="P96" s="2">
        <f>Year_2025!AL96+Year_2025!BI96</f>
        <v>1040.68</v>
      </c>
      <c r="Q96" s="2">
        <f>Year_2025!AM96+Year_2025!BJ96</f>
        <v>2112.64</v>
      </c>
      <c r="R96" s="2">
        <f>Year_2025!AN96+Year_2025!BK96</f>
        <v>2325.16</v>
      </c>
      <c r="S96" s="2">
        <f>Year_2025!AO96+Year_2025!BL96</f>
        <v>3948.84</v>
      </c>
      <c r="T96" s="2">
        <f>Year_2025!AP96+Year_2025!BM96</f>
        <v>3224.74</v>
      </c>
      <c r="U96" s="2">
        <f>Year_2025!AQ96+Year_2025!BN96</f>
        <v>4002.08</v>
      </c>
      <c r="V96" s="2">
        <f>Year_2025!AR96+Year_2025!BO96</f>
        <v>3239.76</v>
      </c>
    </row>
    <row r="97" spans="2:22" x14ac:dyDescent="0.3">
      <c r="B97" s="1" t="s">
        <v>25</v>
      </c>
      <c r="C97" s="2">
        <f>Year_2025!Y97+Year_2025!AV97</f>
        <v>8095.32</v>
      </c>
      <c r="D97" s="2">
        <f>Year_2025!Z97+Year_2025!AW97</f>
        <v>23851.56</v>
      </c>
      <c r="E97" s="2">
        <f>Year_2025!AA97+Year_2025!AX97</f>
        <v>11107.76</v>
      </c>
      <c r="F97" s="2">
        <f>Year_2025!AB97+Year_2025!AY97</f>
        <v>2851.4</v>
      </c>
      <c r="G97" s="2">
        <f>Year_2025!AC97+Year_2025!AZ97</f>
        <v>11352.28</v>
      </c>
      <c r="H97" s="2">
        <f>Year_2025!AD97+Year_2025!BA97</f>
        <v>15035.16</v>
      </c>
      <c r="I97" s="2">
        <f>Year_2025!AE97+Year_2025!BB97</f>
        <v>25428.84</v>
      </c>
      <c r="J97" s="2">
        <f>Year_2025!AF97+Year_2025!BC97</f>
        <v>18895.34</v>
      </c>
      <c r="K97" s="2">
        <f>Year_2025!AG97+Year_2025!BD97</f>
        <v>23126.78</v>
      </c>
      <c r="L97" s="2">
        <f>Year_2025!AH97+Year_2025!BE97</f>
        <v>18923.02</v>
      </c>
      <c r="M97" s="2">
        <f>Year_2025!AI97+Year_2025!BF97</f>
        <v>9025.64</v>
      </c>
      <c r="N97" s="2">
        <f>Year_2025!AJ97+Year_2025!BG97</f>
        <v>27464.66</v>
      </c>
      <c r="O97" s="2">
        <f>Year_2025!AK97+Year_2025!BH97</f>
        <v>11477.8</v>
      </c>
      <c r="P97" s="2">
        <f>Year_2025!AL97+Year_2025!BI97</f>
        <v>3879.8</v>
      </c>
      <c r="Q97" s="2">
        <f>Year_2025!AM97+Year_2025!BJ97</f>
        <v>11523.08</v>
      </c>
      <c r="R97" s="2">
        <f>Year_2025!AN97+Year_2025!BK97</f>
        <v>15453.46</v>
      </c>
      <c r="S97" s="2">
        <f>Year_2025!AO97+Year_2025!BL97</f>
        <v>26078.880000000001</v>
      </c>
      <c r="T97" s="2">
        <f>Year_2025!AP97+Year_2025!BM97</f>
        <v>20381.8</v>
      </c>
      <c r="U97" s="2">
        <f>Year_2025!AQ97+Year_2025!BN97</f>
        <v>22788.84</v>
      </c>
      <c r="V97" s="2">
        <f>Year_2025!AR97+Year_2025!BO97</f>
        <v>19472.02</v>
      </c>
    </row>
    <row r="98" spans="2:22" x14ac:dyDescent="0.3">
      <c r="B98" s="1" t="s">
        <v>26</v>
      </c>
      <c r="C98" s="2">
        <f>Year_2025!Y98+Year_2025!AV98</f>
        <v>2499.66</v>
      </c>
      <c r="D98" s="2">
        <f>Year_2025!Z98+Year_2025!AW98</f>
        <v>6544.14</v>
      </c>
      <c r="E98" s="2">
        <f>Year_2025!AA98+Year_2025!AX98</f>
        <v>3341.22</v>
      </c>
      <c r="F98" s="2">
        <f>Year_2025!AB98+Year_2025!AY98</f>
        <v>888.02</v>
      </c>
      <c r="G98" s="2">
        <f>Year_2025!AC98+Year_2025!AZ98</f>
        <v>2845.74</v>
      </c>
      <c r="H98" s="2">
        <f>Year_2025!AD98+Year_2025!BA98</f>
        <v>3399.02</v>
      </c>
      <c r="I98" s="2">
        <f>Year_2025!AE98+Year_2025!BB98</f>
        <v>6384.04</v>
      </c>
      <c r="J98" s="2">
        <f>Year_2025!AF98+Year_2025!BC98</f>
        <v>5080.3999999999996</v>
      </c>
      <c r="K98" s="2">
        <f>Year_2025!AG98+Year_2025!BD98</f>
        <v>6525.7</v>
      </c>
      <c r="L98" s="2">
        <f>Year_2025!AH98+Year_2025!BE98</f>
        <v>5475.34</v>
      </c>
      <c r="M98" s="2">
        <f>Year_2025!AI98+Year_2025!BF98</f>
        <v>2661.64</v>
      </c>
      <c r="N98" s="2">
        <f>Year_2025!AJ98+Year_2025!BG98</f>
        <v>6719.36</v>
      </c>
      <c r="O98" s="2">
        <f>Year_2025!AK98+Year_2025!BH98</f>
        <v>3970.78</v>
      </c>
      <c r="P98" s="2">
        <f>Year_2025!AL98+Year_2025!BI98</f>
        <v>1067.9000000000001</v>
      </c>
      <c r="Q98" s="2">
        <f>Year_2025!AM98+Year_2025!BJ98</f>
        <v>2811.4</v>
      </c>
      <c r="R98" s="2">
        <f>Year_2025!AN98+Year_2025!BK98</f>
        <v>5066.1400000000003</v>
      </c>
      <c r="S98" s="2">
        <f>Year_2025!AO98+Year_2025!BL98</f>
        <v>8549.66</v>
      </c>
      <c r="T98" s="2">
        <f>Year_2025!AP98+Year_2025!BM98</f>
        <v>6446.86</v>
      </c>
      <c r="U98" s="2">
        <f>Year_2025!AQ98+Year_2025!BN98</f>
        <v>8097.48</v>
      </c>
      <c r="V98" s="2">
        <f>Year_2025!AR98+Year_2025!BO98</f>
        <v>7267.26</v>
      </c>
    </row>
    <row r="99" spans="2:22" x14ac:dyDescent="0.3">
      <c r="B99" s="1" t="s">
        <v>27</v>
      </c>
      <c r="C99" s="2">
        <f>Year_2025!Y99+Year_2025!AV99</f>
        <v>9249.2000000000007</v>
      </c>
      <c r="D99" s="2">
        <f>Year_2025!Z99+Year_2025!AW99</f>
        <v>20853.3</v>
      </c>
      <c r="E99" s="2">
        <f>Year_2025!AA99+Year_2025!AX99</f>
        <v>9468.7999999999993</v>
      </c>
      <c r="F99" s="2">
        <f>Year_2025!AB99+Year_2025!AY99</f>
        <v>2965.42</v>
      </c>
      <c r="G99" s="2">
        <f>Year_2025!AC99+Year_2025!AZ99</f>
        <v>9682.2199999999993</v>
      </c>
      <c r="H99" s="2">
        <f>Year_2025!AD99+Year_2025!BA99</f>
        <v>11047.72</v>
      </c>
      <c r="I99" s="2">
        <f>Year_2025!AE99+Year_2025!BB99</f>
        <v>20388.32</v>
      </c>
      <c r="J99" s="2">
        <f>Year_2025!AF99+Year_2025!BC99</f>
        <v>16393.259999999998</v>
      </c>
      <c r="K99" s="2">
        <f>Year_2025!AG99+Year_2025!BD99</f>
        <v>21896.12</v>
      </c>
      <c r="L99" s="2">
        <f>Year_2025!AH99+Year_2025!BE99</f>
        <v>17032.78</v>
      </c>
      <c r="M99" s="2">
        <f>Year_2025!AI99+Year_2025!BF99</f>
        <v>11422.5</v>
      </c>
      <c r="N99" s="2">
        <f>Year_2025!AJ99+Year_2025!BG99</f>
        <v>21013.7</v>
      </c>
      <c r="O99" s="2">
        <f>Year_2025!AK99+Year_2025!BH99</f>
        <v>11306.78</v>
      </c>
      <c r="P99" s="2">
        <f>Year_2025!AL99+Year_2025!BI99</f>
        <v>3764.98</v>
      </c>
      <c r="Q99" s="2">
        <f>Year_2025!AM99+Year_2025!BJ99</f>
        <v>13513.78</v>
      </c>
      <c r="R99" s="2">
        <f>Year_2025!AN99+Year_2025!BK99</f>
        <v>16995.599999999999</v>
      </c>
      <c r="S99" s="2">
        <f>Year_2025!AO99+Year_2025!BL99</f>
        <v>28703.34</v>
      </c>
      <c r="T99" s="2">
        <f>Year_2025!AP99+Year_2025!BM99</f>
        <v>21122.76</v>
      </c>
      <c r="U99" s="2">
        <f>Year_2025!AQ99+Year_2025!BN99</f>
        <v>23733.02</v>
      </c>
      <c r="V99" s="2">
        <f>Year_2025!AR99+Year_2025!BO99</f>
        <v>18245.52</v>
      </c>
    </row>
    <row r="100" spans="2:22" x14ac:dyDescent="0.3">
      <c r="B100" s="1" t="s">
        <v>28</v>
      </c>
      <c r="C100" s="2">
        <f>Year_2025!Y100+Year_2025!AV100</f>
        <v>4338.0200000000004</v>
      </c>
      <c r="D100" s="2">
        <f>Year_2025!Z100+Year_2025!AW100</f>
        <v>10997.1</v>
      </c>
      <c r="E100" s="2">
        <f>Year_2025!AA100+Year_2025!AX100</f>
        <v>1026.28</v>
      </c>
      <c r="F100" s="2">
        <f>Year_2025!AB100+Year_2025!AY100</f>
        <v>252.22</v>
      </c>
      <c r="G100" s="2">
        <f>Year_2025!AC100+Year_2025!AZ100</f>
        <v>901.06</v>
      </c>
      <c r="H100" s="2">
        <f>Year_2025!AD100+Year_2025!BA100</f>
        <v>5512.3</v>
      </c>
      <c r="I100" s="2">
        <f>Year_2025!AE100+Year_2025!BB100</f>
        <v>9796.7199999999993</v>
      </c>
      <c r="J100" s="2">
        <f>Year_2025!AF100+Year_2025!BC100</f>
        <v>7702.72</v>
      </c>
      <c r="K100" s="2">
        <f>Year_2025!AG100+Year_2025!BD100</f>
        <v>9737.26</v>
      </c>
      <c r="L100" s="2">
        <f>Year_2025!AH100+Year_2025!BE100</f>
        <v>8302.06</v>
      </c>
      <c r="M100" s="2">
        <f>Year_2025!AI100+Year_2025!BF100</f>
        <v>5657.1</v>
      </c>
      <c r="N100" s="2">
        <f>Year_2025!AJ100+Year_2025!BG100</f>
        <v>11310.46</v>
      </c>
      <c r="O100" s="2">
        <f>Year_2025!AK100+Year_2025!BH100</f>
        <v>1088.9000000000001</v>
      </c>
      <c r="P100" s="2">
        <f>Year_2025!AL100+Year_2025!BI100</f>
        <v>1321.38</v>
      </c>
      <c r="Q100" s="2">
        <f>Year_2025!AM100+Year_2025!BJ100</f>
        <v>7018.54</v>
      </c>
      <c r="R100" s="2">
        <f>Year_2025!AN100+Year_2025!BK100</f>
        <v>8562.56</v>
      </c>
      <c r="S100" s="2">
        <f>Year_2025!AO100+Year_2025!BL100</f>
        <v>15418.4</v>
      </c>
      <c r="T100" s="2">
        <f>Year_2025!AP100+Year_2025!BM100</f>
        <v>10774.28</v>
      </c>
      <c r="U100" s="2">
        <f>Year_2025!AQ100+Year_2025!BN100</f>
        <v>10860.96</v>
      </c>
      <c r="V100" s="2">
        <f>Year_2025!AR100+Year_2025!BO100</f>
        <v>8402.7199999999993</v>
      </c>
    </row>
    <row r="103" spans="2:22" x14ac:dyDescent="0.3">
      <c r="B103" t="s">
        <v>55</v>
      </c>
    </row>
    <row r="104" spans="2:22" x14ac:dyDescent="0.3">
      <c r="B104" s="1" t="s">
        <v>16</v>
      </c>
      <c r="C104" s="1" t="s">
        <v>17</v>
      </c>
      <c r="D104" s="1" t="s">
        <v>18</v>
      </c>
      <c r="E104" s="1" t="s">
        <v>17</v>
      </c>
      <c r="F104" s="1" t="s">
        <v>18</v>
      </c>
      <c r="G104" s="1" t="s">
        <v>17</v>
      </c>
      <c r="H104" s="1" t="s">
        <v>18</v>
      </c>
      <c r="I104" s="1" t="s">
        <v>17</v>
      </c>
      <c r="J104" s="1" t="s">
        <v>18</v>
      </c>
      <c r="K104" s="1" t="s">
        <v>17</v>
      </c>
      <c r="L104" s="1" t="s">
        <v>18</v>
      </c>
      <c r="M104" s="1" t="s">
        <v>17</v>
      </c>
      <c r="N104" s="1" t="s">
        <v>18</v>
      </c>
      <c r="O104" s="1" t="s">
        <v>17</v>
      </c>
      <c r="P104" s="1" t="s">
        <v>18</v>
      </c>
      <c r="Q104" s="1" t="s">
        <v>17</v>
      </c>
      <c r="R104" s="1" t="s">
        <v>18</v>
      </c>
      <c r="S104" s="1" t="s">
        <v>17</v>
      </c>
      <c r="T104" s="1" t="s">
        <v>18</v>
      </c>
      <c r="U104" s="1" t="s">
        <v>17</v>
      </c>
      <c r="V104" s="1" t="s">
        <v>18</v>
      </c>
    </row>
    <row r="105" spans="2:22" x14ac:dyDescent="0.3">
      <c r="B105" s="1" t="s">
        <v>19</v>
      </c>
      <c r="C105" s="1" t="s">
        <v>1</v>
      </c>
      <c r="D105" s="1" t="s">
        <v>1</v>
      </c>
      <c r="E105" s="1" t="s">
        <v>2</v>
      </c>
      <c r="F105" s="1" t="s">
        <v>2</v>
      </c>
      <c r="G105" s="1" t="s">
        <v>3</v>
      </c>
      <c r="H105" s="1" t="s">
        <v>3</v>
      </c>
      <c r="I105" s="1" t="s">
        <v>4</v>
      </c>
      <c r="J105" s="1" t="s">
        <v>4</v>
      </c>
      <c r="K105" s="1" t="s">
        <v>5</v>
      </c>
      <c r="L105" s="1" t="s">
        <v>5</v>
      </c>
      <c r="M105" s="1" t="s">
        <v>6</v>
      </c>
      <c r="N105" s="1" t="s">
        <v>6</v>
      </c>
      <c r="O105" s="1" t="s">
        <v>7</v>
      </c>
      <c r="P105" s="1" t="s">
        <v>7</v>
      </c>
      <c r="Q105" s="1" t="s">
        <v>8</v>
      </c>
      <c r="R105" s="1" t="s">
        <v>8</v>
      </c>
      <c r="S105" s="1" t="s">
        <v>9</v>
      </c>
      <c r="T105" s="1" t="s">
        <v>9</v>
      </c>
      <c r="U105" s="1" t="s">
        <v>10</v>
      </c>
      <c r="V105" s="1" t="s">
        <v>10</v>
      </c>
    </row>
    <row r="106" spans="2:22" x14ac:dyDescent="0.3">
      <c r="B106" s="1" t="s">
        <v>20</v>
      </c>
    </row>
    <row r="107" spans="2:22" x14ac:dyDescent="0.3">
      <c r="B107" s="1" t="s">
        <v>21</v>
      </c>
      <c r="C107" s="2">
        <f>Year_2025!Y107+Year_2025!AV107</f>
        <v>9290.0499999999993</v>
      </c>
      <c r="D107" s="2">
        <f>Year_2025!Z107+Year_2025!AW107</f>
        <v>9024.0500000000011</v>
      </c>
      <c r="E107" s="2">
        <f>Year_2025!AA107+Year_2025!AX107</f>
        <v>8715</v>
      </c>
      <c r="F107" s="2">
        <f>Year_2025!AB107+Year_2025!AY107</f>
        <v>7903</v>
      </c>
      <c r="G107" s="2">
        <f>Year_2025!AC107+Year_2025!AZ107</f>
        <v>6538</v>
      </c>
      <c r="H107" s="2">
        <f>Year_2025!AD107+Year_2025!BA107</f>
        <v>8312.5</v>
      </c>
      <c r="I107" s="2">
        <f>Year_2025!AE107+Year_2025!BB107</f>
        <v>8711.5</v>
      </c>
      <c r="J107" s="2">
        <f>Year_2025!AF107+Year_2025!BC107</f>
        <v>8288</v>
      </c>
      <c r="K107" s="2">
        <f>Year_2025!AG107+Year_2025!BD107</f>
        <v>10136</v>
      </c>
      <c r="L107" s="2">
        <f>Year_2025!AH107+Year_2025!BE107</f>
        <v>8358</v>
      </c>
      <c r="M107" s="2">
        <f>Year_2025!AI107+Year_2025!BF107</f>
        <v>10409</v>
      </c>
      <c r="N107" s="2">
        <f>Year_2025!AJ107+Year_2025!BG107</f>
        <v>8309</v>
      </c>
      <c r="O107" s="2">
        <f>Year_2025!AK107+Year_2025!BH107</f>
        <v>9884</v>
      </c>
      <c r="P107" s="2">
        <f>Year_2025!AL107+Year_2025!BI107</f>
        <v>7805</v>
      </c>
      <c r="Q107" s="2">
        <f>Year_2025!AM107+Year_2025!BJ107</f>
        <v>9597</v>
      </c>
      <c r="R107" s="2">
        <f>Year_2025!AN107+Year_2025!BK107</f>
        <v>8414</v>
      </c>
      <c r="S107" s="2">
        <f>Year_2025!AO107+Year_2025!BL107</f>
        <v>8470</v>
      </c>
      <c r="T107" s="2">
        <f>Year_2025!AP107+Year_2025!BM107</f>
        <v>5236</v>
      </c>
      <c r="U107" s="2">
        <f>Year_2025!AQ107+Year_2025!BN107</f>
        <v>7861</v>
      </c>
      <c r="V107" s="2">
        <f>Year_2025!AR107+Year_2025!BO107</f>
        <v>5089</v>
      </c>
    </row>
    <row r="108" spans="2:22" x14ac:dyDescent="0.3">
      <c r="B108" s="1" t="s">
        <v>22</v>
      </c>
      <c r="C108" s="2">
        <f>Year_2025!Y108+Year_2025!AV108</f>
        <v>5014.0999999999995</v>
      </c>
      <c r="D108" s="2">
        <f>Year_2025!Z108+Year_2025!AW108</f>
        <v>2888</v>
      </c>
      <c r="E108" s="2">
        <f>Year_2025!AA108+Year_2025!AX108</f>
        <v>5035</v>
      </c>
      <c r="F108" s="2">
        <f>Year_2025!AB108+Year_2025!AY108</f>
        <v>3036.2000000000003</v>
      </c>
      <c r="G108" s="2">
        <f>Year_2025!AC108+Year_2025!AZ108</f>
        <v>3152</v>
      </c>
      <c r="H108" s="2">
        <f>Year_2025!AD108+Year_2025!BA108</f>
        <v>3713.55</v>
      </c>
      <c r="I108" s="2">
        <f>Year_2025!AE108+Year_2025!BB108</f>
        <v>5512.85</v>
      </c>
      <c r="J108" s="2">
        <f>Year_2025!AF108+Year_2025!BC108</f>
        <v>3305</v>
      </c>
      <c r="K108" s="2">
        <f>Year_2025!AG108+Year_2025!BD108</f>
        <v>5559.4000000000005</v>
      </c>
      <c r="L108" s="2">
        <f>Year_2025!AH108+Year_2025!BE108</f>
        <v>3330</v>
      </c>
      <c r="M108" s="2">
        <f>Year_2025!AI108+Year_2025!BF108</f>
        <v>5415.95</v>
      </c>
      <c r="N108" s="2">
        <f>Year_2025!AJ108+Year_2025!BG108</f>
        <v>3361</v>
      </c>
      <c r="O108" s="2">
        <f>Year_2025!AK108+Year_2025!BH108</f>
        <v>4484</v>
      </c>
      <c r="P108" s="2">
        <f>Year_2025!AL108+Year_2025!BI108</f>
        <v>3743</v>
      </c>
      <c r="Q108" s="2">
        <f>Year_2025!AM108+Year_2025!BJ108</f>
        <v>4247.34</v>
      </c>
      <c r="R108" s="2">
        <f>Year_2025!AN108+Year_2025!BK108</f>
        <v>3706.9</v>
      </c>
      <c r="S108" s="2">
        <f>Year_2025!AO108+Year_2025!BL108</f>
        <v>4206.79</v>
      </c>
      <c r="T108" s="2">
        <f>Year_2025!AP108+Year_2025!BM108</f>
        <v>2892.71</v>
      </c>
      <c r="U108" s="2">
        <f>Year_2025!AQ108+Year_2025!BN108</f>
        <v>4787.05</v>
      </c>
      <c r="V108" s="2">
        <f>Year_2025!AR108+Year_2025!BO108</f>
        <v>2707.5</v>
      </c>
    </row>
    <row r="109" spans="2:22" x14ac:dyDescent="0.3">
      <c r="B109" s="1" t="s">
        <v>23</v>
      </c>
      <c r="C109" s="2">
        <f>Year_2025!Y109+Year_2025!AV109</f>
        <v>17255.7</v>
      </c>
      <c r="D109" s="2">
        <f>Year_2025!Z109+Year_2025!AW109</f>
        <v>7042.3499999999995</v>
      </c>
      <c r="E109" s="2">
        <f>Year_2025!AA109+Year_2025!AX109</f>
        <v>20808.900000000001</v>
      </c>
      <c r="F109" s="2">
        <f>Year_2025!AB109+Year_2025!AY109</f>
        <v>6788.7</v>
      </c>
      <c r="G109" s="2">
        <f>Year_2025!AC109+Year_2025!AZ109</f>
        <v>11897.55</v>
      </c>
      <c r="H109" s="2">
        <f>Year_2025!AD109+Year_2025!BA109</f>
        <v>18402.3</v>
      </c>
      <c r="I109" s="2">
        <f>Year_2025!AE109+Year_2025!BB109</f>
        <v>16869.490000000002</v>
      </c>
      <c r="J109" s="2">
        <f>Year_2025!AF109+Year_2025!BC109</f>
        <v>11010.130000000001</v>
      </c>
      <c r="K109" s="2">
        <f>Year_2025!AG109+Year_2025!BD109</f>
        <v>17581.509999999998</v>
      </c>
      <c r="L109" s="2">
        <f>Year_2025!AH109+Year_2025!BE109</f>
        <v>10399.290000000001</v>
      </c>
      <c r="M109" s="2">
        <f>Year_2025!AI109+Year_2025!BF109</f>
        <v>18807.61</v>
      </c>
      <c r="N109" s="2">
        <f>Year_2025!AJ109+Year_2025!BG109</f>
        <v>10220.470000000001</v>
      </c>
      <c r="O109" s="2">
        <f>Year_2025!AK109+Year_2025!BH109</f>
        <v>18242.07</v>
      </c>
      <c r="P109" s="2">
        <f>Year_2025!AL109+Year_2025!BI109</f>
        <v>10376.48</v>
      </c>
      <c r="Q109" s="2">
        <f>Year_2025!AM109+Year_2025!BJ109</f>
        <v>16380</v>
      </c>
      <c r="R109" s="2">
        <f>Year_2025!AN109+Year_2025!BK109</f>
        <v>10505.66</v>
      </c>
      <c r="S109" s="2">
        <f>Year_2025!AO109+Year_2025!BL109</f>
        <v>12110.55</v>
      </c>
      <c r="T109" s="2">
        <f>Year_2025!AP109+Year_2025!BM109</f>
        <v>8506.23</v>
      </c>
      <c r="U109" s="2">
        <f>Year_2025!AQ109+Year_2025!BN109</f>
        <v>8943.6</v>
      </c>
      <c r="V109" s="2">
        <f>Year_2025!AR109+Year_2025!BO109</f>
        <v>7789.16</v>
      </c>
    </row>
    <row r="110" spans="2:22" x14ac:dyDescent="0.3">
      <c r="B110" s="1" t="s">
        <v>24</v>
      </c>
      <c r="C110" s="2">
        <f>Year_2025!Y110+Year_2025!AV110</f>
        <v>5288.59</v>
      </c>
      <c r="D110" s="2">
        <f>Year_2025!Z110+Year_2025!AW110</f>
        <v>2476.63</v>
      </c>
      <c r="E110" s="2">
        <f>Year_2025!AA110+Year_2025!AX110</f>
        <v>6138.8</v>
      </c>
      <c r="F110" s="2">
        <f>Year_2025!AB110+Year_2025!AY110</f>
        <v>2662.85</v>
      </c>
      <c r="G110" s="2">
        <f>Year_2025!AC110+Year_2025!AZ110</f>
        <v>4346.5999999999995</v>
      </c>
      <c r="H110" s="2">
        <f>Year_2025!AD110+Year_2025!BA110</f>
        <v>5805.68</v>
      </c>
      <c r="I110" s="2">
        <f>Year_2025!AE110+Year_2025!BB110</f>
        <v>4790.63</v>
      </c>
      <c r="J110" s="2">
        <f>Year_2025!AF110+Year_2025!BC110</f>
        <v>3760.7300000000005</v>
      </c>
      <c r="K110" s="2">
        <f>Year_2025!AG110+Year_2025!BD110</f>
        <v>5029.46</v>
      </c>
      <c r="L110" s="2">
        <f>Year_2025!AH110+Year_2025!BE110</f>
        <v>3522.15</v>
      </c>
      <c r="M110" s="2">
        <f>Year_2025!AI110+Year_2025!BF110</f>
        <v>5125.71</v>
      </c>
      <c r="N110" s="2">
        <f>Year_2025!AJ110+Year_2025!BG110</f>
        <v>3327.6400000000003</v>
      </c>
      <c r="O110" s="2">
        <f>Year_2025!AK110+Year_2025!BH110</f>
        <v>4946.2</v>
      </c>
      <c r="P110" s="2">
        <f>Year_2025!AL110+Year_2025!BI110</f>
        <v>3370.0200000000004</v>
      </c>
      <c r="Q110" s="2">
        <f>Year_2025!AM110+Year_2025!BJ110</f>
        <v>4146.82</v>
      </c>
      <c r="R110" s="2">
        <f>Year_2025!AN110+Year_2025!BK110</f>
        <v>3194.56</v>
      </c>
      <c r="S110" s="2">
        <f>Year_2025!AO110+Year_2025!BL110</f>
        <v>3303.7599999999998</v>
      </c>
      <c r="T110" s="2">
        <f>Year_2025!AP110+Year_2025!BM110</f>
        <v>2884.75</v>
      </c>
      <c r="U110" s="2">
        <f>Year_2025!AQ110+Year_2025!BN110</f>
        <v>2877.19</v>
      </c>
      <c r="V110" s="2">
        <f>Year_2025!AR110+Year_2025!BO110</f>
        <v>2699.73</v>
      </c>
    </row>
    <row r="111" spans="2:22" x14ac:dyDescent="0.3">
      <c r="B111" s="1" t="s">
        <v>25</v>
      </c>
      <c r="C111" s="2">
        <f>Year_2025!Y111+Year_2025!AV111</f>
        <v>18670</v>
      </c>
      <c r="D111" s="2">
        <f>Year_2025!Z111+Year_2025!AW111</f>
        <v>20805</v>
      </c>
      <c r="E111" s="2">
        <f>Year_2025!AA111+Year_2025!AX111</f>
        <v>24145</v>
      </c>
      <c r="F111" s="2">
        <f>Year_2025!AB111+Year_2025!AY111</f>
        <v>24947</v>
      </c>
      <c r="G111" s="2">
        <f>Year_2025!AC111+Year_2025!AZ111</f>
        <v>16035</v>
      </c>
      <c r="H111" s="2">
        <f>Year_2025!AD111+Year_2025!BA111</f>
        <v>21864.14</v>
      </c>
      <c r="I111" s="2">
        <f>Year_2025!AE111+Year_2025!BB111</f>
        <v>20026</v>
      </c>
      <c r="J111" s="2">
        <f>Year_2025!AF111+Year_2025!BC111</f>
        <v>20325</v>
      </c>
      <c r="K111" s="2">
        <f>Year_2025!AG111+Year_2025!BD111</f>
        <v>22613.68</v>
      </c>
      <c r="L111" s="2">
        <f>Year_2025!AH111+Year_2025!BE111</f>
        <v>23250</v>
      </c>
      <c r="M111" s="2">
        <f>Year_2025!AI111+Year_2025!BF111</f>
        <v>21307.59</v>
      </c>
      <c r="N111" s="2">
        <f>Year_2025!AJ111+Year_2025!BG111</f>
        <v>21859.5</v>
      </c>
      <c r="O111" s="2">
        <f>Year_2025!AK111+Year_2025!BH111</f>
        <v>19591.32</v>
      </c>
      <c r="P111" s="2">
        <f>Year_2025!AL111+Year_2025!BI111</f>
        <v>21156.5</v>
      </c>
      <c r="Q111" s="2">
        <f>Year_2025!AM111+Year_2025!BJ111</f>
        <v>18306.940000000002</v>
      </c>
      <c r="R111" s="2">
        <f>Year_2025!AN111+Year_2025!BK111</f>
        <v>18033.18</v>
      </c>
      <c r="S111" s="2">
        <f>Year_2025!AO111+Year_2025!BL111</f>
        <v>16710</v>
      </c>
      <c r="T111" s="2">
        <f>Year_2025!AP111+Year_2025!BM111</f>
        <v>17199.75</v>
      </c>
      <c r="U111" s="2">
        <f>Year_2025!AQ111+Year_2025!BN111</f>
        <v>15922</v>
      </c>
      <c r="V111" s="2">
        <f>Year_2025!AR111+Year_2025!BO111</f>
        <v>18401.5</v>
      </c>
    </row>
    <row r="112" spans="2:22" x14ac:dyDescent="0.3">
      <c r="B112" s="1" t="s">
        <v>26</v>
      </c>
      <c r="C112" s="2">
        <f>Year_2025!Y112+Year_2025!AV112</f>
        <v>4751.8900000000003</v>
      </c>
      <c r="D112" s="2">
        <f>Year_2025!Z112+Year_2025!AW112</f>
        <v>5065.68</v>
      </c>
      <c r="E112" s="2">
        <f>Year_2025!AA112+Year_2025!AX112</f>
        <v>5993.15</v>
      </c>
      <c r="F112" s="2">
        <f>Year_2025!AB112+Year_2025!AY112</f>
        <v>7205.89</v>
      </c>
      <c r="G112" s="2">
        <f>Year_2025!AC112+Year_2025!AZ112</f>
        <v>4103.04</v>
      </c>
      <c r="H112" s="2">
        <f>Year_2025!AD112+Year_2025!BA112</f>
        <v>4940.42</v>
      </c>
      <c r="I112" s="2">
        <f>Year_2025!AE112+Year_2025!BB112</f>
        <v>4119.54</v>
      </c>
      <c r="J112" s="2">
        <f>Year_2025!AF112+Year_2025!BC112</f>
        <v>4083.48</v>
      </c>
      <c r="K112" s="2">
        <f>Year_2025!AG112+Year_2025!BD112</f>
        <v>4190.84</v>
      </c>
      <c r="L112" s="2">
        <f>Year_2025!AH112+Year_2025!BE112</f>
        <v>6357.93</v>
      </c>
      <c r="M112" s="2">
        <f>Year_2025!AI112+Year_2025!BF112</f>
        <v>4403.72</v>
      </c>
      <c r="N112" s="2">
        <f>Year_2025!AJ112+Year_2025!BG112</f>
        <v>6004.92</v>
      </c>
      <c r="O112" s="2">
        <f>Year_2025!AK112+Year_2025!BH112</f>
        <v>4336.78</v>
      </c>
      <c r="P112" s="2">
        <f>Year_2025!AL112+Year_2025!BI112</f>
        <v>5550.45</v>
      </c>
      <c r="Q112" s="2">
        <f>Year_2025!AM112+Year_2025!BJ112</f>
        <v>4262.32</v>
      </c>
      <c r="R112" s="2">
        <f>Year_2025!AN112+Year_2025!BK112</f>
        <v>5344.29</v>
      </c>
      <c r="S112" s="2">
        <f>Year_2025!AO112+Year_2025!BL112</f>
        <v>3984.9700000000003</v>
      </c>
      <c r="T112" s="2">
        <f>Year_2025!AP112+Year_2025!BM112</f>
        <v>5338.57</v>
      </c>
      <c r="U112" s="2">
        <f>Year_2025!AQ112+Year_2025!BN112</f>
        <v>3598.2000000000003</v>
      </c>
      <c r="V112" s="2">
        <f>Year_2025!AR112+Year_2025!BO112</f>
        <v>3697.69</v>
      </c>
    </row>
    <row r="113" spans="2:22" x14ac:dyDescent="0.3">
      <c r="B113" s="1" t="s">
        <v>27</v>
      </c>
      <c r="C113" s="2">
        <f>Year_2025!Y113+Year_2025!AV113</f>
        <v>17772.3</v>
      </c>
      <c r="D113" s="2">
        <f>Year_2025!Z113+Year_2025!AW113</f>
        <v>18544.050000000003</v>
      </c>
      <c r="E113" s="2">
        <f>Year_2025!AA113+Year_2025!AX113</f>
        <v>17022.599999999999</v>
      </c>
      <c r="F113" s="2">
        <f>Year_2025!AB113+Year_2025!AY113</f>
        <v>20556.169999999998</v>
      </c>
      <c r="G113" s="2">
        <f>Year_2025!AC113+Year_2025!AZ113</f>
        <v>13242.6</v>
      </c>
      <c r="H113" s="2">
        <f>Year_2025!AD113+Year_2025!BA113</f>
        <v>17485.650000000001</v>
      </c>
      <c r="I113" s="2">
        <f>Year_2025!AE113+Year_2025!BB113</f>
        <v>14096.25</v>
      </c>
      <c r="J113" s="2">
        <f>Year_2025!AF113+Year_2025!BC113</f>
        <v>15438.670000000002</v>
      </c>
      <c r="K113" s="2">
        <f>Year_2025!AG113+Year_2025!BD113</f>
        <v>13687.42</v>
      </c>
      <c r="L113" s="2">
        <f>Year_2025!AH113+Year_2025!BE113</f>
        <v>21862.629999999997</v>
      </c>
      <c r="M113" s="2">
        <f>Year_2025!AI113+Year_2025!BF113</f>
        <v>14181.43</v>
      </c>
      <c r="N113" s="2">
        <f>Year_2025!AJ113+Year_2025!BG113</f>
        <v>20471</v>
      </c>
      <c r="O113" s="2">
        <f>Year_2025!AK113+Year_2025!BH113</f>
        <v>14086.53</v>
      </c>
      <c r="P113" s="2">
        <f>Year_2025!AL113+Year_2025!BI113</f>
        <v>18490.95</v>
      </c>
      <c r="Q113" s="2">
        <f>Year_2025!AM113+Year_2025!BJ113</f>
        <v>14456.23</v>
      </c>
      <c r="R113" s="2">
        <f>Year_2025!AN113+Year_2025!BK113</f>
        <v>15766.49</v>
      </c>
      <c r="S113" s="2">
        <f>Year_2025!AO113+Year_2025!BL113</f>
        <v>12456.22</v>
      </c>
      <c r="T113" s="2">
        <f>Year_2025!AP113+Year_2025!BM113</f>
        <v>13371.68</v>
      </c>
      <c r="U113" s="2">
        <f>Year_2025!AQ113+Year_2025!BN113</f>
        <v>11534.92</v>
      </c>
      <c r="V113" s="2">
        <f>Year_2025!AR113+Year_2025!BO113</f>
        <v>11628.560000000001</v>
      </c>
    </row>
    <row r="114" spans="2:22" x14ac:dyDescent="0.3">
      <c r="B114" s="1" t="s">
        <v>28</v>
      </c>
      <c r="C114" s="2">
        <f>Year_2025!Y114+Year_2025!AV114</f>
        <v>8181</v>
      </c>
      <c r="D114" s="2">
        <f>Year_2025!Z114+Year_2025!AW114</f>
        <v>10680</v>
      </c>
      <c r="E114" s="2">
        <f>Year_2025!AA114+Year_2025!AX114</f>
        <v>7894.5</v>
      </c>
      <c r="F114" s="2">
        <f>Year_2025!AB114+Year_2025!AY114</f>
        <v>8376.15</v>
      </c>
      <c r="G114" s="2">
        <f>Year_2025!AC114+Year_2025!AZ114</f>
        <v>5044.5</v>
      </c>
      <c r="H114" s="2">
        <f>Year_2025!AD114+Year_2025!BA114</f>
        <v>8664</v>
      </c>
      <c r="I114" s="2">
        <f>Year_2025!AE114+Year_2025!BB114</f>
        <v>5631.6</v>
      </c>
      <c r="J114" s="2">
        <f>Year_2025!AF114+Year_2025!BC114</f>
        <v>10131</v>
      </c>
      <c r="K114" s="2">
        <f>Year_2025!AG114+Year_2025!BD114</f>
        <v>6756</v>
      </c>
      <c r="L114" s="2">
        <f>Year_2025!AH114+Year_2025!BE114</f>
        <v>10524</v>
      </c>
      <c r="M114" s="2">
        <f>Year_2025!AI114+Year_2025!BF114</f>
        <v>6669</v>
      </c>
      <c r="N114" s="2">
        <f>Year_2025!AJ114+Year_2025!BG114</f>
        <v>10554</v>
      </c>
      <c r="O114" s="2">
        <f>Year_2025!AK114+Year_2025!BH114</f>
        <v>6507</v>
      </c>
      <c r="P114" s="2">
        <f>Year_2025!AL114+Year_2025!BI114</f>
        <v>9126</v>
      </c>
      <c r="Q114" s="2">
        <f>Year_2025!AM114+Year_2025!BJ114</f>
        <v>6276</v>
      </c>
      <c r="R114" s="2">
        <f>Year_2025!AN114+Year_2025!BK114</f>
        <v>7008</v>
      </c>
      <c r="S114" s="2">
        <f>Year_2025!AO114+Year_2025!BL114</f>
        <v>5844</v>
      </c>
      <c r="T114" s="2">
        <f>Year_2025!AP114+Year_2025!BM114</f>
        <v>6054</v>
      </c>
      <c r="U114" s="2">
        <f>Year_2025!AQ114+Year_2025!BN114</f>
        <v>5988</v>
      </c>
      <c r="V114" s="2">
        <f>Year_2025!AR114+Year_2025!BO114</f>
        <v>6162</v>
      </c>
    </row>
    <row r="117" spans="2:22" x14ac:dyDescent="0.3">
      <c r="B117" t="s">
        <v>58</v>
      </c>
    </row>
    <row r="118" spans="2:22" x14ac:dyDescent="0.3">
      <c r="B118" s="1" t="s">
        <v>16</v>
      </c>
      <c r="C118" s="1" t="s">
        <v>17</v>
      </c>
      <c r="D118" s="1"/>
      <c r="E118" s="1"/>
      <c r="F118" s="1"/>
      <c r="G118" s="1"/>
      <c r="H118" s="1"/>
      <c r="I118" s="1"/>
      <c r="J118" s="1"/>
      <c r="K118" s="1"/>
      <c r="L118" s="1"/>
      <c r="M118" s="1" t="s">
        <v>18</v>
      </c>
      <c r="N118" s="1"/>
      <c r="O118" s="1"/>
      <c r="P118" s="1"/>
      <c r="Q118" s="1"/>
      <c r="R118" s="1"/>
      <c r="S118" s="1"/>
      <c r="T118" s="1"/>
      <c r="U118" s="1"/>
      <c r="V118" s="1"/>
    </row>
    <row r="119" spans="2:22" x14ac:dyDescent="0.3">
      <c r="B119" s="1" t="s">
        <v>19</v>
      </c>
      <c r="C119" s="1" t="s">
        <v>1</v>
      </c>
      <c r="D119" s="1" t="s">
        <v>10</v>
      </c>
      <c r="E119" s="1" t="s">
        <v>2</v>
      </c>
      <c r="F119" s="1" t="s">
        <v>3</v>
      </c>
      <c r="G119" s="1" t="s">
        <v>4</v>
      </c>
      <c r="H119" s="1" t="s">
        <v>5</v>
      </c>
      <c r="I119" s="1" t="s">
        <v>6</v>
      </c>
      <c r="J119" s="1" t="s">
        <v>7</v>
      </c>
      <c r="K119" s="1" t="s">
        <v>8</v>
      </c>
      <c r="L119" s="1" t="s">
        <v>9</v>
      </c>
      <c r="M119" s="1" t="s">
        <v>1</v>
      </c>
      <c r="N119" s="1" t="s">
        <v>10</v>
      </c>
      <c r="O119" s="1" t="s">
        <v>2</v>
      </c>
      <c r="P119" s="1" t="s">
        <v>3</v>
      </c>
      <c r="Q119" s="1" t="s">
        <v>4</v>
      </c>
      <c r="R119" s="1" t="s">
        <v>5</v>
      </c>
      <c r="S119" s="1" t="s">
        <v>6</v>
      </c>
      <c r="T119" s="1" t="s">
        <v>7</v>
      </c>
      <c r="U119" s="1" t="s">
        <v>8</v>
      </c>
      <c r="V119" s="1" t="s">
        <v>9</v>
      </c>
    </row>
    <row r="120" spans="2:22" x14ac:dyDescent="0.3">
      <c r="B120" s="1" t="s">
        <v>20</v>
      </c>
    </row>
    <row r="121" spans="2:22" x14ac:dyDescent="0.3">
      <c r="B121" s="1" t="s">
        <v>21</v>
      </c>
      <c r="C121" s="2">
        <f>Year_2025!Y121+Year_2025!AV121</f>
        <v>31.98</v>
      </c>
      <c r="D121" s="2">
        <f>Year_2025!Z121+Year_2025!AW121</f>
        <v>226.8</v>
      </c>
      <c r="E121" s="2">
        <f>Year_2025!AA121+Year_2025!AX121</f>
        <v>21.84</v>
      </c>
      <c r="F121" s="2">
        <f>Year_2025!AB121+Year_2025!AY121</f>
        <v>9.1</v>
      </c>
      <c r="G121" s="2">
        <f>Year_2025!AC121+Year_2025!AZ121</f>
        <v>32.979999999999997</v>
      </c>
      <c r="H121" s="2">
        <f>Year_2025!AD121+Year_2025!BA121</f>
        <v>103.6</v>
      </c>
      <c r="I121" s="2">
        <f>Year_2025!AE121+Year_2025!BB121</f>
        <v>176.4</v>
      </c>
      <c r="J121" s="2">
        <f>Year_2025!AF121+Year_2025!BC121</f>
        <v>166.46</v>
      </c>
      <c r="K121" s="2">
        <f>Year_2025!AG121+Year_2025!BD121</f>
        <v>170.24</v>
      </c>
      <c r="L121" s="2">
        <f>Year_2025!AH121+Year_2025!BE121</f>
        <v>171.36</v>
      </c>
      <c r="M121" s="2">
        <f>Year_2025!AI121+Year_2025!BF121</f>
        <v>33.72</v>
      </c>
      <c r="N121" s="2">
        <f>Year_2025!AJ121+Year_2025!BG121</f>
        <v>201.6</v>
      </c>
      <c r="O121" s="2">
        <f>Year_2025!AK121+Year_2025!BH121</f>
        <v>21.84</v>
      </c>
      <c r="P121" s="2">
        <f>Year_2025!AL121+Year_2025!BI121</f>
        <v>13.64</v>
      </c>
      <c r="Q121" s="2">
        <f>Year_2025!AM121+Year_2025!BJ121</f>
        <v>100.8</v>
      </c>
      <c r="R121" s="2">
        <f>Year_2025!AN121+Year_2025!BK121</f>
        <v>95.2</v>
      </c>
      <c r="S121" s="2">
        <f>Year_2025!AO121+Year_2025!BL121</f>
        <v>176.4</v>
      </c>
      <c r="T121" s="2">
        <f>Year_2025!AP121+Year_2025!BM121</f>
        <v>129.91999999999999</v>
      </c>
      <c r="U121" s="2">
        <f>Year_2025!AQ121+Year_2025!BN121</f>
        <v>164.92</v>
      </c>
      <c r="V121" s="2">
        <f>Year_2025!AR121+Year_2025!BO121</f>
        <v>138.04</v>
      </c>
    </row>
    <row r="122" spans="2:22" x14ac:dyDescent="0.3">
      <c r="B122" s="1" t="s">
        <v>22</v>
      </c>
      <c r="C122" s="2">
        <f>Year_2025!Y122+Year_2025!AV122</f>
        <v>61.5</v>
      </c>
      <c r="D122" s="2">
        <f>Year_2025!Z122+Year_2025!AW122</f>
        <v>206.92</v>
      </c>
      <c r="E122" s="2">
        <f>Year_2025!AA122+Year_2025!AX122</f>
        <v>32.92</v>
      </c>
      <c r="F122" s="2">
        <f>Year_2025!AB122+Year_2025!AY122</f>
        <v>13.9</v>
      </c>
      <c r="G122" s="2">
        <f>Year_2025!AC122+Year_2025!AZ122</f>
        <v>64.34</v>
      </c>
      <c r="H122" s="2">
        <f>Year_2025!AD122+Year_2025!BA122</f>
        <v>83.02</v>
      </c>
      <c r="I122" s="2">
        <f>Year_2025!AE122+Year_2025!BB122</f>
        <v>149.86000000000001</v>
      </c>
      <c r="J122" s="2">
        <f>Year_2025!AF122+Year_2025!BC122</f>
        <v>125.98</v>
      </c>
      <c r="K122" s="2">
        <f>Year_2025!AG122+Year_2025!BD122</f>
        <v>154.80000000000001</v>
      </c>
      <c r="L122" s="2">
        <f>Year_2025!AH122+Year_2025!BE122</f>
        <v>118.44</v>
      </c>
      <c r="M122" s="2">
        <f>Year_2025!AI122+Year_2025!BF122</f>
        <v>48.6</v>
      </c>
      <c r="N122" s="2">
        <f>Year_2025!AJ122+Year_2025!BG122</f>
        <v>164.96</v>
      </c>
      <c r="O122" s="2">
        <f>Year_2025!AK122+Year_2025!BH122</f>
        <v>36.479999999999997</v>
      </c>
      <c r="P122" s="2">
        <f>Year_2025!AL122+Year_2025!BI122</f>
        <v>24.06</v>
      </c>
      <c r="Q122" s="2">
        <f>Year_2025!AM122+Year_2025!BJ122</f>
        <v>90</v>
      </c>
      <c r="R122" s="2">
        <f>Year_2025!AN122+Year_2025!BK122</f>
        <v>106.36</v>
      </c>
      <c r="S122" s="2">
        <f>Year_2025!AO122+Year_2025!BL122</f>
        <v>211.28</v>
      </c>
      <c r="T122" s="2">
        <f>Year_2025!AP122+Year_2025!BM122</f>
        <v>139.62</v>
      </c>
      <c r="U122" s="2">
        <f>Year_2025!AQ122+Year_2025!BN122</f>
        <v>149.80000000000001</v>
      </c>
      <c r="V122" s="2">
        <f>Year_2025!AR122+Year_2025!BO122</f>
        <v>132.5</v>
      </c>
    </row>
    <row r="123" spans="2:22" x14ac:dyDescent="0.3">
      <c r="B123" s="1" t="s">
        <v>23</v>
      </c>
      <c r="C123" s="2">
        <f>Year_2025!Y123+Year_2025!AV123</f>
        <v>355.84</v>
      </c>
      <c r="D123" s="2">
        <f>Year_2025!Z123+Year_2025!AW123</f>
        <v>688.84</v>
      </c>
      <c r="E123" s="2">
        <f>Year_2025!AA123+Year_2025!AX123</f>
        <v>268.62</v>
      </c>
      <c r="F123" s="2">
        <f>Year_2025!AB123+Year_2025!AY123</f>
        <v>108.22</v>
      </c>
      <c r="G123" s="2">
        <f>Year_2025!AC123+Year_2025!AZ123</f>
        <v>367.42</v>
      </c>
      <c r="H123" s="2">
        <f>Year_2025!AD123+Year_2025!BA123</f>
        <v>570.4</v>
      </c>
      <c r="I123" s="2">
        <f>Year_2025!AE123+Year_2025!BB123</f>
        <v>1139.26</v>
      </c>
      <c r="J123" s="2">
        <f>Year_2025!AF123+Year_2025!BC123</f>
        <v>1261.58</v>
      </c>
      <c r="K123" s="2">
        <f>Year_2025!AG123+Year_2025!BD123</f>
        <v>1323.7</v>
      </c>
      <c r="L123" s="2">
        <f>Year_2025!AH123+Year_2025!BE123</f>
        <v>624.54</v>
      </c>
      <c r="M123" s="2">
        <f>Year_2025!AI123+Year_2025!BF123</f>
        <v>120.76</v>
      </c>
      <c r="N123" s="2">
        <f>Year_2025!AJ123+Year_2025!BG123</f>
        <v>640.12</v>
      </c>
      <c r="O123" s="2">
        <f>Year_2025!AK123+Year_2025!BH123</f>
        <v>29.64</v>
      </c>
      <c r="P123" s="2">
        <f>Year_2025!AL123+Year_2025!BI123</f>
        <v>264.92</v>
      </c>
      <c r="Q123" s="2">
        <f>Year_2025!AM123+Year_2025!BJ123</f>
        <v>358.88</v>
      </c>
      <c r="R123" s="2">
        <f>Year_2025!AN123+Year_2025!BK123</f>
        <v>452.48</v>
      </c>
      <c r="S123" s="2">
        <f>Year_2025!AO123+Year_2025!BL123</f>
        <v>848.06</v>
      </c>
      <c r="T123" s="2">
        <f>Year_2025!AP123+Year_2025!BM123</f>
        <v>599.55999999999995</v>
      </c>
      <c r="U123" s="2">
        <f>Year_2025!AQ123+Year_2025!BN123</f>
        <v>689.14</v>
      </c>
      <c r="V123" s="2">
        <f>Year_2025!AR123+Year_2025!BO123</f>
        <v>670.6</v>
      </c>
    </row>
    <row r="124" spans="2:22" x14ac:dyDescent="0.3">
      <c r="B124" s="1" t="s">
        <v>24</v>
      </c>
      <c r="C124" s="2">
        <f>Year_2025!Y124+Year_2025!AV124</f>
        <v>110.02</v>
      </c>
      <c r="D124" s="2">
        <f>Year_2025!Z124+Year_2025!AW124</f>
        <v>228.76</v>
      </c>
      <c r="E124" s="2">
        <f>Year_2025!AA124+Year_2025!AX124</f>
        <v>75.3</v>
      </c>
      <c r="F124" s="2">
        <f>Year_2025!AB124+Year_2025!AY124</f>
        <v>35.479999999999997</v>
      </c>
      <c r="G124" s="2">
        <f>Year_2025!AC124+Year_2025!AZ124</f>
        <v>129.94</v>
      </c>
      <c r="H124" s="2">
        <f>Year_2025!AD124+Year_2025!BA124</f>
        <v>155.12</v>
      </c>
      <c r="I124" s="2">
        <f>Year_2025!AE124+Year_2025!BB124</f>
        <v>299.7</v>
      </c>
      <c r="J124" s="2">
        <f>Year_2025!AF124+Year_2025!BC124</f>
        <v>250.78</v>
      </c>
      <c r="K124" s="2">
        <f>Year_2025!AG124+Year_2025!BD124</f>
        <v>281.06</v>
      </c>
      <c r="L124" s="2">
        <f>Year_2025!AH124+Year_2025!BE124</f>
        <v>190.64</v>
      </c>
      <c r="M124" s="2">
        <f>Year_2025!AI124+Year_2025!BF124</f>
        <v>43.02</v>
      </c>
      <c r="N124" s="2">
        <f>Year_2025!AJ124+Year_2025!BG124</f>
        <v>194.9</v>
      </c>
      <c r="O124" s="2">
        <f>Year_2025!AK124+Year_2025!BH124</f>
        <v>38.880000000000003</v>
      </c>
      <c r="P124" s="2">
        <f>Year_2025!AL124+Year_2025!BI124</f>
        <v>41.8</v>
      </c>
      <c r="Q124" s="2">
        <f>Year_2025!AM124+Year_2025!BJ124</f>
        <v>91.12</v>
      </c>
      <c r="R124" s="2">
        <f>Year_2025!AN124+Year_2025!BK124</f>
        <v>132.18</v>
      </c>
      <c r="S124" s="2">
        <f>Year_2025!AO124+Year_2025!BL124</f>
        <v>242.44</v>
      </c>
      <c r="T124" s="2">
        <f>Year_2025!AP124+Year_2025!BM124</f>
        <v>163.76</v>
      </c>
      <c r="U124" s="2">
        <f>Year_2025!AQ124+Year_2025!BN124</f>
        <v>220.6</v>
      </c>
      <c r="V124" s="2">
        <f>Year_2025!AR124+Year_2025!BO124</f>
        <v>165.12</v>
      </c>
    </row>
    <row r="125" spans="2:22" x14ac:dyDescent="0.3">
      <c r="B125" s="1" t="s">
        <v>25</v>
      </c>
      <c r="C125" s="2">
        <f>Year_2025!Y125+Year_2025!AV125</f>
        <v>286.56</v>
      </c>
      <c r="D125" s="2">
        <f>Year_2025!Z125+Year_2025!AW125</f>
        <v>1033.18</v>
      </c>
      <c r="E125" s="2">
        <f>Year_2025!AA125+Year_2025!AX125</f>
        <v>310.94</v>
      </c>
      <c r="F125" s="2">
        <f>Year_2025!AB125+Year_2025!AY125</f>
        <v>97.84</v>
      </c>
      <c r="G125" s="2">
        <f>Year_2025!AC125+Year_2025!AZ125</f>
        <v>482.38</v>
      </c>
      <c r="H125" s="2">
        <f>Year_2025!AD125+Year_2025!BA125</f>
        <v>678.9</v>
      </c>
      <c r="I125" s="2">
        <f>Year_2025!AE125+Year_2025!BB125</f>
        <v>1140.8</v>
      </c>
      <c r="J125" s="2">
        <f>Year_2025!AF125+Year_2025!BC125</f>
        <v>863.5</v>
      </c>
      <c r="K125" s="2">
        <f>Year_2025!AG125+Year_2025!BD125</f>
        <v>1050.02</v>
      </c>
      <c r="L125" s="2">
        <f>Year_2025!AH125+Year_2025!BE125</f>
        <v>918.36</v>
      </c>
      <c r="M125" s="2">
        <f>Year_2025!AI125+Year_2025!BF125</f>
        <v>299.60000000000002</v>
      </c>
      <c r="N125" s="2">
        <f>Year_2025!AJ125+Year_2025!BG125</f>
        <v>1001.28</v>
      </c>
      <c r="O125" s="2">
        <f>Year_2025!AK125+Year_2025!BH125</f>
        <v>334.68</v>
      </c>
      <c r="P125" s="2">
        <f>Year_2025!AL125+Year_2025!BI125</f>
        <v>119.34</v>
      </c>
      <c r="Q125" s="2">
        <f>Year_2025!AM125+Year_2025!BJ125</f>
        <v>479.62</v>
      </c>
      <c r="R125" s="2">
        <f>Year_2025!AN125+Year_2025!BK125</f>
        <v>609.16</v>
      </c>
      <c r="S125" s="2">
        <f>Year_2025!AO125+Year_2025!BL125</f>
        <v>999.52</v>
      </c>
      <c r="T125" s="2">
        <f>Year_2025!AP125+Year_2025!BM125</f>
        <v>747.08</v>
      </c>
      <c r="U125" s="2">
        <f>Year_2025!AQ125+Year_2025!BN125</f>
        <v>934.4</v>
      </c>
      <c r="V125" s="2">
        <f>Year_2025!AR125+Year_2025!BO125</f>
        <v>646.05999999999995</v>
      </c>
    </row>
    <row r="126" spans="2:22" x14ac:dyDescent="0.3">
      <c r="B126" s="1" t="s">
        <v>26</v>
      </c>
      <c r="C126" s="2">
        <f>Year_2025!Y126+Year_2025!AV126</f>
        <v>61.54</v>
      </c>
      <c r="D126" s="2">
        <f>Year_2025!Z126+Year_2025!AW126</f>
        <v>218.62</v>
      </c>
      <c r="E126" s="2">
        <f>Year_2025!AA126+Year_2025!AX126</f>
        <v>59.76</v>
      </c>
      <c r="F126" s="2">
        <f>Year_2025!AB126+Year_2025!AY126</f>
        <v>23.44</v>
      </c>
      <c r="G126" s="2">
        <f>Year_2025!AC126+Year_2025!AZ126</f>
        <v>88.46</v>
      </c>
      <c r="H126" s="2">
        <f>Year_2025!AD126+Year_2025!BA126</f>
        <v>103.86</v>
      </c>
      <c r="I126" s="2">
        <f>Year_2025!AE126+Year_2025!BB126</f>
        <v>219.24</v>
      </c>
      <c r="J126" s="2">
        <f>Year_2025!AF126+Year_2025!BC126</f>
        <v>161.94</v>
      </c>
      <c r="K126" s="2">
        <f>Year_2025!AG126+Year_2025!BD126</f>
        <v>214.84</v>
      </c>
      <c r="L126" s="2">
        <f>Year_2025!AH126+Year_2025!BE126</f>
        <v>196.84</v>
      </c>
      <c r="M126" s="2">
        <f>Year_2025!AI126+Year_2025!BF126</f>
        <v>59.66</v>
      </c>
      <c r="N126" s="2">
        <f>Year_2025!AJ126+Year_2025!BG126</f>
        <v>181.9</v>
      </c>
      <c r="O126" s="2">
        <f>Year_2025!AK126+Year_2025!BH126</f>
        <v>80.180000000000007</v>
      </c>
      <c r="P126" s="2">
        <f>Year_2025!AL126+Year_2025!BI126</f>
        <v>19.920000000000002</v>
      </c>
      <c r="Q126" s="2">
        <f>Year_2025!AM126+Year_2025!BJ126</f>
        <v>65.260000000000005</v>
      </c>
      <c r="R126" s="2">
        <f>Year_2025!AN126+Year_2025!BK126</f>
        <v>136.26</v>
      </c>
      <c r="S126" s="2">
        <f>Year_2025!AO126+Year_2025!BL126</f>
        <v>226.16</v>
      </c>
      <c r="T126" s="2">
        <f>Year_2025!AP126+Year_2025!BM126</f>
        <v>146.82</v>
      </c>
      <c r="U126" s="2">
        <f>Year_2025!AQ126+Year_2025!BN126</f>
        <v>229.62</v>
      </c>
      <c r="V126" s="2">
        <f>Year_2025!AR126+Year_2025!BO126</f>
        <v>152.94</v>
      </c>
    </row>
    <row r="127" spans="2:22" x14ac:dyDescent="0.3">
      <c r="B127" s="1" t="s">
        <v>27</v>
      </c>
      <c r="C127" s="2">
        <f>Year_2025!Y127+Year_2025!AV127</f>
        <v>172.8</v>
      </c>
      <c r="D127" s="2">
        <f>Year_2025!Z127+Year_2025!AW127</f>
        <v>475.92</v>
      </c>
      <c r="E127" s="2">
        <f>Year_2025!AA127+Year_2025!AX127</f>
        <v>140.47999999999999</v>
      </c>
      <c r="F127" s="2">
        <f>Year_2025!AB127+Year_2025!AY127</f>
        <v>62.1</v>
      </c>
      <c r="G127" s="2">
        <f>Year_2025!AC127+Year_2025!AZ127</f>
        <v>218.92</v>
      </c>
      <c r="H127" s="2">
        <f>Year_2025!AD127+Year_2025!BA127</f>
        <v>265.98</v>
      </c>
      <c r="I127" s="2">
        <f>Year_2025!AE127+Year_2025!BB127</f>
        <v>491.78</v>
      </c>
      <c r="J127" s="2">
        <f>Year_2025!AF127+Year_2025!BC127</f>
        <v>354.82</v>
      </c>
      <c r="K127" s="2">
        <f>Year_2025!AG127+Year_2025!BD127</f>
        <v>497.3</v>
      </c>
      <c r="L127" s="2">
        <f>Year_2025!AH127+Year_2025!BE127</f>
        <v>431.24</v>
      </c>
      <c r="M127" s="2">
        <f>Year_2025!AI127+Year_2025!BF127</f>
        <v>244.92</v>
      </c>
      <c r="N127" s="2">
        <f>Year_2025!AJ127+Year_2025!BG127</f>
        <v>460.52</v>
      </c>
      <c r="O127" s="2">
        <f>Year_2025!AK127+Year_2025!BH127</f>
        <v>160.84</v>
      </c>
      <c r="P127" s="2">
        <f>Year_2025!AL127+Year_2025!BI127</f>
        <v>63.18</v>
      </c>
      <c r="Q127" s="2">
        <f>Year_2025!AM127+Year_2025!BJ127</f>
        <v>303.45999999999998</v>
      </c>
      <c r="R127" s="2">
        <f>Year_2025!AN127+Year_2025!BK127</f>
        <v>374.98</v>
      </c>
      <c r="S127" s="2">
        <f>Year_2025!AO127+Year_2025!BL127</f>
        <v>589.74</v>
      </c>
      <c r="T127" s="2">
        <f>Year_2025!AP127+Year_2025!BM127</f>
        <v>382.7</v>
      </c>
      <c r="U127" s="2">
        <f>Year_2025!AQ127+Year_2025!BN127</f>
        <v>540.86</v>
      </c>
      <c r="V127" s="2">
        <f>Year_2025!AR127+Year_2025!BO127</f>
        <v>332.8</v>
      </c>
    </row>
    <row r="128" spans="2:22" x14ac:dyDescent="0.3">
      <c r="B128" s="1" t="s">
        <v>28</v>
      </c>
      <c r="C128" s="2">
        <f>Year_2025!Y128+Year_2025!AV128</f>
        <v>81.16</v>
      </c>
      <c r="D128" s="2">
        <f>Year_2025!Z128+Year_2025!AW128</f>
        <v>181.94</v>
      </c>
      <c r="E128" s="2">
        <f>Year_2025!AA128+Year_2025!AX128</f>
        <v>8.16</v>
      </c>
      <c r="F128" s="2">
        <f>Year_2025!AB128+Year_2025!AY128</f>
        <v>3.7</v>
      </c>
      <c r="G128" s="2">
        <f>Year_2025!AC128+Year_2025!AZ128</f>
        <v>13.22</v>
      </c>
      <c r="H128" s="2">
        <f>Year_2025!AD128+Year_2025!BA128</f>
        <v>95.5</v>
      </c>
      <c r="I128" s="2">
        <f>Year_2025!AE128+Year_2025!BB128</f>
        <v>123.48</v>
      </c>
      <c r="J128" s="2">
        <f>Year_2025!AF128+Year_2025!BC128</f>
        <v>106.6</v>
      </c>
      <c r="K128" s="2">
        <f>Year_2025!AG128+Year_2025!BD128</f>
        <v>111.78</v>
      </c>
      <c r="L128" s="2">
        <f>Year_2025!AH128+Year_2025!BE128</f>
        <v>144.97999999999999</v>
      </c>
      <c r="M128" s="2">
        <f>Year_2025!AI128+Year_2025!BF128</f>
        <v>62</v>
      </c>
      <c r="N128" s="2">
        <f>Year_2025!AJ128+Year_2025!BG128</f>
        <v>143.26</v>
      </c>
      <c r="O128" s="2">
        <f>Year_2025!AK128+Year_2025!BH128</f>
        <v>9.64</v>
      </c>
      <c r="P128" s="2">
        <f>Year_2025!AL128+Year_2025!BI128</f>
        <v>12.7</v>
      </c>
      <c r="Q128" s="2">
        <f>Year_2025!AM128+Year_2025!BJ128</f>
        <v>66.56</v>
      </c>
      <c r="R128" s="2">
        <f>Year_2025!AN128+Year_2025!BK128</f>
        <v>61.08</v>
      </c>
      <c r="S128" s="2">
        <f>Year_2025!AO128+Year_2025!BL128</f>
        <v>122.94</v>
      </c>
      <c r="T128" s="2">
        <f>Year_2025!AP128+Year_2025!BM128</f>
        <v>120.54</v>
      </c>
      <c r="U128" s="2">
        <f>Year_2025!AQ128+Year_2025!BN128</f>
        <v>130.28</v>
      </c>
      <c r="V128" s="2">
        <f>Year_2025!AR128+Year_2025!BO128</f>
        <v>99.98</v>
      </c>
    </row>
    <row r="131" spans="2:22" x14ac:dyDescent="0.3">
      <c r="B131" t="s">
        <v>61</v>
      </c>
    </row>
    <row r="132" spans="2:22" x14ac:dyDescent="0.3">
      <c r="B132" s="1" t="s">
        <v>16</v>
      </c>
      <c r="C132" s="1" t="s">
        <v>17</v>
      </c>
      <c r="D132" s="1" t="s">
        <v>18</v>
      </c>
      <c r="E132" s="1" t="s">
        <v>17</v>
      </c>
      <c r="F132" s="1" t="s">
        <v>18</v>
      </c>
      <c r="G132" s="1" t="s">
        <v>17</v>
      </c>
      <c r="H132" s="1" t="s">
        <v>18</v>
      </c>
      <c r="I132" s="1" t="s">
        <v>17</v>
      </c>
      <c r="J132" s="1" t="s">
        <v>18</v>
      </c>
      <c r="K132" s="1" t="s">
        <v>17</v>
      </c>
      <c r="L132" s="1" t="s">
        <v>18</v>
      </c>
      <c r="M132" s="1" t="s">
        <v>17</v>
      </c>
      <c r="N132" s="1" t="s">
        <v>18</v>
      </c>
      <c r="O132" s="1" t="s">
        <v>17</v>
      </c>
      <c r="P132" s="1" t="s">
        <v>18</v>
      </c>
      <c r="Q132" s="1" t="s">
        <v>17</v>
      </c>
      <c r="R132" s="1" t="s">
        <v>18</v>
      </c>
      <c r="S132" s="1" t="s">
        <v>17</v>
      </c>
      <c r="T132" s="1" t="s">
        <v>18</v>
      </c>
      <c r="U132" s="1" t="s">
        <v>17</v>
      </c>
      <c r="V132" s="1" t="s">
        <v>18</v>
      </c>
    </row>
    <row r="133" spans="2:22" x14ac:dyDescent="0.3">
      <c r="B133" s="1" t="s">
        <v>19</v>
      </c>
      <c r="C133" s="1" t="s">
        <v>1</v>
      </c>
      <c r="D133" s="1" t="s">
        <v>1</v>
      </c>
      <c r="E133" s="1" t="s">
        <v>2</v>
      </c>
      <c r="F133" s="1" t="s">
        <v>2</v>
      </c>
      <c r="G133" s="1" t="s">
        <v>3</v>
      </c>
      <c r="H133" s="1" t="s">
        <v>3</v>
      </c>
      <c r="I133" s="1" t="s">
        <v>4</v>
      </c>
      <c r="J133" s="1" t="s">
        <v>4</v>
      </c>
      <c r="K133" s="1" t="s">
        <v>5</v>
      </c>
      <c r="L133" s="1" t="s">
        <v>5</v>
      </c>
      <c r="M133" s="1" t="s">
        <v>6</v>
      </c>
      <c r="N133" s="1" t="s">
        <v>6</v>
      </c>
      <c r="O133" s="1" t="s">
        <v>7</v>
      </c>
      <c r="P133" s="1" t="s">
        <v>7</v>
      </c>
      <c r="Q133" s="1" t="s">
        <v>8</v>
      </c>
      <c r="R133" s="1" t="s">
        <v>8</v>
      </c>
      <c r="S133" s="1" t="s">
        <v>9</v>
      </c>
      <c r="T133" s="1" t="s">
        <v>9</v>
      </c>
      <c r="U133" s="1" t="s">
        <v>10</v>
      </c>
      <c r="V133" s="1" t="s">
        <v>10</v>
      </c>
    </row>
    <row r="134" spans="2:22" x14ac:dyDescent="0.3">
      <c r="B134" s="1" t="s">
        <v>20</v>
      </c>
    </row>
    <row r="135" spans="2:22" x14ac:dyDescent="0.3">
      <c r="B135" s="1" t="s">
        <v>21</v>
      </c>
      <c r="C135" s="2">
        <f>Year_2025!Y135+Year_2025!AV135</f>
        <v>246.05</v>
      </c>
      <c r="D135" s="2">
        <f>Year_2025!Z135+Year_2025!AW135</f>
        <v>259.35000000000002</v>
      </c>
      <c r="E135" s="2">
        <f>Year_2025!AA135+Year_2025!AX135</f>
        <v>168</v>
      </c>
      <c r="F135" s="2">
        <f>Year_2025!AB135+Year_2025!AY135</f>
        <v>168</v>
      </c>
      <c r="G135" s="2">
        <f>Year_2025!AC135+Year_2025!AZ135</f>
        <v>182</v>
      </c>
      <c r="H135" s="2">
        <f>Year_2025!AD135+Year_2025!BA135</f>
        <v>272.64999999999998</v>
      </c>
      <c r="I135" s="2">
        <f>Year_2025!AE135+Year_2025!BB135</f>
        <v>206.15</v>
      </c>
      <c r="J135" s="2">
        <f>Year_2025!AF135+Year_2025!BC135</f>
        <v>315</v>
      </c>
      <c r="K135" s="2">
        <f>Year_2025!AG135+Year_2025!BD135</f>
        <v>259</v>
      </c>
      <c r="L135" s="2">
        <f>Year_2025!AH135+Year_2025!BE135</f>
        <v>238</v>
      </c>
      <c r="M135" s="2">
        <f>Year_2025!AI135+Year_2025!BF135</f>
        <v>245</v>
      </c>
      <c r="N135" s="2">
        <f>Year_2025!AJ135+Year_2025!BG135</f>
        <v>245</v>
      </c>
      <c r="O135" s="2">
        <f>Year_2025!AK135+Year_2025!BH135</f>
        <v>287</v>
      </c>
      <c r="P135" s="2">
        <f>Year_2025!AL135+Year_2025!BI135</f>
        <v>224</v>
      </c>
      <c r="Q135" s="2">
        <f>Year_2025!AM135+Year_2025!BJ135</f>
        <v>224</v>
      </c>
      <c r="R135" s="2">
        <f>Year_2025!AN135+Year_2025!BK135</f>
        <v>217</v>
      </c>
      <c r="S135" s="2">
        <f>Year_2025!AO135+Year_2025!BL135</f>
        <v>252</v>
      </c>
      <c r="T135" s="2">
        <f>Year_2025!AP135+Year_2025!BM135</f>
        <v>203</v>
      </c>
      <c r="U135" s="2">
        <f>Year_2025!AQ135+Year_2025!BN135</f>
        <v>252</v>
      </c>
      <c r="V135" s="2">
        <f>Year_2025!AR135+Year_2025!BO135</f>
        <v>224</v>
      </c>
    </row>
    <row r="136" spans="2:22" x14ac:dyDescent="0.3">
      <c r="B136" s="1" t="s">
        <v>22</v>
      </c>
      <c r="C136" s="2">
        <f>Year_2025!Y136+Year_2025!AV136</f>
        <v>143.45000000000002</v>
      </c>
      <c r="D136" s="2">
        <f>Year_2025!Z136+Year_2025!AW136</f>
        <v>113.05</v>
      </c>
      <c r="E136" s="2">
        <f>Year_2025!AA136+Year_2025!AX136</f>
        <v>72.2</v>
      </c>
      <c r="F136" s="2">
        <f>Year_2025!AB136+Year_2025!AY136</f>
        <v>79.8</v>
      </c>
      <c r="G136" s="2">
        <f>Year_2025!AC136+Year_2025!AZ136</f>
        <v>79</v>
      </c>
      <c r="H136" s="2">
        <f>Year_2025!AD136+Year_2025!BA136</f>
        <v>136.80000000000001</v>
      </c>
      <c r="I136" s="2">
        <f>Year_2025!AE136+Year_2025!BB136</f>
        <v>114.94999999999999</v>
      </c>
      <c r="J136" s="2">
        <f>Year_2025!AF136+Year_2025!BC136</f>
        <v>160</v>
      </c>
      <c r="K136" s="2">
        <f>Year_2025!AG136+Year_2025!BD136</f>
        <v>126.35000000000001</v>
      </c>
      <c r="L136" s="2">
        <f>Year_2025!AH136+Year_2025!BE136</f>
        <v>161</v>
      </c>
      <c r="M136" s="2">
        <f>Year_2025!AI136+Year_2025!BF136</f>
        <v>127.30000000000001</v>
      </c>
      <c r="N136" s="2">
        <f>Year_2025!AJ136+Year_2025!BG136</f>
        <v>178</v>
      </c>
      <c r="O136" s="2">
        <f>Year_2025!AK136+Year_2025!BH136</f>
        <v>132</v>
      </c>
      <c r="P136" s="2">
        <f>Year_2025!AL136+Year_2025!BI136</f>
        <v>146</v>
      </c>
      <c r="Q136" s="2">
        <f>Year_2025!AM136+Year_2025!BJ136</f>
        <v>123.88000000000001</v>
      </c>
      <c r="R136" s="2">
        <f>Year_2025!AN136+Year_2025!BK136</f>
        <v>119.69999999999999</v>
      </c>
      <c r="S136" s="2">
        <f>Year_2025!AO136+Year_2025!BL136</f>
        <v>105.81</v>
      </c>
      <c r="T136" s="2">
        <f>Year_2025!AP136+Year_2025!BM136</f>
        <v>117.98</v>
      </c>
      <c r="U136" s="2">
        <f>Year_2025!AQ136+Year_2025!BN136</f>
        <v>140.6</v>
      </c>
      <c r="V136" s="2">
        <f>Year_2025!AR136+Year_2025!BO136</f>
        <v>111.14999999999999</v>
      </c>
    </row>
    <row r="137" spans="2:22" x14ac:dyDescent="0.3">
      <c r="B137" s="1" t="s">
        <v>23</v>
      </c>
      <c r="C137" s="2">
        <f>Year_2025!Y137+Year_2025!AV137</f>
        <v>674.1</v>
      </c>
      <c r="D137" s="2">
        <f>Year_2025!Z137+Year_2025!AW137</f>
        <v>319.2</v>
      </c>
      <c r="E137" s="2">
        <f>Year_2025!AA137+Year_2025!AX137</f>
        <v>601.65</v>
      </c>
      <c r="F137" s="2">
        <f>Year_2025!AB137+Year_2025!AY137</f>
        <v>228</v>
      </c>
      <c r="G137" s="2">
        <f>Year_2025!AC137+Year_2025!AZ137</f>
        <v>541.79999999999995</v>
      </c>
      <c r="H137" s="2">
        <f>Year_2025!AD137+Year_2025!BA137</f>
        <v>1093.05</v>
      </c>
      <c r="I137" s="2">
        <f>Year_2025!AE137+Year_2025!BB137</f>
        <v>660.36999999999989</v>
      </c>
      <c r="J137" s="2">
        <f>Year_2025!AF137+Year_2025!BC137</f>
        <v>639.53</v>
      </c>
      <c r="K137" s="2">
        <f>Year_2025!AG137+Year_2025!BD137</f>
        <v>817.4</v>
      </c>
      <c r="L137" s="2">
        <f>Year_2025!AH137+Year_2025!BE137</f>
        <v>685.87</v>
      </c>
      <c r="M137" s="2">
        <f>Year_2025!AI137+Year_2025!BF137</f>
        <v>819.67000000000007</v>
      </c>
      <c r="N137" s="2">
        <f>Year_2025!AJ137+Year_2025!BG137</f>
        <v>715.86</v>
      </c>
      <c r="O137" s="2">
        <f>Year_2025!AK137+Year_2025!BH137</f>
        <v>925.31999999999994</v>
      </c>
      <c r="P137" s="2">
        <f>Year_2025!AL137+Year_2025!BI137</f>
        <v>627.33000000000004</v>
      </c>
      <c r="Q137" s="2">
        <f>Year_2025!AM137+Year_2025!BJ137</f>
        <v>803.25</v>
      </c>
      <c r="R137" s="2">
        <f>Year_2025!AN137+Year_2025!BK137</f>
        <v>551.19000000000005</v>
      </c>
      <c r="S137" s="2">
        <f>Year_2025!AO137+Year_2025!BL137</f>
        <v>559.08000000000004</v>
      </c>
      <c r="T137" s="2">
        <f>Year_2025!AP137+Year_2025!BM137</f>
        <v>597.72</v>
      </c>
      <c r="U137" s="2">
        <f>Year_2025!AQ137+Year_2025!BN137</f>
        <v>464.53000000000003</v>
      </c>
      <c r="V137" s="2">
        <f>Year_2025!AR137+Year_2025!BO137</f>
        <v>431.06</v>
      </c>
    </row>
    <row r="138" spans="2:22" x14ac:dyDescent="0.3">
      <c r="B138" s="1" t="s">
        <v>24</v>
      </c>
      <c r="C138" s="2">
        <f>Year_2025!Y138+Year_2025!AV138</f>
        <v>234.29999999999998</v>
      </c>
      <c r="D138" s="2">
        <f>Year_2025!Z138+Year_2025!AW138</f>
        <v>99.99</v>
      </c>
      <c r="E138" s="2">
        <f>Year_2025!AA138+Year_2025!AX138</f>
        <v>165.83</v>
      </c>
      <c r="F138" s="2">
        <f>Year_2025!AB138+Year_2025!AY138</f>
        <v>98.8</v>
      </c>
      <c r="G138" s="2">
        <f>Year_2025!AC138+Year_2025!AZ138</f>
        <v>185.27</v>
      </c>
      <c r="H138" s="2">
        <f>Year_2025!AD138+Year_2025!BA138</f>
        <v>233</v>
      </c>
      <c r="I138" s="2">
        <f>Year_2025!AE138+Year_2025!BB138</f>
        <v>231.98000000000002</v>
      </c>
      <c r="J138" s="2">
        <f>Year_2025!AF138+Year_2025!BC138</f>
        <v>162.07999999999998</v>
      </c>
      <c r="K138" s="2">
        <f>Year_2025!AG138+Year_2025!BD138</f>
        <v>235.98</v>
      </c>
      <c r="L138" s="2">
        <f>Year_2025!AH138+Year_2025!BE138</f>
        <v>200.07</v>
      </c>
      <c r="M138" s="2">
        <f>Year_2025!AI138+Year_2025!BF138</f>
        <v>255.04</v>
      </c>
      <c r="N138" s="2">
        <f>Year_2025!AJ138+Year_2025!BG138</f>
        <v>204.04000000000002</v>
      </c>
      <c r="O138" s="2">
        <f>Year_2025!AK138+Year_2025!BH138</f>
        <v>263.95999999999998</v>
      </c>
      <c r="P138" s="2">
        <f>Year_2025!AL138+Year_2025!BI138</f>
        <v>170.95</v>
      </c>
      <c r="Q138" s="2">
        <f>Year_2025!AM138+Year_2025!BJ138</f>
        <v>224.98999999999998</v>
      </c>
      <c r="R138" s="2">
        <f>Year_2025!AN138+Year_2025!BK138</f>
        <v>175.87</v>
      </c>
      <c r="S138" s="2">
        <f>Year_2025!AO138+Year_2025!BL138</f>
        <v>169.89</v>
      </c>
      <c r="T138" s="2">
        <f>Year_2025!AP138+Year_2025!BM138</f>
        <v>146.88</v>
      </c>
      <c r="U138" s="2">
        <f>Year_2025!AQ138+Year_2025!BN138</f>
        <v>153.91000000000003</v>
      </c>
      <c r="V138" s="2">
        <f>Year_2025!AR138+Year_2025!BO138</f>
        <v>131.04</v>
      </c>
    </row>
    <row r="139" spans="2:22" x14ac:dyDescent="0.3">
      <c r="B139" s="1" t="s">
        <v>25</v>
      </c>
      <c r="C139" s="2">
        <f>Year_2025!Y139+Year_2025!AV139</f>
        <v>660</v>
      </c>
      <c r="D139" s="2">
        <f>Year_2025!Z139+Year_2025!AW139</f>
        <v>690</v>
      </c>
      <c r="E139" s="2">
        <f>Year_2025!AA139+Year_2025!AX139</f>
        <v>675</v>
      </c>
      <c r="F139" s="2">
        <f>Year_2025!AB139+Year_2025!AY139</f>
        <v>726.75</v>
      </c>
      <c r="G139" s="2">
        <f>Year_2025!AC139+Year_2025!AZ139</f>
        <v>550</v>
      </c>
      <c r="H139" s="2">
        <f>Year_2025!AD139+Year_2025!BA139</f>
        <v>672.02</v>
      </c>
      <c r="I139" s="2">
        <f>Year_2025!AE139+Year_2025!BB139</f>
        <v>850.25</v>
      </c>
      <c r="J139" s="2">
        <f>Year_2025!AF139+Year_2025!BC139</f>
        <v>845</v>
      </c>
      <c r="K139" s="2">
        <f>Year_2025!AG139+Year_2025!BD139</f>
        <v>1019.65</v>
      </c>
      <c r="L139" s="2">
        <f>Year_2025!AH139+Year_2025!BE139</f>
        <v>915</v>
      </c>
      <c r="M139" s="2">
        <f>Year_2025!AI139+Year_2025!BF139</f>
        <v>953.84999999999991</v>
      </c>
      <c r="N139" s="2">
        <f>Year_2025!AJ139+Year_2025!BG139</f>
        <v>836</v>
      </c>
      <c r="O139" s="2">
        <f>Year_2025!AK139+Year_2025!BH139</f>
        <v>894.03</v>
      </c>
      <c r="P139" s="2">
        <f>Year_2025!AL139+Year_2025!BI139</f>
        <v>774.25</v>
      </c>
      <c r="Q139" s="2">
        <f>Year_2025!AM139+Year_2025!BJ139</f>
        <v>829.86</v>
      </c>
      <c r="R139" s="2">
        <f>Year_2025!AN139+Year_2025!BK139</f>
        <v>738.29000000000008</v>
      </c>
      <c r="S139" s="2">
        <f>Year_2025!AO139+Year_2025!BL139</f>
        <v>810</v>
      </c>
      <c r="T139" s="2">
        <f>Year_2025!AP139+Year_2025!BM139</f>
        <v>570</v>
      </c>
      <c r="U139" s="2">
        <f>Year_2025!AQ139+Year_2025!BN139</f>
        <v>688.75</v>
      </c>
      <c r="V139" s="2">
        <f>Year_2025!AR139+Year_2025!BO139</f>
        <v>669.75</v>
      </c>
    </row>
    <row r="140" spans="2:22" x14ac:dyDescent="0.3">
      <c r="B140" s="1" t="s">
        <v>26</v>
      </c>
      <c r="C140" s="2">
        <f>Year_2025!Y140+Year_2025!AV140</f>
        <v>116.76</v>
      </c>
      <c r="D140" s="2">
        <f>Year_2025!Z140+Year_2025!AW140</f>
        <v>113.32000000000001</v>
      </c>
      <c r="E140" s="2">
        <f>Year_2025!AA140+Year_2025!AX140</f>
        <v>107.00999999999999</v>
      </c>
      <c r="F140" s="2">
        <f>Year_2025!AB140+Year_2025!AY140</f>
        <v>145</v>
      </c>
      <c r="G140" s="2">
        <f>Year_2025!AC140+Year_2025!AZ140</f>
        <v>108.24</v>
      </c>
      <c r="H140" s="2">
        <f>Year_2025!AD140+Year_2025!BA140</f>
        <v>92.06</v>
      </c>
      <c r="I140" s="2">
        <f>Year_2025!AE140+Year_2025!BB140</f>
        <v>127.96000000000001</v>
      </c>
      <c r="J140" s="2">
        <f>Year_2025!AF140+Year_2025!BC140</f>
        <v>94.62</v>
      </c>
      <c r="K140" s="2">
        <f>Year_2025!AG140+Year_2025!BD140</f>
        <v>127.94</v>
      </c>
      <c r="L140" s="2">
        <f>Year_2025!AH140+Year_2025!BE140</f>
        <v>170.35</v>
      </c>
      <c r="M140" s="2">
        <f>Year_2025!AI140+Year_2025!BF140</f>
        <v>150.91999999999999</v>
      </c>
      <c r="N140" s="2">
        <f>Year_2025!AJ140+Year_2025!BG140</f>
        <v>158.08000000000001</v>
      </c>
      <c r="O140" s="2">
        <f>Year_2025!AK140+Year_2025!BH140</f>
        <v>138.01999999999998</v>
      </c>
      <c r="P140" s="2">
        <f>Year_2025!AL140+Year_2025!BI140</f>
        <v>126.03</v>
      </c>
      <c r="Q140" s="2">
        <f>Year_2025!AM140+Year_2025!BJ140</f>
        <v>140.05000000000001</v>
      </c>
      <c r="R140" s="2">
        <f>Year_2025!AN140+Year_2025!BK140</f>
        <v>151</v>
      </c>
      <c r="S140" s="2">
        <f>Year_2025!AO140+Year_2025!BL140</f>
        <v>143.04</v>
      </c>
      <c r="T140" s="2">
        <f>Year_2025!AP140+Year_2025!BM140</f>
        <v>112.00999999999999</v>
      </c>
      <c r="U140" s="2">
        <f>Year_2025!AQ140+Year_2025!BN140</f>
        <v>120.00999999999999</v>
      </c>
      <c r="V140" s="2">
        <f>Year_2025!AR140+Year_2025!BO140</f>
        <v>99.94</v>
      </c>
    </row>
    <row r="141" spans="2:22" x14ac:dyDescent="0.3">
      <c r="B141" s="1" t="s">
        <v>27</v>
      </c>
      <c r="C141" s="2">
        <f>Year_2025!Y141+Year_2025!AV141</f>
        <v>330.75</v>
      </c>
      <c r="D141" s="2">
        <f>Year_2025!Z141+Year_2025!AW141</f>
        <v>396.9</v>
      </c>
      <c r="E141" s="2">
        <f>Year_2025!AA141+Year_2025!AX141</f>
        <v>252</v>
      </c>
      <c r="F141" s="2">
        <f>Year_2025!AB141+Year_2025!AY141</f>
        <v>291.3</v>
      </c>
      <c r="G141" s="2">
        <f>Year_2025!AC141+Year_2025!AZ141</f>
        <v>277.2</v>
      </c>
      <c r="H141" s="2">
        <f>Year_2025!AD141+Year_2025!BA141</f>
        <v>292.95</v>
      </c>
      <c r="I141" s="2">
        <f>Year_2025!AE141+Year_2025!BB141</f>
        <v>318.14999999999998</v>
      </c>
      <c r="J141" s="2">
        <f>Year_2025!AF141+Year_2025!BC141</f>
        <v>346.04</v>
      </c>
      <c r="K141" s="2">
        <f>Year_2025!AG141+Year_2025!BD141</f>
        <v>328.94</v>
      </c>
      <c r="L141" s="2">
        <f>Year_2025!AH141+Year_2025!BE141</f>
        <v>478.35</v>
      </c>
      <c r="M141" s="2">
        <f>Year_2025!AI141+Year_2025!BF141</f>
        <v>340.84000000000003</v>
      </c>
      <c r="N141" s="2">
        <f>Year_2025!AJ141+Year_2025!BG141</f>
        <v>416.55999999999995</v>
      </c>
      <c r="O141" s="2">
        <f>Year_2025!AK141+Year_2025!BH141</f>
        <v>304.02999999999997</v>
      </c>
      <c r="P141" s="2">
        <f>Year_2025!AL141+Year_2025!BI141</f>
        <v>332.98</v>
      </c>
      <c r="Q141" s="2">
        <f>Year_2025!AM141+Year_2025!BJ141</f>
        <v>326.99</v>
      </c>
      <c r="R141" s="2">
        <f>Year_2025!AN141+Year_2025!BK141</f>
        <v>357.51</v>
      </c>
      <c r="S141" s="2">
        <f>Year_2025!AO141+Year_2025!BL141</f>
        <v>314.55</v>
      </c>
      <c r="T141" s="2">
        <f>Year_2025!AP141+Year_2025!BM141</f>
        <v>243.18</v>
      </c>
      <c r="U141" s="2">
        <f>Year_2025!AQ141+Year_2025!BN141</f>
        <v>262.5</v>
      </c>
      <c r="V141" s="2">
        <f>Year_2025!AR141+Year_2025!BO141</f>
        <v>254.11</v>
      </c>
    </row>
    <row r="142" spans="2:22" x14ac:dyDescent="0.3">
      <c r="B142" s="1" t="s">
        <v>28</v>
      </c>
      <c r="C142" s="2">
        <f>Year_2025!Y142+Year_2025!AV142</f>
        <v>153</v>
      </c>
      <c r="D142" s="2">
        <f>Year_2025!Z142+Year_2025!AW142</f>
        <v>117</v>
      </c>
      <c r="E142" s="2">
        <f>Year_2025!AA142+Year_2025!AX142</f>
        <v>62.7</v>
      </c>
      <c r="F142" s="2">
        <f>Year_2025!AB142+Year_2025!AY142</f>
        <v>74.099999999999994</v>
      </c>
      <c r="G142" s="2">
        <f>Year_2025!AC142+Year_2025!AZ142</f>
        <v>74.099999999999994</v>
      </c>
      <c r="H142" s="2">
        <f>Year_2025!AD142+Year_2025!BA142</f>
        <v>79.800000000000011</v>
      </c>
      <c r="I142" s="2">
        <f>Year_2025!AE142+Year_2025!BB142</f>
        <v>82.649999999999991</v>
      </c>
      <c r="J142" s="2">
        <f>Year_2025!AF142+Year_2025!BC142</f>
        <v>96</v>
      </c>
      <c r="K142" s="2">
        <f>Year_2025!AG142+Year_2025!BD142</f>
        <v>117</v>
      </c>
      <c r="L142" s="2">
        <f>Year_2025!AH142+Year_2025!BE142</f>
        <v>75</v>
      </c>
      <c r="M142" s="2">
        <f>Year_2025!AI142+Year_2025!BF142</f>
        <v>84</v>
      </c>
      <c r="N142" s="2">
        <f>Year_2025!AJ142+Year_2025!BG142</f>
        <v>84</v>
      </c>
      <c r="O142" s="2">
        <f>Year_2025!AK142+Year_2025!BH142</f>
        <v>90</v>
      </c>
      <c r="P142" s="2">
        <f>Year_2025!AL142+Year_2025!BI142</f>
        <v>102</v>
      </c>
      <c r="Q142" s="2">
        <f>Year_2025!AM142+Year_2025!BJ142</f>
        <v>72</v>
      </c>
      <c r="R142" s="2">
        <f>Year_2025!AN142+Year_2025!BK142</f>
        <v>84</v>
      </c>
      <c r="S142" s="2">
        <f>Year_2025!AO142+Year_2025!BL142</f>
        <v>102</v>
      </c>
      <c r="T142" s="2">
        <f>Year_2025!AP142+Year_2025!BM142</f>
        <v>72</v>
      </c>
      <c r="U142" s="2">
        <f>Year_2025!AQ142+Year_2025!BN142</f>
        <v>99</v>
      </c>
      <c r="V142" s="2">
        <f>Year_2025!AR142+Year_2025!BO142</f>
        <v>78</v>
      </c>
    </row>
    <row r="145" spans="2:22" x14ac:dyDescent="0.3">
      <c r="B145" t="s">
        <v>63</v>
      </c>
    </row>
    <row r="146" spans="2:22" x14ac:dyDescent="0.3">
      <c r="B146" s="1" t="s">
        <v>16</v>
      </c>
      <c r="C146" s="1" t="s">
        <v>17</v>
      </c>
      <c r="D146" s="1"/>
      <c r="E146" s="1"/>
      <c r="F146" s="1"/>
      <c r="G146" s="1"/>
      <c r="H146" s="1"/>
      <c r="I146" s="1"/>
      <c r="J146" s="1"/>
      <c r="K146" s="1"/>
      <c r="L146" s="1"/>
      <c r="M146" s="1" t="s">
        <v>18</v>
      </c>
      <c r="N146" s="1"/>
      <c r="O146" s="1"/>
      <c r="P146" s="1"/>
      <c r="Q146" s="1"/>
      <c r="R146" s="1"/>
      <c r="S146" s="1"/>
      <c r="T146" s="1"/>
      <c r="U146" s="1"/>
      <c r="V146" s="1"/>
    </row>
    <row r="147" spans="2:22" x14ac:dyDescent="0.3">
      <c r="B147" s="1" t="s">
        <v>19</v>
      </c>
      <c r="C147" s="1" t="s">
        <v>1</v>
      </c>
      <c r="D147" s="1" t="s">
        <v>10</v>
      </c>
      <c r="E147" s="1" t="s">
        <v>2</v>
      </c>
      <c r="F147" s="1" t="s">
        <v>3</v>
      </c>
      <c r="G147" s="1" t="s">
        <v>4</v>
      </c>
      <c r="H147" s="1" t="s">
        <v>5</v>
      </c>
      <c r="I147" s="1" t="s">
        <v>6</v>
      </c>
      <c r="J147" s="1" t="s">
        <v>7</v>
      </c>
      <c r="K147" s="1" t="s">
        <v>8</v>
      </c>
      <c r="L147" s="1" t="s">
        <v>9</v>
      </c>
      <c r="M147" s="1" t="s">
        <v>1</v>
      </c>
      <c r="N147" s="1" t="s">
        <v>10</v>
      </c>
      <c r="O147" s="1" t="s">
        <v>2</v>
      </c>
      <c r="P147" s="1" t="s">
        <v>3</v>
      </c>
      <c r="Q147" s="1" t="s">
        <v>4</v>
      </c>
      <c r="R147" s="1" t="s">
        <v>5</v>
      </c>
      <c r="S147" s="1" t="s">
        <v>6</v>
      </c>
      <c r="T147" s="1" t="s">
        <v>7</v>
      </c>
      <c r="U147" s="1" t="s">
        <v>8</v>
      </c>
      <c r="V147" s="1" t="s">
        <v>9</v>
      </c>
    </row>
    <row r="148" spans="2:22" x14ac:dyDescent="0.3">
      <c r="B148" s="1" t="s">
        <v>20</v>
      </c>
    </row>
    <row r="149" spans="2:22" x14ac:dyDescent="0.3">
      <c r="B149" s="1" t="s">
        <v>21</v>
      </c>
      <c r="C149" s="2">
        <f>Year_2025!Y149+Year_2025!AV149</f>
        <v>8.64</v>
      </c>
      <c r="D149" s="2">
        <f>Year_2025!Z149+Year_2025!AW149</f>
        <v>18.899999999999999</v>
      </c>
      <c r="E149" s="2">
        <f>Year_2025!AA149+Year_2025!AX149</f>
        <v>6.38</v>
      </c>
      <c r="F149" s="2">
        <f>Year_2025!AB149+Year_2025!AY149</f>
        <v>2.1</v>
      </c>
      <c r="G149" s="2">
        <f>Year_2025!AC149+Year_2025!AZ149</f>
        <v>20.22</v>
      </c>
      <c r="H149" s="2">
        <f>Year_2025!AD149+Year_2025!BA149</f>
        <v>44.8</v>
      </c>
      <c r="I149" s="2">
        <f>Year_2025!AE149+Year_2025!BB149</f>
        <v>45.36</v>
      </c>
      <c r="J149" s="2">
        <f>Year_2025!AF149+Year_2025!BC149</f>
        <v>40.6</v>
      </c>
      <c r="K149" s="2">
        <f>Year_2025!AG149+Year_2025!BD149</f>
        <v>31.92</v>
      </c>
      <c r="L149" s="2">
        <f>Year_2025!AH149+Year_2025!BE149</f>
        <v>19.04</v>
      </c>
      <c r="M149" s="2">
        <f>Year_2025!AI149+Year_2025!BF149</f>
        <v>13.84</v>
      </c>
      <c r="N149" s="2">
        <f>Year_2025!AJ149+Year_2025!BG149</f>
        <v>25.2</v>
      </c>
      <c r="O149" s="2">
        <f>Year_2025!AK149+Year_2025!BH149</f>
        <v>6.38</v>
      </c>
      <c r="P149" s="2">
        <f>Year_2025!AL149+Year_2025!BI149</f>
        <v>4.32</v>
      </c>
      <c r="Q149" s="2">
        <f>Year_2025!AM149+Year_2025!BJ149</f>
        <v>20.16</v>
      </c>
      <c r="R149" s="2">
        <f>Year_2025!AN149+Year_2025!BK149</f>
        <v>58.8</v>
      </c>
      <c r="S149" s="2">
        <f>Year_2025!AO149+Year_2025!BL149</f>
        <v>65.52</v>
      </c>
      <c r="T149" s="2">
        <f>Year_2025!AP149+Year_2025!BM149</f>
        <v>44.66</v>
      </c>
      <c r="U149" s="2">
        <f>Year_2025!AQ149+Year_2025!BN149</f>
        <v>31.92</v>
      </c>
      <c r="V149" s="2">
        <f>Year_2025!AR149+Year_2025!BO149</f>
        <v>33.32</v>
      </c>
    </row>
    <row r="150" spans="2:22" x14ac:dyDescent="0.3">
      <c r="B150" s="1" t="s">
        <v>22</v>
      </c>
      <c r="C150" s="2">
        <f>Year_2025!Y150+Year_2025!AV150</f>
        <v>32.18</v>
      </c>
      <c r="D150" s="2">
        <f>Year_2025!Z150+Year_2025!AW150</f>
        <v>64.319999999999993</v>
      </c>
      <c r="E150" s="2">
        <f>Year_2025!AA150+Year_2025!AX150</f>
        <v>22.08</v>
      </c>
      <c r="F150" s="2">
        <f>Year_2025!AB150+Year_2025!AY150</f>
        <v>5.46</v>
      </c>
      <c r="G150" s="2">
        <f>Year_2025!AC150+Year_2025!AZ150</f>
        <v>30.84</v>
      </c>
      <c r="H150" s="2">
        <f>Year_2025!AD150+Year_2025!BA150</f>
        <v>35.58</v>
      </c>
      <c r="I150" s="2">
        <f>Year_2025!AE150+Year_2025!BB150</f>
        <v>50.34</v>
      </c>
      <c r="J150" s="2">
        <f>Year_2025!AF150+Year_2025!BC150</f>
        <v>43.9</v>
      </c>
      <c r="K150" s="2">
        <f>Year_2025!AG150+Year_2025!BD150</f>
        <v>58.98</v>
      </c>
      <c r="L150" s="2">
        <f>Year_2025!AH150+Year_2025!BE150</f>
        <v>42.78</v>
      </c>
      <c r="M150" s="2">
        <f>Year_2025!AI150+Year_2025!BF150</f>
        <v>21.64</v>
      </c>
      <c r="N150" s="2">
        <f>Year_2025!AJ150+Year_2025!BG150</f>
        <v>69.099999999999994</v>
      </c>
      <c r="O150" s="2">
        <f>Year_2025!AK150+Year_2025!BH150</f>
        <v>16.5</v>
      </c>
      <c r="P150" s="2">
        <f>Year_2025!AL150+Year_2025!BI150</f>
        <v>11.7</v>
      </c>
      <c r="Q150" s="2">
        <f>Year_2025!AM150+Year_2025!BJ150</f>
        <v>42.18</v>
      </c>
      <c r="R150" s="2">
        <f>Year_2025!AN150+Year_2025!BK150</f>
        <v>48.22</v>
      </c>
      <c r="S150" s="2">
        <f>Year_2025!AO150+Year_2025!BL150</f>
        <v>65.3</v>
      </c>
      <c r="T150" s="2">
        <f>Year_2025!AP150+Year_2025!BM150</f>
        <v>50.68</v>
      </c>
      <c r="U150" s="2">
        <f>Year_2025!AQ150+Year_2025!BN150</f>
        <v>53.5</v>
      </c>
      <c r="V150" s="2">
        <f>Year_2025!AR150+Year_2025!BO150</f>
        <v>55.02</v>
      </c>
    </row>
    <row r="151" spans="2:22" x14ac:dyDescent="0.3">
      <c r="B151" s="1" t="s">
        <v>23</v>
      </c>
      <c r="C151" s="2">
        <f>Year_2025!Y151+Year_2025!AV151</f>
        <v>88.14</v>
      </c>
      <c r="D151" s="2">
        <f>Year_2025!Z151+Year_2025!AW151</f>
        <v>205.8</v>
      </c>
      <c r="E151" s="2">
        <f>Year_2025!AA151+Year_2025!AX151</f>
        <v>68.94</v>
      </c>
      <c r="F151" s="2">
        <f>Year_2025!AB151+Year_2025!AY151</f>
        <v>20.14</v>
      </c>
      <c r="G151" s="2">
        <f>Year_2025!AC151+Year_2025!AZ151</f>
        <v>123.62</v>
      </c>
      <c r="H151" s="2">
        <f>Year_2025!AD151+Year_2025!BA151</f>
        <v>150.47999999999999</v>
      </c>
      <c r="I151" s="2">
        <f>Year_2025!AE151+Year_2025!BB151</f>
        <v>295.38</v>
      </c>
      <c r="J151" s="2">
        <f>Year_2025!AF151+Year_2025!BC151</f>
        <v>343.44</v>
      </c>
      <c r="K151" s="2">
        <f>Year_2025!AG151+Year_2025!BD151</f>
        <v>373.96</v>
      </c>
      <c r="L151" s="2">
        <f>Year_2025!AH151+Year_2025!BE151</f>
        <v>157.86000000000001</v>
      </c>
      <c r="M151" s="2">
        <f>Year_2025!AI151+Year_2025!BF151</f>
        <v>41.9</v>
      </c>
      <c r="N151" s="2">
        <f>Year_2025!AJ151+Year_2025!BG151</f>
        <v>192.52</v>
      </c>
      <c r="O151" s="2">
        <f>Year_2025!AK151+Year_2025!BH151</f>
        <v>8.52</v>
      </c>
      <c r="P151" s="2">
        <f>Year_2025!AL151+Year_2025!BI151</f>
        <v>74.819999999999993</v>
      </c>
      <c r="Q151" s="2">
        <f>Year_2025!AM151+Year_2025!BJ151</f>
        <v>134.82</v>
      </c>
      <c r="R151" s="2">
        <f>Year_2025!AN151+Year_2025!BK151</f>
        <v>138.94</v>
      </c>
      <c r="S151" s="2">
        <f>Year_2025!AO151+Year_2025!BL151</f>
        <v>224.58</v>
      </c>
      <c r="T151" s="2">
        <f>Year_2025!AP151+Year_2025!BM151</f>
        <v>183.64</v>
      </c>
      <c r="U151" s="2">
        <f>Year_2025!AQ151+Year_2025!BN151</f>
        <v>210.94</v>
      </c>
      <c r="V151" s="2">
        <f>Year_2025!AR151+Year_2025!BO151</f>
        <v>192.12</v>
      </c>
    </row>
    <row r="152" spans="2:22" x14ac:dyDescent="0.3">
      <c r="B152" s="1" t="s">
        <v>24</v>
      </c>
      <c r="C152" s="2">
        <f>Year_2025!Y152+Year_2025!AV152</f>
        <v>30.54</v>
      </c>
      <c r="D152" s="2">
        <f>Year_2025!Z152+Year_2025!AW152</f>
        <v>90.62</v>
      </c>
      <c r="E152" s="2">
        <f>Year_2025!AA152+Year_2025!AX152</f>
        <v>26.28</v>
      </c>
      <c r="F152" s="2">
        <f>Year_2025!AB152+Year_2025!AY152</f>
        <v>8.98</v>
      </c>
      <c r="G152" s="2">
        <f>Year_2025!AC152+Year_2025!AZ152</f>
        <v>54.9</v>
      </c>
      <c r="H152" s="2">
        <f>Year_2025!AD152+Year_2025!BA152</f>
        <v>72.319999999999993</v>
      </c>
      <c r="I152" s="2">
        <f>Year_2025!AE152+Year_2025!BB152</f>
        <v>121.12</v>
      </c>
      <c r="J152" s="2">
        <f>Year_2025!AF152+Year_2025!BC152</f>
        <v>105.48</v>
      </c>
      <c r="K152" s="2">
        <f>Year_2025!AG152+Year_2025!BD152</f>
        <v>127.44</v>
      </c>
      <c r="L152" s="2">
        <f>Year_2025!AH152+Year_2025!BE152</f>
        <v>86.36</v>
      </c>
      <c r="M152" s="2">
        <f>Year_2025!AI152+Year_2025!BF152</f>
        <v>16.78</v>
      </c>
      <c r="N152" s="2">
        <f>Year_2025!AJ152+Year_2025!BG152</f>
        <v>84.82</v>
      </c>
      <c r="O152" s="2">
        <f>Year_2025!AK152+Year_2025!BH152</f>
        <v>11.68</v>
      </c>
      <c r="P152" s="2">
        <f>Year_2025!AL152+Year_2025!BI152</f>
        <v>13.38</v>
      </c>
      <c r="Q152" s="2">
        <f>Year_2025!AM152+Year_2025!BJ152</f>
        <v>40.5</v>
      </c>
      <c r="R152" s="2">
        <f>Year_2025!AN152+Year_2025!BK152</f>
        <v>44.28</v>
      </c>
      <c r="S152" s="2">
        <f>Year_2025!AO152+Year_2025!BL152</f>
        <v>66.56</v>
      </c>
      <c r="T152" s="2">
        <f>Year_2025!AP152+Year_2025!BM152</f>
        <v>55.56</v>
      </c>
      <c r="U152" s="2">
        <f>Year_2025!AQ152+Year_2025!BN152</f>
        <v>90.26</v>
      </c>
      <c r="V152" s="2">
        <f>Year_2025!AR152+Year_2025!BO152</f>
        <v>59.54</v>
      </c>
    </row>
    <row r="153" spans="2:22" x14ac:dyDescent="0.3">
      <c r="B153" s="1" t="s">
        <v>25</v>
      </c>
      <c r="C153" s="2">
        <f>Year_2025!Y153+Year_2025!AV153</f>
        <v>78.16</v>
      </c>
      <c r="D153" s="2">
        <f>Year_2025!Z153+Year_2025!AW153</f>
        <v>363.44</v>
      </c>
      <c r="E153" s="2">
        <f>Year_2025!AA153+Year_2025!AX153</f>
        <v>76.02</v>
      </c>
      <c r="F153" s="2">
        <f>Year_2025!AB153+Year_2025!AY153</f>
        <v>24.9</v>
      </c>
      <c r="G153" s="2">
        <f>Year_2025!AC153+Year_2025!AZ153</f>
        <v>180.56</v>
      </c>
      <c r="H153" s="2">
        <f>Year_2025!AD153+Year_2025!BA153</f>
        <v>228.52</v>
      </c>
      <c r="I153" s="2">
        <f>Year_2025!AE153+Year_2025!BB153</f>
        <v>322.72000000000003</v>
      </c>
      <c r="J153" s="2">
        <f>Year_2025!AF153+Year_2025!BC153</f>
        <v>275.42</v>
      </c>
      <c r="K153" s="2">
        <f>Year_2025!AG153+Year_2025!BD153</f>
        <v>366.94</v>
      </c>
      <c r="L153" s="2">
        <f>Year_2025!AH153+Year_2025!BE153</f>
        <v>328.84</v>
      </c>
      <c r="M153" s="2">
        <f>Year_2025!AI153+Year_2025!BF153</f>
        <v>93.36</v>
      </c>
      <c r="N153" s="2">
        <f>Year_2025!AJ153+Year_2025!BG153</f>
        <v>348</v>
      </c>
      <c r="O153" s="2">
        <f>Year_2025!AK153+Year_2025!BH153</f>
        <v>61.26</v>
      </c>
      <c r="P153" s="2">
        <f>Year_2025!AL153+Year_2025!BI153</f>
        <v>44.54</v>
      </c>
      <c r="Q153" s="2">
        <f>Year_2025!AM153+Year_2025!BJ153</f>
        <v>164.62</v>
      </c>
      <c r="R153" s="2">
        <f>Year_2025!AN153+Year_2025!BK153</f>
        <v>219.72</v>
      </c>
      <c r="S153" s="2">
        <f>Year_2025!AO153+Year_2025!BL153</f>
        <v>312.39999999999998</v>
      </c>
      <c r="T153" s="2">
        <f>Year_2025!AP153+Year_2025!BM153</f>
        <v>270.44</v>
      </c>
      <c r="U153" s="2">
        <f>Year_2025!AQ153+Year_2025!BN153</f>
        <v>343.66</v>
      </c>
      <c r="V153" s="2">
        <f>Year_2025!AR153+Year_2025!BO153</f>
        <v>263.83999999999997</v>
      </c>
    </row>
    <row r="154" spans="2:22" x14ac:dyDescent="0.3">
      <c r="B154" s="1" t="s">
        <v>26</v>
      </c>
      <c r="C154" s="2">
        <f>Year_2025!Y154+Year_2025!AV154</f>
        <v>20.7</v>
      </c>
      <c r="D154" s="2">
        <f>Year_2025!Z154+Year_2025!AW154</f>
        <v>60.12</v>
      </c>
      <c r="E154" s="2">
        <f>Year_2025!AA154+Year_2025!AX154</f>
        <v>18.440000000000001</v>
      </c>
      <c r="F154" s="2">
        <f>Year_2025!AB154+Year_2025!AY154</f>
        <v>5.86</v>
      </c>
      <c r="G154" s="2">
        <f>Year_2025!AC154+Year_2025!AZ154</f>
        <v>20.74</v>
      </c>
      <c r="H154" s="2">
        <f>Year_2025!AD154+Year_2025!BA154</f>
        <v>23.54</v>
      </c>
      <c r="I154" s="2">
        <f>Year_2025!AE154+Year_2025!BB154</f>
        <v>49.38</v>
      </c>
      <c r="J154" s="2">
        <f>Year_2025!AF154+Year_2025!BC154</f>
        <v>44.6</v>
      </c>
      <c r="K154" s="2">
        <f>Year_2025!AG154+Year_2025!BD154</f>
        <v>56.78</v>
      </c>
      <c r="L154" s="2">
        <f>Year_2025!AH154+Year_2025!BE154</f>
        <v>57.82</v>
      </c>
      <c r="M154" s="2">
        <f>Year_2025!AI154+Year_2025!BF154</f>
        <v>8.06</v>
      </c>
      <c r="N154" s="2">
        <f>Year_2025!AJ154+Year_2025!BG154</f>
        <v>45.48</v>
      </c>
      <c r="O154" s="2">
        <f>Year_2025!AK154+Year_2025!BH154</f>
        <v>7.74</v>
      </c>
      <c r="P154" s="2">
        <f>Year_2025!AL154+Year_2025!BI154</f>
        <v>4.6399999999999997</v>
      </c>
      <c r="Q154" s="2">
        <f>Year_2025!AM154+Year_2025!BJ154</f>
        <v>15.12</v>
      </c>
      <c r="R154" s="2">
        <f>Year_2025!AN154+Year_2025!BK154</f>
        <v>31.02</v>
      </c>
      <c r="S154" s="2">
        <f>Year_2025!AO154+Year_2025!BL154</f>
        <v>44.38</v>
      </c>
      <c r="T154" s="2">
        <f>Year_2025!AP154+Year_2025!BM154</f>
        <v>32.64</v>
      </c>
      <c r="U154" s="2">
        <f>Year_2025!AQ154+Year_2025!BN154</f>
        <v>54.76</v>
      </c>
      <c r="V154" s="2">
        <f>Year_2025!AR154+Year_2025!BO154</f>
        <v>28.68</v>
      </c>
    </row>
    <row r="155" spans="2:22" x14ac:dyDescent="0.3">
      <c r="B155" s="1" t="s">
        <v>27</v>
      </c>
      <c r="C155" s="2">
        <f>Year_2025!Y155+Year_2025!AV155</f>
        <v>37.86</v>
      </c>
      <c r="D155" s="2">
        <f>Year_2025!Z155+Year_2025!AW155</f>
        <v>114.9</v>
      </c>
      <c r="E155" s="2">
        <f>Year_2025!AA155+Year_2025!AX155</f>
        <v>28.1</v>
      </c>
      <c r="F155" s="2">
        <f>Year_2025!AB155+Year_2025!AY155</f>
        <v>13.42</v>
      </c>
      <c r="G155" s="2">
        <f>Year_2025!AC155+Year_2025!AZ155</f>
        <v>54.2</v>
      </c>
      <c r="H155" s="2">
        <f>Year_2025!AD155+Year_2025!BA155</f>
        <v>66.5</v>
      </c>
      <c r="I155" s="2">
        <f>Year_2025!AE155+Year_2025!BB155</f>
        <v>101.02</v>
      </c>
      <c r="J155" s="2">
        <f>Year_2025!AF155+Year_2025!BC155</f>
        <v>78.86</v>
      </c>
      <c r="K155" s="2">
        <f>Year_2025!AG155+Year_2025!BD155</f>
        <v>127.9</v>
      </c>
      <c r="L155" s="2">
        <f>Year_2025!AH155+Year_2025!BE155</f>
        <v>107.82</v>
      </c>
      <c r="M155" s="2">
        <f>Year_2025!AI155+Year_2025!BF155</f>
        <v>46.66</v>
      </c>
      <c r="N155" s="2">
        <f>Year_2025!AJ155+Year_2025!BG155</f>
        <v>87.74</v>
      </c>
      <c r="O155" s="2">
        <f>Year_2025!AK155+Year_2025!BH155</f>
        <v>33.159999999999997</v>
      </c>
      <c r="P155" s="2">
        <f>Year_2025!AL155+Year_2025!BI155</f>
        <v>16.98</v>
      </c>
      <c r="Q155" s="2">
        <f>Year_2025!AM155+Year_2025!BJ155</f>
        <v>59.7</v>
      </c>
      <c r="R155" s="2">
        <f>Year_2025!AN155+Year_2025!BK155</f>
        <v>71.58</v>
      </c>
      <c r="S155" s="2">
        <f>Year_2025!AO155+Year_2025!BL155</f>
        <v>114.6</v>
      </c>
      <c r="T155" s="2">
        <f>Year_2025!AP155+Year_2025!BM155</f>
        <v>93.12</v>
      </c>
      <c r="U155" s="2">
        <f>Year_2025!AQ155+Year_2025!BN155</f>
        <v>123.8</v>
      </c>
      <c r="V155" s="2">
        <f>Year_2025!AR155+Year_2025!BO155</f>
        <v>78.08</v>
      </c>
    </row>
    <row r="156" spans="2:22" x14ac:dyDescent="0.3">
      <c r="B156" s="1" t="s">
        <v>28</v>
      </c>
      <c r="C156" s="2">
        <f>Year_2025!Y156+Year_2025!AV156</f>
        <v>7.96</v>
      </c>
      <c r="D156" s="2">
        <f>Year_2025!Z156+Year_2025!AW156</f>
        <v>22.06</v>
      </c>
      <c r="E156" s="2">
        <f>Year_2025!AA156+Year_2025!AX156</f>
        <v>1.1200000000000001</v>
      </c>
      <c r="F156" s="2">
        <f>Year_2025!AB156+Year_2025!AY156</f>
        <v>0.42</v>
      </c>
      <c r="G156" s="2">
        <f>Year_2025!AC156+Year_2025!AZ156</f>
        <v>4.0999999999999996</v>
      </c>
      <c r="H156" s="2">
        <f>Year_2025!AD156+Year_2025!BA156</f>
        <v>14.7</v>
      </c>
      <c r="I156" s="2">
        <f>Year_2025!AE156+Year_2025!BB156</f>
        <v>30.88</v>
      </c>
      <c r="J156" s="2">
        <f>Year_2025!AF156+Year_2025!BC156</f>
        <v>24.88</v>
      </c>
      <c r="K156" s="2">
        <f>Year_2025!AG156+Year_2025!BD156</f>
        <v>18.64</v>
      </c>
      <c r="L156" s="2">
        <f>Year_2025!AH156+Year_2025!BE156</f>
        <v>8.52</v>
      </c>
      <c r="M156" s="2">
        <f>Year_2025!AI156+Year_2025!BF156</f>
        <v>14.3</v>
      </c>
      <c r="N156" s="2">
        <f>Year_2025!AJ156+Year_2025!BG156</f>
        <v>27.54</v>
      </c>
      <c r="O156" s="2">
        <f>Year_2025!AK156+Year_2025!BH156</f>
        <v>1.48</v>
      </c>
      <c r="P156" s="2">
        <f>Year_2025!AL156+Year_2025!BI156</f>
        <v>1.82</v>
      </c>
      <c r="Q156" s="2">
        <f>Year_2025!AM156+Year_2025!BJ156</f>
        <v>10.4</v>
      </c>
      <c r="R156" s="2">
        <f>Year_2025!AN156+Year_2025!BK156</f>
        <v>22</v>
      </c>
      <c r="S156" s="2">
        <f>Year_2025!AO156+Year_2025!BL156</f>
        <v>26.34</v>
      </c>
      <c r="T156" s="2">
        <f>Year_2025!AP156+Year_2025!BM156</f>
        <v>14.18</v>
      </c>
      <c r="U156" s="2">
        <f>Year_2025!AQ156+Year_2025!BN156</f>
        <v>9.3000000000000007</v>
      </c>
      <c r="V156" s="2">
        <f>Year_2025!AR156+Year_2025!BO156</f>
        <v>8.34</v>
      </c>
    </row>
    <row r="159" spans="2:22" x14ac:dyDescent="0.3">
      <c r="B159" t="s">
        <v>65</v>
      </c>
    </row>
    <row r="160" spans="2:22" x14ac:dyDescent="0.3">
      <c r="B160" s="1" t="s">
        <v>16</v>
      </c>
      <c r="C160" s="1" t="s">
        <v>17</v>
      </c>
      <c r="D160" s="1" t="s">
        <v>18</v>
      </c>
      <c r="E160" s="1" t="s">
        <v>17</v>
      </c>
      <c r="F160" s="1" t="s">
        <v>18</v>
      </c>
      <c r="G160" s="1" t="s">
        <v>17</v>
      </c>
      <c r="H160" s="1" t="s">
        <v>18</v>
      </c>
      <c r="I160" s="1" t="s">
        <v>17</v>
      </c>
      <c r="J160" s="1" t="s">
        <v>18</v>
      </c>
      <c r="K160" s="1" t="s">
        <v>17</v>
      </c>
      <c r="L160" s="1" t="s">
        <v>18</v>
      </c>
      <c r="M160" s="1" t="s">
        <v>17</v>
      </c>
      <c r="N160" s="1" t="s">
        <v>18</v>
      </c>
      <c r="O160" s="1" t="s">
        <v>17</v>
      </c>
      <c r="P160" s="1" t="s">
        <v>18</v>
      </c>
      <c r="Q160" s="1" t="s">
        <v>17</v>
      </c>
      <c r="R160" s="1" t="s">
        <v>18</v>
      </c>
      <c r="S160" s="1" t="s">
        <v>17</v>
      </c>
      <c r="T160" s="1" t="s">
        <v>18</v>
      </c>
      <c r="U160" s="1" t="s">
        <v>17</v>
      </c>
      <c r="V160" s="1" t="s">
        <v>18</v>
      </c>
    </row>
    <row r="161" spans="2:22" x14ac:dyDescent="0.3">
      <c r="B161" s="1" t="s">
        <v>19</v>
      </c>
      <c r="C161" s="1" t="s">
        <v>1</v>
      </c>
      <c r="D161" s="1" t="s">
        <v>1</v>
      </c>
      <c r="E161" s="1" t="s">
        <v>2</v>
      </c>
      <c r="F161" s="1" t="s">
        <v>2</v>
      </c>
      <c r="G161" s="1" t="s">
        <v>3</v>
      </c>
      <c r="H161" s="1" t="s">
        <v>3</v>
      </c>
      <c r="I161" s="1" t="s">
        <v>4</v>
      </c>
      <c r="J161" s="1" t="s">
        <v>4</v>
      </c>
      <c r="K161" s="1" t="s">
        <v>5</v>
      </c>
      <c r="L161" s="1" t="s">
        <v>5</v>
      </c>
      <c r="M161" s="1" t="s">
        <v>6</v>
      </c>
      <c r="N161" s="1" t="s">
        <v>6</v>
      </c>
      <c r="O161" s="1" t="s">
        <v>7</v>
      </c>
      <c r="P161" s="1" t="s">
        <v>7</v>
      </c>
      <c r="Q161" s="1" t="s">
        <v>8</v>
      </c>
      <c r="R161" s="1" t="s">
        <v>8</v>
      </c>
      <c r="S161" s="1" t="s">
        <v>9</v>
      </c>
      <c r="T161" s="1" t="s">
        <v>9</v>
      </c>
      <c r="U161" s="1" t="s">
        <v>10</v>
      </c>
      <c r="V161" s="1" t="s">
        <v>10</v>
      </c>
    </row>
    <row r="162" spans="2:22" x14ac:dyDescent="0.3">
      <c r="B162" s="1" t="s">
        <v>20</v>
      </c>
    </row>
    <row r="163" spans="2:22" x14ac:dyDescent="0.3">
      <c r="B163" s="1" t="s">
        <v>21</v>
      </c>
      <c r="C163" s="2">
        <f>Year_2025!Y163+Year_2025!AV163</f>
        <v>6.66</v>
      </c>
      <c r="D163" s="2">
        <f>Year_2025!Z163+Year_2025!AW163</f>
        <v>10.64</v>
      </c>
      <c r="E163" s="2">
        <f>Year_2025!AA163+Year_2025!AX163</f>
        <v>4.9000000000000004</v>
      </c>
      <c r="F163" s="2">
        <f>Year_2025!AB163+Year_2025!AY163</f>
        <v>4.9000000000000004</v>
      </c>
      <c r="G163" s="2">
        <f>Year_2025!AC163+Year_2025!AZ163</f>
        <v>4.2</v>
      </c>
      <c r="H163" s="2">
        <f>Year_2025!AD163+Year_2025!BA163</f>
        <v>8.64</v>
      </c>
      <c r="I163" s="2">
        <f>Year_2025!AE163+Year_2025!BB163</f>
        <v>12.64</v>
      </c>
      <c r="J163" s="2">
        <f>Year_2025!AF163+Year_2025!BC163</f>
        <v>12.6</v>
      </c>
      <c r="K163" s="2">
        <f>Year_2025!AG163+Year_2025!BD163</f>
        <v>22.4</v>
      </c>
      <c r="L163" s="2">
        <f>Year_2025!AH163+Year_2025!BE163</f>
        <v>29.4</v>
      </c>
      <c r="M163" s="2">
        <f>Year_2025!AI163+Year_2025!BF163</f>
        <v>12.6</v>
      </c>
      <c r="N163" s="2">
        <f>Year_2025!AJ163+Year_2025!BG163</f>
        <v>18.2</v>
      </c>
      <c r="O163" s="2">
        <f>Year_2025!AK163+Year_2025!BH163</f>
        <v>14</v>
      </c>
      <c r="P163" s="2">
        <f>Year_2025!AL163+Year_2025!BI163</f>
        <v>15.4</v>
      </c>
      <c r="Q163" s="2">
        <f>Year_2025!AM163+Year_2025!BJ163</f>
        <v>8.4</v>
      </c>
      <c r="R163" s="2">
        <f>Year_2025!AN163+Year_2025!BK163</f>
        <v>8.4</v>
      </c>
      <c r="S163" s="2">
        <f>Year_2025!AO163+Year_2025!BL163</f>
        <v>5.6</v>
      </c>
      <c r="T163" s="2">
        <f>Year_2025!AP163+Year_2025!BM163</f>
        <v>9.8000000000000007</v>
      </c>
      <c r="U163" s="2">
        <f>Year_2025!AQ163+Year_2025!BN163</f>
        <v>4.2</v>
      </c>
      <c r="V163" s="2">
        <f>Year_2025!AR163+Year_2025!BO163</f>
        <v>5.6</v>
      </c>
    </row>
    <row r="164" spans="2:22" x14ac:dyDescent="0.3">
      <c r="B164" s="1" t="s">
        <v>22</v>
      </c>
      <c r="C164" s="2">
        <f>Year_2025!Y164+Year_2025!AV164</f>
        <v>24.76</v>
      </c>
      <c r="D164" s="2">
        <f>Year_2025!Z164+Year_2025!AW164</f>
        <v>16.66</v>
      </c>
      <c r="E164" s="2">
        <f>Year_2025!AA164+Year_2025!AX164</f>
        <v>17</v>
      </c>
      <c r="F164" s="2">
        <f>Year_2025!AB164+Year_2025!AY164</f>
        <v>12.7</v>
      </c>
      <c r="G164" s="2">
        <f>Year_2025!AC164+Year_2025!AZ164</f>
        <v>10.92</v>
      </c>
      <c r="H164" s="2">
        <f>Year_2025!AD164+Year_2025!BA164</f>
        <v>23.4</v>
      </c>
      <c r="I164" s="2">
        <f>Year_2025!AE164+Year_2025!BB164</f>
        <v>19.28</v>
      </c>
      <c r="J164" s="2">
        <f>Year_2025!AF164+Year_2025!BC164</f>
        <v>26.36</v>
      </c>
      <c r="K164" s="2">
        <f>Year_2025!AG164+Year_2025!BD164</f>
        <v>17.8</v>
      </c>
      <c r="L164" s="2">
        <f>Year_2025!AH164+Year_2025!BE164</f>
        <v>24.12</v>
      </c>
      <c r="M164" s="2">
        <f>Year_2025!AI164+Year_2025!BF164</f>
        <v>13.98</v>
      </c>
      <c r="N164" s="2">
        <f>Year_2025!AJ164+Year_2025!BG164</f>
        <v>18.14</v>
      </c>
      <c r="O164" s="2">
        <f>Year_2025!AK164+Year_2025!BH164</f>
        <v>15.14</v>
      </c>
      <c r="P164" s="2">
        <f>Year_2025!AL164+Year_2025!BI164</f>
        <v>17.48</v>
      </c>
      <c r="Q164" s="2">
        <f>Year_2025!AM164+Year_2025!BJ164</f>
        <v>15.52</v>
      </c>
      <c r="R164" s="2">
        <f>Year_2025!AN164+Year_2025!BK164</f>
        <v>14.08</v>
      </c>
      <c r="S164" s="2">
        <f>Year_2025!AO164+Year_2025!BL164</f>
        <v>12.58</v>
      </c>
      <c r="T164" s="2">
        <f>Year_2025!AP164+Year_2025!BM164</f>
        <v>16.18</v>
      </c>
      <c r="U164" s="2">
        <f>Year_2025!AQ164+Year_2025!BN164</f>
        <v>14.3</v>
      </c>
      <c r="V164" s="2">
        <f>Year_2025!AR164+Year_2025!BO164</f>
        <v>15.36</v>
      </c>
    </row>
    <row r="165" spans="2:22" x14ac:dyDescent="0.3">
      <c r="B165" s="1" t="s">
        <v>23</v>
      </c>
      <c r="C165" s="2">
        <f>Year_2025!Y165+Year_2025!AV165</f>
        <v>67.8</v>
      </c>
      <c r="D165" s="2">
        <f>Year_2025!Z165+Year_2025!AW165</f>
        <v>32.22</v>
      </c>
      <c r="E165" s="2">
        <f>Year_2025!AA165+Year_2025!AX165</f>
        <v>53.04</v>
      </c>
      <c r="F165" s="2">
        <f>Year_2025!AB165+Year_2025!AY165</f>
        <v>6.56</v>
      </c>
      <c r="G165" s="2">
        <f>Year_2025!AC165+Year_2025!AZ165</f>
        <v>40.28</v>
      </c>
      <c r="H165" s="2">
        <f>Year_2025!AD165+Year_2025!BA165</f>
        <v>149.63999999999999</v>
      </c>
      <c r="I165" s="2">
        <f>Year_2025!AE165+Year_2025!BB165</f>
        <v>77.260000000000005</v>
      </c>
      <c r="J165" s="2">
        <f>Year_2025!AF165+Year_2025!BC165</f>
        <v>84.26</v>
      </c>
      <c r="K165" s="2">
        <f>Year_2025!AG165+Year_2025!BD165</f>
        <v>75.239999999999995</v>
      </c>
      <c r="L165" s="2">
        <f>Year_2025!AH165+Year_2025!BE165</f>
        <v>69.48</v>
      </c>
      <c r="M165" s="2">
        <f>Year_2025!AI165+Year_2025!BF165</f>
        <v>82.06</v>
      </c>
      <c r="N165" s="2">
        <f>Year_2025!AJ165+Year_2025!BG165</f>
        <v>62.38</v>
      </c>
      <c r="O165" s="2">
        <f>Year_2025!AK165+Year_2025!BH165</f>
        <v>118.44</v>
      </c>
      <c r="P165" s="2">
        <f>Year_2025!AL165+Year_2025!BI165</f>
        <v>63.32</v>
      </c>
      <c r="Q165" s="2">
        <f>Year_2025!AM165+Year_2025!BJ165</f>
        <v>98.4</v>
      </c>
      <c r="R165" s="2">
        <f>Year_2025!AN165+Year_2025!BK165</f>
        <v>55.52</v>
      </c>
      <c r="S165" s="2">
        <f>Year_2025!AO165+Year_2025!BL165</f>
        <v>46.44</v>
      </c>
      <c r="T165" s="2">
        <f>Year_2025!AP165+Year_2025!BM165</f>
        <v>56.5</v>
      </c>
      <c r="U165" s="2">
        <f>Year_2025!AQ165+Year_2025!BN165</f>
        <v>45.74</v>
      </c>
      <c r="V165" s="2">
        <f>Year_2025!AR165+Year_2025!BO165</f>
        <v>42.78</v>
      </c>
    </row>
    <row r="166" spans="2:22" x14ac:dyDescent="0.3">
      <c r="B166" s="1" t="s">
        <v>24</v>
      </c>
      <c r="C166" s="2">
        <f>Year_2025!Y166+Year_2025!AV166</f>
        <v>23.5</v>
      </c>
      <c r="D166" s="2">
        <f>Year_2025!Z166+Year_2025!AW166</f>
        <v>12.9</v>
      </c>
      <c r="E166" s="2">
        <f>Year_2025!AA166+Year_2025!AX166</f>
        <v>20.2</v>
      </c>
      <c r="F166" s="2">
        <f>Year_2025!AB166+Year_2025!AY166</f>
        <v>8.98</v>
      </c>
      <c r="G166" s="2">
        <f>Year_2025!AC166+Year_2025!AZ166</f>
        <v>17.940000000000001</v>
      </c>
      <c r="H166" s="2">
        <f>Year_2025!AD166+Year_2025!BA166</f>
        <v>26.76</v>
      </c>
      <c r="I166" s="2">
        <f>Year_2025!AE166+Year_2025!BB166</f>
        <v>34.32</v>
      </c>
      <c r="J166" s="2">
        <f>Year_2025!AF166+Year_2025!BC166</f>
        <v>25.32</v>
      </c>
      <c r="K166" s="2">
        <f>Year_2025!AG166+Year_2025!BD166</f>
        <v>36.159999999999997</v>
      </c>
      <c r="L166" s="2">
        <f>Year_2025!AH166+Year_2025!BE166</f>
        <v>22.14</v>
      </c>
      <c r="M166" s="2">
        <f>Year_2025!AI166+Year_2025!BF166</f>
        <v>33.64</v>
      </c>
      <c r="N166" s="2">
        <f>Year_2025!AJ166+Year_2025!BG166</f>
        <v>18.5</v>
      </c>
      <c r="O166" s="2">
        <f>Year_2025!AK166+Year_2025!BH166</f>
        <v>36.380000000000003</v>
      </c>
      <c r="P166" s="2">
        <f>Year_2025!AL166+Year_2025!BI166</f>
        <v>19.16</v>
      </c>
      <c r="Q166" s="2">
        <f>Year_2025!AM166+Year_2025!BJ166</f>
        <v>33.54</v>
      </c>
      <c r="R166" s="2">
        <f>Year_2025!AN166+Year_2025!BK166</f>
        <v>23.76</v>
      </c>
      <c r="S166" s="2">
        <f>Year_2025!AO166+Year_2025!BL166</f>
        <v>25.4</v>
      </c>
      <c r="T166" s="2">
        <f>Year_2025!AP166+Year_2025!BM166</f>
        <v>17.52</v>
      </c>
      <c r="U166" s="2">
        <f>Year_2025!AQ166+Year_2025!BN166</f>
        <v>20.14</v>
      </c>
      <c r="V166" s="2">
        <f>Year_2025!AR166+Year_2025!BO166</f>
        <v>18.84</v>
      </c>
    </row>
    <row r="167" spans="2:22" x14ac:dyDescent="0.3">
      <c r="B167" s="1" t="s">
        <v>25</v>
      </c>
      <c r="C167" s="2">
        <f>Year_2025!Y167+Year_2025!AV167</f>
        <v>60.12</v>
      </c>
      <c r="D167" s="2">
        <f>Year_2025!Z167+Year_2025!AW167</f>
        <v>71.819999999999993</v>
      </c>
      <c r="E167" s="2">
        <f>Year_2025!AA167+Year_2025!AX167</f>
        <v>58.48</v>
      </c>
      <c r="F167" s="2">
        <f>Year_2025!AB167+Year_2025!AY167</f>
        <v>47.12</v>
      </c>
      <c r="G167" s="2">
        <f>Year_2025!AC167+Year_2025!AZ167</f>
        <v>49.8</v>
      </c>
      <c r="H167" s="2">
        <f>Year_2025!AD167+Year_2025!BA167</f>
        <v>89.08</v>
      </c>
      <c r="I167" s="2">
        <f>Year_2025!AE167+Year_2025!BB167</f>
        <v>112.86</v>
      </c>
      <c r="J167" s="2">
        <f>Year_2025!AF167+Year_2025!BC167</f>
        <v>102.9</v>
      </c>
      <c r="K167" s="2">
        <f>Year_2025!AG167+Year_2025!BD167</f>
        <v>114.26</v>
      </c>
      <c r="L167" s="2">
        <f>Year_2025!AH167+Year_2025!BE167</f>
        <v>109.86</v>
      </c>
      <c r="M167" s="2">
        <f>Year_2025!AI167+Year_2025!BF167</f>
        <v>89.64</v>
      </c>
      <c r="N167" s="2">
        <f>Year_2025!AJ167+Year_2025!BG167</f>
        <v>86.78</v>
      </c>
      <c r="O167" s="2">
        <f>Year_2025!AK167+Year_2025!BH167</f>
        <v>94.98</v>
      </c>
      <c r="P167" s="2">
        <f>Year_2025!AL167+Year_2025!BI167</f>
        <v>93.26</v>
      </c>
      <c r="Q167" s="2">
        <f>Year_2025!AM167+Year_2025!BJ167</f>
        <v>96.56</v>
      </c>
      <c r="R167" s="2">
        <f>Year_2025!AN167+Year_2025!BK167</f>
        <v>90.44</v>
      </c>
      <c r="S167" s="2">
        <f>Year_2025!AO167+Year_2025!BL167</f>
        <v>96.72</v>
      </c>
      <c r="T167" s="2">
        <f>Year_2025!AP167+Year_2025!BM167</f>
        <v>77.599999999999994</v>
      </c>
      <c r="U167" s="2">
        <f>Year_2025!AQ167+Year_2025!BN167</f>
        <v>80.760000000000005</v>
      </c>
      <c r="V167" s="2">
        <f>Year_2025!AR167+Year_2025!BO167</f>
        <v>77.34</v>
      </c>
    </row>
    <row r="168" spans="2:22" x14ac:dyDescent="0.3">
      <c r="B168" s="1" t="s">
        <v>26</v>
      </c>
      <c r="C168" s="2">
        <f>Year_2025!Y168+Year_2025!AV168</f>
        <v>15.92</v>
      </c>
      <c r="D168" s="2">
        <f>Year_2025!Z168+Year_2025!AW168</f>
        <v>6.2</v>
      </c>
      <c r="E168" s="2">
        <f>Year_2025!AA168+Year_2025!AX168</f>
        <v>14.18</v>
      </c>
      <c r="F168" s="2">
        <f>Year_2025!AB168+Year_2025!AY168</f>
        <v>5.96</v>
      </c>
      <c r="G168" s="2">
        <f>Year_2025!AC168+Year_2025!AZ168</f>
        <v>11.72</v>
      </c>
      <c r="H168" s="2">
        <f>Year_2025!AD168+Year_2025!BA168</f>
        <v>9.3000000000000007</v>
      </c>
      <c r="I168" s="2">
        <f>Year_2025!AE168+Year_2025!BB168</f>
        <v>12.96</v>
      </c>
      <c r="J168" s="2">
        <f>Year_2025!AF168+Year_2025!BC168</f>
        <v>9.44</v>
      </c>
      <c r="K168" s="2">
        <f>Year_2025!AG168+Year_2025!BD168</f>
        <v>11.76</v>
      </c>
      <c r="L168" s="2">
        <f>Year_2025!AH168+Year_2025!BE168</f>
        <v>15.5</v>
      </c>
      <c r="M168" s="2">
        <f>Year_2025!AI168+Year_2025!BF168</f>
        <v>13.72</v>
      </c>
      <c r="N168" s="2">
        <f>Year_2025!AJ168+Year_2025!BG168</f>
        <v>12.34</v>
      </c>
      <c r="O168" s="2">
        <f>Year_2025!AK168+Year_2025!BH168</f>
        <v>15.38</v>
      </c>
      <c r="P168" s="2">
        <f>Year_2025!AL168+Year_2025!BI168</f>
        <v>11.26</v>
      </c>
      <c r="Q168" s="2">
        <f>Year_2025!AM168+Year_2025!BJ168</f>
        <v>14.94</v>
      </c>
      <c r="R168" s="2">
        <f>Year_2025!AN168+Year_2025!BK168</f>
        <v>14.42</v>
      </c>
      <c r="S168" s="2">
        <f>Year_2025!AO168+Year_2025!BL168</f>
        <v>17</v>
      </c>
      <c r="T168" s="2">
        <f>Year_2025!AP168+Year_2025!BM168</f>
        <v>8.44</v>
      </c>
      <c r="U168" s="2">
        <f>Year_2025!AQ168+Year_2025!BN168</f>
        <v>13.36</v>
      </c>
      <c r="V168" s="2">
        <f>Year_2025!AR168+Year_2025!BO168</f>
        <v>10.1</v>
      </c>
    </row>
    <row r="169" spans="2:22" x14ac:dyDescent="0.3">
      <c r="B169" s="1" t="s">
        <v>27</v>
      </c>
      <c r="C169" s="2">
        <f>Year_2025!Y169+Year_2025!AV169</f>
        <v>29.12</v>
      </c>
      <c r="D169" s="2">
        <f>Year_2025!Z169+Year_2025!AW169</f>
        <v>35.880000000000003</v>
      </c>
      <c r="E169" s="2">
        <f>Year_2025!AA169+Year_2025!AX169</f>
        <v>21.62</v>
      </c>
      <c r="F169" s="2">
        <f>Year_2025!AB169+Year_2025!AY169</f>
        <v>25.52</v>
      </c>
      <c r="G169" s="2">
        <f>Year_2025!AC169+Year_2025!AZ169</f>
        <v>26.82</v>
      </c>
      <c r="H169" s="2">
        <f>Year_2025!AD169+Year_2025!BA169</f>
        <v>33.96</v>
      </c>
      <c r="I169" s="2">
        <f>Year_2025!AE169+Year_2025!BB169</f>
        <v>33.880000000000003</v>
      </c>
      <c r="J169" s="2">
        <f>Year_2025!AF169+Year_2025!BC169</f>
        <v>37.32</v>
      </c>
      <c r="K169" s="2">
        <f>Year_2025!AG169+Year_2025!BD169</f>
        <v>33.26</v>
      </c>
      <c r="L169" s="2">
        <f>Year_2025!AH169+Year_2025!BE169</f>
        <v>35.78</v>
      </c>
      <c r="M169" s="2">
        <f>Year_2025!AI169+Year_2025!BF169</f>
        <v>28.06</v>
      </c>
      <c r="N169" s="2">
        <f>Year_2025!AJ169+Year_2025!BG169</f>
        <v>31.84</v>
      </c>
      <c r="O169" s="2">
        <f>Year_2025!AK169+Year_2025!BH169</f>
        <v>27.2</v>
      </c>
      <c r="P169" s="2">
        <f>Year_2025!AL169+Year_2025!BI169</f>
        <v>32.1</v>
      </c>
      <c r="Q169" s="2">
        <f>Year_2025!AM169+Year_2025!BJ169</f>
        <v>33.659999999999997</v>
      </c>
      <c r="R169" s="2">
        <f>Year_2025!AN169+Year_2025!BK169</f>
        <v>32.58</v>
      </c>
      <c r="S169" s="2">
        <f>Year_2025!AO169+Year_2025!BL169</f>
        <v>31.72</v>
      </c>
      <c r="T169" s="2">
        <f>Year_2025!AP169+Year_2025!BM169</f>
        <v>22.96</v>
      </c>
      <c r="U169" s="2">
        <f>Year_2025!AQ169+Year_2025!BN169</f>
        <v>25.54</v>
      </c>
      <c r="V169" s="2">
        <f>Year_2025!AR169+Year_2025!BO169</f>
        <v>19.5</v>
      </c>
    </row>
    <row r="170" spans="2:22" x14ac:dyDescent="0.3">
      <c r="B170" s="1" t="s">
        <v>28</v>
      </c>
      <c r="C170" s="2">
        <f>Year_2025!Y170+Year_2025!AV170</f>
        <v>6.12</v>
      </c>
      <c r="D170" s="2">
        <f>Year_2025!Z170+Year_2025!AW170</f>
        <v>11</v>
      </c>
      <c r="E170" s="2">
        <f>Year_2025!AA170+Year_2025!AX170</f>
        <v>0.86</v>
      </c>
      <c r="F170" s="2">
        <f>Year_2025!AB170+Year_2025!AY170</f>
        <v>1.1399999999999999</v>
      </c>
      <c r="G170" s="2">
        <f>Year_2025!AC170+Year_2025!AZ170</f>
        <v>0.86</v>
      </c>
      <c r="H170" s="2">
        <f>Year_2025!AD170+Year_2025!BA170</f>
        <v>3.66</v>
      </c>
      <c r="I170" s="2">
        <f>Year_2025!AE170+Year_2025!BB170</f>
        <v>2.56</v>
      </c>
      <c r="J170" s="2">
        <f>Year_2025!AF170+Year_2025!BC170</f>
        <v>6.5</v>
      </c>
      <c r="K170" s="2">
        <f>Year_2025!AG170+Year_2025!BD170</f>
        <v>7.34</v>
      </c>
      <c r="L170" s="2">
        <f>Year_2025!AH170+Year_2025!BE170</f>
        <v>11</v>
      </c>
      <c r="M170" s="2">
        <f>Year_2025!AI170+Year_2025!BF170</f>
        <v>8.58</v>
      </c>
      <c r="N170" s="2">
        <f>Year_2025!AJ170+Year_2025!BG170</f>
        <v>7.32</v>
      </c>
      <c r="O170" s="2">
        <f>Year_2025!AK170+Year_2025!BH170</f>
        <v>8.58</v>
      </c>
      <c r="P170" s="2">
        <f>Year_2025!AL170+Year_2025!BI170</f>
        <v>4.9000000000000004</v>
      </c>
      <c r="Q170" s="2">
        <f>Year_2025!AM170+Year_2025!BJ170</f>
        <v>4.9000000000000004</v>
      </c>
      <c r="R170" s="2">
        <f>Year_2025!AN170+Year_2025!BK170</f>
        <v>2.44</v>
      </c>
      <c r="S170" s="2">
        <f>Year_2025!AO170+Year_2025!BL170</f>
        <v>2.5</v>
      </c>
      <c r="T170" s="2">
        <f>Year_2025!AP170+Year_2025!BM170</f>
        <v>2.46</v>
      </c>
      <c r="U170" s="2">
        <f>Year_2025!AQ170+Year_2025!BN170</f>
        <v>4.9000000000000004</v>
      </c>
      <c r="V170" s="2">
        <f>Year_2025!AR170+Year_2025!BO170</f>
        <v>6.12</v>
      </c>
    </row>
    <row r="173" spans="2:22" x14ac:dyDescent="0.3">
      <c r="B173" t="s">
        <v>67</v>
      </c>
    </row>
    <row r="174" spans="2:22" x14ac:dyDescent="0.3">
      <c r="B174" s="1" t="s">
        <v>16</v>
      </c>
      <c r="C174" s="1" t="s">
        <v>17</v>
      </c>
      <c r="D174" s="1"/>
      <c r="E174" s="1"/>
      <c r="F174" s="1"/>
      <c r="G174" s="1"/>
      <c r="H174" s="1"/>
      <c r="I174" s="1"/>
      <c r="J174" s="1"/>
      <c r="K174" s="1"/>
      <c r="L174" s="1"/>
      <c r="M174" s="1" t="s">
        <v>18</v>
      </c>
      <c r="N174" s="1"/>
      <c r="O174" s="1"/>
      <c r="P174" s="1"/>
      <c r="Q174" s="1"/>
      <c r="R174" s="1"/>
      <c r="S174" s="1"/>
      <c r="T174" s="1"/>
      <c r="U174" s="1"/>
      <c r="V174" s="1"/>
    </row>
    <row r="175" spans="2:22" x14ac:dyDescent="0.3">
      <c r="B175" s="1" t="s">
        <v>19</v>
      </c>
      <c r="C175" s="1" t="s">
        <v>1</v>
      </c>
      <c r="D175" s="1" t="s">
        <v>10</v>
      </c>
      <c r="E175" s="1" t="s">
        <v>2</v>
      </c>
      <c r="F175" s="1" t="s">
        <v>3</v>
      </c>
      <c r="G175" s="1" t="s">
        <v>4</v>
      </c>
      <c r="H175" s="1" t="s">
        <v>5</v>
      </c>
      <c r="I175" s="1" t="s">
        <v>6</v>
      </c>
      <c r="J175" s="1" t="s">
        <v>7</v>
      </c>
      <c r="K175" s="1" t="s">
        <v>8</v>
      </c>
      <c r="L175" s="1" t="s">
        <v>9</v>
      </c>
      <c r="M175" s="1" t="s">
        <v>1</v>
      </c>
      <c r="N175" s="1" t="s">
        <v>10</v>
      </c>
      <c r="O175" s="1" t="s">
        <v>2</v>
      </c>
      <c r="P175" s="1" t="s">
        <v>3</v>
      </c>
      <c r="Q175" s="1" t="s">
        <v>4</v>
      </c>
      <c r="R175" s="1" t="s">
        <v>5</v>
      </c>
      <c r="S175" s="1" t="s">
        <v>6</v>
      </c>
      <c r="T175" s="1" t="s">
        <v>7</v>
      </c>
      <c r="U175" s="1" t="s">
        <v>8</v>
      </c>
      <c r="V175" s="1" t="s">
        <v>9</v>
      </c>
    </row>
    <row r="176" spans="2:22" x14ac:dyDescent="0.3">
      <c r="B176" s="1" t="s">
        <v>20</v>
      </c>
    </row>
    <row r="177" spans="2:22" x14ac:dyDescent="0.3">
      <c r="B177" s="1" t="s">
        <v>21</v>
      </c>
      <c r="C177" s="2">
        <f>Year_2025!Y177+Year_2025!AV177</f>
        <v>214.4</v>
      </c>
      <c r="D177" s="2">
        <f>Year_2025!Z177+Year_2025!AW177</f>
        <v>1386</v>
      </c>
      <c r="E177" s="2">
        <f>Year_2025!AA177+Year_2025!AX177</f>
        <v>100.1</v>
      </c>
      <c r="F177" s="2">
        <f>Year_2025!AB177+Year_2025!AY177</f>
        <v>60.2</v>
      </c>
      <c r="G177" s="2">
        <f>Year_2025!AC177+Year_2025!AZ177</f>
        <v>217.06</v>
      </c>
      <c r="H177" s="2">
        <f>Year_2025!AD177+Year_2025!BA177</f>
        <v>599.20000000000005</v>
      </c>
      <c r="I177" s="2">
        <f>Year_2025!AE177+Year_2025!BB177</f>
        <v>1098.72</v>
      </c>
      <c r="J177" s="2">
        <f>Year_2025!AF177+Year_2025!BC177</f>
        <v>860.72</v>
      </c>
      <c r="K177" s="2">
        <f>Year_2025!AG177+Year_2025!BD177</f>
        <v>1154.44</v>
      </c>
      <c r="L177" s="2">
        <f>Year_2025!AH177+Year_2025!BE177</f>
        <v>880.6</v>
      </c>
      <c r="M177" s="2">
        <f>Year_2025!AI177+Year_2025!BF177</f>
        <v>216.12</v>
      </c>
      <c r="N177" s="2">
        <f>Year_2025!AJ177+Year_2025!BG177</f>
        <v>1411.2</v>
      </c>
      <c r="O177" s="2">
        <f>Year_2025!AK177+Year_2025!BH177</f>
        <v>102.84</v>
      </c>
      <c r="P177" s="2">
        <f>Year_2025!AL177+Year_2025!BI177</f>
        <v>61.84</v>
      </c>
      <c r="Q177" s="2">
        <f>Year_2025!AM177+Year_2025!BJ177</f>
        <v>463.68</v>
      </c>
      <c r="R177" s="2">
        <f>Year_2025!AN177+Year_2025!BK177</f>
        <v>579.6</v>
      </c>
      <c r="S177" s="2">
        <f>Year_2025!AO177+Year_2025!BL177</f>
        <v>1038.24</v>
      </c>
      <c r="T177" s="2">
        <f>Year_2025!AP177+Year_2025!BM177</f>
        <v>876.96</v>
      </c>
      <c r="U177" s="2">
        <f>Year_2025!AQ177+Year_2025!BN177</f>
        <v>1122.52</v>
      </c>
      <c r="V177" s="2">
        <f>Year_2025!AR177+Year_2025!BO177</f>
        <v>923.44</v>
      </c>
    </row>
    <row r="178" spans="2:22" x14ac:dyDescent="0.3">
      <c r="B178" s="1" t="s">
        <v>22</v>
      </c>
      <c r="C178" s="2">
        <f>Year_2025!Y178+Year_2025!AV178</f>
        <v>29.84</v>
      </c>
      <c r="D178" s="2">
        <f>Year_2025!Z178+Year_2025!AW178</f>
        <v>130.6</v>
      </c>
      <c r="E178" s="2">
        <f>Year_2025!AA178+Year_2025!AX178</f>
        <v>15.68</v>
      </c>
      <c r="F178" s="2">
        <f>Year_2025!AB178+Year_2025!AY178</f>
        <v>8.06</v>
      </c>
      <c r="G178" s="2">
        <f>Year_2025!AC178+Year_2025!AZ178</f>
        <v>27.82</v>
      </c>
      <c r="H178" s="2">
        <f>Year_2025!AD178+Year_2025!BA178</f>
        <v>36.26</v>
      </c>
      <c r="I178" s="2">
        <f>Year_2025!AE178+Year_2025!BB178</f>
        <v>63.66</v>
      </c>
      <c r="J178" s="2">
        <f>Year_2025!AF178+Year_2025!BC178</f>
        <v>59.98</v>
      </c>
      <c r="K178" s="2">
        <f>Year_2025!AG178+Year_2025!BD178</f>
        <v>80.78</v>
      </c>
      <c r="L178" s="2">
        <f>Year_2025!AH178+Year_2025!BE178</f>
        <v>70.760000000000005</v>
      </c>
      <c r="M178" s="2">
        <f>Year_2025!AI178+Year_2025!BF178</f>
        <v>31.12</v>
      </c>
      <c r="N178" s="2">
        <f>Year_2025!AJ178+Year_2025!BG178</f>
        <v>114.12</v>
      </c>
      <c r="O178" s="2">
        <f>Year_2025!AK178+Year_2025!BH178</f>
        <v>19.02</v>
      </c>
      <c r="P178" s="2">
        <f>Year_2025!AL178+Year_2025!BI178</f>
        <v>9.2200000000000006</v>
      </c>
      <c r="Q178" s="2">
        <f>Year_2025!AM178+Year_2025!BJ178</f>
        <v>37.44</v>
      </c>
      <c r="R178" s="2">
        <f>Year_2025!AN178+Year_2025!BK178</f>
        <v>41.74</v>
      </c>
      <c r="S178" s="2">
        <f>Year_2025!AO178+Year_2025!BL178</f>
        <v>81.900000000000006</v>
      </c>
      <c r="T178" s="2">
        <f>Year_2025!AP178+Year_2025!BM178</f>
        <v>64.88</v>
      </c>
      <c r="U178" s="2">
        <f>Year_2025!AQ178+Year_2025!BN178</f>
        <v>79.400000000000006</v>
      </c>
      <c r="V178" s="2">
        <f>Year_2025!AR178+Year_2025!BO178</f>
        <v>78.94</v>
      </c>
    </row>
    <row r="179" spans="2:22" x14ac:dyDescent="0.3">
      <c r="B179" s="1" t="s">
        <v>23</v>
      </c>
      <c r="C179" s="2">
        <f>Year_2025!Y179+Year_2025!AV179</f>
        <v>221.82</v>
      </c>
      <c r="D179" s="2">
        <f>Year_2025!Z179+Year_2025!AW179</f>
        <v>409.58</v>
      </c>
      <c r="E179" s="2">
        <f>Year_2025!AA179+Year_2025!AX179</f>
        <v>89.28</v>
      </c>
      <c r="F179" s="2">
        <f>Year_2025!AB179+Year_2025!AY179</f>
        <v>64.319999999999993</v>
      </c>
      <c r="G179" s="2">
        <f>Year_2025!AC179+Year_2025!AZ179</f>
        <v>180.58</v>
      </c>
      <c r="H179" s="2">
        <f>Year_2025!AD179+Year_2025!BA179</f>
        <v>245.66</v>
      </c>
      <c r="I179" s="2">
        <f>Year_2025!AE179+Year_2025!BB179</f>
        <v>548.08000000000004</v>
      </c>
      <c r="J179" s="2">
        <f>Year_2025!AF179+Year_2025!BC179</f>
        <v>704.38</v>
      </c>
      <c r="K179" s="2">
        <f>Year_2025!AG179+Year_2025!BD179</f>
        <v>740.78</v>
      </c>
      <c r="L179" s="2">
        <f>Year_2025!AH179+Year_2025!BE179</f>
        <v>335.28</v>
      </c>
      <c r="M179" s="2">
        <f>Year_2025!AI179+Year_2025!BF179</f>
        <v>91.6</v>
      </c>
      <c r="N179" s="2">
        <f>Year_2025!AJ179+Year_2025!BG179</f>
        <v>401.66</v>
      </c>
      <c r="O179" s="2">
        <f>Year_2025!AK179+Year_2025!BH179</f>
        <v>43.34</v>
      </c>
      <c r="P179" s="2">
        <f>Year_2025!AL179+Year_2025!BI179</f>
        <v>100.74</v>
      </c>
      <c r="Q179" s="2">
        <f>Year_2025!AM179+Year_2025!BJ179</f>
        <v>161.9</v>
      </c>
      <c r="R179" s="2">
        <f>Year_2025!AN179+Year_2025!BK179</f>
        <v>193.42</v>
      </c>
      <c r="S179" s="2">
        <f>Year_2025!AO179+Year_2025!BL179</f>
        <v>365.4</v>
      </c>
      <c r="T179" s="2">
        <f>Year_2025!AP179+Year_2025!BM179</f>
        <v>309.3</v>
      </c>
      <c r="U179" s="2">
        <f>Year_2025!AQ179+Year_2025!BN179</f>
        <v>362.56</v>
      </c>
      <c r="V179" s="2">
        <f>Year_2025!AR179+Year_2025!BO179</f>
        <v>344.64</v>
      </c>
    </row>
    <row r="180" spans="2:22" x14ac:dyDescent="0.3">
      <c r="B180" s="1" t="s">
        <v>24</v>
      </c>
      <c r="C180" s="2">
        <f>Year_2025!Y180+Year_2025!AV180</f>
        <v>85.26</v>
      </c>
      <c r="D180" s="2">
        <f>Year_2025!Z180+Year_2025!AW180</f>
        <v>172.48</v>
      </c>
      <c r="E180" s="2">
        <f>Year_2025!AA180+Year_2025!AX180</f>
        <v>37.22</v>
      </c>
      <c r="F180" s="2">
        <f>Year_2025!AB180+Year_2025!AY180</f>
        <v>27.34</v>
      </c>
      <c r="G180" s="2">
        <f>Year_2025!AC180+Year_2025!AZ180</f>
        <v>70.400000000000006</v>
      </c>
      <c r="H180" s="2">
        <f>Year_2025!AD180+Year_2025!BA180</f>
        <v>91.36</v>
      </c>
      <c r="I180" s="2">
        <f>Year_2025!AE180+Year_2025!BB180</f>
        <v>169.22</v>
      </c>
      <c r="J180" s="2">
        <f>Year_2025!AF180+Year_2025!BC180</f>
        <v>145</v>
      </c>
      <c r="K180" s="2">
        <f>Year_2025!AG180+Year_2025!BD180</f>
        <v>162.16</v>
      </c>
      <c r="L180" s="2">
        <f>Year_2025!AH180+Year_2025!BE180</f>
        <v>120.08</v>
      </c>
      <c r="M180" s="2">
        <f>Year_2025!AI180+Year_2025!BF180</f>
        <v>43.38</v>
      </c>
      <c r="N180" s="2">
        <f>Year_2025!AJ180+Year_2025!BG180</f>
        <v>173.48</v>
      </c>
      <c r="O180" s="2">
        <f>Year_2025!AK180+Year_2025!BH180</f>
        <v>23.34</v>
      </c>
      <c r="P180" s="2">
        <f>Year_2025!AL180+Year_2025!BI180</f>
        <v>27.92</v>
      </c>
      <c r="Q180" s="2">
        <f>Year_2025!AM180+Year_2025!BJ180</f>
        <v>70.12</v>
      </c>
      <c r="R180" s="2">
        <f>Year_2025!AN180+Year_2025!BK180</f>
        <v>79.36</v>
      </c>
      <c r="S180" s="2">
        <f>Year_2025!AO180+Year_2025!BL180</f>
        <v>149.26</v>
      </c>
      <c r="T180" s="2">
        <f>Year_2025!AP180+Year_2025!BM180</f>
        <v>123.18</v>
      </c>
      <c r="U180" s="2">
        <f>Year_2025!AQ180+Year_2025!BN180</f>
        <v>145.26</v>
      </c>
      <c r="V180" s="2">
        <f>Year_2025!AR180+Year_2025!BO180</f>
        <v>144.34</v>
      </c>
    </row>
    <row r="181" spans="2:22" x14ac:dyDescent="0.3">
      <c r="B181" s="1" t="s">
        <v>25</v>
      </c>
      <c r="C181" s="2">
        <f>Year_2025!Y181+Year_2025!AV181</f>
        <v>232.18</v>
      </c>
      <c r="D181" s="2">
        <f>Year_2025!Z181+Year_2025!AW181</f>
        <v>777.58</v>
      </c>
      <c r="E181" s="2">
        <f>Year_2025!AA181+Year_2025!AX181</f>
        <v>124.8</v>
      </c>
      <c r="F181" s="2">
        <f>Year_2025!AB181+Year_2025!AY181</f>
        <v>69.260000000000005</v>
      </c>
      <c r="G181" s="2">
        <f>Year_2025!AC181+Year_2025!AZ181</f>
        <v>240.92</v>
      </c>
      <c r="H181" s="2">
        <f>Year_2025!AD181+Year_2025!BA181</f>
        <v>333.62</v>
      </c>
      <c r="I181" s="2">
        <f>Year_2025!AE181+Year_2025!BB181</f>
        <v>582</v>
      </c>
      <c r="J181" s="2">
        <f>Year_2025!AF181+Year_2025!BC181</f>
        <v>468.98</v>
      </c>
      <c r="K181" s="2">
        <f>Year_2025!AG181+Year_2025!BD181</f>
        <v>623.22</v>
      </c>
      <c r="L181" s="2">
        <f>Year_2025!AH181+Year_2025!BE181</f>
        <v>556.1</v>
      </c>
      <c r="M181" s="2">
        <f>Year_2025!AI181+Year_2025!BF181</f>
        <v>257.83999999999997</v>
      </c>
      <c r="N181" s="2">
        <f>Year_2025!AJ181+Year_2025!BG181</f>
        <v>831.84</v>
      </c>
      <c r="O181" s="2">
        <f>Year_2025!AK181+Year_2025!BH181</f>
        <v>128.44</v>
      </c>
      <c r="P181" s="2">
        <f>Year_2025!AL181+Year_2025!BI181</f>
        <v>81.64</v>
      </c>
      <c r="Q181" s="2">
        <f>Year_2025!AM181+Year_2025!BJ181</f>
        <v>272.8</v>
      </c>
      <c r="R181" s="2">
        <f>Year_2025!AN181+Year_2025!BK181</f>
        <v>352.5</v>
      </c>
      <c r="S181" s="2">
        <f>Year_2025!AO181+Year_2025!BL181</f>
        <v>588.29999999999995</v>
      </c>
      <c r="T181" s="2">
        <f>Year_2025!AP181+Year_2025!BM181</f>
        <v>470.06</v>
      </c>
      <c r="U181" s="2">
        <f>Year_2025!AQ181+Year_2025!BN181</f>
        <v>580.20000000000005</v>
      </c>
      <c r="V181" s="2">
        <f>Year_2025!AR181+Year_2025!BO181</f>
        <v>519.20000000000005</v>
      </c>
    </row>
    <row r="182" spans="2:22" x14ac:dyDescent="0.3">
      <c r="B182" s="1" t="s">
        <v>26</v>
      </c>
      <c r="C182" s="2">
        <f>Year_2025!Y182+Year_2025!AV182</f>
        <v>52.16</v>
      </c>
      <c r="D182" s="2">
        <f>Year_2025!Z182+Year_2025!AW182</f>
        <v>133.26</v>
      </c>
      <c r="E182" s="2">
        <f>Year_2025!AA182+Year_2025!AX182</f>
        <v>25.1</v>
      </c>
      <c r="F182" s="2">
        <f>Year_2025!AB182+Year_2025!AY182</f>
        <v>15.5</v>
      </c>
      <c r="G182" s="2">
        <f>Year_2025!AC182+Year_2025!AZ182</f>
        <v>34.700000000000003</v>
      </c>
      <c r="H182" s="2">
        <f>Year_2025!AD182+Year_2025!BA182</f>
        <v>44.54</v>
      </c>
      <c r="I182" s="2">
        <f>Year_2025!AE182+Year_2025!BB182</f>
        <v>91.32</v>
      </c>
      <c r="J182" s="2">
        <f>Year_2025!AF182+Year_2025!BC182</f>
        <v>73.88</v>
      </c>
      <c r="K182" s="2">
        <f>Year_2025!AG182+Year_2025!BD182</f>
        <v>99.34</v>
      </c>
      <c r="L182" s="2">
        <f>Year_2025!AH182+Year_2025!BE182</f>
        <v>97.18</v>
      </c>
      <c r="M182" s="2">
        <f>Year_2025!AI182+Year_2025!BF182</f>
        <v>48.4</v>
      </c>
      <c r="N182" s="2">
        <f>Year_2025!AJ182+Year_2025!BG182</f>
        <v>86.24</v>
      </c>
      <c r="O182" s="2">
        <f>Year_2025!AK182+Year_2025!BH182</f>
        <v>18.84</v>
      </c>
      <c r="P182" s="2">
        <f>Year_2025!AL182+Year_2025!BI182</f>
        <v>14.98</v>
      </c>
      <c r="Q182" s="2">
        <f>Year_2025!AM182+Year_2025!BJ182</f>
        <v>43.6</v>
      </c>
      <c r="R182" s="2">
        <f>Year_2025!AN182+Year_2025!BK182</f>
        <v>71.34</v>
      </c>
      <c r="S182" s="2">
        <f>Year_2025!AO182+Year_2025!BL182</f>
        <v>98.52</v>
      </c>
      <c r="T182" s="2">
        <f>Year_2025!AP182+Year_2025!BM182</f>
        <v>68.98</v>
      </c>
      <c r="U182" s="2">
        <f>Year_2025!AQ182+Year_2025!BN182</f>
        <v>101.8</v>
      </c>
      <c r="V182" s="2">
        <f>Year_2025!AR182+Year_2025!BO182</f>
        <v>78.319999999999993</v>
      </c>
    </row>
    <row r="183" spans="2:22" x14ac:dyDescent="0.3">
      <c r="B183" s="1" t="s">
        <v>27</v>
      </c>
      <c r="C183" s="2">
        <f>Year_2025!Y183+Year_2025!AV183</f>
        <v>158.19999999999999</v>
      </c>
      <c r="D183" s="2">
        <f>Year_2025!Z183+Year_2025!AW183</f>
        <v>435.22</v>
      </c>
      <c r="E183" s="2">
        <f>Year_2025!AA183+Year_2025!AX183</f>
        <v>70.02</v>
      </c>
      <c r="F183" s="2">
        <f>Year_2025!AB183+Year_2025!AY183</f>
        <v>44.76</v>
      </c>
      <c r="G183" s="2">
        <f>Year_2025!AC183+Year_2025!AZ183</f>
        <v>129.54</v>
      </c>
      <c r="H183" s="2">
        <f>Year_2025!AD183+Year_2025!BA183</f>
        <v>157.46</v>
      </c>
      <c r="I183" s="2">
        <f>Year_2025!AE183+Year_2025!BB183</f>
        <v>300.72000000000003</v>
      </c>
      <c r="J183" s="2">
        <f>Year_2025!AF183+Year_2025!BC183</f>
        <v>249.48</v>
      </c>
      <c r="K183" s="2">
        <f>Year_2025!AG183+Year_2025!BD183</f>
        <v>371.54</v>
      </c>
      <c r="L183" s="2">
        <f>Year_2025!AH183+Year_2025!BE183</f>
        <v>334.78</v>
      </c>
      <c r="M183" s="2">
        <f>Year_2025!AI183+Year_2025!BF183</f>
        <v>223.94</v>
      </c>
      <c r="N183" s="2">
        <f>Year_2025!AJ183+Year_2025!BG183</f>
        <v>387.72</v>
      </c>
      <c r="O183" s="2">
        <f>Year_2025!AK183+Year_2025!BH183</f>
        <v>73</v>
      </c>
      <c r="P183" s="2">
        <f>Year_2025!AL183+Year_2025!BI183</f>
        <v>57.18</v>
      </c>
      <c r="Q183" s="2">
        <f>Year_2025!AM183+Year_2025!BJ183</f>
        <v>244.24</v>
      </c>
      <c r="R183" s="2">
        <f>Year_2025!AN183+Year_2025!BK183</f>
        <v>255.6</v>
      </c>
      <c r="S183" s="2">
        <f>Year_2025!AO183+Year_2025!BL183</f>
        <v>401.6</v>
      </c>
      <c r="T183" s="2">
        <f>Year_2025!AP183+Year_2025!BM183</f>
        <v>300.94</v>
      </c>
      <c r="U183" s="2">
        <f>Year_2025!AQ183+Year_2025!BN183</f>
        <v>372.28</v>
      </c>
      <c r="V183" s="2">
        <f>Year_2025!AR183+Year_2025!BO183</f>
        <v>298.39999999999998</v>
      </c>
    </row>
    <row r="184" spans="2:22" x14ac:dyDescent="0.3">
      <c r="B184" s="1" t="s">
        <v>28</v>
      </c>
      <c r="C184" s="2">
        <f>Year_2025!Y184+Year_2025!AV184</f>
        <v>97.16</v>
      </c>
      <c r="D184" s="2">
        <f>Year_2025!Z184+Year_2025!AW184</f>
        <v>303.3</v>
      </c>
      <c r="E184" s="2">
        <f>Year_2025!AA184+Year_2025!AX184</f>
        <v>40.380000000000003</v>
      </c>
      <c r="F184" s="2">
        <f>Year_2025!AB184+Year_2025!AY184</f>
        <v>25.36</v>
      </c>
      <c r="G184" s="2">
        <f>Year_2025!AC184+Year_2025!AZ184</f>
        <v>97.12</v>
      </c>
      <c r="H184" s="2">
        <f>Year_2025!AD184+Year_2025!BA184</f>
        <v>128.6</v>
      </c>
      <c r="I184" s="2">
        <f>Year_2025!AE184+Year_2025!BB184</f>
        <v>235.52</v>
      </c>
      <c r="J184" s="2">
        <f>Year_2025!AF184+Year_2025!BC184</f>
        <v>190.58</v>
      </c>
      <c r="K184" s="2">
        <f>Year_2025!AG184+Year_2025!BD184</f>
        <v>247.62</v>
      </c>
      <c r="L184" s="2">
        <f>Year_2025!AH184+Year_2025!BE184</f>
        <v>227.54</v>
      </c>
      <c r="M184" s="2">
        <f>Year_2025!AI184+Year_2025!BF184</f>
        <v>104.12</v>
      </c>
      <c r="N184" s="2">
        <f>Year_2025!AJ184+Year_2025!BG184</f>
        <v>351.52</v>
      </c>
      <c r="O184" s="2">
        <f>Year_2025!AK184+Year_2025!BH184</f>
        <v>43.34</v>
      </c>
      <c r="P184" s="2">
        <f>Year_2025!AL184+Year_2025!BI184</f>
        <v>28.36</v>
      </c>
      <c r="Q184" s="2">
        <f>Year_2025!AM184+Year_2025!BJ184</f>
        <v>108.96</v>
      </c>
      <c r="R184" s="2">
        <f>Year_2025!AN184+Year_2025!BK184</f>
        <v>132.54</v>
      </c>
      <c r="S184" s="2">
        <f>Year_2025!AO184+Year_2025!BL184</f>
        <v>244.66</v>
      </c>
      <c r="T184" s="2">
        <f>Year_2025!AP184+Year_2025!BM184</f>
        <v>196.28</v>
      </c>
      <c r="U184" s="2">
        <f>Year_2025!AQ184+Year_2025!BN184</f>
        <v>248.62</v>
      </c>
      <c r="V184" s="2">
        <f>Year_2025!AR184+Year_2025!BO184</f>
        <v>214.88</v>
      </c>
    </row>
    <row r="187" spans="2:22" x14ac:dyDescent="0.3">
      <c r="B187" t="s">
        <v>69</v>
      </c>
    </row>
    <row r="188" spans="2:22" x14ac:dyDescent="0.3">
      <c r="B188" s="1" t="s">
        <v>16</v>
      </c>
      <c r="C188" s="1" t="s">
        <v>17</v>
      </c>
      <c r="D188" s="1" t="s">
        <v>18</v>
      </c>
      <c r="E188" s="1" t="s">
        <v>17</v>
      </c>
      <c r="F188" s="1" t="s">
        <v>18</v>
      </c>
      <c r="G188" s="1" t="s">
        <v>17</v>
      </c>
      <c r="H188" s="1" t="s">
        <v>18</v>
      </c>
      <c r="I188" s="1" t="s">
        <v>17</v>
      </c>
      <c r="J188" s="1" t="s">
        <v>18</v>
      </c>
      <c r="K188" s="1" t="s">
        <v>17</v>
      </c>
      <c r="L188" s="1" t="s">
        <v>18</v>
      </c>
      <c r="M188" s="1" t="s">
        <v>17</v>
      </c>
      <c r="N188" s="1" t="s">
        <v>18</v>
      </c>
      <c r="O188" s="1" t="s">
        <v>17</v>
      </c>
      <c r="P188" s="1" t="s">
        <v>18</v>
      </c>
      <c r="Q188" s="1" t="s">
        <v>17</v>
      </c>
      <c r="R188" s="1" t="s">
        <v>18</v>
      </c>
      <c r="S188" s="1" t="s">
        <v>17</v>
      </c>
      <c r="T188" s="1" t="s">
        <v>18</v>
      </c>
      <c r="U188" s="1" t="s">
        <v>17</v>
      </c>
      <c r="V188" s="1" t="s">
        <v>18</v>
      </c>
    </row>
    <row r="189" spans="2:22" x14ac:dyDescent="0.3">
      <c r="B189" s="1" t="s">
        <v>19</v>
      </c>
      <c r="C189" s="1" t="s">
        <v>1</v>
      </c>
      <c r="D189" s="1" t="s">
        <v>1</v>
      </c>
      <c r="E189" s="1" t="s">
        <v>2</v>
      </c>
      <c r="F189" s="1" t="s">
        <v>2</v>
      </c>
      <c r="G189" s="1" t="s">
        <v>3</v>
      </c>
      <c r="H189" s="1" t="s">
        <v>3</v>
      </c>
      <c r="I189" s="1" t="s">
        <v>4</v>
      </c>
      <c r="J189" s="1" t="s">
        <v>4</v>
      </c>
      <c r="K189" s="1" t="s">
        <v>5</v>
      </c>
      <c r="L189" s="1" t="s">
        <v>5</v>
      </c>
      <c r="M189" s="1" t="s">
        <v>6</v>
      </c>
      <c r="N189" s="1" t="s">
        <v>6</v>
      </c>
      <c r="O189" s="1" t="s">
        <v>7</v>
      </c>
      <c r="P189" s="1" t="s">
        <v>7</v>
      </c>
      <c r="Q189" s="1" t="s">
        <v>8</v>
      </c>
      <c r="R189" s="1" t="s">
        <v>8</v>
      </c>
      <c r="S189" s="1" t="s">
        <v>9</v>
      </c>
      <c r="T189" s="1" t="s">
        <v>9</v>
      </c>
      <c r="U189" s="1" t="s">
        <v>10</v>
      </c>
      <c r="V189" s="1" t="s">
        <v>10</v>
      </c>
    </row>
    <row r="190" spans="2:22" x14ac:dyDescent="0.3">
      <c r="B190" s="1" t="s">
        <v>20</v>
      </c>
    </row>
    <row r="191" spans="2:22" x14ac:dyDescent="0.3">
      <c r="B191" s="1" t="s">
        <v>21</v>
      </c>
      <c r="C191" s="2">
        <f>Year_2025!Y191+Year_2025!AV191</f>
        <v>164.92</v>
      </c>
      <c r="D191" s="2">
        <f>Year_2025!Z191+Year_2025!AW191</f>
        <v>166.26</v>
      </c>
      <c r="E191" s="2">
        <f>Year_2025!AA191+Year_2025!AX191</f>
        <v>77</v>
      </c>
      <c r="F191" s="2">
        <f>Year_2025!AB191+Year_2025!AY191</f>
        <v>79.099999999999994</v>
      </c>
      <c r="G191" s="2">
        <f>Year_2025!AC191+Year_2025!AZ191</f>
        <v>120.4</v>
      </c>
      <c r="H191" s="2">
        <f>Year_2025!AD191+Year_2025!BA191</f>
        <v>123.7</v>
      </c>
      <c r="I191" s="2">
        <f>Year_2025!AE191+Year_2025!BB191</f>
        <v>135.66</v>
      </c>
      <c r="J191" s="2">
        <f>Year_2025!AF191+Year_2025!BC191</f>
        <v>289.8</v>
      </c>
      <c r="K191" s="2">
        <f>Year_2025!AG191+Year_2025!BD191</f>
        <v>299.60000000000002</v>
      </c>
      <c r="L191" s="2">
        <f>Year_2025!AH191+Year_2025!BE191</f>
        <v>289.8</v>
      </c>
      <c r="M191" s="2">
        <f>Year_2025!AI191+Year_2025!BF191</f>
        <v>305.2</v>
      </c>
      <c r="N191" s="2">
        <f>Year_2025!AJ191+Year_2025!BG191</f>
        <v>288.39999999999998</v>
      </c>
      <c r="O191" s="2">
        <f>Year_2025!AK191+Year_2025!BH191</f>
        <v>296.8</v>
      </c>
      <c r="P191" s="2">
        <f>Year_2025!AL191+Year_2025!BI191</f>
        <v>302.39999999999998</v>
      </c>
      <c r="Q191" s="2">
        <f>Year_2025!AM191+Year_2025!BJ191</f>
        <v>303.8</v>
      </c>
      <c r="R191" s="2">
        <f>Year_2025!AN191+Year_2025!BK191</f>
        <v>295.39999999999998</v>
      </c>
      <c r="S191" s="2">
        <f>Year_2025!AO191+Year_2025!BL191</f>
        <v>259</v>
      </c>
      <c r="T191" s="2">
        <f>Year_2025!AP191+Year_2025!BM191</f>
        <v>271.60000000000002</v>
      </c>
      <c r="U191" s="2">
        <f>Year_2025!AQ191+Year_2025!BN191</f>
        <v>308</v>
      </c>
      <c r="V191" s="2">
        <f>Year_2025!AR191+Year_2025!BO191</f>
        <v>313.60000000000002</v>
      </c>
    </row>
    <row r="192" spans="2:22" x14ac:dyDescent="0.3">
      <c r="B192" s="1" t="s">
        <v>22</v>
      </c>
      <c r="C192" s="2">
        <f>Year_2025!Y192+Year_2025!AV192</f>
        <v>22.96</v>
      </c>
      <c r="D192" s="2">
        <f>Year_2025!Z192+Year_2025!AW192</f>
        <v>23.94</v>
      </c>
      <c r="E192" s="2">
        <f>Year_2025!AA192+Year_2025!AX192</f>
        <v>12.06</v>
      </c>
      <c r="F192" s="2">
        <f>Year_2025!AB192+Year_2025!AY192</f>
        <v>14.64</v>
      </c>
      <c r="G192" s="2">
        <f>Year_2025!AC192+Year_2025!AZ192</f>
        <v>16.100000000000001</v>
      </c>
      <c r="H192" s="2">
        <f>Year_2025!AD192+Year_2025!BA192</f>
        <v>18.440000000000001</v>
      </c>
      <c r="I192" s="2">
        <f>Year_2025!AE192+Year_2025!BB192</f>
        <v>17.38</v>
      </c>
      <c r="J192" s="2">
        <f>Year_2025!AF192+Year_2025!BC192</f>
        <v>23.4</v>
      </c>
      <c r="K192" s="2">
        <f>Year_2025!AG192+Year_2025!BD192</f>
        <v>18.12</v>
      </c>
      <c r="L192" s="2">
        <f>Year_2025!AH192+Year_2025!BE192</f>
        <v>20.86</v>
      </c>
      <c r="M192" s="2">
        <f>Year_2025!AI192+Year_2025!BF192</f>
        <v>17.68</v>
      </c>
      <c r="N192" s="2">
        <f>Year_2025!AJ192+Year_2025!BG192</f>
        <v>22.74</v>
      </c>
      <c r="O192" s="2">
        <f>Year_2025!AK192+Year_2025!BH192</f>
        <v>20.68</v>
      </c>
      <c r="P192" s="2">
        <f>Year_2025!AL192+Year_2025!BI192</f>
        <v>22.38</v>
      </c>
      <c r="Q192" s="2">
        <f>Year_2025!AM192+Year_2025!BJ192</f>
        <v>21.26</v>
      </c>
      <c r="R192" s="2">
        <f>Year_2025!AN192+Year_2025!BK192</f>
        <v>20.9</v>
      </c>
      <c r="S192" s="2">
        <f>Year_2025!AO192+Year_2025!BL192</f>
        <v>20.82</v>
      </c>
      <c r="T192" s="2">
        <f>Year_2025!AP192+Year_2025!BM192</f>
        <v>23.22</v>
      </c>
      <c r="U192" s="2">
        <f>Year_2025!AQ192+Year_2025!BN192</f>
        <v>29.02</v>
      </c>
      <c r="V192" s="2">
        <f>Year_2025!AR192+Year_2025!BO192</f>
        <v>25.36</v>
      </c>
    </row>
    <row r="193" spans="2:22" x14ac:dyDescent="0.3">
      <c r="B193" s="1" t="s">
        <v>23</v>
      </c>
      <c r="C193" s="2">
        <f>Year_2025!Y193+Year_2025!AV193</f>
        <v>170.62</v>
      </c>
      <c r="D193" s="2">
        <f>Year_2025!Z193+Year_2025!AW193</f>
        <v>70.459999999999994</v>
      </c>
      <c r="E193" s="2">
        <f>Year_2025!AA193+Year_2025!AX193</f>
        <v>68.680000000000007</v>
      </c>
      <c r="F193" s="2">
        <f>Year_2025!AB193+Year_2025!AY193</f>
        <v>33.340000000000003</v>
      </c>
      <c r="G193" s="2">
        <f>Year_2025!AC193+Year_2025!AZ193</f>
        <v>128.66</v>
      </c>
      <c r="H193" s="2">
        <f>Year_2025!AD193+Year_2025!BA193</f>
        <v>201.5</v>
      </c>
      <c r="I193" s="2">
        <f>Year_2025!AE193+Year_2025!BB193</f>
        <v>112.86</v>
      </c>
      <c r="J193" s="2">
        <f>Year_2025!AF193+Year_2025!BC193</f>
        <v>101.18</v>
      </c>
      <c r="K193" s="2">
        <f>Year_2025!AG193+Year_2025!BD193</f>
        <v>122.84</v>
      </c>
      <c r="L193" s="2">
        <f>Year_2025!AH193+Year_2025!BE193</f>
        <v>96.7</v>
      </c>
      <c r="M193" s="2">
        <f>Year_2025!AI193+Year_2025!BF193</f>
        <v>152.24</v>
      </c>
      <c r="N193" s="2">
        <f>Year_2025!AJ193+Year_2025!BG193</f>
        <v>101.5</v>
      </c>
      <c r="O193" s="2">
        <f>Year_2025!AK193+Year_2025!BH193</f>
        <v>242.9</v>
      </c>
      <c r="P193" s="2">
        <f>Year_2025!AL193+Year_2025!BI193</f>
        <v>106.66</v>
      </c>
      <c r="Q193" s="2">
        <f>Year_2025!AM193+Year_2025!BJ193</f>
        <v>194.94</v>
      </c>
      <c r="R193" s="2">
        <f>Year_2025!AN193+Year_2025!BK193</f>
        <v>95.42</v>
      </c>
      <c r="S193" s="2">
        <f>Year_2025!AO193+Year_2025!BL193</f>
        <v>98.6</v>
      </c>
      <c r="T193" s="2">
        <f>Year_2025!AP193+Year_2025!BM193</f>
        <v>101.36</v>
      </c>
      <c r="U193" s="2">
        <f>Year_2025!AQ193+Year_2025!BN193</f>
        <v>91.02</v>
      </c>
      <c r="V193" s="2">
        <f>Year_2025!AR193+Year_2025!BO193</f>
        <v>89.26</v>
      </c>
    </row>
    <row r="194" spans="2:22" x14ac:dyDescent="0.3">
      <c r="B194" s="1" t="s">
        <v>24</v>
      </c>
      <c r="C194" s="2">
        <f>Year_2025!Y194+Year_2025!AV194</f>
        <v>65.599999999999994</v>
      </c>
      <c r="D194" s="2">
        <f>Year_2025!Z194+Year_2025!AW194</f>
        <v>33.36</v>
      </c>
      <c r="E194" s="2">
        <f>Year_2025!AA194+Year_2025!AX194</f>
        <v>28.64</v>
      </c>
      <c r="F194" s="2">
        <f>Year_2025!AB194+Year_2025!AY194</f>
        <v>17.96</v>
      </c>
      <c r="G194" s="2">
        <f>Year_2025!AC194+Year_2025!AZ194</f>
        <v>54.7</v>
      </c>
      <c r="H194" s="2">
        <f>Year_2025!AD194+Year_2025!BA194</f>
        <v>55.84</v>
      </c>
      <c r="I194" s="2">
        <f>Year_2025!AE194+Year_2025!BB194</f>
        <v>44</v>
      </c>
      <c r="J194" s="2">
        <f>Year_2025!AF194+Year_2025!BC194</f>
        <v>43.82</v>
      </c>
      <c r="K194" s="2">
        <f>Year_2025!AG194+Year_2025!BD194</f>
        <v>45.68</v>
      </c>
      <c r="L194" s="2">
        <f>Year_2025!AH194+Year_2025!BE194</f>
        <v>39.68</v>
      </c>
      <c r="M194" s="2">
        <f>Year_2025!AI194+Year_2025!BF194</f>
        <v>47</v>
      </c>
      <c r="N194" s="2">
        <f>Year_2025!AJ194+Year_2025!BG194</f>
        <v>41.46</v>
      </c>
      <c r="O194" s="2">
        <f>Year_2025!AK194+Year_2025!BH194</f>
        <v>50</v>
      </c>
      <c r="P194" s="2">
        <f>Year_2025!AL194+Year_2025!BI194</f>
        <v>42.48</v>
      </c>
      <c r="Q194" s="2">
        <f>Year_2025!AM194+Year_2025!BJ194</f>
        <v>42.68</v>
      </c>
      <c r="R194" s="2">
        <f>Year_2025!AN194+Year_2025!BK194</f>
        <v>38.22</v>
      </c>
      <c r="S194" s="2">
        <f>Year_2025!AO194+Year_2025!BL194</f>
        <v>35.32</v>
      </c>
      <c r="T194" s="2">
        <f>Year_2025!AP194+Year_2025!BM194</f>
        <v>42.46</v>
      </c>
      <c r="U194" s="2">
        <f>Year_2025!AQ194+Year_2025!BN194</f>
        <v>38.32</v>
      </c>
      <c r="V194" s="2">
        <f>Year_2025!AR194+Year_2025!BO194</f>
        <v>38.56</v>
      </c>
    </row>
    <row r="195" spans="2:22" x14ac:dyDescent="0.3">
      <c r="B195" s="1" t="s">
        <v>25</v>
      </c>
      <c r="C195" s="2">
        <f>Year_2025!Y195+Year_2025!AV195</f>
        <v>178.6</v>
      </c>
      <c r="D195" s="2">
        <f>Year_2025!Z195+Year_2025!AW195</f>
        <v>198.34</v>
      </c>
      <c r="E195" s="2">
        <f>Year_2025!AA195+Year_2025!AX195</f>
        <v>96</v>
      </c>
      <c r="F195" s="2">
        <f>Year_2025!AB195+Year_2025!AY195</f>
        <v>98.8</v>
      </c>
      <c r="G195" s="2">
        <f>Year_2025!AC195+Year_2025!AZ195</f>
        <v>138.52000000000001</v>
      </c>
      <c r="H195" s="2">
        <f>Year_2025!AD195+Year_2025!BA195</f>
        <v>163.28</v>
      </c>
      <c r="I195" s="2">
        <f>Year_2025!AE195+Year_2025!BB195</f>
        <v>150.58000000000001</v>
      </c>
      <c r="J195" s="2">
        <f>Year_2025!AF195+Year_2025!BC195</f>
        <v>170.5</v>
      </c>
      <c r="K195" s="2">
        <f>Year_2025!AG195+Year_2025!BD195</f>
        <v>166.82</v>
      </c>
      <c r="L195" s="2">
        <f>Year_2025!AH195+Year_2025!BE195</f>
        <v>176.26</v>
      </c>
      <c r="M195" s="2">
        <f>Year_2025!AI195+Year_2025!BF195</f>
        <v>161.66</v>
      </c>
      <c r="N195" s="2">
        <f>Year_2025!AJ195+Year_2025!BG195</f>
        <v>163.41999999999999</v>
      </c>
      <c r="O195" s="2">
        <f>Year_2025!AK195+Year_2025!BH195</f>
        <v>161.72</v>
      </c>
      <c r="P195" s="2">
        <f>Year_2025!AL195+Year_2025!BI195</f>
        <v>162.08000000000001</v>
      </c>
      <c r="Q195" s="2">
        <f>Year_2025!AM195+Year_2025!BJ195</f>
        <v>164</v>
      </c>
      <c r="R195" s="2">
        <f>Year_2025!AN195+Year_2025!BK195</f>
        <v>152.68</v>
      </c>
      <c r="S195" s="2">
        <f>Year_2025!AO195+Year_2025!BL195</f>
        <v>163.56</v>
      </c>
      <c r="T195" s="2">
        <f>Year_2025!AP195+Year_2025!BM195</f>
        <v>152.69999999999999</v>
      </c>
      <c r="U195" s="2">
        <f>Year_2025!AQ195+Year_2025!BN195</f>
        <v>172.8</v>
      </c>
      <c r="V195" s="2">
        <f>Year_2025!AR195+Year_2025!BO195</f>
        <v>184.86</v>
      </c>
    </row>
    <row r="196" spans="2:22" x14ac:dyDescent="0.3">
      <c r="B196" s="1" t="s">
        <v>26</v>
      </c>
      <c r="C196" s="2">
        <f>Year_2025!Y196+Year_2025!AV196</f>
        <v>40.119999999999997</v>
      </c>
      <c r="D196" s="2">
        <f>Year_2025!Z196+Year_2025!AW196</f>
        <v>37.24</v>
      </c>
      <c r="E196" s="2">
        <f>Year_2025!AA196+Year_2025!AX196</f>
        <v>19.3</v>
      </c>
      <c r="F196" s="2">
        <f>Year_2025!AB196+Year_2025!AY196</f>
        <v>14.5</v>
      </c>
      <c r="G196" s="2">
        <f>Year_2025!AC196+Year_2025!AZ196</f>
        <v>31.02</v>
      </c>
      <c r="H196" s="2">
        <f>Year_2025!AD196+Year_2025!BA196</f>
        <v>29.98</v>
      </c>
      <c r="I196" s="2">
        <f>Year_2025!AE196+Year_2025!BB196</f>
        <v>21.7</v>
      </c>
      <c r="J196" s="2">
        <f>Year_2025!AF196+Year_2025!BC196</f>
        <v>27.24</v>
      </c>
      <c r="K196" s="2">
        <f>Year_2025!AG196+Year_2025!BD196</f>
        <v>22.26</v>
      </c>
      <c r="L196" s="2">
        <f>Year_2025!AH196+Year_2025!BE196</f>
        <v>35.659999999999997</v>
      </c>
      <c r="M196" s="2">
        <f>Year_2025!AI196+Year_2025!BF196</f>
        <v>25.36</v>
      </c>
      <c r="N196" s="2">
        <f>Year_2025!AJ196+Year_2025!BG196</f>
        <v>27.36</v>
      </c>
      <c r="O196" s="2">
        <f>Year_2025!AK196+Year_2025!BH196</f>
        <v>25.48</v>
      </c>
      <c r="P196" s="2">
        <f>Year_2025!AL196+Year_2025!BI196</f>
        <v>23.78</v>
      </c>
      <c r="Q196" s="2">
        <f>Year_2025!AM196+Year_2025!BJ196</f>
        <v>26.14</v>
      </c>
      <c r="R196" s="2">
        <f>Year_2025!AN196+Year_2025!BK196</f>
        <v>26.8</v>
      </c>
      <c r="S196" s="2">
        <f>Year_2025!AO196+Year_2025!BL196</f>
        <v>28.58</v>
      </c>
      <c r="T196" s="2">
        <f>Year_2025!AP196+Year_2025!BM196</f>
        <v>23.04</v>
      </c>
      <c r="U196" s="2">
        <f>Year_2025!AQ196+Year_2025!BN196</f>
        <v>29.62</v>
      </c>
      <c r="V196" s="2">
        <f>Year_2025!AR196+Year_2025!BO196</f>
        <v>19.16</v>
      </c>
    </row>
    <row r="197" spans="2:22" x14ac:dyDescent="0.3">
      <c r="B197" s="1" t="s">
        <v>27</v>
      </c>
      <c r="C197" s="2">
        <f>Year_2025!Y197+Year_2025!AV197</f>
        <v>121.7</v>
      </c>
      <c r="D197" s="2">
        <f>Year_2025!Z197+Year_2025!AW197</f>
        <v>172.26</v>
      </c>
      <c r="E197" s="2">
        <f>Year_2025!AA197+Year_2025!AX197</f>
        <v>53.86</v>
      </c>
      <c r="F197" s="2">
        <f>Year_2025!AB197+Year_2025!AY197</f>
        <v>56.16</v>
      </c>
      <c r="G197" s="2">
        <f>Year_2025!AC197+Year_2025!AZ197</f>
        <v>89.52</v>
      </c>
      <c r="H197" s="2">
        <f>Year_2025!AD197+Year_2025!BA197</f>
        <v>114.34</v>
      </c>
      <c r="I197" s="2">
        <f>Year_2025!AE197+Year_2025!BB197</f>
        <v>80.959999999999994</v>
      </c>
      <c r="J197" s="2">
        <f>Year_2025!AF197+Year_2025!BC197</f>
        <v>152.63999999999999</v>
      </c>
      <c r="K197" s="2">
        <f>Year_2025!AG197+Year_2025!BD197</f>
        <v>78.739999999999995</v>
      </c>
      <c r="L197" s="2">
        <f>Year_2025!AH197+Year_2025!BE197</f>
        <v>127.8</v>
      </c>
      <c r="M197" s="2">
        <f>Year_2025!AI197+Year_2025!BF197</f>
        <v>83.54</v>
      </c>
      <c r="N197" s="2">
        <f>Year_2025!AJ197+Year_2025!BG197</f>
        <v>111.56</v>
      </c>
      <c r="O197" s="2">
        <f>Year_2025!AK197+Year_2025!BH197</f>
        <v>86.02</v>
      </c>
      <c r="P197" s="2">
        <f>Year_2025!AL197+Year_2025!BI197</f>
        <v>103.78</v>
      </c>
      <c r="Q197" s="2">
        <f>Year_2025!AM197+Year_2025!BJ197</f>
        <v>97.78</v>
      </c>
      <c r="R197" s="2">
        <f>Year_2025!AN197+Year_2025!BK197</f>
        <v>97.96</v>
      </c>
      <c r="S197" s="2">
        <f>Year_2025!AO197+Year_2025!BL197</f>
        <v>98.46</v>
      </c>
      <c r="T197" s="2">
        <f>Year_2025!AP197+Year_2025!BM197</f>
        <v>87.76</v>
      </c>
      <c r="U197" s="2">
        <f>Year_2025!AQ197+Year_2025!BN197</f>
        <v>96.72</v>
      </c>
      <c r="V197" s="2">
        <f>Year_2025!AR197+Year_2025!BO197</f>
        <v>86.16</v>
      </c>
    </row>
    <row r="198" spans="2:22" x14ac:dyDescent="0.3">
      <c r="B198" s="1" t="s">
        <v>28</v>
      </c>
      <c r="C198" s="2">
        <f>Year_2025!Y198+Year_2025!AV198</f>
        <v>74.739999999999995</v>
      </c>
      <c r="D198" s="2">
        <f>Year_2025!Z198+Year_2025!AW198</f>
        <v>80.08</v>
      </c>
      <c r="E198" s="2">
        <f>Year_2025!AA198+Year_2025!AX198</f>
        <v>31.06</v>
      </c>
      <c r="F198" s="2">
        <f>Year_2025!AB198+Year_2025!AY198</f>
        <v>33.340000000000003</v>
      </c>
      <c r="G198" s="2">
        <f>Year_2025!AC198+Year_2025!AZ198</f>
        <v>50.74</v>
      </c>
      <c r="H198" s="2">
        <f>Year_2025!AD198+Year_2025!BA198</f>
        <v>56.72</v>
      </c>
      <c r="I198" s="2">
        <f>Year_2025!AE198+Year_2025!BB198</f>
        <v>60.7</v>
      </c>
      <c r="J198" s="2">
        <f>Year_2025!AF198+Year_2025!BC198</f>
        <v>68.099999999999994</v>
      </c>
      <c r="K198" s="2">
        <f>Year_2025!AG198+Year_2025!BD198</f>
        <v>64.3</v>
      </c>
      <c r="L198" s="2">
        <f>Year_2025!AH198+Year_2025!BE198</f>
        <v>66.28</v>
      </c>
      <c r="M198" s="2">
        <f>Year_2025!AI198+Year_2025!BF198</f>
        <v>65.42</v>
      </c>
      <c r="N198" s="2">
        <f>Year_2025!AJ198+Year_2025!BG198</f>
        <v>67.959999999999994</v>
      </c>
      <c r="O198" s="2">
        <f>Year_2025!AK198+Year_2025!BH198</f>
        <v>65.72</v>
      </c>
      <c r="P198" s="2">
        <f>Year_2025!AL198+Year_2025!BI198</f>
        <v>67.680000000000007</v>
      </c>
      <c r="Q198" s="2">
        <f>Year_2025!AM198+Year_2025!BJ198</f>
        <v>65.16</v>
      </c>
      <c r="R198" s="2">
        <f>Year_2025!AN198+Year_2025!BK198</f>
        <v>65.42</v>
      </c>
      <c r="S198" s="2">
        <f>Year_2025!AO198+Year_2025!BL198</f>
        <v>66.92</v>
      </c>
      <c r="T198" s="2">
        <f>Year_2025!AP198+Year_2025!BM198</f>
        <v>63.2</v>
      </c>
      <c r="U198" s="2">
        <f>Year_2025!AQ198+Year_2025!BN198</f>
        <v>67.400000000000006</v>
      </c>
      <c r="V198" s="2">
        <f>Year_2025!AR198+Year_2025!BO198</f>
        <v>78.12</v>
      </c>
    </row>
    <row r="201" spans="2:22" x14ac:dyDescent="0.3">
      <c r="B201" t="s">
        <v>71</v>
      </c>
    </row>
    <row r="202" spans="2:22" x14ac:dyDescent="0.3">
      <c r="B202" s="1" t="s">
        <v>16</v>
      </c>
      <c r="C202" s="1" t="s">
        <v>17</v>
      </c>
      <c r="D202" s="1"/>
      <c r="E202" s="1"/>
      <c r="F202" s="1"/>
      <c r="G202" s="1"/>
      <c r="H202" s="1"/>
      <c r="I202" s="1"/>
      <c r="J202" s="1"/>
      <c r="K202" s="1"/>
      <c r="L202" s="1"/>
      <c r="M202" s="1" t="s">
        <v>18</v>
      </c>
      <c r="N202" s="1"/>
      <c r="O202" s="1"/>
      <c r="P202" s="1"/>
      <c r="Q202" s="1"/>
      <c r="R202" s="1"/>
      <c r="S202" s="1"/>
      <c r="T202" s="1"/>
      <c r="U202" s="1"/>
      <c r="V202" s="1"/>
    </row>
    <row r="203" spans="2:22" x14ac:dyDescent="0.3">
      <c r="B203" s="1" t="s">
        <v>19</v>
      </c>
      <c r="C203" s="1" t="s">
        <v>1</v>
      </c>
      <c r="D203" s="1" t="s">
        <v>10</v>
      </c>
      <c r="E203" s="1" t="s">
        <v>2</v>
      </c>
      <c r="F203" s="1" t="s">
        <v>3</v>
      </c>
      <c r="G203" s="1" t="s">
        <v>4</v>
      </c>
      <c r="H203" s="1" t="s">
        <v>5</v>
      </c>
      <c r="I203" s="1" t="s">
        <v>6</v>
      </c>
      <c r="J203" s="1" t="s">
        <v>7</v>
      </c>
      <c r="K203" s="1" t="s">
        <v>8</v>
      </c>
      <c r="L203" s="1" t="s">
        <v>9</v>
      </c>
      <c r="M203" s="1" t="s">
        <v>1</v>
      </c>
      <c r="N203" s="1" t="s">
        <v>10</v>
      </c>
      <c r="O203" s="1" t="s">
        <v>2</v>
      </c>
      <c r="P203" s="1" t="s">
        <v>3</v>
      </c>
      <c r="Q203" s="1" t="s">
        <v>4</v>
      </c>
      <c r="R203" s="1" t="s">
        <v>5</v>
      </c>
      <c r="S203" s="1" t="s">
        <v>6</v>
      </c>
      <c r="T203" s="1" t="s">
        <v>7</v>
      </c>
      <c r="U203" s="1" t="s">
        <v>8</v>
      </c>
      <c r="V203" s="1" t="s">
        <v>9</v>
      </c>
    </row>
    <row r="204" spans="2:22" x14ac:dyDescent="0.3">
      <c r="B204" s="1" t="s">
        <v>20</v>
      </c>
    </row>
    <row r="205" spans="2:22" x14ac:dyDescent="0.3">
      <c r="B205" s="1" t="s">
        <v>21</v>
      </c>
      <c r="C205" s="2">
        <f>Year_2025!AV205</f>
        <v>107.2</v>
      </c>
      <c r="D205" s="2">
        <f>Year_2025!AW205</f>
        <v>693</v>
      </c>
      <c r="E205" s="2">
        <f>Year_2025!AX205</f>
        <v>50.05</v>
      </c>
      <c r="F205" s="2">
        <f>Year_2025!AY205</f>
        <v>30.1</v>
      </c>
      <c r="G205" s="2">
        <f>Year_2025!AZ205</f>
        <v>108.53</v>
      </c>
      <c r="H205" s="2">
        <f>Year_2025!BA205</f>
        <v>299.60000000000002</v>
      </c>
      <c r="I205" s="2">
        <f>Year_2025!BB205</f>
        <v>549.36</v>
      </c>
      <c r="J205" s="2">
        <f>Year_2025!BC205</f>
        <v>430.36</v>
      </c>
      <c r="K205" s="2">
        <f>Year_2025!BD205</f>
        <v>577.22</v>
      </c>
      <c r="L205" s="2">
        <f>Year_2025!BE205</f>
        <v>440.3</v>
      </c>
      <c r="M205" s="2">
        <f>Year_2025!BF205</f>
        <v>108.06</v>
      </c>
      <c r="N205" s="2">
        <f>Year_2025!BG205</f>
        <v>705.6</v>
      </c>
      <c r="O205" s="2">
        <f>Year_2025!BH205</f>
        <v>51.42</v>
      </c>
      <c r="P205" s="2">
        <f>Year_2025!BI205</f>
        <v>30.92</v>
      </c>
      <c r="Q205" s="2">
        <f>Year_2025!BJ205</f>
        <v>231.84</v>
      </c>
      <c r="R205" s="2">
        <f>Year_2025!BK205</f>
        <v>289.8</v>
      </c>
      <c r="S205" s="2">
        <f>Year_2025!BL205</f>
        <v>519.12</v>
      </c>
      <c r="T205" s="2">
        <f>Year_2025!BM205</f>
        <v>438.48</v>
      </c>
      <c r="U205" s="2">
        <f>Year_2025!BN205</f>
        <v>561.26</v>
      </c>
      <c r="V205" s="2">
        <f>Year_2025!BO205</f>
        <v>461.72</v>
      </c>
    </row>
    <row r="206" spans="2:22" x14ac:dyDescent="0.3">
      <c r="B206" s="1" t="s">
        <v>22</v>
      </c>
      <c r="C206" s="2">
        <f>Year_2025!AV206</f>
        <v>14.92</v>
      </c>
      <c r="D206" s="2">
        <f>Year_2025!AW206</f>
        <v>65.3</v>
      </c>
      <c r="E206" s="2">
        <f>Year_2025!AX206</f>
        <v>7.84</v>
      </c>
      <c r="F206" s="2">
        <f>Year_2025!AY206</f>
        <v>4.03</v>
      </c>
      <c r="G206" s="2">
        <f>Year_2025!AZ206</f>
        <v>13.91</v>
      </c>
      <c r="H206" s="2">
        <f>Year_2025!BA206</f>
        <v>18.13</v>
      </c>
      <c r="I206" s="2">
        <f>Year_2025!BB206</f>
        <v>31.83</v>
      </c>
      <c r="J206" s="2">
        <f>Year_2025!BC206</f>
        <v>29.99</v>
      </c>
      <c r="K206" s="2">
        <f>Year_2025!BD206</f>
        <v>40.39</v>
      </c>
      <c r="L206" s="2">
        <f>Year_2025!BE206</f>
        <v>35.380000000000003</v>
      </c>
      <c r="M206" s="2">
        <f>Year_2025!BF206</f>
        <v>15.56</v>
      </c>
      <c r="N206" s="2">
        <f>Year_2025!BG206</f>
        <v>57.06</v>
      </c>
      <c r="O206" s="2">
        <f>Year_2025!BH206</f>
        <v>9.51</v>
      </c>
      <c r="P206" s="2">
        <f>Year_2025!BI206</f>
        <v>4.6100000000000003</v>
      </c>
      <c r="Q206" s="2">
        <f>Year_2025!BJ206</f>
        <v>18.72</v>
      </c>
      <c r="R206" s="2">
        <f>Year_2025!BK206</f>
        <v>20.87</v>
      </c>
      <c r="S206" s="2">
        <f>Year_2025!BL206</f>
        <v>40.950000000000003</v>
      </c>
      <c r="T206" s="2">
        <f>Year_2025!BM206</f>
        <v>32.44</v>
      </c>
      <c r="U206" s="2">
        <f>Year_2025!BN206</f>
        <v>39.700000000000003</v>
      </c>
      <c r="V206" s="2">
        <f>Year_2025!BO206</f>
        <v>39.47</v>
      </c>
    </row>
    <row r="207" spans="2:22" x14ac:dyDescent="0.3">
      <c r="B207" s="1" t="s">
        <v>23</v>
      </c>
      <c r="C207" s="2">
        <f>Year_2025!AV207</f>
        <v>110.91</v>
      </c>
      <c r="D207" s="2">
        <f>Year_2025!AW207</f>
        <v>204.79</v>
      </c>
      <c r="E207" s="2">
        <f>Year_2025!AX207</f>
        <v>44.64</v>
      </c>
      <c r="F207" s="2">
        <f>Year_2025!AY207</f>
        <v>32.159999999999997</v>
      </c>
      <c r="G207" s="2">
        <f>Year_2025!AZ207</f>
        <v>90.29</v>
      </c>
      <c r="H207" s="2">
        <f>Year_2025!BA207</f>
        <v>122.83</v>
      </c>
      <c r="I207" s="2">
        <f>Year_2025!BB207</f>
        <v>274.04000000000002</v>
      </c>
      <c r="J207" s="2">
        <f>Year_2025!BC207</f>
        <v>352.19</v>
      </c>
      <c r="K207" s="2">
        <f>Year_2025!BD207</f>
        <v>370.39</v>
      </c>
      <c r="L207" s="2">
        <f>Year_2025!BE207</f>
        <v>167.64</v>
      </c>
      <c r="M207" s="2">
        <f>Year_2025!BF207</f>
        <v>45.8</v>
      </c>
      <c r="N207" s="2">
        <f>Year_2025!BG207</f>
        <v>200.83</v>
      </c>
      <c r="O207" s="2">
        <f>Year_2025!BH207</f>
        <v>21.67</v>
      </c>
      <c r="P207" s="2">
        <f>Year_2025!BI207</f>
        <v>50.37</v>
      </c>
      <c r="Q207" s="2">
        <f>Year_2025!BJ207</f>
        <v>80.95</v>
      </c>
      <c r="R207" s="2">
        <f>Year_2025!BK207</f>
        <v>96.71</v>
      </c>
      <c r="S207" s="2">
        <f>Year_2025!BL207</f>
        <v>182.7</v>
      </c>
      <c r="T207" s="2">
        <f>Year_2025!BM207</f>
        <v>154.65</v>
      </c>
      <c r="U207" s="2">
        <f>Year_2025!BN207</f>
        <v>181.28</v>
      </c>
      <c r="V207" s="2">
        <f>Year_2025!BO207</f>
        <v>172.32</v>
      </c>
    </row>
    <row r="208" spans="2:22" x14ac:dyDescent="0.3">
      <c r="B208" s="1" t="s">
        <v>24</v>
      </c>
      <c r="C208" s="2">
        <f>Year_2025!AV208</f>
        <v>42.63</v>
      </c>
      <c r="D208" s="2">
        <f>Year_2025!AW208</f>
        <v>86.24</v>
      </c>
      <c r="E208" s="2">
        <f>Year_2025!AX208</f>
        <v>18.61</v>
      </c>
      <c r="F208" s="2">
        <f>Year_2025!AY208</f>
        <v>13.67</v>
      </c>
      <c r="G208" s="2">
        <f>Year_2025!AZ208</f>
        <v>35.200000000000003</v>
      </c>
      <c r="H208" s="2">
        <f>Year_2025!BA208</f>
        <v>45.68</v>
      </c>
      <c r="I208" s="2">
        <f>Year_2025!BB208</f>
        <v>84.61</v>
      </c>
      <c r="J208" s="2">
        <f>Year_2025!BC208</f>
        <v>72.5</v>
      </c>
      <c r="K208" s="2">
        <f>Year_2025!BD208</f>
        <v>81.08</v>
      </c>
      <c r="L208" s="2">
        <f>Year_2025!BE208</f>
        <v>60.04</v>
      </c>
      <c r="M208" s="2">
        <f>Year_2025!BF208</f>
        <v>21.69</v>
      </c>
      <c r="N208" s="2">
        <f>Year_2025!BG208</f>
        <v>86.74</v>
      </c>
      <c r="O208" s="2">
        <f>Year_2025!BH208</f>
        <v>11.67</v>
      </c>
      <c r="P208" s="2">
        <f>Year_2025!BI208</f>
        <v>13.96</v>
      </c>
      <c r="Q208" s="2">
        <f>Year_2025!BJ208</f>
        <v>35.06</v>
      </c>
      <c r="R208" s="2">
        <f>Year_2025!BK208</f>
        <v>39.68</v>
      </c>
      <c r="S208" s="2">
        <f>Year_2025!BL208</f>
        <v>74.63</v>
      </c>
      <c r="T208" s="2">
        <f>Year_2025!BM208</f>
        <v>61.59</v>
      </c>
      <c r="U208" s="2">
        <f>Year_2025!BN208</f>
        <v>72.63</v>
      </c>
      <c r="V208" s="2">
        <f>Year_2025!BO208</f>
        <v>72.17</v>
      </c>
    </row>
    <row r="209" spans="2:22" x14ac:dyDescent="0.3">
      <c r="B209" s="1" t="s">
        <v>25</v>
      </c>
      <c r="C209" s="2">
        <f>Year_2025!AV209</f>
        <v>116.09</v>
      </c>
      <c r="D209" s="2">
        <f>Year_2025!AW209</f>
        <v>388.79</v>
      </c>
      <c r="E209" s="2">
        <f>Year_2025!AX209</f>
        <v>62.4</v>
      </c>
      <c r="F209" s="2">
        <f>Year_2025!AY209</f>
        <v>34.630000000000003</v>
      </c>
      <c r="G209" s="2">
        <f>Year_2025!AZ209</f>
        <v>120.46</v>
      </c>
      <c r="H209" s="2">
        <f>Year_2025!BA209</f>
        <v>166.81</v>
      </c>
      <c r="I209" s="2">
        <f>Year_2025!BB209</f>
        <v>291</v>
      </c>
      <c r="J209" s="2">
        <f>Year_2025!BC209</f>
        <v>234.49</v>
      </c>
      <c r="K209" s="2">
        <f>Year_2025!BD209</f>
        <v>311.61</v>
      </c>
      <c r="L209" s="2">
        <f>Year_2025!BE209</f>
        <v>278.05</v>
      </c>
      <c r="M209" s="2">
        <f>Year_2025!BF209</f>
        <v>128.91999999999999</v>
      </c>
      <c r="N209" s="2">
        <f>Year_2025!BG209</f>
        <v>415.92</v>
      </c>
      <c r="O209" s="2">
        <f>Year_2025!BH209</f>
        <v>64.22</v>
      </c>
      <c r="P209" s="2">
        <f>Year_2025!BI209</f>
        <v>40.82</v>
      </c>
      <c r="Q209" s="2">
        <f>Year_2025!BJ209</f>
        <v>136.4</v>
      </c>
      <c r="R209" s="2">
        <f>Year_2025!BK209</f>
        <v>176.25</v>
      </c>
      <c r="S209" s="2">
        <f>Year_2025!BL209</f>
        <v>294.14999999999998</v>
      </c>
      <c r="T209" s="2">
        <f>Year_2025!BM209</f>
        <v>235.03</v>
      </c>
      <c r="U209" s="2">
        <f>Year_2025!BN209</f>
        <v>290.10000000000002</v>
      </c>
      <c r="V209" s="2">
        <f>Year_2025!BO209</f>
        <v>259.60000000000002</v>
      </c>
    </row>
    <row r="210" spans="2:22" x14ac:dyDescent="0.3">
      <c r="B210" s="1" t="s">
        <v>26</v>
      </c>
      <c r="C210" s="2">
        <f>Year_2025!AV210</f>
        <v>26.08</v>
      </c>
      <c r="D210" s="2">
        <f>Year_2025!AW210</f>
        <v>66.63</v>
      </c>
      <c r="E210" s="2">
        <f>Year_2025!AX210</f>
        <v>12.55</v>
      </c>
      <c r="F210" s="2">
        <f>Year_2025!AY210</f>
        <v>7.75</v>
      </c>
      <c r="G210" s="2">
        <f>Year_2025!AZ210</f>
        <v>17.350000000000001</v>
      </c>
      <c r="H210" s="2">
        <f>Year_2025!BA210</f>
        <v>22.27</v>
      </c>
      <c r="I210" s="2">
        <f>Year_2025!BB210</f>
        <v>45.66</v>
      </c>
      <c r="J210" s="2">
        <f>Year_2025!BC210</f>
        <v>36.94</v>
      </c>
      <c r="K210" s="2">
        <f>Year_2025!BD210</f>
        <v>49.67</v>
      </c>
      <c r="L210" s="2">
        <f>Year_2025!BE210</f>
        <v>48.59</v>
      </c>
      <c r="M210" s="2">
        <f>Year_2025!BF210</f>
        <v>24.2</v>
      </c>
      <c r="N210" s="2">
        <f>Year_2025!BG210</f>
        <v>43.12</v>
      </c>
      <c r="O210" s="2">
        <f>Year_2025!BH210</f>
        <v>9.42</v>
      </c>
      <c r="P210" s="2">
        <f>Year_2025!BI210</f>
        <v>7.49</v>
      </c>
      <c r="Q210" s="2">
        <f>Year_2025!BJ210</f>
        <v>21.8</v>
      </c>
      <c r="R210" s="2">
        <f>Year_2025!BK210</f>
        <v>35.67</v>
      </c>
      <c r="S210" s="2">
        <f>Year_2025!BL210</f>
        <v>49.26</v>
      </c>
      <c r="T210" s="2">
        <f>Year_2025!BM210</f>
        <v>34.49</v>
      </c>
      <c r="U210" s="2">
        <f>Year_2025!BN210</f>
        <v>50.9</v>
      </c>
      <c r="V210" s="2">
        <f>Year_2025!BO210</f>
        <v>39.159999999999997</v>
      </c>
    </row>
    <row r="211" spans="2:22" x14ac:dyDescent="0.3">
      <c r="B211" s="1" t="s">
        <v>27</v>
      </c>
      <c r="C211" s="2">
        <f>Year_2025!AV211</f>
        <v>79.099999999999994</v>
      </c>
      <c r="D211" s="2">
        <f>Year_2025!AW211</f>
        <v>217.61</v>
      </c>
      <c r="E211" s="2">
        <f>Year_2025!AX211</f>
        <v>35.01</v>
      </c>
      <c r="F211" s="2">
        <f>Year_2025!AY211</f>
        <v>22.38</v>
      </c>
      <c r="G211" s="2">
        <f>Year_2025!AZ211</f>
        <v>64.77</v>
      </c>
      <c r="H211" s="2">
        <f>Year_2025!BA211</f>
        <v>78.73</v>
      </c>
      <c r="I211" s="2">
        <f>Year_2025!BB211</f>
        <v>150.36000000000001</v>
      </c>
      <c r="J211" s="2">
        <f>Year_2025!BC211</f>
        <v>124.74</v>
      </c>
      <c r="K211" s="2">
        <f>Year_2025!BD211</f>
        <v>185.77</v>
      </c>
      <c r="L211" s="2">
        <f>Year_2025!BE211</f>
        <v>167.39</v>
      </c>
      <c r="M211" s="2">
        <f>Year_2025!BF211</f>
        <v>111.97</v>
      </c>
      <c r="N211" s="2">
        <f>Year_2025!BG211</f>
        <v>193.86</v>
      </c>
      <c r="O211" s="2">
        <f>Year_2025!BH211</f>
        <v>36.5</v>
      </c>
      <c r="P211" s="2">
        <f>Year_2025!BI211</f>
        <v>28.59</v>
      </c>
      <c r="Q211" s="2">
        <f>Year_2025!BJ211</f>
        <v>122.12</v>
      </c>
      <c r="R211" s="2">
        <f>Year_2025!BK211</f>
        <v>127.8</v>
      </c>
      <c r="S211" s="2">
        <f>Year_2025!BL211</f>
        <v>200.8</v>
      </c>
      <c r="T211" s="2">
        <f>Year_2025!BM211</f>
        <v>150.47</v>
      </c>
      <c r="U211" s="2">
        <f>Year_2025!BN211</f>
        <v>186.14</v>
      </c>
      <c r="V211" s="2">
        <f>Year_2025!BO211</f>
        <v>149.19999999999999</v>
      </c>
    </row>
    <row r="212" spans="2:22" x14ac:dyDescent="0.3">
      <c r="B212" s="1" t="s">
        <v>28</v>
      </c>
      <c r="C212" s="2">
        <f>Year_2025!AV212</f>
        <v>48.58</v>
      </c>
      <c r="D212" s="2">
        <f>Year_2025!AW212</f>
        <v>151.65</v>
      </c>
      <c r="E212" s="2">
        <f>Year_2025!AX212</f>
        <v>20.190000000000001</v>
      </c>
      <c r="F212" s="2">
        <f>Year_2025!AY212</f>
        <v>12.68</v>
      </c>
      <c r="G212" s="2">
        <f>Year_2025!AZ212</f>
        <v>48.56</v>
      </c>
      <c r="H212" s="2">
        <f>Year_2025!BA212</f>
        <v>64.3</v>
      </c>
      <c r="I212" s="2">
        <f>Year_2025!BB212</f>
        <v>117.76</v>
      </c>
      <c r="J212" s="2">
        <f>Year_2025!BC212</f>
        <v>95.29</v>
      </c>
      <c r="K212" s="2">
        <f>Year_2025!BD212</f>
        <v>123.81</v>
      </c>
      <c r="L212" s="2">
        <f>Year_2025!BE212</f>
        <v>113.77</v>
      </c>
      <c r="M212" s="2">
        <f>Year_2025!BF212</f>
        <v>52.06</v>
      </c>
      <c r="N212" s="2">
        <f>Year_2025!BG212</f>
        <v>175.76</v>
      </c>
      <c r="O212" s="2">
        <f>Year_2025!BH212</f>
        <v>21.67</v>
      </c>
      <c r="P212" s="2">
        <f>Year_2025!BI212</f>
        <v>14.18</v>
      </c>
      <c r="Q212" s="2">
        <f>Year_2025!BJ212</f>
        <v>54.48</v>
      </c>
      <c r="R212" s="2">
        <f>Year_2025!BK212</f>
        <v>66.27</v>
      </c>
      <c r="S212" s="2">
        <f>Year_2025!BL212</f>
        <v>122.33</v>
      </c>
      <c r="T212" s="2">
        <f>Year_2025!BM212</f>
        <v>98.14</v>
      </c>
      <c r="U212" s="2">
        <f>Year_2025!BN212</f>
        <v>124.31</v>
      </c>
      <c r="V212" s="2">
        <f>Year_2025!BO212</f>
        <v>107.44</v>
      </c>
    </row>
    <row r="215" spans="2:22" x14ac:dyDescent="0.3">
      <c r="B215" t="s">
        <v>73</v>
      </c>
    </row>
    <row r="216" spans="2:22" x14ac:dyDescent="0.3">
      <c r="B216" s="1" t="s">
        <v>16</v>
      </c>
      <c r="C216" s="1" t="s">
        <v>17</v>
      </c>
      <c r="D216" s="1" t="s">
        <v>18</v>
      </c>
      <c r="E216" s="1" t="s">
        <v>17</v>
      </c>
      <c r="F216" s="1" t="s">
        <v>18</v>
      </c>
      <c r="G216" s="1" t="s">
        <v>17</v>
      </c>
      <c r="H216" s="1" t="s">
        <v>18</v>
      </c>
      <c r="I216" s="1" t="s">
        <v>17</v>
      </c>
      <c r="J216" s="1" t="s">
        <v>18</v>
      </c>
      <c r="K216" s="1" t="s">
        <v>17</v>
      </c>
      <c r="L216" s="1" t="s">
        <v>18</v>
      </c>
      <c r="M216" s="1" t="s">
        <v>17</v>
      </c>
      <c r="N216" s="1" t="s">
        <v>18</v>
      </c>
      <c r="O216" s="1" t="s">
        <v>17</v>
      </c>
      <c r="P216" s="1" t="s">
        <v>18</v>
      </c>
      <c r="Q216" s="1" t="s">
        <v>17</v>
      </c>
      <c r="R216" s="1" t="s">
        <v>18</v>
      </c>
      <c r="S216" s="1" t="s">
        <v>17</v>
      </c>
      <c r="T216" s="1" t="s">
        <v>18</v>
      </c>
      <c r="U216" s="1" t="s">
        <v>17</v>
      </c>
      <c r="V216" s="1" t="s">
        <v>18</v>
      </c>
    </row>
    <row r="217" spans="2:22" x14ac:dyDescent="0.3">
      <c r="B217" s="1" t="s">
        <v>19</v>
      </c>
      <c r="C217" s="1" t="s">
        <v>1</v>
      </c>
      <c r="D217" s="1" t="s">
        <v>1</v>
      </c>
      <c r="E217" s="1" t="s">
        <v>2</v>
      </c>
      <c r="F217" s="1" t="s">
        <v>2</v>
      </c>
      <c r="G217" s="1" t="s">
        <v>3</v>
      </c>
      <c r="H217" s="1" t="s">
        <v>3</v>
      </c>
      <c r="I217" s="1" t="s">
        <v>4</v>
      </c>
      <c r="J217" s="1" t="s">
        <v>4</v>
      </c>
      <c r="K217" s="1" t="s">
        <v>5</v>
      </c>
      <c r="L217" s="1" t="s">
        <v>5</v>
      </c>
      <c r="M217" s="1" t="s">
        <v>6</v>
      </c>
      <c r="N217" s="1" t="s">
        <v>6</v>
      </c>
      <c r="O217" s="1" t="s">
        <v>7</v>
      </c>
      <c r="P217" s="1" t="s">
        <v>7</v>
      </c>
      <c r="Q217" s="1" t="s">
        <v>8</v>
      </c>
      <c r="R217" s="1" t="s">
        <v>8</v>
      </c>
      <c r="S217" s="1" t="s">
        <v>9</v>
      </c>
      <c r="T217" s="1" t="s">
        <v>9</v>
      </c>
      <c r="U217" s="1" t="s">
        <v>10</v>
      </c>
      <c r="V217" s="1" t="s">
        <v>10</v>
      </c>
    </row>
    <row r="218" spans="2:22" x14ac:dyDescent="0.3">
      <c r="B218" s="1" t="s">
        <v>20</v>
      </c>
    </row>
    <row r="219" spans="2:22" x14ac:dyDescent="0.3">
      <c r="B219" s="1" t="s">
        <v>21</v>
      </c>
      <c r="C219" s="2">
        <f>Year_2025!AV219</f>
        <v>82.46</v>
      </c>
      <c r="D219" s="2">
        <f>Year_2025!AW219</f>
        <v>83.13</v>
      </c>
      <c r="E219" s="2">
        <f>Year_2025!AX219</f>
        <v>38.5</v>
      </c>
      <c r="F219" s="2">
        <f>Year_2025!AY219</f>
        <v>39.549999999999997</v>
      </c>
      <c r="G219" s="2">
        <f>Year_2025!AZ219</f>
        <v>60.2</v>
      </c>
      <c r="H219" s="2">
        <f>Year_2025!BA219</f>
        <v>61.85</v>
      </c>
      <c r="I219" s="2">
        <f>Year_2025!BB219</f>
        <v>67.83</v>
      </c>
      <c r="J219" s="2">
        <f>Year_2025!BC219</f>
        <v>144.9</v>
      </c>
      <c r="K219" s="2">
        <f>Year_2025!BD219</f>
        <v>149.80000000000001</v>
      </c>
      <c r="L219" s="2">
        <f>Year_2025!BE219</f>
        <v>144.9</v>
      </c>
      <c r="M219" s="2">
        <f>Year_2025!BF219</f>
        <v>152.6</v>
      </c>
      <c r="N219" s="2">
        <f>Year_2025!BG219</f>
        <v>144.19999999999999</v>
      </c>
      <c r="O219" s="2">
        <f>Year_2025!BH219</f>
        <v>148.4</v>
      </c>
      <c r="P219" s="2">
        <f>Year_2025!BI219</f>
        <v>151.19999999999999</v>
      </c>
      <c r="Q219" s="2">
        <f>Year_2025!BJ219</f>
        <v>151.9</v>
      </c>
      <c r="R219" s="2">
        <f>Year_2025!BK219</f>
        <v>147.69999999999999</v>
      </c>
      <c r="S219" s="2">
        <f>Year_2025!BL219</f>
        <v>129.5</v>
      </c>
      <c r="T219" s="2">
        <f>Year_2025!BM219</f>
        <v>135.80000000000001</v>
      </c>
      <c r="U219" s="2">
        <f>Year_2025!BN219</f>
        <v>154</v>
      </c>
      <c r="V219" s="2">
        <f>Year_2025!BO219</f>
        <v>156.80000000000001</v>
      </c>
    </row>
    <row r="220" spans="2:22" x14ac:dyDescent="0.3">
      <c r="B220" s="1" t="s">
        <v>22</v>
      </c>
      <c r="C220" s="2">
        <f>Year_2025!AV220</f>
        <v>11.48</v>
      </c>
      <c r="D220" s="2">
        <f>Year_2025!AW220</f>
        <v>11.97</v>
      </c>
      <c r="E220" s="2">
        <f>Year_2025!AX220</f>
        <v>6.03</v>
      </c>
      <c r="F220" s="2">
        <f>Year_2025!AY220</f>
        <v>7.32</v>
      </c>
      <c r="G220" s="2">
        <f>Year_2025!AZ220</f>
        <v>8.0500000000000007</v>
      </c>
      <c r="H220" s="2">
        <f>Year_2025!BA220</f>
        <v>9.2200000000000006</v>
      </c>
      <c r="I220" s="2">
        <f>Year_2025!BB220</f>
        <v>8.69</v>
      </c>
      <c r="J220" s="2">
        <f>Year_2025!BC220</f>
        <v>11.7</v>
      </c>
      <c r="K220" s="2">
        <f>Year_2025!BD220</f>
        <v>9.06</v>
      </c>
      <c r="L220" s="2">
        <f>Year_2025!BE220</f>
        <v>10.43</v>
      </c>
      <c r="M220" s="2">
        <f>Year_2025!BF220</f>
        <v>8.84</v>
      </c>
      <c r="N220" s="2">
        <f>Year_2025!BG220</f>
        <v>11.37</v>
      </c>
      <c r="O220" s="2">
        <f>Year_2025!BH220</f>
        <v>10.34</v>
      </c>
      <c r="P220" s="2">
        <f>Year_2025!BI220</f>
        <v>11.19</v>
      </c>
      <c r="Q220" s="2">
        <f>Year_2025!BJ220</f>
        <v>10.63</v>
      </c>
      <c r="R220" s="2">
        <f>Year_2025!BK220</f>
        <v>10.45</v>
      </c>
      <c r="S220" s="2">
        <f>Year_2025!BL220</f>
        <v>10.41</v>
      </c>
      <c r="T220" s="2">
        <f>Year_2025!BM220</f>
        <v>11.61</v>
      </c>
      <c r="U220" s="2">
        <f>Year_2025!BN220</f>
        <v>14.51</v>
      </c>
      <c r="V220" s="2">
        <f>Year_2025!BO220</f>
        <v>12.68</v>
      </c>
    </row>
    <row r="221" spans="2:22" x14ac:dyDescent="0.3">
      <c r="B221" s="1" t="s">
        <v>23</v>
      </c>
      <c r="C221" s="2">
        <f>Year_2025!AV221</f>
        <v>85.31</v>
      </c>
      <c r="D221" s="2">
        <f>Year_2025!AW221</f>
        <v>35.229999999999997</v>
      </c>
      <c r="E221" s="2">
        <f>Year_2025!AX221</f>
        <v>34.340000000000003</v>
      </c>
      <c r="F221" s="2">
        <f>Year_2025!AY221</f>
        <v>16.670000000000002</v>
      </c>
      <c r="G221" s="2">
        <f>Year_2025!AZ221</f>
        <v>64.33</v>
      </c>
      <c r="H221" s="2">
        <f>Year_2025!BA221</f>
        <v>100.75</v>
      </c>
      <c r="I221" s="2">
        <f>Year_2025!BB221</f>
        <v>56.43</v>
      </c>
      <c r="J221" s="2">
        <f>Year_2025!BC221</f>
        <v>50.59</v>
      </c>
      <c r="K221" s="2">
        <f>Year_2025!BD221</f>
        <v>61.42</v>
      </c>
      <c r="L221" s="2">
        <f>Year_2025!BE221</f>
        <v>48.35</v>
      </c>
      <c r="M221" s="2">
        <f>Year_2025!BF221</f>
        <v>76.12</v>
      </c>
      <c r="N221" s="2">
        <f>Year_2025!BG221</f>
        <v>50.75</v>
      </c>
      <c r="O221" s="2">
        <f>Year_2025!BH221</f>
        <v>121.45</v>
      </c>
      <c r="P221" s="2">
        <f>Year_2025!BI221</f>
        <v>53.33</v>
      </c>
      <c r="Q221" s="2">
        <f>Year_2025!BJ221</f>
        <v>97.47</v>
      </c>
      <c r="R221" s="2">
        <f>Year_2025!BK221</f>
        <v>47.71</v>
      </c>
      <c r="S221" s="2">
        <f>Year_2025!BL221</f>
        <v>49.3</v>
      </c>
      <c r="T221" s="2">
        <f>Year_2025!BM221</f>
        <v>50.68</v>
      </c>
      <c r="U221" s="2">
        <f>Year_2025!BN221</f>
        <v>45.51</v>
      </c>
      <c r="V221" s="2">
        <f>Year_2025!BO221</f>
        <v>44.63</v>
      </c>
    </row>
    <row r="222" spans="2:22" x14ac:dyDescent="0.3">
      <c r="B222" s="1" t="s">
        <v>24</v>
      </c>
      <c r="C222" s="2">
        <f>Year_2025!AV222</f>
        <v>32.799999999999997</v>
      </c>
      <c r="D222" s="2">
        <f>Year_2025!AW222</f>
        <v>16.68</v>
      </c>
      <c r="E222" s="2">
        <f>Year_2025!AX222</f>
        <v>14.32</v>
      </c>
      <c r="F222" s="2">
        <f>Year_2025!AY222</f>
        <v>8.98</v>
      </c>
      <c r="G222" s="2">
        <f>Year_2025!AZ222</f>
        <v>27.35</v>
      </c>
      <c r="H222" s="2">
        <f>Year_2025!BA222</f>
        <v>27.92</v>
      </c>
      <c r="I222" s="2">
        <f>Year_2025!BB222</f>
        <v>22</v>
      </c>
      <c r="J222" s="2">
        <f>Year_2025!BC222</f>
        <v>21.91</v>
      </c>
      <c r="K222" s="2">
        <f>Year_2025!BD222</f>
        <v>22.84</v>
      </c>
      <c r="L222" s="2">
        <f>Year_2025!BE222</f>
        <v>19.84</v>
      </c>
      <c r="M222" s="2">
        <f>Year_2025!BF222</f>
        <v>23.5</v>
      </c>
      <c r="N222" s="2">
        <f>Year_2025!BG222</f>
        <v>20.73</v>
      </c>
      <c r="O222" s="2">
        <f>Year_2025!BH222</f>
        <v>25</v>
      </c>
      <c r="P222" s="2">
        <f>Year_2025!BI222</f>
        <v>21.24</v>
      </c>
      <c r="Q222" s="2">
        <f>Year_2025!BJ222</f>
        <v>21.34</v>
      </c>
      <c r="R222" s="2">
        <f>Year_2025!BK222</f>
        <v>19.11</v>
      </c>
      <c r="S222" s="2">
        <f>Year_2025!BL222</f>
        <v>17.66</v>
      </c>
      <c r="T222" s="2">
        <f>Year_2025!BM222</f>
        <v>21.23</v>
      </c>
      <c r="U222" s="2">
        <f>Year_2025!BN222</f>
        <v>19.16</v>
      </c>
      <c r="V222" s="2">
        <f>Year_2025!BO222</f>
        <v>19.28</v>
      </c>
    </row>
    <row r="223" spans="2:22" x14ac:dyDescent="0.3">
      <c r="B223" s="1" t="s">
        <v>25</v>
      </c>
      <c r="C223" s="2">
        <f>Year_2025!AV223</f>
        <v>89.3</v>
      </c>
      <c r="D223" s="2">
        <f>Year_2025!AW223</f>
        <v>99.17</v>
      </c>
      <c r="E223" s="2">
        <f>Year_2025!AX223</f>
        <v>48</v>
      </c>
      <c r="F223" s="2">
        <f>Year_2025!AY223</f>
        <v>49.4</v>
      </c>
      <c r="G223" s="2">
        <f>Year_2025!AZ223</f>
        <v>69.260000000000005</v>
      </c>
      <c r="H223" s="2">
        <f>Year_2025!BA223</f>
        <v>81.64</v>
      </c>
      <c r="I223" s="2">
        <f>Year_2025!BB223</f>
        <v>75.290000000000006</v>
      </c>
      <c r="J223" s="2">
        <f>Year_2025!BC223</f>
        <v>85.25</v>
      </c>
      <c r="K223" s="2">
        <f>Year_2025!BD223</f>
        <v>83.41</v>
      </c>
      <c r="L223" s="2">
        <f>Year_2025!BE223</f>
        <v>88.13</v>
      </c>
      <c r="M223" s="2">
        <f>Year_2025!BF223</f>
        <v>80.83</v>
      </c>
      <c r="N223" s="2">
        <f>Year_2025!BG223</f>
        <v>81.709999999999994</v>
      </c>
      <c r="O223" s="2">
        <f>Year_2025!BH223</f>
        <v>80.86</v>
      </c>
      <c r="P223" s="2">
        <f>Year_2025!BI223</f>
        <v>81.040000000000006</v>
      </c>
      <c r="Q223" s="2">
        <f>Year_2025!BJ223</f>
        <v>82</v>
      </c>
      <c r="R223" s="2">
        <f>Year_2025!BK223</f>
        <v>76.34</v>
      </c>
      <c r="S223" s="2">
        <f>Year_2025!BL223</f>
        <v>81.78</v>
      </c>
      <c r="T223" s="2">
        <f>Year_2025!BM223</f>
        <v>76.349999999999994</v>
      </c>
      <c r="U223" s="2">
        <f>Year_2025!BN223</f>
        <v>86.4</v>
      </c>
      <c r="V223" s="2">
        <f>Year_2025!BO223</f>
        <v>92.43</v>
      </c>
    </row>
    <row r="224" spans="2:22" x14ac:dyDescent="0.3">
      <c r="B224" s="1" t="s">
        <v>26</v>
      </c>
      <c r="C224" s="2">
        <f>Year_2025!AV224</f>
        <v>20.059999999999999</v>
      </c>
      <c r="D224" s="2">
        <f>Year_2025!AW224</f>
        <v>18.62</v>
      </c>
      <c r="E224" s="2">
        <f>Year_2025!AX224</f>
        <v>9.65</v>
      </c>
      <c r="F224" s="2">
        <f>Year_2025!AY224</f>
        <v>7.25</v>
      </c>
      <c r="G224" s="2">
        <f>Year_2025!AZ224</f>
        <v>15.51</v>
      </c>
      <c r="H224" s="2">
        <f>Year_2025!BA224</f>
        <v>14.99</v>
      </c>
      <c r="I224" s="2">
        <f>Year_2025!BB224</f>
        <v>10.85</v>
      </c>
      <c r="J224" s="2">
        <f>Year_2025!BC224</f>
        <v>13.62</v>
      </c>
      <c r="K224" s="2">
        <f>Year_2025!BD224</f>
        <v>11.13</v>
      </c>
      <c r="L224" s="2">
        <f>Year_2025!BE224</f>
        <v>17.829999999999998</v>
      </c>
      <c r="M224" s="2">
        <f>Year_2025!BF224</f>
        <v>12.68</v>
      </c>
      <c r="N224" s="2">
        <f>Year_2025!BG224</f>
        <v>13.68</v>
      </c>
      <c r="O224" s="2">
        <f>Year_2025!BH224</f>
        <v>12.74</v>
      </c>
      <c r="P224" s="2">
        <f>Year_2025!BI224</f>
        <v>11.89</v>
      </c>
      <c r="Q224" s="2">
        <f>Year_2025!BJ224</f>
        <v>13.07</v>
      </c>
      <c r="R224" s="2">
        <f>Year_2025!BK224</f>
        <v>13.4</v>
      </c>
      <c r="S224" s="2">
        <f>Year_2025!BL224</f>
        <v>14.29</v>
      </c>
      <c r="T224" s="2">
        <f>Year_2025!BM224</f>
        <v>11.52</v>
      </c>
      <c r="U224" s="2">
        <f>Year_2025!BN224</f>
        <v>14.81</v>
      </c>
      <c r="V224" s="2">
        <f>Year_2025!BO224</f>
        <v>9.58</v>
      </c>
    </row>
    <row r="225" spans="2:22" x14ac:dyDescent="0.3">
      <c r="B225" s="1" t="s">
        <v>27</v>
      </c>
      <c r="C225" s="2">
        <f>Year_2025!AV225</f>
        <v>60.85</v>
      </c>
      <c r="D225" s="2">
        <f>Year_2025!AW225</f>
        <v>86.13</v>
      </c>
      <c r="E225" s="2">
        <f>Year_2025!AX225</f>
        <v>26.93</v>
      </c>
      <c r="F225" s="2">
        <f>Year_2025!AY225</f>
        <v>28.08</v>
      </c>
      <c r="G225" s="2">
        <f>Year_2025!AZ225</f>
        <v>44.76</v>
      </c>
      <c r="H225" s="2">
        <f>Year_2025!BA225</f>
        <v>57.17</v>
      </c>
      <c r="I225" s="2">
        <f>Year_2025!BB225</f>
        <v>40.479999999999997</v>
      </c>
      <c r="J225" s="2">
        <f>Year_2025!BC225</f>
        <v>76.319999999999993</v>
      </c>
      <c r="K225" s="2">
        <f>Year_2025!BD225</f>
        <v>39.369999999999997</v>
      </c>
      <c r="L225" s="2">
        <f>Year_2025!BE225</f>
        <v>63.9</v>
      </c>
      <c r="M225" s="2">
        <f>Year_2025!BF225</f>
        <v>41.77</v>
      </c>
      <c r="N225" s="2">
        <f>Year_2025!BG225</f>
        <v>55.78</v>
      </c>
      <c r="O225" s="2">
        <f>Year_2025!BH225</f>
        <v>43.01</v>
      </c>
      <c r="P225" s="2">
        <f>Year_2025!BI225</f>
        <v>51.89</v>
      </c>
      <c r="Q225" s="2">
        <f>Year_2025!BJ225</f>
        <v>48.89</v>
      </c>
      <c r="R225" s="2">
        <f>Year_2025!BK225</f>
        <v>48.98</v>
      </c>
      <c r="S225" s="2">
        <f>Year_2025!BL225</f>
        <v>49.23</v>
      </c>
      <c r="T225" s="2">
        <f>Year_2025!BM225</f>
        <v>43.88</v>
      </c>
      <c r="U225" s="2">
        <f>Year_2025!BN225</f>
        <v>48.36</v>
      </c>
      <c r="V225" s="2">
        <f>Year_2025!BO225</f>
        <v>43.08</v>
      </c>
    </row>
    <row r="226" spans="2:22" x14ac:dyDescent="0.3">
      <c r="B226" s="1" t="s">
        <v>28</v>
      </c>
      <c r="C226" s="2">
        <f>Year_2025!AV226</f>
        <v>37.369999999999997</v>
      </c>
      <c r="D226" s="2">
        <f>Year_2025!AW226</f>
        <v>40.04</v>
      </c>
      <c r="E226" s="2">
        <f>Year_2025!AX226</f>
        <v>15.53</v>
      </c>
      <c r="F226" s="2">
        <f>Year_2025!AY226</f>
        <v>16.670000000000002</v>
      </c>
      <c r="G226" s="2">
        <f>Year_2025!AZ226</f>
        <v>25.37</v>
      </c>
      <c r="H226" s="2">
        <f>Year_2025!BA226</f>
        <v>28.36</v>
      </c>
      <c r="I226" s="2">
        <f>Year_2025!BB226</f>
        <v>30.35</v>
      </c>
      <c r="J226" s="2">
        <f>Year_2025!BC226</f>
        <v>34.049999999999997</v>
      </c>
      <c r="K226" s="2">
        <f>Year_2025!BD226</f>
        <v>32.15</v>
      </c>
      <c r="L226" s="2">
        <f>Year_2025!BE226</f>
        <v>33.14</v>
      </c>
      <c r="M226" s="2">
        <f>Year_2025!BF226</f>
        <v>32.71</v>
      </c>
      <c r="N226" s="2">
        <f>Year_2025!BG226</f>
        <v>33.979999999999997</v>
      </c>
      <c r="O226" s="2">
        <f>Year_2025!BH226</f>
        <v>32.86</v>
      </c>
      <c r="P226" s="2">
        <f>Year_2025!BI226</f>
        <v>33.840000000000003</v>
      </c>
      <c r="Q226" s="2">
        <f>Year_2025!BJ226</f>
        <v>32.58</v>
      </c>
      <c r="R226" s="2">
        <f>Year_2025!BK226</f>
        <v>32.71</v>
      </c>
      <c r="S226" s="2">
        <f>Year_2025!BL226</f>
        <v>33.46</v>
      </c>
      <c r="T226" s="2">
        <f>Year_2025!BM226</f>
        <v>31.6</v>
      </c>
      <c r="U226" s="2">
        <f>Year_2025!BN226</f>
        <v>33.700000000000003</v>
      </c>
      <c r="V226" s="2">
        <f>Year_2025!BO226</f>
        <v>39.06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F52-178B-499D-86B5-BC140BDE0DB5}">
  <dimension ref="B1:CL240"/>
  <sheetViews>
    <sheetView topLeftCell="V122" zoomScale="48" workbookViewId="0">
      <selection activeCell="AV191" sqref="AV191"/>
    </sheetView>
  </sheetViews>
  <sheetFormatPr defaultRowHeight="14.4" x14ac:dyDescent="0.3"/>
  <sheetData>
    <row r="1" spans="2:90" x14ac:dyDescent="0.3">
      <c r="B1" t="s">
        <v>0</v>
      </c>
    </row>
    <row r="2" spans="2:90" x14ac:dyDescent="0.3"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</row>
    <row r="3" spans="2:90" x14ac:dyDescent="0.3">
      <c r="B3" s="1" t="s">
        <v>11</v>
      </c>
      <c r="C3">
        <v>1.3</v>
      </c>
      <c r="D3">
        <v>1.3</v>
      </c>
      <c r="E3">
        <v>0.5</v>
      </c>
      <c r="F3">
        <v>1.6</v>
      </c>
      <c r="G3">
        <v>2</v>
      </c>
      <c r="H3">
        <v>3.6</v>
      </c>
      <c r="I3">
        <v>2.9</v>
      </c>
      <c r="J3">
        <v>3.8</v>
      </c>
      <c r="K3">
        <v>3.4</v>
      </c>
      <c r="L3">
        <v>4.5</v>
      </c>
    </row>
    <row r="5" spans="2:90" x14ac:dyDescent="0.3">
      <c r="B5" t="s">
        <v>12</v>
      </c>
      <c r="X5" t="s">
        <v>13</v>
      </c>
      <c r="AU5" t="s">
        <v>14</v>
      </c>
      <c r="BR5" t="s">
        <v>15</v>
      </c>
    </row>
    <row r="6" spans="2:90" x14ac:dyDescent="0.3">
      <c r="B6" s="1" t="s">
        <v>16</v>
      </c>
      <c r="C6" s="1" t="s">
        <v>17</v>
      </c>
      <c r="D6" s="1" t="s">
        <v>18</v>
      </c>
      <c r="E6" s="1" t="s">
        <v>17</v>
      </c>
      <c r="F6" s="1" t="s">
        <v>18</v>
      </c>
      <c r="G6" s="1" t="s">
        <v>17</v>
      </c>
      <c r="H6" s="1" t="s">
        <v>18</v>
      </c>
      <c r="I6" s="1" t="s">
        <v>17</v>
      </c>
      <c r="J6" s="1" t="s">
        <v>18</v>
      </c>
      <c r="K6" s="1" t="s">
        <v>17</v>
      </c>
      <c r="L6" s="1" t="s">
        <v>18</v>
      </c>
      <c r="M6" s="1" t="s">
        <v>17</v>
      </c>
      <c r="N6" s="1" t="s">
        <v>18</v>
      </c>
      <c r="O6" s="1" t="s">
        <v>17</v>
      </c>
      <c r="P6" s="1" t="s">
        <v>18</v>
      </c>
      <c r="Q6" s="1" t="s">
        <v>17</v>
      </c>
      <c r="R6" s="1" t="s">
        <v>18</v>
      </c>
      <c r="S6" s="1" t="s">
        <v>17</v>
      </c>
      <c r="T6" s="1" t="s">
        <v>18</v>
      </c>
      <c r="U6" s="1" t="s">
        <v>17</v>
      </c>
      <c r="V6" s="1" t="s">
        <v>18</v>
      </c>
      <c r="X6" s="1" t="s">
        <v>16</v>
      </c>
      <c r="Y6" s="1" t="s">
        <v>17</v>
      </c>
      <c r="Z6" s="1" t="s">
        <v>18</v>
      </c>
      <c r="AA6" s="1" t="s">
        <v>17</v>
      </c>
      <c r="AB6" s="1" t="s">
        <v>18</v>
      </c>
      <c r="AC6" s="1" t="s">
        <v>17</v>
      </c>
      <c r="AD6" s="1" t="s">
        <v>18</v>
      </c>
      <c r="AE6" s="1" t="s">
        <v>17</v>
      </c>
      <c r="AF6" s="1" t="s">
        <v>18</v>
      </c>
      <c r="AG6" s="1" t="s">
        <v>17</v>
      </c>
      <c r="AH6" s="1" t="s">
        <v>18</v>
      </c>
      <c r="AI6" s="1" t="s">
        <v>17</v>
      </c>
      <c r="AJ6" s="1" t="s">
        <v>18</v>
      </c>
      <c r="AK6" s="1" t="s">
        <v>17</v>
      </c>
      <c r="AL6" s="1" t="s">
        <v>18</v>
      </c>
      <c r="AM6" s="1" t="s">
        <v>17</v>
      </c>
      <c r="AN6" s="1" t="s">
        <v>18</v>
      </c>
      <c r="AO6" s="1" t="s">
        <v>17</v>
      </c>
      <c r="AP6" s="1" t="s">
        <v>18</v>
      </c>
      <c r="AQ6" s="1" t="s">
        <v>17</v>
      </c>
      <c r="AR6" s="1" t="s">
        <v>18</v>
      </c>
      <c r="AU6" s="1" t="s">
        <v>16</v>
      </c>
      <c r="AV6" s="1" t="s">
        <v>17</v>
      </c>
      <c r="AW6" s="1" t="s">
        <v>18</v>
      </c>
      <c r="AX6" s="1" t="s">
        <v>17</v>
      </c>
      <c r="AY6" s="1" t="s">
        <v>18</v>
      </c>
      <c r="AZ6" s="1" t="s">
        <v>17</v>
      </c>
      <c r="BA6" s="1" t="s">
        <v>18</v>
      </c>
      <c r="BB6" s="1" t="s">
        <v>17</v>
      </c>
      <c r="BC6" s="1" t="s">
        <v>18</v>
      </c>
      <c r="BD6" s="1" t="s">
        <v>17</v>
      </c>
      <c r="BE6" s="1" t="s">
        <v>18</v>
      </c>
      <c r="BF6" s="1" t="s">
        <v>17</v>
      </c>
      <c r="BG6" s="1" t="s">
        <v>18</v>
      </c>
      <c r="BH6" s="1" t="s">
        <v>17</v>
      </c>
      <c r="BI6" s="1" t="s">
        <v>18</v>
      </c>
      <c r="BJ6" s="1" t="s">
        <v>17</v>
      </c>
      <c r="BK6" s="1" t="s">
        <v>18</v>
      </c>
      <c r="BL6" s="1" t="s">
        <v>17</v>
      </c>
      <c r="BM6" s="1" t="s">
        <v>18</v>
      </c>
      <c r="BN6" s="1" t="s">
        <v>17</v>
      </c>
      <c r="BO6" s="1" t="s">
        <v>18</v>
      </c>
      <c r="BR6" s="1" t="s">
        <v>16</v>
      </c>
      <c r="BS6" s="1" t="s">
        <v>17</v>
      </c>
      <c r="BT6" s="1" t="s">
        <v>18</v>
      </c>
      <c r="BU6" s="1" t="s">
        <v>17</v>
      </c>
      <c r="BV6" s="1" t="s">
        <v>18</v>
      </c>
      <c r="BW6" s="1" t="s">
        <v>17</v>
      </c>
      <c r="BX6" s="1" t="s">
        <v>18</v>
      </c>
      <c r="BY6" s="1" t="s">
        <v>17</v>
      </c>
      <c r="BZ6" s="1" t="s">
        <v>18</v>
      </c>
      <c r="CA6" s="1" t="s">
        <v>17</v>
      </c>
      <c r="CB6" s="1" t="s">
        <v>18</v>
      </c>
      <c r="CC6" s="1" t="s">
        <v>17</v>
      </c>
      <c r="CD6" s="1" t="s">
        <v>18</v>
      </c>
      <c r="CE6" s="1" t="s">
        <v>17</v>
      </c>
      <c r="CF6" s="1" t="s">
        <v>18</v>
      </c>
      <c r="CG6" s="1" t="s">
        <v>17</v>
      </c>
      <c r="CH6" s="1" t="s">
        <v>18</v>
      </c>
      <c r="CI6" s="1" t="s">
        <v>17</v>
      </c>
      <c r="CJ6" s="1" t="s">
        <v>18</v>
      </c>
      <c r="CK6" s="1" t="s">
        <v>17</v>
      </c>
      <c r="CL6" s="1" t="s">
        <v>18</v>
      </c>
    </row>
    <row r="7" spans="2:90" x14ac:dyDescent="0.3">
      <c r="B7" s="1" t="s">
        <v>19</v>
      </c>
      <c r="C7" s="1" t="s">
        <v>1</v>
      </c>
      <c r="D7" s="1" t="s">
        <v>1</v>
      </c>
      <c r="E7" s="1" t="s">
        <v>2</v>
      </c>
      <c r="F7" s="1" t="s">
        <v>2</v>
      </c>
      <c r="G7" s="1" t="s">
        <v>3</v>
      </c>
      <c r="H7" s="1" t="s">
        <v>3</v>
      </c>
      <c r="I7" s="1" t="s">
        <v>4</v>
      </c>
      <c r="J7" s="1" t="s">
        <v>4</v>
      </c>
      <c r="K7" s="1" t="s">
        <v>5</v>
      </c>
      <c r="L7" s="1" t="s">
        <v>5</v>
      </c>
      <c r="M7" s="1" t="s">
        <v>6</v>
      </c>
      <c r="N7" s="1" t="s">
        <v>6</v>
      </c>
      <c r="O7" s="1" t="s">
        <v>7</v>
      </c>
      <c r="P7" s="1" t="s">
        <v>7</v>
      </c>
      <c r="Q7" s="1" t="s">
        <v>8</v>
      </c>
      <c r="R7" s="1" t="s">
        <v>8</v>
      </c>
      <c r="S7" s="1" t="s">
        <v>9</v>
      </c>
      <c r="T7" s="1" t="s">
        <v>9</v>
      </c>
      <c r="U7" s="1" t="s">
        <v>10</v>
      </c>
      <c r="V7" s="1" t="s">
        <v>10</v>
      </c>
      <c r="X7" s="1" t="s">
        <v>19</v>
      </c>
      <c r="Y7" s="1" t="s">
        <v>1</v>
      </c>
      <c r="Z7" s="1" t="s">
        <v>1</v>
      </c>
      <c r="AA7" s="1" t="s">
        <v>2</v>
      </c>
      <c r="AB7" s="1" t="s">
        <v>2</v>
      </c>
      <c r="AC7" s="1" t="s">
        <v>3</v>
      </c>
      <c r="AD7" s="1" t="s">
        <v>3</v>
      </c>
      <c r="AE7" s="1" t="s">
        <v>4</v>
      </c>
      <c r="AF7" s="1" t="s">
        <v>4</v>
      </c>
      <c r="AG7" s="1" t="s">
        <v>5</v>
      </c>
      <c r="AH7" s="1" t="s">
        <v>5</v>
      </c>
      <c r="AI7" s="1" t="s">
        <v>6</v>
      </c>
      <c r="AJ7" s="1" t="s">
        <v>6</v>
      </c>
      <c r="AK7" s="1" t="s">
        <v>7</v>
      </c>
      <c r="AL7" s="1" t="s">
        <v>7</v>
      </c>
      <c r="AM7" s="1" t="s">
        <v>8</v>
      </c>
      <c r="AN7" s="1" t="s">
        <v>8</v>
      </c>
      <c r="AO7" s="1" t="s">
        <v>9</v>
      </c>
      <c r="AP7" s="1" t="s">
        <v>9</v>
      </c>
      <c r="AQ7" s="1" t="s">
        <v>10</v>
      </c>
      <c r="AR7" s="1" t="s">
        <v>10</v>
      </c>
      <c r="AU7" s="1" t="s">
        <v>19</v>
      </c>
      <c r="AV7" s="1" t="s">
        <v>1</v>
      </c>
      <c r="AW7" s="1" t="s">
        <v>1</v>
      </c>
      <c r="AX7" s="1" t="s">
        <v>2</v>
      </c>
      <c r="AY7" s="1" t="s">
        <v>2</v>
      </c>
      <c r="AZ7" s="1" t="s">
        <v>3</v>
      </c>
      <c r="BA7" s="1" t="s">
        <v>3</v>
      </c>
      <c r="BB7" s="1" t="s">
        <v>4</v>
      </c>
      <c r="BC7" s="1" t="s">
        <v>4</v>
      </c>
      <c r="BD7" s="1" t="s">
        <v>5</v>
      </c>
      <c r="BE7" s="1" t="s">
        <v>5</v>
      </c>
      <c r="BF7" s="1" t="s">
        <v>6</v>
      </c>
      <c r="BG7" s="1" t="s">
        <v>6</v>
      </c>
      <c r="BH7" s="1" t="s">
        <v>7</v>
      </c>
      <c r="BI7" s="1" t="s">
        <v>7</v>
      </c>
      <c r="BJ7" s="1" t="s">
        <v>8</v>
      </c>
      <c r="BK7" s="1" t="s">
        <v>8</v>
      </c>
      <c r="BL7" s="1" t="s">
        <v>9</v>
      </c>
      <c r="BM7" s="1" t="s">
        <v>9</v>
      </c>
      <c r="BN7" s="1" t="s">
        <v>10</v>
      </c>
      <c r="BO7" s="1" t="s">
        <v>10</v>
      </c>
      <c r="BR7" s="1" t="s">
        <v>19</v>
      </c>
      <c r="BS7" s="1" t="s">
        <v>1</v>
      </c>
      <c r="BT7" s="1" t="s">
        <v>1</v>
      </c>
      <c r="BU7" s="1" t="s">
        <v>2</v>
      </c>
      <c r="BV7" s="1" t="s">
        <v>2</v>
      </c>
      <c r="BW7" s="1" t="s">
        <v>3</v>
      </c>
      <c r="BX7" s="1" t="s">
        <v>3</v>
      </c>
      <c r="BY7" s="1" t="s">
        <v>4</v>
      </c>
      <c r="BZ7" s="1" t="s">
        <v>4</v>
      </c>
      <c r="CA7" s="1" t="s">
        <v>5</v>
      </c>
      <c r="CB7" s="1" t="s">
        <v>5</v>
      </c>
      <c r="CC7" s="1" t="s">
        <v>6</v>
      </c>
      <c r="CD7" s="1" t="s">
        <v>6</v>
      </c>
      <c r="CE7" s="1" t="s">
        <v>7</v>
      </c>
      <c r="CF7" s="1" t="s">
        <v>7</v>
      </c>
      <c r="CG7" s="1" t="s">
        <v>8</v>
      </c>
      <c r="CH7" s="1" t="s">
        <v>8</v>
      </c>
      <c r="CI7" s="1" t="s">
        <v>9</v>
      </c>
      <c r="CJ7" s="1" t="s">
        <v>9</v>
      </c>
      <c r="CK7" s="1" t="s">
        <v>10</v>
      </c>
      <c r="CL7" s="1" t="s">
        <v>10</v>
      </c>
    </row>
    <row r="8" spans="2:90" x14ac:dyDescent="0.3">
      <c r="B8" s="1" t="s">
        <v>20</v>
      </c>
      <c r="X8" s="1" t="s">
        <v>20</v>
      </c>
      <c r="AU8" s="1" t="s">
        <v>20</v>
      </c>
      <c r="BR8" s="1" t="s">
        <v>20</v>
      </c>
    </row>
    <row r="9" spans="2:90" x14ac:dyDescent="0.3">
      <c r="B9" s="1" t="s">
        <v>21</v>
      </c>
      <c r="C9" s="2">
        <v>0.2</v>
      </c>
      <c r="D9" s="2">
        <v>0.2</v>
      </c>
      <c r="E9" s="2">
        <v>0.2</v>
      </c>
      <c r="F9" s="2">
        <v>0.2</v>
      </c>
      <c r="G9" s="2">
        <v>0.2</v>
      </c>
      <c r="H9" s="2">
        <v>0.2</v>
      </c>
      <c r="I9" s="2">
        <v>0.2</v>
      </c>
      <c r="J9" s="2">
        <v>0.48</v>
      </c>
      <c r="K9" s="2">
        <v>0.48</v>
      </c>
      <c r="L9" s="2">
        <v>0.48</v>
      </c>
      <c r="M9" s="2">
        <v>0.48</v>
      </c>
      <c r="N9" s="2">
        <v>0.48</v>
      </c>
      <c r="O9" s="2">
        <v>0.48</v>
      </c>
      <c r="P9" s="2">
        <v>0.48</v>
      </c>
      <c r="Q9" s="2">
        <v>0.48</v>
      </c>
      <c r="R9" s="2">
        <v>0.48</v>
      </c>
      <c r="S9" s="2">
        <v>0.48</v>
      </c>
      <c r="T9" s="2">
        <v>0.48</v>
      </c>
      <c r="U9" s="2">
        <v>0.48</v>
      </c>
      <c r="V9" s="2">
        <v>0.48</v>
      </c>
      <c r="X9" s="1" t="s">
        <v>21</v>
      </c>
      <c r="Y9" s="2">
        <v>986.4</v>
      </c>
      <c r="Z9" s="2">
        <v>982.07</v>
      </c>
      <c r="AA9" s="2">
        <v>758.94</v>
      </c>
      <c r="AB9" s="2">
        <v>710.26</v>
      </c>
      <c r="AC9" s="2">
        <v>270.55</v>
      </c>
      <c r="AD9" s="2">
        <v>327.51</v>
      </c>
      <c r="AE9" s="2">
        <v>1102.31</v>
      </c>
      <c r="AF9" s="2">
        <v>2203.04</v>
      </c>
      <c r="AG9" s="2">
        <v>3148.6</v>
      </c>
      <c r="AH9" s="2">
        <v>2772</v>
      </c>
      <c r="AI9" s="2">
        <v>5727.96</v>
      </c>
      <c r="AJ9" s="2">
        <v>4911.4799999999996</v>
      </c>
      <c r="AK9" s="2">
        <v>4468.03</v>
      </c>
      <c r="AL9" s="2">
        <v>3840.76</v>
      </c>
      <c r="AM9" s="2">
        <v>5681.76</v>
      </c>
      <c r="AN9" s="2">
        <v>5176.3599999999997</v>
      </c>
      <c r="AO9" s="2">
        <v>4486.3</v>
      </c>
      <c r="AP9" s="2">
        <v>3422.44</v>
      </c>
      <c r="AQ9" s="2">
        <v>5985</v>
      </c>
      <c r="AR9" s="2">
        <v>4747.05</v>
      </c>
      <c r="AU9" s="1" t="s">
        <v>21</v>
      </c>
      <c r="AV9" s="2">
        <v>19519.54</v>
      </c>
      <c r="AW9" s="2">
        <v>19385.55</v>
      </c>
      <c r="AX9" s="2">
        <v>14747.46</v>
      </c>
      <c r="AY9" s="2">
        <v>13795.14</v>
      </c>
      <c r="AZ9" s="2">
        <v>5413.45</v>
      </c>
      <c r="BA9" s="2">
        <v>6452.16</v>
      </c>
      <c r="BB9" s="2">
        <v>22156.73</v>
      </c>
      <c r="BC9" s="2">
        <v>20936.16</v>
      </c>
      <c r="BD9" s="2">
        <v>29933.4</v>
      </c>
      <c r="BE9" s="2">
        <v>26418</v>
      </c>
      <c r="BF9" s="2">
        <v>53895.24</v>
      </c>
      <c r="BG9" s="2">
        <v>46622.52</v>
      </c>
      <c r="BH9" s="2">
        <v>42587.37</v>
      </c>
      <c r="BI9" s="2">
        <v>36150.239999999998</v>
      </c>
      <c r="BJ9" s="2">
        <v>53450.04</v>
      </c>
      <c r="BK9" s="2">
        <v>48662.04</v>
      </c>
      <c r="BL9" s="2">
        <v>42018.9</v>
      </c>
      <c r="BM9" s="2">
        <v>32444.16</v>
      </c>
      <c r="BN9" s="2">
        <v>56416.5</v>
      </c>
      <c r="BO9" s="2">
        <v>44707.95</v>
      </c>
      <c r="BR9" s="1" t="s">
        <v>21</v>
      </c>
      <c r="BS9" s="2">
        <v>20505.939999999999</v>
      </c>
      <c r="BT9" s="2">
        <v>20367.62</v>
      </c>
      <c r="BU9" s="2">
        <v>15506.4</v>
      </c>
      <c r="BV9" s="2">
        <v>14505.4</v>
      </c>
      <c r="BW9" s="2">
        <v>5684</v>
      </c>
      <c r="BX9" s="2">
        <v>6779.68</v>
      </c>
      <c r="BY9" s="2">
        <v>23259.040000000001</v>
      </c>
      <c r="BZ9" s="2">
        <v>23139.200000000001</v>
      </c>
      <c r="CA9" s="2">
        <v>33082</v>
      </c>
      <c r="CB9" s="2">
        <v>29190</v>
      </c>
      <c r="CC9" s="2">
        <v>59623.199999999997</v>
      </c>
      <c r="CD9" s="2">
        <v>51534</v>
      </c>
      <c r="CE9" s="2">
        <v>47055.4</v>
      </c>
      <c r="CF9" s="2">
        <v>39991</v>
      </c>
      <c r="CG9" s="2">
        <v>59131.8</v>
      </c>
      <c r="CH9" s="2">
        <v>53838.400000000001</v>
      </c>
      <c r="CI9" s="2">
        <v>46505.2</v>
      </c>
      <c r="CJ9" s="2">
        <v>35866.6</v>
      </c>
      <c r="CK9" s="2">
        <v>62401.5</v>
      </c>
      <c r="CL9" s="2">
        <v>49455</v>
      </c>
    </row>
    <row r="10" spans="2:90" x14ac:dyDescent="0.3">
      <c r="B10" s="1" t="s">
        <v>22</v>
      </c>
      <c r="C10" s="2">
        <v>0.47</v>
      </c>
      <c r="D10" s="2">
        <v>0.33</v>
      </c>
      <c r="E10" s="2">
        <v>0.37</v>
      </c>
      <c r="F10" s="2">
        <v>0.27</v>
      </c>
      <c r="G10" s="2">
        <v>0.46</v>
      </c>
      <c r="H10" s="2">
        <v>0.33</v>
      </c>
      <c r="I10" s="2">
        <v>0.41</v>
      </c>
      <c r="J10" s="2">
        <v>0.57999999999999996</v>
      </c>
      <c r="K10" s="2">
        <v>0.45</v>
      </c>
      <c r="L10" s="2">
        <v>0.46</v>
      </c>
      <c r="M10" s="2">
        <v>0.54</v>
      </c>
      <c r="N10" s="2">
        <v>0.48</v>
      </c>
      <c r="O10" s="2">
        <v>0.57999999999999996</v>
      </c>
      <c r="P10" s="2">
        <v>0.51</v>
      </c>
      <c r="Q10" s="2">
        <v>0.55000000000000004</v>
      </c>
      <c r="R10" s="2">
        <v>0.42</v>
      </c>
      <c r="S10" s="2">
        <v>0.53</v>
      </c>
      <c r="T10" s="2">
        <v>0.4</v>
      </c>
      <c r="U10" s="2">
        <v>0.4</v>
      </c>
      <c r="V10" s="2">
        <v>0.27</v>
      </c>
      <c r="X10" s="1" t="s">
        <v>22</v>
      </c>
      <c r="Y10" s="2">
        <v>1259.23</v>
      </c>
      <c r="Z10" s="2">
        <v>772.69</v>
      </c>
      <c r="AA10" s="2">
        <v>1252.5899999999999</v>
      </c>
      <c r="AB10" s="2">
        <v>801.78</v>
      </c>
      <c r="AC10" s="2">
        <v>318.47000000000003</v>
      </c>
      <c r="AD10" s="2">
        <v>394.04</v>
      </c>
      <c r="AE10" s="2">
        <v>1724.83</v>
      </c>
      <c r="AF10" s="2">
        <v>1183.3</v>
      </c>
      <c r="AG10" s="2">
        <v>2055.65</v>
      </c>
      <c r="AH10" s="2">
        <v>1393.62</v>
      </c>
      <c r="AI10" s="2">
        <v>3573.99</v>
      </c>
      <c r="AJ10" s="2">
        <v>2530</v>
      </c>
      <c r="AK10" s="2">
        <v>2480.59</v>
      </c>
      <c r="AL10" s="2">
        <v>2170.37</v>
      </c>
      <c r="AM10" s="2">
        <v>3090.09</v>
      </c>
      <c r="AN10" s="2">
        <v>2740.27</v>
      </c>
      <c r="AO10" s="2">
        <v>2698.09</v>
      </c>
      <c r="AP10" s="2">
        <v>2022.46</v>
      </c>
      <c r="AQ10" s="2">
        <v>4115.3900000000003</v>
      </c>
      <c r="AR10" s="2">
        <v>2529.69</v>
      </c>
      <c r="AU10" s="1" t="s">
        <v>22</v>
      </c>
      <c r="AV10" s="2">
        <v>7107.89</v>
      </c>
      <c r="AW10" s="2">
        <v>4663.78</v>
      </c>
      <c r="AX10" s="2">
        <v>6248.8</v>
      </c>
      <c r="AY10" s="2">
        <v>4182.68</v>
      </c>
      <c r="AZ10" s="2">
        <v>1677.53</v>
      </c>
      <c r="BA10" s="2">
        <v>2059.81</v>
      </c>
      <c r="BB10" s="2">
        <v>8810.2900000000009</v>
      </c>
      <c r="BC10" s="2">
        <v>6432.7</v>
      </c>
      <c r="BD10" s="2">
        <v>11383.05</v>
      </c>
      <c r="BE10" s="2">
        <v>8158.38</v>
      </c>
      <c r="BF10" s="2">
        <v>19894.05</v>
      </c>
      <c r="BG10" s="2">
        <v>14926.4</v>
      </c>
      <c r="BH10" s="2">
        <v>14063.91</v>
      </c>
      <c r="BI10" s="2">
        <v>12686.33</v>
      </c>
      <c r="BJ10" s="2">
        <v>17678.82</v>
      </c>
      <c r="BK10" s="2">
        <v>15872.89</v>
      </c>
      <c r="BL10" s="2">
        <v>15472.24</v>
      </c>
      <c r="BM10" s="2">
        <v>12106.54</v>
      </c>
      <c r="BN10" s="2">
        <v>24249.24</v>
      </c>
      <c r="BO10" s="2">
        <v>15502.26</v>
      </c>
      <c r="BR10" s="1" t="s">
        <v>22</v>
      </c>
      <c r="BS10" s="2">
        <v>8367.1200000000008</v>
      </c>
      <c r="BT10" s="2">
        <v>5436.47</v>
      </c>
      <c r="BU10" s="2">
        <v>7501.39</v>
      </c>
      <c r="BV10" s="2">
        <v>4984.46</v>
      </c>
      <c r="BW10" s="2">
        <v>1996</v>
      </c>
      <c r="BX10" s="2">
        <v>2453.85</v>
      </c>
      <c r="BY10" s="2">
        <v>10535.12</v>
      </c>
      <c r="BZ10" s="2">
        <v>7616</v>
      </c>
      <c r="CA10" s="2">
        <v>13438.7</v>
      </c>
      <c r="CB10" s="2">
        <v>9552</v>
      </c>
      <c r="CC10" s="2">
        <v>23468.04</v>
      </c>
      <c r="CD10" s="2">
        <v>17456.400000000001</v>
      </c>
      <c r="CE10" s="2">
        <v>16544.5</v>
      </c>
      <c r="CF10" s="2">
        <v>14856.7</v>
      </c>
      <c r="CG10" s="2">
        <v>20768.900000000001</v>
      </c>
      <c r="CH10" s="2">
        <v>18613.16</v>
      </c>
      <c r="CI10" s="2">
        <v>18170.330000000002</v>
      </c>
      <c r="CJ10" s="2">
        <v>14129.01</v>
      </c>
      <c r="CK10" s="2">
        <v>28364.62</v>
      </c>
      <c r="CL10" s="2">
        <v>18031.95</v>
      </c>
    </row>
    <row r="11" spans="2:90" x14ac:dyDescent="0.3">
      <c r="B11" s="1" t="s">
        <v>23</v>
      </c>
      <c r="C11" s="2">
        <v>1.6</v>
      </c>
      <c r="D11" s="2">
        <v>0.5</v>
      </c>
      <c r="E11" s="2">
        <v>2.71</v>
      </c>
      <c r="F11" s="2">
        <v>0.2</v>
      </c>
      <c r="G11" s="2">
        <v>1.6</v>
      </c>
      <c r="H11" s="2">
        <v>1.6</v>
      </c>
      <c r="I11" s="2">
        <v>1.5</v>
      </c>
      <c r="J11" s="2">
        <v>0.9</v>
      </c>
      <c r="K11" s="2">
        <v>1.6</v>
      </c>
      <c r="L11" s="2">
        <v>0.87</v>
      </c>
      <c r="M11" s="2">
        <v>1.6</v>
      </c>
      <c r="N11" s="2">
        <v>0.88</v>
      </c>
      <c r="O11" s="2">
        <v>1.6</v>
      </c>
      <c r="P11" s="2">
        <v>0.89</v>
      </c>
      <c r="Q11" s="2">
        <v>1.6</v>
      </c>
      <c r="R11" s="2">
        <v>0.84</v>
      </c>
      <c r="S11" s="2">
        <v>0.95</v>
      </c>
      <c r="T11" s="2">
        <v>0.75</v>
      </c>
      <c r="U11" s="2">
        <v>0.71</v>
      </c>
      <c r="V11" s="2">
        <v>0.65</v>
      </c>
      <c r="X11" s="1" t="s">
        <v>23</v>
      </c>
      <c r="Y11" s="2">
        <v>5545.2</v>
      </c>
      <c r="Z11" s="2">
        <v>1699.81</v>
      </c>
      <c r="AA11" s="2">
        <v>5253.93</v>
      </c>
      <c r="AB11" s="2">
        <v>563.53</v>
      </c>
      <c r="AC11" s="2">
        <v>1476.68</v>
      </c>
      <c r="AD11" s="2">
        <v>2889.22</v>
      </c>
      <c r="AE11" s="2">
        <v>5684.06</v>
      </c>
      <c r="AF11" s="2">
        <v>4069</v>
      </c>
      <c r="AG11" s="2">
        <v>7566.43</v>
      </c>
      <c r="AH11" s="2">
        <v>4603.66</v>
      </c>
      <c r="AI11" s="2">
        <v>15974.38</v>
      </c>
      <c r="AJ11" s="2">
        <v>8199.1299999999992</v>
      </c>
      <c r="AK11" s="2">
        <v>15854.84</v>
      </c>
      <c r="AL11" s="2">
        <v>6589.03</v>
      </c>
      <c r="AM11" s="2">
        <v>17094.87</v>
      </c>
      <c r="AN11" s="2">
        <v>8447.18</v>
      </c>
      <c r="AO11" s="2">
        <v>8422.6299999999992</v>
      </c>
      <c r="AP11" s="2">
        <v>6576.73</v>
      </c>
      <c r="AQ11" s="2">
        <v>8575.27</v>
      </c>
      <c r="AR11" s="2">
        <v>7626.94</v>
      </c>
      <c r="AU11" s="1" t="s">
        <v>23</v>
      </c>
      <c r="AV11" s="2">
        <v>25597.27</v>
      </c>
      <c r="AW11" s="2">
        <v>12168</v>
      </c>
      <c r="AX11" s="2">
        <v>27473.31</v>
      </c>
      <c r="AY11" s="2">
        <v>10762.65</v>
      </c>
      <c r="AZ11" s="2">
        <v>7089.75</v>
      </c>
      <c r="BA11" s="2">
        <v>10399.06</v>
      </c>
      <c r="BB11" s="2">
        <v>31090.22</v>
      </c>
      <c r="BC11" s="2">
        <v>22842.93</v>
      </c>
      <c r="BD11" s="2">
        <v>41429.47</v>
      </c>
      <c r="BE11" s="2">
        <v>28197.57</v>
      </c>
      <c r="BF11" s="2">
        <v>77644.3</v>
      </c>
      <c r="BG11" s="2">
        <v>50878.64</v>
      </c>
      <c r="BH11" s="2">
        <v>61636.19</v>
      </c>
      <c r="BI11" s="2">
        <v>41207.9</v>
      </c>
      <c r="BJ11" s="2">
        <v>73733.490000000005</v>
      </c>
      <c r="BK11" s="2">
        <v>51835.63</v>
      </c>
      <c r="BL11" s="2">
        <v>51179.67</v>
      </c>
      <c r="BM11" s="2">
        <v>41768.22</v>
      </c>
      <c r="BN11" s="2">
        <v>53456.83</v>
      </c>
      <c r="BO11" s="2">
        <v>48381.74</v>
      </c>
      <c r="BR11" s="1" t="s">
        <v>23</v>
      </c>
      <c r="BS11" s="2">
        <v>31142.48</v>
      </c>
      <c r="BT11" s="2">
        <v>13867.82</v>
      </c>
      <c r="BU11" s="2">
        <v>32727.24</v>
      </c>
      <c r="BV11" s="2">
        <v>11326.19</v>
      </c>
      <c r="BW11" s="2">
        <v>8566.42</v>
      </c>
      <c r="BX11" s="2">
        <v>13288.28</v>
      </c>
      <c r="BY11" s="2">
        <v>36774.29</v>
      </c>
      <c r="BZ11" s="2">
        <v>26911.93</v>
      </c>
      <c r="CA11" s="2">
        <v>48995.9</v>
      </c>
      <c r="CB11" s="2">
        <v>32801.230000000003</v>
      </c>
      <c r="CC11" s="2">
        <v>93618.67</v>
      </c>
      <c r="CD11" s="2">
        <v>59077.77</v>
      </c>
      <c r="CE11" s="2">
        <v>77491.03</v>
      </c>
      <c r="CF11" s="2">
        <v>47796.93</v>
      </c>
      <c r="CG11" s="2">
        <v>90828.36</v>
      </c>
      <c r="CH11" s="2">
        <v>60282.81</v>
      </c>
      <c r="CI11" s="2">
        <v>59602.3</v>
      </c>
      <c r="CJ11" s="2">
        <v>48344.94</v>
      </c>
      <c r="CK11" s="2">
        <v>62032.1</v>
      </c>
      <c r="CL11" s="2">
        <v>56008.68</v>
      </c>
    </row>
    <row r="12" spans="2:90" x14ac:dyDescent="0.3">
      <c r="B12" s="1" t="s">
        <v>24</v>
      </c>
      <c r="C12" s="2">
        <v>1.6</v>
      </c>
      <c r="D12" s="2">
        <v>0.49</v>
      </c>
      <c r="E12" s="2">
        <v>1.6</v>
      </c>
      <c r="F12" s="2">
        <v>0.33</v>
      </c>
      <c r="G12" s="2">
        <v>1.6</v>
      </c>
      <c r="H12" s="2">
        <v>1.6</v>
      </c>
      <c r="I12" s="2">
        <v>0.97</v>
      </c>
      <c r="J12" s="2">
        <v>0.68</v>
      </c>
      <c r="K12" s="2">
        <v>1.1200000000000001</v>
      </c>
      <c r="L12" s="2">
        <v>0.61</v>
      </c>
      <c r="M12" s="2">
        <v>1.2</v>
      </c>
      <c r="N12" s="2">
        <v>0.59</v>
      </c>
      <c r="O12" s="2">
        <v>1.2</v>
      </c>
      <c r="P12" s="2">
        <v>0.59</v>
      </c>
      <c r="Q12" s="2">
        <v>0.79</v>
      </c>
      <c r="R12" s="2">
        <v>0.55000000000000004</v>
      </c>
      <c r="S12" s="2">
        <v>0.55000000000000004</v>
      </c>
      <c r="T12" s="2">
        <v>0.52</v>
      </c>
      <c r="U12" s="2">
        <v>0.5</v>
      </c>
      <c r="V12" s="2">
        <v>0.47</v>
      </c>
      <c r="X12" s="1" t="s">
        <v>24</v>
      </c>
      <c r="Y12" s="2">
        <v>1578.41</v>
      </c>
      <c r="Z12" s="2">
        <v>687.54</v>
      </c>
      <c r="AA12" s="2">
        <v>1597.59</v>
      </c>
      <c r="AB12" s="2">
        <v>632.05999999999995</v>
      </c>
      <c r="AC12" s="2">
        <v>523.77</v>
      </c>
      <c r="AD12" s="2">
        <v>644.99</v>
      </c>
      <c r="AE12" s="2">
        <v>1722.25</v>
      </c>
      <c r="AF12" s="2">
        <v>1358.94</v>
      </c>
      <c r="AG12" s="2">
        <v>2127.2399999999998</v>
      </c>
      <c r="AH12" s="2">
        <v>1546.32</v>
      </c>
      <c r="AI12" s="2">
        <v>3882.83</v>
      </c>
      <c r="AJ12" s="2">
        <v>2661.82</v>
      </c>
      <c r="AK12" s="2">
        <v>3093.41</v>
      </c>
      <c r="AL12" s="2">
        <v>2126.11</v>
      </c>
      <c r="AM12" s="2">
        <v>3439.74</v>
      </c>
      <c r="AN12" s="2">
        <v>2685.22</v>
      </c>
      <c r="AO12" s="2">
        <v>2447.13</v>
      </c>
      <c r="AP12" s="2">
        <v>2173.37</v>
      </c>
      <c r="AQ12" s="2">
        <v>2873.61</v>
      </c>
      <c r="AR12" s="2">
        <v>2685.46</v>
      </c>
      <c r="AU12" s="1" t="s">
        <v>24</v>
      </c>
      <c r="AV12" s="2">
        <v>8947.69</v>
      </c>
      <c r="AW12" s="2">
        <v>4501.28</v>
      </c>
      <c r="AX12" s="2">
        <v>8387.0499999999993</v>
      </c>
      <c r="AY12" s="2">
        <v>4056</v>
      </c>
      <c r="AZ12" s="2">
        <v>2758.04</v>
      </c>
      <c r="BA12" s="2">
        <v>3555.01</v>
      </c>
      <c r="BB12" s="2">
        <v>9734.4699999999993</v>
      </c>
      <c r="BC12" s="2">
        <v>7957.35</v>
      </c>
      <c r="BD12" s="2">
        <v>13097.12</v>
      </c>
      <c r="BE12" s="2">
        <v>9711.36</v>
      </c>
      <c r="BF12" s="2">
        <v>24129.09</v>
      </c>
      <c r="BG12" s="2">
        <v>17041.14</v>
      </c>
      <c r="BH12" s="2">
        <v>19418.509999999998</v>
      </c>
      <c r="BI12" s="2">
        <v>13700.4</v>
      </c>
      <c r="BJ12" s="2">
        <v>21460.58</v>
      </c>
      <c r="BK12" s="2">
        <v>17074.88</v>
      </c>
      <c r="BL12" s="2">
        <v>15329.58</v>
      </c>
      <c r="BM12" s="2">
        <v>14463.45</v>
      </c>
      <c r="BN12" s="2">
        <v>18654.36</v>
      </c>
      <c r="BO12" s="2">
        <v>17741</v>
      </c>
      <c r="BR12" s="1" t="s">
        <v>24</v>
      </c>
      <c r="BS12" s="2">
        <v>10526.1</v>
      </c>
      <c r="BT12" s="2">
        <v>5188.82</v>
      </c>
      <c r="BU12" s="2">
        <v>9984.64</v>
      </c>
      <c r="BV12" s="2">
        <v>4688.0600000000004</v>
      </c>
      <c r="BW12" s="2">
        <v>3281.81</v>
      </c>
      <c r="BX12" s="2">
        <v>4200</v>
      </c>
      <c r="BY12" s="2">
        <v>11456.72</v>
      </c>
      <c r="BZ12" s="2">
        <v>9316.2900000000009</v>
      </c>
      <c r="CA12" s="2">
        <v>15224.36</v>
      </c>
      <c r="CB12" s="2">
        <v>11257.68</v>
      </c>
      <c r="CC12" s="2">
        <v>28011.919999999998</v>
      </c>
      <c r="CD12" s="2">
        <v>19702.96</v>
      </c>
      <c r="CE12" s="2">
        <v>22511.919999999998</v>
      </c>
      <c r="CF12" s="2">
        <v>15826.51</v>
      </c>
      <c r="CG12" s="2">
        <v>24900.32</v>
      </c>
      <c r="CH12" s="2">
        <v>19760.099999999999</v>
      </c>
      <c r="CI12" s="2">
        <v>17776.71</v>
      </c>
      <c r="CJ12" s="2">
        <v>16636.82</v>
      </c>
      <c r="CK12" s="2">
        <v>21527.97</v>
      </c>
      <c r="CL12" s="2">
        <v>20426.46</v>
      </c>
    </row>
    <row r="13" spans="2:90" x14ac:dyDescent="0.3">
      <c r="B13" s="1" t="s">
        <v>25</v>
      </c>
      <c r="C13" s="2">
        <v>1.59</v>
      </c>
      <c r="D13" s="2">
        <v>0.92</v>
      </c>
      <c r="E13" s="2">
        <v>0.88</v>
      </c>
      <c r="F13" s="2">
        <v>0.4</v>
      </c>
      <c r="G13" s="2">
        <v>1.06</v>
      </c>
      <c r="H13" s="2">
        <v>1.57</v>
      </c>
      <c r="I13" s="2">
        <v>0.43</v>
      </c>
      <c r="J13" s="2">
        <v>0.86</v>
      </c>
      <c r="K13" s="2">
        <v>0.73</v>
      </c>
      <c r="L13" s="2">
        <v>0.81</v>
      </c>
      <c r="M13" s="2">
        <v>0.66</v>
      </c>
      <c r="N13" s="2">
        <v>0.59</v>
      </c>
      <c r="O13" s="2">
        <v>0.6</v>
      </c>
      <c r="P13" s="2">
        <v>0.54</v>
      </c>
      <c r="Q13" s="2">
        <v>0.56000000000000005</v>
      </c>
      <c r="R13" s="2">
        <v>0.53</v>
      </c>
      <c r="S13" s="2">
        <v>0.54</v>
      </c>
      <c r="T13" s="2">
        <v>0.45</v>
      </c>
      <c r="U13" s="2">
        <v>0.48</v>
      </c>
      <c r="V13" s="2">
        <v>0.34</v>
      </c>
      <c r="X13" s="1" t="s">
        <v>25</v>
      </c>
      <c r="Y13" s="2">
        <v>4943</v>
      </c>
      <c r="Z13" s="2">
        <v>5489.05</v>
      </c>
      <c r="AA13" s="2">
        <v>6321.52</v>
      </c>
      <c r="AB13" s="2">
        <v>6525.47</v>
      </c>
      <c r="AC13" s="2">
        <v>1713.69</v>
      </c>
      <c r="AD13" s="2">
        <v>2308.1799999999998</v>
      </c>
      <c r="AE13" s="2">
        <v>7031.93</v>
      </c>
      <c r="AF13" s="2">
        <v>7137.12</v>
      </c>
      <c r="AG13" s="2">
        <v>9379.15</v>
      </c>
      <c r="AH13" s="2">
        <v>9498.81</v>
      </c>
      <c r="AI13" s="2">
        <v>15782.7</v>
      </c>
      <c r="AJ13" s="2">
        <v>15889.78</v>
      </c>
      <c r="AK13" s="2">
        <v>11859.52</v>
      </c>
      <c r="AL13" s="2">
        <v>12422.27</v>
      </c>
      <c r="AM13" s="2">
        <v>14623.64</v>
      </c>
      <c r="AN13" s="2">
        <v>14181.82</v>
      </c>
      <c r="AO13" s="2">
        <v>12166.46</v>
      </c>
      <c r="AP13" s="2">
        <v>11879.65</v>
      </c>
      <c r="AQ13" s="2">
        <v>15187.11</v>
      </c>
      <c r="AR13" s="2">
        <v>17004.009999999998</v>
      </c>
      <c r="AU13" s="1" t="s">
        <v>25</v>
      </c>
      <c r="AV13" s="2">
        <v>30228.5</v>
      </c>
      <c r="AW13" s="2">
        <v>33510.949999999997</v>
      </c>
      <c r="AX13" s="2">
        <v>32262.48</v>
      </c>
      <c r="AY13" s="2">
        <v>33278.58</v>
      </c>
      <c r="AZ13" s="2">
        <v>9476.31</v>
      </c>
      <c r="BA13" s="2">
        <v>12521.1</v>
      </c>
      <c r="BB13" s="2">
        <v>38074.07</v>
      </c>
      <c r="BC13" s="2">
        <v>39278.879999999997</v>
      </c>
      <c r="BD13" s="2">
        <v>55113.71</v>
      </c>
      <c r="BE13" s="2">
        <v>56201.19</v>
      </c>
      <c r="BF13" s="2">
        <v>93442.41</v>
      </c>
      <c r="BG13" s="2">
        <v>94200.02</v>
      </c>
      <c r="BH13" s="2">
        <v>70770.039999999994</v>
      </c>
      <c r="BI13" s="2">
        <v>73726.58</v>
      </c>
      <c r="BJ13" s="2">
        <v>88339.12</v>
      </c>
      <c r="BK13" s="2">
        <v>85023.55</v>
      </c>
      <c r="BL13" s="2">
        <v>74329.539999999994</v>
      </c>
      <c r="BM13" s="2">
        <v>71987.3</v>
      </c>
      <c r="BN13" s="2">
        <v>94744.51</v>
      </c>
      <c r="BO13" s="2">
        <v>105367.87</v>
      </c>
      <c r="BR13" s="1" t="s">
        <v>25</v>
      </c>
      <c r="BS13" s="2">
        <v>35171.5</v>
      </c>
      <c r="BT13" s="2">
        <v>39000</v>
      </c>
      <c r="BU13" s="2">
        <v>38584</v>
      </c>
      <c r="BV13" s="2">
        <v>39804.050000000003</v>
      </c>
      <c r="BW13" s="2">
        <v>11190</v>
      </c>
      <c r="BX13" s="2">
        <v>14829.28</v>
      </c>
      <c r="BY13" s="2">
        <v>45106</v>
      </c>
      <c r="BZ13" s="2">
        <v>46416</v>
      </c>
      <c r="CA13" s="2">
        <v>64492.85</v>
      </c>
      <c r="CB13" s="2">
        <v>65700</v>
      </c>
      <c r="CC13" s="2">
        <v>109225.11</v>
      </c>
      <c r="CD13" s="2">
        <v>110089.8</v>
      </c>
      <c r="CE13" s="2">
        <v>82629.570000000007</v>
      </c>
      <c r="CF13" s="2">
        <v>86148.85</v>
      </c>
      <c r="CG13" s="2">
        <v>102962.77</v>
      </c>
      <c r="CH13" s="2">
        <v>99205.37</v>
      </c>
      <c r="CI13" s="2">
        <v>86496</v>
      </c>
      <c r="CJ13" s="2">
        <v>83866.95</v>
      </c>
      <c r="CK13" s="2">
        <v>109931.62</v>
      </c>
      <c r="CL13" s="2">
        <v>122371.87</v>
      </c>
    </row>
    <row r="14" spans="2:90" x14ac:dyDescent="0.3">
      <c r="B14" s="1" t="s">
        <v>26</v>
      </c>
      <c r="C14" s="2">
        <v>1.49</v>
      </c>
      <c r="D14" s="2">
        <v>1.46</v>
      </c>
      <c r="E14" s="2">
        <v>0.67</v>
      </c>
      <c r="F14" s="2">
        <v>0.97</v>
      </c>
      <c r="G14" s="2">
        <v>1.43</v>
      </c>
      <c r="H14" s="2">
        <v>1.34</v>
      </c>
      <c r="I14" s="2">
        <v>0.41</v>
      </c>
      <c r="J14" s="2">
        <v>1.32</v>
      </c>
      <c r="K14" s="2">
        <v>0.41</v>
      </c>
      <c r="L14" s="2">
        <v>1.1299999999999999</v>
      </c>
      <c r="M14" s="2">
        <v>0.46</v>
      </c>
      <c r="N14" s="2">
        <v>0.78</v>
      </c>
      <c r="O14" s="2">
        <v>0.45</v>
      </c>
      <c r="P14" s="2">
        <v>0.61</v>
      </c>
      <c r="Q14" s="2">
        <v>0.45</v>
      </c>
      <c r="R14" s="2">
        <v>0.62</v>
      </c>
      <c r="S14" s="2">
        <v>0.44</v>
      </c>
      <c r="T14" s="2">
        <v>0.55000000000000004</v>
      </c>
      <c r="U14" s="2">
        <v>0.4</v>
      </c>
      <c r="V14" s="2">
        <v>0.34</v>
      </c>
      <c r="X14" s="1" t="s">
        <v>26</v>
      </c>
      <c r="Y14" s="2">
        <v>1451.4</v>
      </c>
      <c r="Z14" s="2">
        <v>1505.02</v>
      </c>
      <c r="AA14" s="2">
        <v>1825.54</v>
      </c>
      <c r="AB14" s="2">
        <v>2145.54</v>
      </c>
      <c r="AC14" s="2">
        <v>511.23</v>
      </c>
      <c r="AD14" s="2">
        <v>593.27</v>
      </c>
      <c r="AE14" s="2">
        <v>1638.73</v>
      </c>
      <c r="AF14" s="2">
        <v>1591.66</v>
      </c>
      <c r="AG14" s="2">
        <v>1957.41</v>
      </c>
      <c r="AH14" s="2">
        <v>2891</v>
      </c>
      <c r="AI14" s="2">
        <v>3731.91</v>
      </c>
      <c r="AJ14" s="2">
        <v>4828.4399999999996</v>
      </c>
      <c r="AK14" s="2">
        <v>2960.85</v>
      </c>
      <c r="AL14" s="2">
        <v>3596.07</v>
      </c>
      <c r="AM14" s="2">
        <v>3819.29</v>
      </c>
      <c r="AN14" s="2">
        <v>4628.03</v>
      </c>
      <c r="AO14" s="2">
        <v>3265.42</v>
      </c>
      <c r="AP14" s="2">
        <v>4023.52</v>
      </c>
      <c r="AQ14" s="2">
        <v>3890.06</v>
      </c>
      <c r="AR14" s="2">
        <v>3830.11</v>
      </c>
      <c r="AU14" s="1" t="s">
        <v>26</v>
      </c>
      <c r="AV14" s="2">
        <v>7042.11</v>
      </c>
      <c r="AW14" s="2">
        <v>7150.74</v>
      </c>
      <c r="AX14" s="2">
        <v>7279.89</v>
      </c>
      <c r="AY14" s="2">
        <v>8415.5</v>
      </c>
      <c r="AZ14" s="2">
        <v>2221.0100000000002</v>
      </c>
      <c r="BA14" s="2">
        <v>2507.5300000000002</v>
      </c>
      <c r="BB14" s="2">
        <v>6790.3</v>
      </c>
      <c r="BC14" s="2">
        <v>6838.49</v>
      </c>
      <c r="BD14" s="2">
        <v>8847.02</v>
      </c>
      <c r="BE14" s="2">
        <v>13490.89</v>
      </c>
      <c r="BF14" s="2">
        <v>17140.91</v>
      </c>
      <c r="BG14" s="2">
        <v>22127.09</v>
      </c>
      <c r="BH14" s="2">
        <v>13583.75</v>
      </c>
      <c r="BI14" s="2">
        <v>16155.17</v>
      </c>
      <c r="BJ14" s="2">
        <v>17725.759999999998</v>
      </c>
      <c r="BK14" s="2">
        <v>21209.59</v>
      </c>
      <c r="BL14" s="2">
        <v>15425.52</v>
      </c>
      <c r="BM14" s="2">
        <v>18065.259999999998</v>
      </c>
      <c r="BN14" s="2">
        <v>18782.18</v>
      </c>
      <c r="BO14" s="2">
        <v>17369.59</v>
      </c>
      <c r="BR14" s="1" t="s">
        <v>26</v>
      </c>
      <c r="BS14" s="2">
        <v>8493.51</v>
      </c>
      <c r="BT14" s="2">
        <v>8655.76</v>
      </c>
      <c r="BU14" s="2">
        <v>9105.43</v>
      </c>
      <c r="BV14" s="2">
        <v>10561.04</v>
      </c>
      <c r="BW14" s="2">
        <v>2732.24</v>
      </c>
      <c r="BX14" s="2">
        <v>3100.8</v>
      </c>
      <c r="BY14" s="2">
        <v>8429.0300000000007</v>
      </c>
      <c r="BZ14" s="2">
        <v>8430.15</v>
      </c>
      <c r="CA14" s="2">
        <v>10804.42</v>
      </c>
      <c r="CB14" s="2">
        <v>16381.89</v>
      </c>
      <c r="CC14" s="2">
        <v>20872.82</v>
      </c>
      <c r="CD14" s="2">
        <v>26955.53</v>
      </c>
      <c r="CE14" s="2">
        <v>16544.599999999999</v>
      </c>
      <c r="CF14" s="2">
        <v>19751.25</v>
      </c>
      <c r="CG14" s="2">
        <v>21545.040000000001</v>
      </c>
      <c r="CH14" s="2">
        <v>25837.62</v>
      </c>
      <c r="CI14" s="2">
        <v>18690.939999999999</v>
      </c>
      <c r="CJ14" s="2">
        <v>22088.78</v>
      </c>
      <c r="CK14" s="2">
        <v>22672.240000000002</v>
      </c>
      <c r="CL14" s="2">
        <v>21199.7</v>
      </c>
    </row>
    <row r="15" spans="2:90" x14ac:dyDescent="0.3">
      <c r="B15" s="1" t="s">
        <v>27</v>
      </c>
      <c r="C15" s="2">
        <v>2.15</v>
      </c>
      <c r="D15" s="2">
        <v>1.6</v>
      </c>
      <c r="E15" s="2">
        <v>0.86</v>
      </c>
      <c r="F15" s="2">
        <v>1.1499999999999999</v>
      </c>
      <c r="G15" s="2">
        <v>1.6</v>
      </c>
      <c r="H15" s="2">
        <v>1.83</v>
      </c>
      <c r="I15" s="2">
        <v>0.77</v>
      </c>
      <c r="J15" s="2">
        <v>1.6</v>
      </c>
      <c r="K15" s="2">
        <v>0.71</v>
      </c>
      <c r="L15" s="2">
        <v>2.08</v>
      </c>
      <c r="M15" s="2">
        <v>0.76</v>
      </c>
      <c r="N15" s="2">
        <v>1.6</v>
      </c>
      <c r="O15" s="2">
        <v>0.75</v>
      </c>
      <c r="P15" s="2">
        <v>1.22</v>
      </c>
      <c r="Q15" s="2">
        <v>0.83</v>
      </c>
      <c r="R15" s="2">
        <v>0.93</v>
      </c>
      <c r="S15" s="2">
        <v>0.71</v>
      </c>
      <c r="T15" s="2">
        <v>0.71</v>
      </c>
      <c r="U15" s="2">
        <v>0.65</v>
      </c>
      <c r="V15" s="2">
        <v>0.63</v>
      </c>
      <c r="X15" s="1" t="s">
        <v>27</v>
      </c>
      <c r="Y15" s="2">
        <v>5177.91</v>
      </c>
      <c r="Z15" s="2">
        <v>6484.52</v>
      </c>
      <c r="AA15" s="2">
        <v>5092.32</v>
      </c>
      <c r="AB15" s="2">
        <v>6053.91</v>
      </c>
      <c r="AC15" s="2">
        <v>1663.13</v>
      </c>
      <c r="AD15" s="2">
        <v>2088.48</v>
      </c>
      <c r="AE15" s="2">
        <v>5445.07</v>
      </c>
      <c r="AF15" s="2">
        <v>7667.99</v>
      </c>
      <c r="AG15" s="2">
        <v>6258.78</v>
      </c>
      <c r="AH15" s="2">
        <v>9551.01</v>
      </c>
      <c r="AI15" s="2">
        <v>11534.41</v>
      </c>
      <c r="AJ15" s="2">
        <v>16010.57</v>
      </c>
      <c r="AK15" s="2">
        <v>9221.36</v>
      </c>
      <c r="AL15" s="2">
        <v>11726.5</v>
      </c>
      <c r="AM15" s="2">
        <v>12443.17</v>
      </c>
      <c r="AN15" s="2">
        <v>13421.92</v>
      </c>
      <c r="AO15" s="2">
        <v>9827.14</v>
      </c>
      <c r="AP15" s="2">
        <v>10186.66</v>
      </c>
      <c r="AQ15" s="2">
        <v>11965.71</v>
      </c>
      <c r="AR15" s="2">
        <v>11910.82</v>
      </c>
      <c r="AU15" s="1" t="s">
        <v>27</v>
      </c>
      <c r="AV15" s="2">
        <v>24719.69</v>
      </c>
      <c r="AW15" s="2">
        <v>25386.87</v>
      </c>
      <c r="AX15" s="2">
        <v>20378.580000000002</v>
      </c>
      <c r="AY15" s="2">
        <v>24323.279999999999</v>
      </c>
      <c r="AZ15" s="2">
        <v>6786.74</v>
      </c>
      <c r="BA15" s="2">
        <v>9016.84</v>
      </c>
      <c r="BB15" s="2">
        <v>23081.33</v>
      </c>
      <c r="BC15" s="2">
        <v>24467.59</v>
      </c>
      <c r="BD15" s="2">
        <v>28882.62</v>
      </c>
      <c r="BE15" s="2">
        <v>46277.84</v>
      </c>
      <c r="BF15" s="2">
        <v>54078.73</v>
      </c>
      <c r="BG15" s="2">
        <v>76683.37</v>
      </c>
      <c r="BH15" s="2">
        <v>43278.38</v>
      </c>
      <c r="BI15" s="2">
        <v>55729.46</v>
      </c>
      <c r="BJ15" s="2">
        <v>59567.02</v>
      </c>
      <c r="BK15" s="2">
        <v>63967.21</v>
      </c>
      <c r="BL15" s="2">
        <v>47603.6</v>
      </c>
      <c r="BM15" s="2">
        <v>48444.55</v>
      </c>
      <c r="BN15" s="2">
        <v>58556.34</v>
      </c>
      <c r="BO15" s="2">
        <v>57447.57</v>
      </c>
      <c r="BR15" s="1" t="s">
        <v>27</v>
      </c>
      <c r="BS15" s="2">
        <v>29897.599999999999</v>
      </c>
      <c r="BT15" s="2">
        <v>31871.38</v>
      </c>
      <c r="BU15" s="2">
        <v>25470.9</v>
      </c>
      <c r="BV15" s="2">
        <v>30377.19</v>
      </c>
      <c r="BW15" s="2">
        <v>8449.8799999999992</v>
      </c>
      <c r="BX15" s="2">
        <v>11105.32</v>
      </c>
      <c r="BY15" s="2">
        <v>28526.400000000001</v>
      </c>
      <c r="BZ15" s="2">
        <v>32135.58</v>
      </c>
      <c r="CA15" s="2">
        <v>35141.410000000003</v>
      </c>
      <c r="CB15" s="2">
        <v>55828.85</v>
      </c>
      <c r="CC15" s="2">
        <v>65613.149999999994</v>
      </c>
      <c r="CD15" s="2">
        <v>92693.94</v>
      </c>
      <c r="CE15" s="2">
        <v>52499.74</v>
      </c>
      <c r="CF15" s="2">
        <v>67455.960000000006</v>
      </c>
      <c r="CG15" s="2">
        <v>72010.19</v>
      </c>
      <c r="CH15" s="2">
        <v>77389.13</v>
      </c>
      <c r="CI15" s="2">
        <v>57430.74</v>
      </c>
      <c r="CJ15" s="2">
        <v>58631.22</v>
      </c>
      <c r="CK15" s="2">
        <v>70522.05</v>
      </c>
      <c r="CL15" s="2">
        <v>69358.39</v>
      </c>
    </row>
    <row r="16" spans="2:90" x14ac:dyDescent="0.3">
      <c r="B16" s="1" t="s">
        <v>28</v>
      </c>
      <c r="C16" s="2">
        <v>0.48</v>
      </c>
      <c r="D16" s="2">
        <v>0.57999999999999996</v>
      </c>
      <c r="E16" s="2">
        <v>0.2</v>
      </c>
      <c r="F16" s="2">
        <v>0.2</v>
      </c>
      <c r="G16" s="2">
        <v>0.2</v>
      </c>
      <c r="H16" s="2">
        <v>0.34</v>
      </c>
      <c r="I16" s="2">
        <v>0.2</v>
      </c>
      <c r="J16" s="2">
        <v>0.84</v>
      </c>
      <c r="K16" s="2">
        <v>0.49</v>
      </c>
      <c r="L16" s="2">
        <v>0.83</v>
      </c>
      <c r="M16" s="2">
        <v>0.66</v>
      </c>
      <c r="N16" s="2">
        <v>0.78</v>
      </c>
      <c r="O16" s="2">
        <v>0.71</v>
      </c>
      <c r="P16" s="2">
        <v>0.64</v>
      </c>
      <c r="Q16" s="2">
        <v>0.65</v>
      </c>
      <c r="R16" s="2">
        <v>0.59</v>
      </c>
      <c r="S16" s="2">
        <v>0.6</v>
      </c>
      <c r="T16" s="2">
        <v>0.52</v>
      </c>
      <c r="U16" s="2">
        <v>0.53</v>
      </c>
      <c r="V16" s="2">
        <v>0.43</v>
      </c>
      <c r="X16" s="1" t="s">
        <v>28</v>
      </c>
      <c r="Y16" s="2">
        <v>2448.39</v>
      </c>
      <c r="Z16" s="2">
        <v>3099.2</v>
      </c>
      <c r="AA16" s="2">
        <v>587.61</v>
      </c>
      <c r="AB16" s="2">
        <v>626.15</v>
      </c>
      <c r="AC16" s="2">
        <v>170.36</v>
      </c>
      <c r="AD16" s="2">
        <v>725.02</v>
      </c>
      <c r="AE16" s="2">
        <v>622.21</v>
      </c>
      <c r="AF16" s="2">
        <v>3788.16</v>
      </c>
      <c r="AG16" s="2">
        <v>3114.32</v>
      </c>
      <c r="AH16" s="2">
        <v>4604.7</v>
      </c>
      <c r="AI16" s="2">
        <v>5483.18</v>
      </c>
      <c r="AJ16" s="2">
        <v>8300.1200000000008</v>
      </c>
      <c r="AK16" s="2">
        <v>4334.43</v>
      </c>
      <c r="AL16" s="2">
        <v>5883.63</v>
      </c>
      <c r="AM16" s="2">
        <v>5435.68</v>
      </c>
      <c r="AN16" s="2">
        <v>6012.78</v>
      </c>
      <c r="AO16" s="2">
        <v>4722.59</v>
      </c>
      <c r="AP16" s="2">
        <v>4686.1400000000003</v>
      </c>
      <c r="AQ16" s="2">
        <v>6259.46</v>
      </c>
      <c r="AR16" s="2">
        <v>6438.72</v>
      </c>
      <c r="AU16" s="1" t="s">
        <v>28</v>
      </c>
      <c r="AV16" s="2">
        <v>12281.91</v>
      </c>
      <c r="AW16" s="2">
        <v>14938.3</v>
      </c>
      <c r="AX16" s="2">
        <v>11264.68</v>
      </c>
      <c r="AY16" s="2">
        <v>12007.9</v>
      </c>
      <c r="AZ16" s="2">
        <v>3335.14</v>
      </c>
      <c r="BA16" s="2">
        <v>4680</v>
      </c>
      <c r="BB16" s="2">
        <v>12259.79</v>
      </c>
      <c r="BC16" s="2">
        <v>16597.439999999999</v>
      </c>
      <c r="BD16" s="2">
        <v>15995.68</v>
      </c>
      <c r="BE16" s="2">
        <v>21681.3</v>
      </c>
      <c r="BF16" s="2">
        <v>28050.82</v>
      </c>
      <c r="BG16" s="2">
        <v>39122.68</v>
      </c>
      <c r="BH16" s="2">
        <v>22418.07</v>
      </c>
      <c r="BI16" s="2">
        <v>28385.67</v>
      </c>
      <c r="BJ16" s="2">
        <v>28091.72</v>
      </c>
      <c r="BK16" s="2">
        <v>30193.62</v>
      </c>
      <c r="BL16" s="2">
        <v>23684.41</v>
      </c>
      <c r="BM16" s="2">
        <v>24251.26</v>
      </c>
      <c r="BN16" s="2">
        <v>32674.54</v>
      </c>
      <c r="BO16" s="2">
        <v>34574.28</v>
      </c>
      <c r="BR16" s="1" t="s">
        <v>28</v>
      </c>
      <c r="BS16" s="2">
        <v>14730.3</v>
      </c>
      <c r="BT16" s="2">
        <v>18037.5</v>
      </c>
      <c r="BU16" s="2">
        <v>11852.3</v>
      </c>
      <c r="BV16" s="2">
        <v>12634.05</v>
      </c>
      <c r="BW16" s="2">
        <v>3505.5</v>
      </c>
      <c r="BX16" s="2">
        <v>5405.02</v>
      </c>
      <c r="BY16" s="2">
        <v>12882</v>
      </c>
      <c r="BZ16" s="2">
        <v>20385.599999999999</v>
      </c>
      <c r="CA16" s="2">
        <v>19110</v>
      </c>
      <c r="CB16" s="2">
        <v>26286</v>
      </c>
      <c r="CC16" s="2">
        <v>33534</v>
      </c>
      <c r="CD16" s="2">
        <v>47422.8</v>
      </c>
      <c r="CE16" s="2">
        <v>26752.5</v>
      </c>
      <c r="CF16" s="2">
        <v>34269.300000000003</v>
      </c>
      <c r="CG16" s="2">
        <v>33527.4</v>
      </c>
      <c r="CH16" s="2">
        <v>36206.400000000001</v>
      </c>
      <c r="CI16" s="2">
        <v>28407</v>
      </c>
      <c r="CJ16" s="2">
        <v>28937.4</v>
      </c>
      <c r="CK16" s="2">
        <v>38934</v>
      </c>
      <c r="CL16" s="2">
        <v>41013</v>
      </c>
    </row>
    <row r="19" spans="2:90" x14ac:dyDescent="0.3">
      <c r="B19" t="s">
        <v>29</v>
      </c>
      <c r="X19" t="s">
        <v>30</v>
      </c>
      <c r="AU19" t="s">
        <v>31</v>
      </c>
      <c r="BR19" t="s">
        <v>32</v>
      </c>
    </row>
    <row r="20" spans="2:90" x14ac:dyDescent="0.3">
      <c r="B20" s="1" t="s">
        <v>16</v>
      </c>
      <c r="C20" s="1" t="s">
        <v>17</v>
      </c>
      <c r="D20" s="1" t="s">
        <v>18</v>
      </c>
      <c r="E20" s="1" t="s">
        <v>17</v>
      </c>
      <c r="F20" s="1" t="s">
        <v>18</v>
      </c>
      <c r="G20" s="1" t="s">
        <v>17</v>
      </c>
      <c r="H20" s="1" t="s">
        <v>18</v>
      </c>
      <c r="I20" s="1" t="s">
        <v>17</v>
      </c>
      <c r="J20" s="1" t="s">
        <v>18</v>
      </c>
      <c r="K20" s="1" t="s">
        <v>17</v>
      </c>
      <c r="L20" s="1" t="s">
        <v>18</v>
      </c>
      <c r="M20" s="1" t="s">
        <v>17</v>
      </c>
      <c r="N20" s="1" t="s">
        <v>18</v>
      </c>
      <c r="O20" s="1" t="s">
        <v>17</v>
      </c>
      <c r="P20" s="1" t="s">
        <v>18</v>
      </c>
      <c r="Q20" s="1" t="s">
        <v>17</v>
      </c>
      <c r="R20" s="1" t="s">
        <v>18</v>
      </c>
      <c r="S20" s="1" t="s">
        <v>17</v>
      </c>
      <c r="T20" s="1" t="s">
        <v>18</v>
      </c>
      <c r="U20" s="1" t="s">
        <v>17</v>
      </c>
      <c r="V20" s="1" t="s">
        <v>18</v>
      </c>
      <c r="X20" s="1" t="s">
        <v>16</v>
      </c>
      <c r="Y20" s="1" t="s">
        <v>17</v>
      </c>
      <c r="Z20" s="1" t="s">
        <v>18</v>
      </c>
      <c r="AA20" s="1" t="s">
        <v>17</v>
      </c>
      <c r="AB20" s="1" t="s">
        <v>18</v>
      </c>
      <c r="AC20" s="1" t="s">
        <v>17</v>
      </c>
      <c r="AD20" s="1" t="s">
        <v>18</v>
      </c>
      <c r="AE20" s="1" t="s">
        <v>17</v>
      </c>
      <c r="AF20" s="1" t="s">
        <v>18</v>
      </c>
      <c r="AG20" s="1" t="s">
        <v>17</v>
      </c>
      <c r="AH20" s="1" t="s">
        <v>18</v>
      </c>
      <c r="AI20" s="1" t="s">
        <v>17</v>
      </c>
      <c r="AJ20" s="1" t="s">
        <v>18</v>
      </c>
      <c r="AK20" s="1" t="s">
        <v>17</v>
      </c>
      <c r="AL20" s="1" t="s">
        <v>18</v>
      </c>
      <c r="AM20" s="1" t="s">
        <v>17</v>
      </c>
      <c r="AN20" s="1" t="s">
        <v>18</v>
      </c>
      <c r="AO20" s="1" t="s">
        <v>17</v>
      </c>
      <c r="AP20" s="1" t="s">
        <v>18</v>
      </c>
      <c r="AQ20" s="1" t="s">
        <v>17</v>
      </c>
      <c r="AR20" s="1" t="s">
        <v>18</v>
      </c>
      <c r="AU20" s="1" t="s">
        <v>16</v>
      </c>
      <c r="AV20" s="1" t="s">
        <v>17</v>
      </c>
      <c r="AW20" s="1" t="s">
        <v>18</v>
      </c>
      <c r="AX20" s="1" t="s">
        <v>17</v>
      </c>
      <c r="AY20" s="1" t="s">
        <v>18</v>
      </c>
      <c r="AZ20" s="1" t="s">
        <v>17</v>
      </c>
      <c r="BA20" s="1" t="s">
        <v>18</v>
      </c>
      <c r="BB20" s="1" t="s">
        <v>17</v>
      </c>
      <c r="BC20" s="1" t="s">
        <v>18</v>
      </c>
      <c r="BD20" s="1" t="s">
        <v>17</v>
      </c>
      <c r="BE20" s="1" t="s">
        <v>18</v>
      </c>
      <c r="BF20" s="1" t="s">
        <v>17</v>
      </c>
      <c r="BG20" s="1" t="s">
        <v>18</v>
      </c>
      <c r="BH20" s="1" t="s">
        <v>17</v>
      </c>
      <c r="BI20" s="1" t="s">
        <v>18</v>
      </c>
      <c r="BJ20" s="1" t="s">
        <v>17</v>
      </c>
      <c r="BK20" s="1" t="s">
        <v>18</v>
      </c>
      <c r="BL20" s="1" t="s">
        <v>17</v>
      </c>
      <c r="BM20" s="1" t="s">
        <v>18</v>
      </c>
      <c r="BN20" s="1" t="s">
        <v>17</v>
      </c>
      <c r="BO20" s="1" t="s">
        <v>18</v>
      </c>
      <c r="BR20" s="1" t="s">
        <v>16</v>
      </c>
      <c r="BS20" s="1" t="s">
        <v>17</v>
      </c>
      <c r="BT20" s="1" t="s">
        <v>18</v>
      </c>
      <c r="BU20" s="1" t="s">
        <v>17</v>
      </c>
      <c r="BV20" s="1" t="s">
        <v>18</v>
      </c>
      <c r="BW20" s="1" t="s">
        <v>17</v>
      </c>
      <c r="BX20" s="1" t="s">
        <v>18</v>
      </c>
      <c r="BY20" s="1" t="s">
        <v>17</v>
      </c>
      <c r="BZ20" s="1" t="s">
        <v>18</v>
      </c>
      <c r="CA20" s="1" t="s">
        <v>17</v>
      </c>
      <c r="CB20" s="1" t="s">
        <v>18</v>
      </c>
      <c r="CC20" s="1" t="s">
        <v>17</v>
      </c>
      <c r="CD20" s="1" t="s">
        <v>18</v>
      </c>
      <c r="CE20" s="1" t="s">
        <v>17</v>
      </c>
      <c r="CF20" s="1" t="s">
        <v>18</v>
      </c>
      <c r="CG20" s="1" t="s">
        <v>17</v>
      </c>
      <c r="CH20" s="1" t="s">
        <v>18</v>
      </c>
      <c r="CI20" s="1" t="s">
        <v>17</v>
      </c>
      <c r="CJ20" s="1" t="s">
        <v>18</v>
      </c>
      <c r="CK20" s="1" t="s">
        <v>17</v>
      </c>
      <c r="CL20" s="1" t="s">
        <v>18</v>
      </c>
    </row>
    <row r="21" spans="2:90" x14ac:dyDescent="0.3">
      <c r="B21" s="1" t="s">
        <v>19</v>
      </c>
      <c r="C21" s="1" t="s">
        <v>1</v>
      </c>
      <c r="D21" s="1" t="s">
        <v>1</v>
      </c>
      <c r="E21" s="1" t="s">
        <v>2</v>
      </c>
      <c r="F21" s="1" t="s">
        <v>2</v>
      </c>
      <c r="G21" s="1" t="s">
        <v>3</v>
      </c>
      <c r="H21" s="1" t="s">
        <v>3</v>
      </c>
      <c r="I21" s="1" t="s">
        <v>4</v>
      </c>
      <c r="J21" s="1" t="s">
        <v>4</v>
      </c>
      <c r="K21" s="1" t="s">
        <v>5</v>
      </c>
      <c r="L21" s="1" t="s">
        <v>5</v>
      </c>
      <c r="M21" s="1" t="s">
        <v>6</v>
      </c>
      <c r="N21" s="1" t="s">
        <v>6</v>
      </c>
      <c r="O21" s="1" t="s">
        <v>7</v>
      </c>
      <c r="P21" s="1" t="s">
        <v>7</v>
      </c>
      <c r="Q21" s="1" t="s">
        <v>8</v>
      </c>
      <c r="R21" s="1" t="s">
        <v>8</v>
      </c>
      <c r="S21" s="1" t="s">
        <v>9</v>
      </c>
      <c r="T21" s="1" t="s">
        <v>9</v>
      </c>
      <c r="U21" s="1" t="s">
        <v>10</v>
      </c>
      <c r="V21" s="1" t="s">
        <v>10</v>
      </c>
      <c r="X21" s="1" t="s">
        <v>19</v>
      </c>
      <c r="Y21" s="1" t="s">
        <v>1</v>
      </c>
      <c r="Z21" s="1" t="s">
        <v>1</v>
      </c>
      <c r="AA21" s="1" t="s">
        <v>2</v>
      </c>
      <c r="AB21" s="1" t="s">
        <v>2</v>
      </c>
      <c r="AC21" s="1" t="s">
        <v>3</v>
      </c>
      <c r="AD21" s="1" t="s">
        <v>3</v>
      </c>
      <c r="AE21" s="1" t="s">
        <v>4</v>
      </c>
      <c r="AF21" s="1" t="s">
        <v>4</v>
      </c>
      <c r="AG21" s="1" t="s">
        <v>5</v>
      </c>
      <c r="AH21" s="1" t="s">
        <v>5</v>
      </c>
      <c r="AI21" s="1" t="s">
        <v>6</v>
      </c>
      <c r="AJ21" s="1" t="s">
        <v>6</v>
      </c>
      <c r="AK21" s="1" t="s">
        <v>7</v>
      </c>
      <c r="AL21" s="1" t="s">
        <v>7</v>
      </c>
      <c r="AM21" s="1" t="s">
        <v>8</v>
      </c>
      <c r="AN21" s="1" t="s">
        <v>8</v>
      </c>
      <c r="AO21" s="1" t="s">
        <v>9</v>
      </c>
      <c r="AP21" s="1" t="s">
        <v>9</v>
      </c>
      <c r="AQ21" s="1" t="s">
        <v>10</v>
      </c>
      <c r="AR21" s="1" t="s">
        <v>10</v>
      </c>
      <c r="AU21" s="1" t="s">
        <v>19</v>
      </c>
      <c r="AV21" s="1" t="s">
        <v>1</v>
      </c>
      <c r="AW21" s="1" t="s">
        <v>1</v>
      </c>
      <c r="AX21" s="1" t="s">
        <v>2</v>
      </c>
      <c r="AY21" s="1" t="s">
        <v>2</v>
      </c>
      <c r="AZ21" s="1" t="s">
        <v>3</v>
      </c>
      <c r="BA21" s="1" t="s">
        <v>3</v>
      </c>
      <c r="BB21" s="1" t="s">
        <v>4</v>
      </c>
      <c r="BC21" s="1" t="s">
        <v>4</v>
      </c>
      <c r="BD21" s="1" t="s">
        <v>5</v>
      </c>
      <c r="BE21" s="1" t="s">
        <v>5</v>
      </c>
      <c r="BF21" s="1" t="s">
        <v>6</v>
      </c>
      <c r="BG21" s="1" t="s">
        <v>6</v>
      </c>
      <c r="BH21" s="1" t="s">
        <v>7</v>
      </c>
      <c r="BI21" s="1" t="s">
        <v>7</v>
      </c>
      <c r="BJ21" s="1" t="s">
        <v>8</v>
      </c>
      <c r="BK21" s="1" t="s">
        <v>8</v>
      </c>
      <c r="BL21" s="1" t="s">
        <v>9</v>
      </c>
      <c r="BM21" s="1" t="s">
        <v>9</v>
      </c>
      <c r="BN21" s="1" t="s">
        <v>10</v>
      </c>
      <c r="BO21" s="1" t="s">
        <v>10</v>
      </c>
      <c r="BR21" s="1" t="s">
        <v>19</v>
      </c>
      <c r="BS21" s="1" t="s">
        <v>1</v>
      </c>
      <c r="BT21" s="1" t="s">
        <v>1</v>
      </c>
      <c r="BU21" s="1" t="s">
        <v>2</v>
      </c>
      <c r="BV21" s="1" t="s">
        <v>2</v>
      </c>
      <c r="BW21" s="1" t="s">
        <v>3</v>
      </c>
      <c r="BX21" s="1" t="s">
        <v>3</v>
      </c>
      <c r="BY21" s="1" t="s">
        <v>4</v>
      </c>
      <c r="BZ21" s="1" t="s">
        <v>4</v>
      </c>
      <c r="CA21" s="1" t="s">
        <v>5</v>
      </c>
      <c r="CB21" s="1" t="s">
        <v>5</v>
      </c>
      <c r="CC21" s="1" t="s">
        <v>6</v>
      </c>
      <c r="CD21" s="1" t="s">
        <v>6</v>
      </c>
      <c r="CE21" s="1" t="s">
        <v>7</v>
      </c>
      <c r="CF21" s="1" t="s">
        <v>7</v>
      </c>
      <c r="CG21" s="1" t="s">
        <v>8</v>
      </c>
      <c r="CH21" s="1" t="s">
        <v>8</v>
      </c>
      <c r="CI21" s="1" t="s">
        <v>9</v>
      </c>
      <c r="CJ21" s="1" t="s">
        <v>9</v>
      </c>
      <c r="CK21" s="1" t="s">
        <v>10</v>
      </c>
      <c r="CL21" s="1" t="s">
        <v>10</v>
      </c>
    </row>
    <row r="22" spans="2:90" x14ac:dyDescent="0.3">
      <c r="B22" s="1" t="s">
        <v>20</v>
      </c>
      <c r="X22" s="1" t="s">
        <v>20</v>
      </c>
      <c r="AU22" s="1" t="s">
        <v>20</v>
      </c>
      <c r="BR22" s="1" t="s">
        <v>20</v>
      </c>
    </row>
    <row r="23" spans="2:90" x14ac:dyDescent="0.3">
      <c r="B23" s="1" t="s">
        <v>21</v>
      </c>
      <c r="C23" s="2">
        <v>0.05</v>
      </c>
      <c r="D23" s="2">
        <v>0.05</v>
      </c>
      <c r="E23" s="2">
        <v>0.05</v>
      </c>
      <c r="F23" s="2">
        <v>0.05</v>
      </c>
      <c r="G23" s="2">
        <v>0.05</v>
      </c>
      <c r="H23" s="2">
        <v>0.05</v>
      </c>
      <c r="I23" s="2">
        <v>0.05</v>
      </c>
      <c r="J23" s="2">
        <v>0.1</v>
      </c>
      <c r="K23" s="2">
        <v>0.1</v>
      </c>
      <c r="L23" s="2">
        <v>0.1</v>
      </c>
      <c r="M23" s="2">
        <v>0.1</v>
      </c>
      <c r="N23" s="2">
        <v>0.1</v>
      </c>
      <c r="O23" s="2">
        <v>0.1</v>
      </c>
      <c r="P23" s="2">
        <v>0.1</v>
      </c>
      <c r="Q23" s="2">
        <v>0.1</v>
      </c>
      <c r="R23" s="2">
        <v>0.1</v>
      </c>
      <c r="S23" s="2">
        <v>0.1</v>
      </c>
      <c r="T23" s="2">
        <v>0.1</v>
      </c>
      <c r="U23" s="2">
        <v>0.1</v>
      </c>
      <c r="V23" s="2">
        <v>0.1</v>
      </c>
      <c r="X23" s="1" t="s">
        <v>21</v>
      </c>
      <c r="Y23" s="2">
        <v>758.77</v>
      </c>
      <c r="Z23" s="2">
        <v>755.44</v>
      </c>
      <c r="AA23" s="2">
        <v>583.79999999999995</v>
      </c>
      <c r="AB23" s="2">
        <v>546.35</v>
      </c>
      <c r="AC23" s="2">
        <v>541.1</v>
      </c>
      <c r="AD23" s="2">
        <v>655.03</v>
      </c>
      <c r="AE23" s="2">
        <v>688.94</v>
      </c>
      <c r="AF23" s="2">
        <v>1376.9</v>
      </c>
      <c r="AG23" s="2">
        <v>1574.3</v>
      </c>
      <c r="AH23" s="2">
        <v>1386</v>
      </c>
      <c r="AI23" s="2">
        <v>1591.1</v>
      </c>
      <c r="AJ23" s="2">
        <v>1364.3</v>
      </c>
      <c r="AK23" s="2">
        <v>1540.7</v>
      </c>
      <c r="AL23" s="2">
        <v>1324.4</v>
      </c>
      <c r="AM23" s="2">
        <v>1495.2</v>
      </c>
      <c r="AN23" s="2">
        <v>1362.2</v>
      </c>
      <c r="AO23" s="2">
        <v>1319.5</v>
      </c>
      <c r="AP23" s="2">
        <v>1006.6</v>
      </c>
      <c r="AQ23" s="2">
        <v>1330</v>
      </c>
      <c r="AR23" s="2">
        <v>1054.9000000000001</v>
      </c>
      <c r="AU23" s="1" t="s">
        <v>21</v>
      </c>
      <c r="AV23" s="2">
        <v>15015.03</v>
      </c>
      <c r="AW23" s="2">
        <v>14911.96</v>
      </c>
      <c r="AX23" s="2">
        <v>11344.2</v>
      </c>
      <c r="AY23" s="2">
        <v>10611.65</v>
      </c>
      <c r="AZ23" s="2">
        <v>10826.9</v>
      </c>
      <c r="BA23" s="2">
        <v>12904.32</v>
      </c>
      <c r="BB23" s="2">
        <v>13847.96</v>
      </c>
      <c r="BC23" s="2">
        <v>13085.1</v>
      </c>
      <c r="BD23" s="2">
        <v>14966.7</v>
      </c>
      <c r="BE23" s="2">
        <v>13209</v>
      </c>
      <c r="BF23" s="2">
        <v>14970.9</v>
      </c>
      <c r="BG23" s="2">
        <v>12950.7</v>
      </c>
      <c r="BH23" s="2">
        <v>14685.3</v>
      </c>
      <c r="BI23" s="2">
        <v>12465.6</v>
      </c>
      <c r="BJ23" s="2">
        <v>14065.8</v>
      </c>
      <c r="BK23" s="2">
        <v>12805.8</v>
      </c>
      <c r="BL23" s="2">
        <v>12358.5</v>
      </c>
      <c r="BM23" s="2">
        <v>9542.4</v>
      </c>
      <c r="BN23" s="2">
        <v>12537</v>
      </c>
      <c r="BO23" s="2">
        <v>9935.1</v>
      </c>
      <c r="BR23" s="1" t="s">
        <v>21</v>
      </c>
      <c r="BS23" s="2">
        <v>15773.8</v>
      </c>
      <c r="BT23" s="2">
        <v>15667.4</v>
      </c>
      <c r="BU23" s="2">
        <v>11928</v>
      </c>
      <c r="BV23" s="2">
        <v>11158</v>
      </c>
      <c r="BW23" s="2">
        <v>11368</v>
      </c>
      <c r="BX23" s="2">
        <v>13559.35</v>
      </c>
      <c r="BY23" s="2">
        <v>14536.9</v>
      </c>
      <c r="BZ23" s="2">
        <v>14462</v>
      </c>
      <c r="CA23" s="2">
        <v>16541</v>
      </c>
      <c r="CB23" s="2">
        <v>14595</v>
      </c>
      <c r="CC23" s="2">
        <v>16562</v>
      </c>
      <c r="CD23" s="2">
        <v>14315</v>
      </c>
      <c r="CE23" s="2">
        <v>16226</v>
      </c>
      <c r="CF23" s="2">
        <v>13790</v>
      </c>
      <c r="CG23" s="2">
        <v>15561</v>
      </c>
      <c r="CH23" s="2">
        <v>14168</v>
      </c>
      <c r="CI23" s="2">
        <v>13678</v>
      </c>
      <c r="CJ23" s="2">
        <v>10549</v>
      </c>
      <c r="CK23" s="2">
        <v>13867</v>
      </c>
      <c r="CL23" s="2">
        <v>10990</v>
      </c>
    </row>
    <row r="24" spans="2:90" x14ac:dyDescent="0.3">
      <c r="B24" s="1" t="s">
        <v>22</v>
      </c>
      <c r="C24" s="2">
        <v>0.16</v>
      </c>
      <c r="D24" s="2">
        <v>0.17</v>
      </c>
      <c r="E24" s="2">
        <v>0.18</v>
      </c>
      <c r="F24" s="2">
        <v>0.18</v>
      </c>
      <c r="G24" s="2">
        <v>0.18</v>
      </c>
      <c r="H24" s="2">
        <v>0.18</v>
      </c>
      <c r="I24" s="2">
        <v>0.17</v>
      </c>
      <c r="J24" s="2">
        <v>0.18</v>
      </c>
      <c r="K24" s="2">
        <v>0.16</v>
      </c>
      <c r="L24" s="2">
        <v>0.17</v>
      </c>
      <c r="M24" s="2">
        <v>0.16</v>
      </c>
      <c r="N24" s="2">
        <v>0.16</v>
      </c>
      <c r="O24" s="2">
        <v>0.16</v>
      </c>
      <c r="P24" s="2">
        <v>0.16</v>
      </c>
      <c r="Q24" s="2">
        <v>0.16</v>
      </c>
      <c r="R24" s="2">
        <v>0.16</v>
      </c>
      <c r="S24" s="2">
        <v>0.16</v>
      </c>
      <c r="T24" s="2">
        <v>0.16</v>
      </c>
      <c r="U24" s="2">
        <v>0.16</v>
      </c>
      <c r="V24" s="2">
        <v>0.16</v>
      </c>
      <c r="X24" s="1" t="s">
        <v>22</v>
      </c>
      <c r="Y24" s="2">
        <v>968.64</v>
      </c>
      <c r="Z24" s="2">
        <v>594.38</v>
      </c>
      <c r="AA24" s="2">
        <v>963.53</v>
      </c>
      <c r="AB24" s="2">
        <v>616.75</v>
      </c>
      <c r="AC24" s="2">
        <v>636.92999999999995</v>
      </c>
      <c r="AD24" s="2">
        <v>788.09</v>
      </c>
      <c r="AE24" s="2">
        <v>1078.02</v>
      </c>
      <c r="AF24" s="2">
        <v>739.56</v>
      </c>
      <c r="AG24" s="2">
        <v>1027.82</v>
      </c>
      <c r="AH24" s="2">
        <v>696.81</v>
      </c>
      <c r="AI24" s="2">
        <v>992.78</v>
      </c>
      <c r="AJ24" s="2">
        <v>702.78</v>
      </c>
      <c r="AK24" s="2">
        <v>855.38</v>
      </c>
      <c r="AL24" s="2">
        <v>748.4</v>
      </c>
      <c r="AM24" s="2">
        <v>813.18</v>
      </c>
      <c r="AN24" s="2">
        <v>721.12</v>
      </c>
      <c r="AO24" s="2">
        <v>793.56</v>
      </c>
      <c r="AP24" s="2">
        <v>594.84</v>
      </c>
      <c r="AQ24" s="2">
        <v>914.53</v>
      </c>
      <c r="AR24" s="2">
        <v>562.15</v>
      </c>
      <c r="AU24" s="1" t="s">
        <v>22</v>
      </c>
      <c r="AV24" s="2">
        <v>5467.61</v>
      </c>
      <c r="AW24" s="2">
        <v>3587.52</v>
      </c>
      <c r="AX24" s="2">
        <v>4806.7700000000004</v>
      </c>
      <c r="AY24" s="2">
        <v>3217.45</v>
      </c>
      <c r="AZ24" s="2">
        <v>3355.07</v>
      </c>
      <c r="BA24" s="2">
        <v>4119.6099999999997</v>
      </c>
      <c r="BB24" s="2">
        <v>5506.43</v>
      </c>
      <c r="BC24" s="2">
        <v>4020.44</v>
      </c>
      <c r="BD24" s="2">
        <v>5691.53</v>
      </c>
      <c r="BE24" s="2">
        <v>4079.19</v>
      </c>
      <c r="BF24" s="2">
        <v>5526.12</v>
      </c>
      <c r="BG24" s="2">
        <v>4146.22</v>
      </c>
      <c r="BH24" s="2">
        <v>4849.62</v>
      </c>
      <c r="BI24" s="2">
        <v>4374.6000000000004</v>
      </c>
      <c r="BJ24" s="2">
        <v>4652.32</v>
      </c>
      <c r="BK24" s="2">
        <v>4177.08</v>
      </c>
      <c r="BL24" s="2">
        <v>4550.66</v>
      </c>
      <c r="BM24" s="2">
        <v>3560.75</v>
      </c>
      <c r="BN24" s="2">
        <v>5388.72</v>
      </c>
      <c r="BO24" s="2">
        <v>3444.95</v>
      </c>
      <c r="BR24" s="1" t="s">
        <v>22</v>
      </c>
      <c r="BS24" s="2">
        <v>6436.25</v>
      </c>
      <c r="BT24" s="2">
        <v>4181.8999999999996</v>
      </c>
      <c r="BU24" s="2">
        <v>5770.3</v>
      </c>
      <c r="BV24" s="2">
        <v>3834.2</v>
      </c>
      <c r="BW24" s="2">
        <v>3992</v>
      </c>
      <c r="BX24" s="2">
        <v>4907.7</v>
      </c>
      <c r="BY24" s="2">
        <v>6584.45</v>
      </c>
      <c r="BZ24" s="2">
        <v>4760</v>
      </c>
      <c r="CA24" s="2">
        <v>6719.35</v>
      </c>
      <c r="CB24" s="2">
        <v>4776</v>
      </c>
      <c r="CC24" s="2">
        <v>6518.9</v>
      </c>
      <c r="CD24" s="2">
        <v>4849</v>
      </c>
      <c r="CE24" s="2">
        <v>5705</v>
      </c>
      <c r="CF24" s="2">
        <v>5123</v>
      </c>
      <c r="CG24" s="2">
        <v>5465.5</v>
      </c>
      <c r="CH24" s="2">
        <v>4898.2</v>
      </c>
      <c r="CI24" s="2">
        <v>5344.21</v>
      </c>
      <c r="CJ24" s="2">
        <v>4155.59</v>
      </c>
      <c r="CK24" s="2">
        <v>6303.25</v>
      </c>
      <c r="CL24" s="2">
        <v>4007.1</v>
      </c>
    </row>
    <row r="25" spans="2:90" x14ac:dyDescent="0.3">
      <c r="B25" s="1" t="s">
        <v>23</v>
      </c>
      <c r="C25" s="2">
        <v>0.2</v>
      </c>
      <c r="D25" s="2">
        <v>0.14000000000000001</v>
      </c>
      <c r="E25" s="2">
        <v>0.17</v>
      </c>
      <c r="F25" s="2">
        <v>0.05</v>
      </c>
      <c r="G25" s="2">
        <v>0.2</v>
      </c>
      <c r="H25" s="2">
        <v>0.24</v>
      </c>
      <c r="I25" s="2">
        <v>0.17</v>
      </c>
      <c r="J25" s="2">
        <v>0.18</v>
      </c>
      <c r="K25" s="2">
        <v>0.17</v>
      </c>
      <c r="L25" s="2">
        <v>0.16</v>
      </c>
      <c r="M25" s="2">
        <v>0.19</v>
      </c>
      <c r="N25" s="2">
        <v>0.16</v>
      </c>
      <c r="O25" s="2">
        <v>0.23</v>
      </c>
      <c r="P25" s="2">
        <v>0.16</v>
      </c>
      <c r="Q25" s="2">
        <v>0.22</v>
      </c>
      <c r="R25" s="2">
        <v>0.16</v>
      </c>
      <c r="S25" s="2">
        <v>0.16</v>
      </c>
      <c r="T25" s="2">
        <v>0.16</v>
      </c>
      <c r="U25" s="2">
        <v>0.16</v>
      </c>
      <c r="V25" s="2">
        <v>0.16</v>
      </c>
      <c r="X25" s="1" t="s">
        <v>23</v>
      </c>
      <c r="Y25" s="2">
        <v>4265.54</v>
      </c>
      <c r="Z25" s="2">
        <v>1307.55</v>
      </c>
      <c r="AA25" s="2">
        <v>4041.48</v>
      </c>
      <c r="AB25" s="2">
        <v>433.49</v>
      </c>
      <c r="AC25" s="2">
        <v>2953.36</v>
      </c>
      <c r="AD25" s="2">
        <v>5778.44</v>
      </c>
      <c r="AE25" s="2">
        <v>3552.54</v>
      </c>
      <c r="AF25" s="2">
        <v>2543.12</v>
      </c>
      <c r="AG25" s="2">
        <v>3783.21</v>
      </c>
      <c r="AH25" s="2">
        <v>2301.83</v>
      </c>
      <c r="AI25" s="2">
        <v>4437.33</v>
      </c>
      <c r="AJ25" s="2">
        <v>2277.54</v>
      </c>
      <c r="AK25" s="2">
        <v>5467.18</v>
      </c>
      <c r="AL25" s="2">
        <v>2272.08</v>
      </c>
      <c r="AM25" s="2">
        <v>4498.6499999999996</v>
      </c>
      <c r="AN25" s="2">
        <v>2222.94</v>
      </c>
      <c r="AO25" s="2">
        <v>2477.2399999999998</v>
      </c>
      <c r="AP25" s="2">
        <v>1934.33</v>
      </c>
      <c r="AQ25" s="2">
        <v>1905.61</v>
      </c>
      <c r="AR25" s="2">
        <v>1694.88</v>
      </c>
      <c r="AU25" s="1" t="s">
        <v>23</v>
      </c>
      <c r="AV25" s="2">
        <v>19690.21</v>
      </c>
      <c r="AW25" s="2">
        <v>9360</v>
      </c>
      <c r="AX25" s="2">
        <v>21133.32</v>
      </c>
      <c r="AY25" s="2">
        <v>8278.9599999999991</v>
      </c>
      <c r="AZ25" s="2">
        <v>14179.49</v>
      </c>
      <c r="BA25" s="2">
        <v>20798.11</v>
      </c>
      <c r="BB25" s="2">
        <v>19431.39</v>
      </c>
      <c r="BC25" s="2">
        <v>14276.83</v>
      </c>
      <c r="BD25" s="2">
        <v>20714.73</v>
      </c>
      <c r="BE25" s="2">
        <v>14098.78</v>
      </c>
      <c r="BF25" s="2">
        <v>21567.86</v>
      </c>
      <c r="BG25" s="2">
        <v>14132.96</v>
      </c>
      <c r="BH25" s="2">
        <v>21253.86</v>
      </c>
      <c r="BI25" s="2">
        <v>14209.62</v>
      </c>
      <c r="BJ25" s="2">
        <v>19403.55</v>
      </c>
      <c r="BK25" s="2">
        <v>13640.96</v>
      </c>
      <c r="BL25" s="2">
        <v>15052.85</v>
      </c>
      <c r="BM25" s="2">
        <v>12284.77</v>
      </c>
      <c r="BN25" s="2">
        <v>11879.3</v>
      </c>
      <c r="BO25" s="2">
        <v>10751.5</v>
      </c>
      <c r="BR25" s="1" t="s">
        <v>23</v>
      </c>
      <c r="BS25" s="2">
        <v>23955.75</v>
      </c>
      <c r="BT25" s="2">
        <v>10667.55</v>
      </c>
      <c r="BU25" s="2">
        <v>25174.799999999999</v>
      </c>
      <c r="BV25" s="2">
        <v>8712.4500000000007</v>
      </c>
      <c r="BW25" s="2">
        <v>17132.849999999999</v>
      </c>
      <c r="BX25" s="2">
        <v>26576.55</v>
      </c>
      <c r="BY25" s="2">
        <v>22983.93</v>
      </c>
      <c r="BZ25" s="2">
        <v>16819.95</v>
      </c>
      <c r="CA25" s="2">
        <v>24497.95</v>
      </c>
      <c r="CB25" s="2">
        <v>16400.62</v>
      </c>
      <c r="CC25" s="2">
        <v>26005.19</v>
      </c>
      <c r="CD25" s="2">
        <v>16410.490000000002</v>
      </c>
      <c r="CE25" s="2">
        <v>26721.040000000001</v>
      </c>
      <c r="CF25" s="2">
        <v>16481.7</v>
      </c>
      <c r="CG25" s="2">
        <v>23902.2</v>
      </c>
      <c r="CH25" s="2">
        <v>15863.9</v>
      </c>
      <c r="CI25" s="2">
        <v>17530.09</v>
      </c>
      <c r="CJ25" s="2">
        <v>14219.1</v>
      </c>
      <c r="CK25" s="2">
        <v>13784.91</v>
      </c>
      <c r="CL25" s="2">
        <v>12446.37</v>
      </c>
    </row>
    <row r="26" spans="2:90" x14ac:dyDescent="0.3">
      <c r="B26" s="1" t="s">
        <v>24</v>
      </c>
      <c r="C26" s="2">
        <v>0.18</v>
      </c>
      <c r="D26" s="2">
        <v>0.17</v>
      </c>
      <c r="E26" s="2">
        <v>0.17</v>
      </c>
      <c r="F26" s="2">
        <v>0.15</v>
      </c>
      <c r="G26" s="2">
        <v>0.19</v>
      </c>
      <c r="H26" s="2">
        <v>0.18</v>
      </c>
      <c r="I26" s="2">
        <v>0.17</v>
      </c>
      <c r="J26" s="2">
        <v>0.18</v>
      </c>
      <c r="K26" s="2">
        <v>0.16</v>
      </c>
      <c r="L26" s="2">
        <v>0.17</v>
      </c>
      <c r="M26" s="2">
        <v>0.16</v>
      </c>
      <c r="N26" s="2">
        <v>0.16</v>
      </c>
      <c r="O26" s="2">
        <v>0.16</v>
      </c>
      <c r="P26" s="2">
        <v>0.16</v>
      </c>
      <c r="Q26" s="2">
        <v>0.16</v>
      </c>
      <c r="R26" s="2">
        <v>0.16</v>
      </c>
      <c r="S26" s="2">
        <v>0.16</v>
      </c>
      <c r="T26" s="2">
        <v>0.17</v>
      </c>
      <c r="U26" s="2">
        <v>0.16</v>
      </c>
      <c r="V26" s="2">
        <v>0.17</v>
      </c>
      <c r="X26" s="1" t="s">
        <v>24</v>
      </c>
      <c r="Y26" s="2">
        <v>1214.1600000000001</v>
      </c>
      <c r="Z26" s="2">
        <v>528.88</v>
      </c>
      <c r="AA26" s="2">
        <v>1228.92</v>
      </c>
      <c r="AB26" s="2">
        <v>486.2</v>
      </c>
      <c r="AC26" s="2">
        <v>1047.53</v>
      </c>
      <c r="AD26" s="2">
        <v>1289.98</v>
      </c>
      <c r="AE26" s="2">
        <v>1076.4100000000001</v>
      </c>
      <c r="AF26" s="2">
        <v>849.34</v>
      </c>
      <c r="AG26" s="2">
        <v>1063.6199999999999</v>
      </c>
      <c r="AH26" s="2">
        <v>773.16</v>
      </c>
      <c r="AI26" s="2">
        <v>1078.56</v>
      </c>
      <c r="AJ26" s="2">
        <v>739.4</v>
      </c>
      <c r="AK26" s="2">
        <v>1066.69</v>
      </c>
      <c r="AL26" s="2">
        <v>733.14</v>
      </c>
      <c r="AM26" s="2">
        <v>905.19</v>
      </c>
      <c r="AN26" s="2">
        <v>706.64</v>
      </c>
      <c r="AO26" s="2">
        <v>719.74</v>
      </c>
      <c r="AP26" s="2">
        <v>639.23</v>
      </c>
      <c r="AQ26" s="2">
        <v>638.58000000000004</v>
      </c>
      <c r="AR26" s="2">
        <v>596.77</v>
      </c>
      <c r="AU26" s="1" t="s">
        <v>24</v>
      </c>
      <c r="AV26" s="2">
        <v>6882.84</v>
      </c>
      <c r="AW26" s="2">
        <v>3462.52</v>
      </c>
      <c r="AX26" s="2">
        <v>6451.58</v>
      </c>
      <c r="AY26" s="2">
        <v>3120</v>
      </c>
      <c r="AZ26" s="2">
        <v>5516.09</v>
      </c>
      <c r="BA26" s="2">
        <v>7110.02</v>
      </c>
      <c r="BB26" s="2">
        <v>6084.04</v>
      </c>
      <c r="BC26" s="2">
        <v>4973.3500000000004</v>
      </c>
      <c r="BD26" s="2">
        <v>6548.56</v>
      </c>
      <c r="BE26" s="2">
        <v>4855.68</v>
      </c>
      <c r="BF26" s="2">
        <v>6702.52</v>
      </c>
      <c r="BG26" s="2">
        <v>4733.6499999999996</v>
      </c>
      <c r="BH26" s="2">
        <v>6696.04</v>
      </c>
      <c r="BI26" s="2">
        <v>4724.28</v>
      </c>
      <c r="BJ26" s="2">
        <v>5647.52</v>
      </c>
      <c r="BK26" s="2">
        <v>4493.3900000000003</v>
      </c>
      <c r="BL26" s="2">
        <v>4508.7</v>
      </c>
      <c r="BM26" s="2">
        <v>4253.96</v>
      </c>
      <c r="BN26" s="2">
        <v>4145.41</v>
      </c>
      <c r="BO26" s="2">
        <v>3942.45</v>
      </c>
      <c r="BR26" s="1" t="s">
        <v>24</v>
      </c>
      <c r="BS26" s="2">
        <v>8097</v>
      </c>
      <c r="BT26" s="2">
        <v>3991.4</v>
      </c>
      <c r="BU26" s="2">
        <v>7680.49</v>
      </c>
      <c r="BV26" s="2">
        <v>3606.2</v>
      </c>
      <c r="BW26" s="2">
        <v>6563.62</v>
      </c>
      <c r="BX26" s="2">
        <v>8400</v>
      </c>
      <c r="BY26" s="2">
        <v>7160.45</v>
      </c>
      <c r="BZ26" s="2">
        <v>5822.68</v>
      </c>
      <c r="CA26" s="2">
        <v>7612.18</v>
      </c>
      <c r="CB26" s="2">
        <v>5628.84</v>
      </c>
      <c r="CC26" s="2">
        <v>7781.09</v>
      </c>
      <c r="CD26" s="2">
        <v>5473.04</v>
      </c>
      <c r="CE26" s="2">
        <v>7762.73</v>
      </c>
      <c r="CF26" s="2">
        <v>5457.42</v>
      </c>
      <c r="CG26" s="2">
        <v>6552.71</v>
      </c>
      <c r="CH26" s="2">
        <v>5200.03</v>
      </c>
      <c r="CI26" s="2">
        <v>5228.4399999999996</v>
      </c>
      <c r="CJ26" s="2">
        <v>4893.18</v>
      </c>
      <c r="CK26" s="2">
        <v>4783.99</v>
      </c>
      <c r="CL26" s="2">
        <v>4539.21</v>
      </c>
    </row>
    <row r="27" spans="2:90" x14ac:dyDescent="0.3">
      <c r="B27" s="1" t="s">
        <v>25</v>
      </c>
      <c r="C27" s="2">
        <v>0.17</v>
      </c>
      <c r="D27" s="2">
        <v>0.17</v>
      </c>
      <c r="E27" s="2">
        <v>0.18</v>
      </c>
      <c r="F27" s="2">
        <v>0.18</v>
      </c>
      <c r="G27" s="2">
        <v>0.18</v>
      </c>
      <c r="H27" s="2">
        <v>0.18</v>
      </c>
      <c r="I27" s="2">
        <v>0.18</v>
      </c>
      <c r="J27" s="2">
        <v>0.18</v>
      </c>
      <c r="K27" s="2">
        <v>0.17</v>
      </c>
      <c r="L27" s="2">
        <v>0.17</v>
      </c>
      <c r="M27" s="2">
        <v>0.17</v>
      </c>
      <c r="N27" s="2">
        <v>0.17</v>
      </c>
      <c r="O27" s="2">
        <v>0.17</v>
      </c>
      <c r="P27" s="2">
        <v>0.17</v>
      </c>
      <c r="Q27" s="2">
        <v>0.17</v>
      </c>
      <c r="R27" s="2">
        <v>0.17</v>
      </c>
      <c r="S27" s="2">
        <v>0.17</v>
      </c>
      <c r="T27" s="2">
        <v>0.17</v>
      </c>
      <c r="U27" s="2">
        <v>0.17</v>
      </c>
      <c r="V27" s="2">
        <v>0.17</v>
      </c>
      <c r="X27" s="1" t="s">
        <v>25</v>
      </c>
      <c r="Y27" s="2">
        <v>3802.31</v>
      </c>
      <c r="Z27" s="2">
        <v>4222.34</v>
      </c>
      <c r="AA27" s="2">
        <v>4862.71</v>
      </c>
      <c r="AB27" s="2">
        <v>5019.59</v>
      </c>
      <c r="AC27" s="2">
        <v>3427.38</v>
      </c>
      <c r="AD27" s="2">
        <v>4616.3599999999997</v>
      </c>
      <c r="AE27" s="2">
        <v>4394.96</v>
      </c>
      <c r="AF27" s="2">
        <v>4460.7</v>
      </c>
      <c r="AG27" s="2">
        <v>4689.57</v>
      </c>
      <c r="AH27" s="2">
        <v>4749.3999999999996</v>
      </c>
      <c r="AI27" s="2">
        <v>4384.08</v>
      </c>
      <c r="AJ27" s="2">
        <v>4413.83</v>
      </c>
      <c r="AK27" s="2">
        <v>4089.49</v>
      </c>
      <c r="AL27" s="2">
        <v>4283.54</v>
      </c>
      <c r="AM27" s="2">
        <v>3848.33</v>
      </c>
      <c r="AN27" s="2">
        <v>3732.06</v>
      </c>
      <c r="AO27" s="2">
        <v>3578.37</v>
      </c>
      <c r="AP27" s="2">
        <v>3494.01</v>
      </c>
      <c r="AQ27" s="2">
        <v>3374.91</v>
      </c>
      <c r="AR27" s="2">
        <v>3778.67</v>
      </c>
      <c r="AU27" s="1" t="s">
        <v>25</v>
      </c>
      <c r="AV27" s="2">
        <v>23252.69</v>
      </c>
      <c r="AW27" s="2">
        <v>25777.66</v>
      </c>
      <c r="AX27" s="2">
        <v>24817.29</v>
      </c>
      <c r="AY27" s="2">
        <v>25598.91</v>
      </c>
      <c r="AZ27" s="2">
        <v>18952.62</v>
      </c>
      <c r="BA27" s="2">
        <v>25042.21</v>
      </c>
      <c r="BB27" s="2">
        <v>23796.29</v>
      </c>
      <c r="BC27" s="2">
        <v>24549.3</v>
      </c>
      <c r="BD27" s="2">
        <v>27556.85</v>
      </c>
      <c r="BE27" s="2">
        <v>28100.6</v>
      </c>
      <c r="BF27" s="2">
        <v>25956.23</v>
      </c>
      <c r="BG27" s="2">
        <v>26166.67</v>
      </c>
      <c r="BH27" s="2">
        <v>24403.46</v>
      </c>
      <c r="BI27" s="2">
        <v>25422.959999999999</v>
      </c>
      <c r="BJ27" s="2">
        <v>23247.14</v>
      </c>
      <c r="BK27" s="2">
        <v>22374.62</v>
      </c>
      <c r="BL27" s="2">
        <v>21861.63</v>
      </c>
      <c r="BM27" s="2">
        <v>21172.74</v>
      </c>
      <c r="BN27" s="2">
        <v>21054.34</v>
      </c>
      <c r="BO27" s="2">
        <v>23415.08</v>
      </c>
      <c r="BR27" s="1" t="s">
        <v>25</v>
      </c>
      <c r="BS27" s="2">
        <v>27055</v>
      </c>
      <c r="BT27" s="2">
        <v>30000</v>
      </c>
      <c r="BU27" s="2">
        <v>29680</v>
      </c>
      <c r="BV27" s="2">
        <v>30618.5</v>
      </c>
      <c r="BW27" s="2">
        <v>22380</v>
      </c>
      <c r="BX27" s="2">
        <v>29658.560000000001</v>
      </c>
      <c r="BY27" s="2">
        <v>28191.25</v>
      </c>
      <c r="BZ27" s="2">
        <v>29010</v>
      </c>
      <c r="CA27" s="2">
        <v>32246.43</v>
      </c>
      <c r="CB27" s="2">
        <v>32850</v>
      </c>
      <c r="CC27" s="2">
        <v>30340.31</v>
      </c>
      <c r="CD27" s="2">
        <v>30580.5</v>
      </c>
      <c r="CE27" s="2">
        <v>28492.95</v>
      </c>
      <c r="CF27" s="2">
        <v>29706.5</v>
      </c>
      <c r="CG27" s="2">
        <v>27095.46</v>
      </c>
      <c r="CH27" s="2">
        <v>26106.68</v>
      </c>
      <c r="CI27" s="2">
        <v>25440</v>
      </c>
      <c r="CJ27" s="2">
        <v>24666.75</v>
      </c>
      <c r="CK27" s="2">
        <v>24429.25</v>
      </c>
      <c r="CL27" s="2">
        <v>27193.75</v>
      </c>
    </row>
    <row r="28" spans="2:90" x14ac:dyDescent="0.3">
      <c r="B28" s="1" t="s">
        <v>26</v>
      </c>
      <c r="C28" s="2">
        <v>0.2</v>
      </c>
      <c r="D28" s="2">
        <v>0.2</v>
      </c>
      <c r="E28" s="2">
        <v>0.21</v>
      </c>
      <c r="F28" s="2">
        <v>0.21</v>
      </c>
      <c r="G28" s="2">
        <v>0.22</v>
      </c>
      <c r="H28" s="2">
        <v>0.22</v>
      </c>
      <c r="I28" s="2">
        <v>0.22</v>
      </c>
      <c r="J28" s="2">
        <v>0.22</v>
      </c>
      <c r="K28" s="2">
        <v>0.2</v>
      </c>
      <c r="L28" s="2">
        <v>0.2</v>
      </c>
      <c r="M28" s="2">
        <v>0.2</v>
      </c>
      <c r="N28" s="2">
        <v>0.2</v>
      </c>
      <c r="O28" s="2">
        <v>0.2</v>
      </c>
      <c r="P28" s="2">
        <v>0.2</v>
      </c>
      <c r="Q28" s="2">
        <v>0.2</v>
      </c>
      <c r="R28" s="2">
        <v>0.2</v>
      </c>
      <c r="S28" s="2">
        <v>0.2</v>
      </c>
      <c r="T28" s="2">
        <v>0.2</v>
      </c>
      <c r="U28" s="2">
        <v>0.2</v>
      </c>
      <c r="V28" s="2">
        <v>0.2</v>
      </c>
      <c r="X28" s="1" t="s">
        <v>26</v>
      </c>
      <c r="Y28" s="2">
        <v>1116.46</v>
      </c>
      <c r="Z28" s="2">
        <v>1157.71</v>
      </c>
      <c r="AA28" s="2">
        <v>1404.26</v>
      </c>
      <c r="AB28" s="2">
        <v>1650.41</v>
      </c>
      <c r="AC28" s="2">
        <v>1022.47</v>
      </c>
      <c r="AD28" s="2">
        <v>1186.54</v>
      </c>
      <c r="AE28" s="2">
        <v>1024.21</v>
      </c>
      <c r="AF28" s="2">
        <v>994.79</v>
      </c>
      <c r="AG28" s="2">
        <v>978.7</v>
      </c>
      <c r="AH28" s="2">
        <v>1445.5</v>
      </c>
      <c r="AI28" s="2">
        <v>1036.6400000000001</v>
      </c>
      <c r="AJ28" s="2">
        <v>1341.23</v>
      </c>
      <c r="AK28" s="2">
        <v>1020.98</v>
      </c>
      <c r="AL28" s="2">
        <v>1240.03</v>
      </c>
      <c r="AM28" s="2">
        <v>1005.08</v>
      </c>
      <c r="AN28" s="2">
        <v>1217.9000000000001</v>
      </c>
      <c r="AO28" s="2">
        <v>960.42</v>
      </c>
      <c r="AP28" s="2">
        <v>1183.3900000000001</v>
      </c>
      <c r="AQ28" s="2">
        <v>864.46</v>
      </c>
      <c r="AR28" s="2">
        <v>851.14</v>
      </c>
      <c r="AU28" s="1" t="s">
        <v>26</v>
      </c>
      <c r="AV28" s="2">
        <v>5417.01</v>
      </c>
      <c r="AW28" s="2">
        <v>5500.57</v>
      </c>
      <c r="AX28" s="2">
        <v>5599.92</v>
      </c>
      <c r="AY28" s="2">
        <v>6473.46</v>
      </c>
      <c r="AZ28" s="2">
        <v>4442.01</v>
      </c>
      <c r="BA28" s="2">
        <v>5015.07</v>
      </c>
      <c r="BB28" s="2">
        <v>4243.9399999999996</v>
      </c>
      <c r="BC28" s="2">
        <v>4274.0600000000004</v>
      </c>
      <c r="BD28" s="2">
        <v>4423.51</v>
      </c>
      <c r="BE28" s="2">
        <v>6745.44</v>
      </c>
      <c r="BF28" s="2">
        <v>4761.3599999999997</v>
      </c>
      <c r="BG28" s="2">
        <v>6146.41</v>
      </c>
      <c r="BH28" s="2">
        <v>4684.05</v>
      </c>
      <c r="BI28" s="2">
        <v>5570.75</v>
      </c>
      <c r="BJ28" s="2">
        <v>4664.67</v>
      </c>
      <c r="BK28" s="2">
        <v>5581.47</v>
      </c>
      <c r="BL28" s="2">
        <v>4536.92</v>
      </c>
      <c r="BM28" s="2">
        <v>5313.31</v>
      </c>
      <c r="BN28" s="2">
        <v>4173.82</v>
      </c>
      <c r="BO28" s="2">
        <v>3859.91</v>
      </c>
      <c r="BR28" s="1" t="s">
        <v>26</v>
      </c>
      <c r="BS28" s="2">
        <v>6533.47</v>
      </c>
      <c r="BT28" s="2">
        <v>6658.28</v>
      </c>
      <c r="BU28" s="2">
        <v>7004.18</v>
      </c>
      <c r="BV28" s="2">
        <v>8123.88</v>
      </c>
      <c r="BW28" s="2">
        <v>5464.48</v>
      </c>
      <c r="BX28" s="2">
        <v>6201.6</v>
      </c>
      <c r="BY28" s="2">
        <v>5268.14</v>
      </c>
      <c r="BZ28" s="2">
        <v>5268.84</v>
      </c>
      <c r="CA28" s="2">
        <v>5402.21</v>
      </c>
      <c r="CB28" s="2">
        <v>8190.94</v>
      </c>
      <c r="CC28" s="2">
        <v>5798</v>
      </c>
      <c r="CD28" s="2">
        <v>7487.65</v>
      </c>
      <c r="CE28" s="2">
        <v>5705.03</v>
      </c>
      <c r="CF28" s="2">
        <v>6810.78</v>
      </c>
      <c r="CG28" s="2">
        <v>5669.75</v>
      </c>
      <c r="CH28" s="2">
        <v>6799.37</v>
      </c>
      <c r="CI28" s="2">
        <v>5497.34</v>
      </c>
      <c r="CJ28" s="2">
        <v>6496.7</v>
      </c>
      <c r="CK28" s="2">
        <v>5038.28</v>
      </c>
      <c r="CL28" s="2">
        <v>4711.05</v>
      </c>
    </row>
    <row r="29" spans="2:90" x14ac:dyDescent="0.3">
      <c r="B29" s="1" t="s">
        <v>27</v>
      </c>
      <c r="C29" s="2">
        <v>0.2</v>
      </c>
      <c r="D29" s="2">
        <v>0.24</v>
      </c>
      <c r="E29" s="2">
        <v>0.21</v>
      </c>
      <c r="F29" s="2">
        <v>0.21</v>
      </c>
      <c r="G29" s="2">
        <v>0.22</v>
      </c>
      <c r="H29" s="2">
        <v>0.22</v>
      </c>
      <c r="I29" s="2">
        <v>0.21</v>
      </c>
      <c r="J29" s="2">
        <v>0.27</v>
      </c>
      <c r="K29" s="2">
        <v>0.2</v>
      </c>
      <c r="L29" s="2">
        <v>0.19</v>
      </c>
      <c r="M29" s="2">
        <v>0.2</v>
      </c>
      <c r="N29" s="2">
        <v>0.19</v>
      </c>
      <c r="O29" s="2">
        <v>0.2</v>
      </c>
      <c r="P29" s="2">
        <v>0.2</v>
      </c>
      <c r="Q29" s="2">
        <v>0.2</v>
      </c>
      <c r="R29" s="2">
        <v>0.2</v>
      </c>
      <c r="S29" s="2">
        <v>0.2</v>
      </c>
      <c r="T29" s="2">
        <v>0.2</v>
      </c>
      <c r="U29" s="2">
        <v>0.2</v>
      </c>
      <c r="V29" s="2">
        <v>0.2</v>
      </c>
      <c r="X29" s="1" t="s">
        <v>27</v>
      </c>
      <c r="Y29" s="2">
        <v>3983.01</v>
      </c>
      <c r="Z29" s="2">
        <v>4988.09</v>
      </c>
      <c r="AA29" s="2">
        <v>3917.17</v>
      </c>
      <c r="AB29" s="2">
        <v>4656.8500000000004</v>
      </c>
      <c r="AC29" s="2">
        <v>3326.27</v>
      </c>
      <c r="AD29" s="2">
        <v>4176.97</v>
      </c>
      <c r="AE29" s="2">
        <v>3403.17</v>
      </c>
      <c r="AF29" s="2">
        <v>4792.49</v>
      </c>
      <c r="AG29" s="2">
        <v>3129.39</v>
      </c>
      <c r="AH29" s="2">
        <v>4775.5</v>
      </c>
      <c r="AI29" s="2">
        <v>3204</v>
      </c>
      <c r="AJ29" s="2">
        <v>4447.38</v>
      </c>
      <c r="AK29" s="2">
        <v>3179.78</v>
      </c>
      <c r="AL29" s="2">
        <v>4043.62</v>
      </c>
      <c r="AM29" s="2">
        <v>3274.52</v>
      </c>
      <c r="AN29" s="2">
        <v>3532.08</v>
      </c>
      <c r="AO29" s="2">
        <v>2890.33</v>
      </c>
      <c r="AP29" s="2">
        <v>2996.08</v>
      </c>
      <c r="AQ29" s="2">
        <v>2659.05</v>
      </c>
      <c r="AR29" s="2">
        <v>2646.85</v>
      </c>
      <c r="AU29" s="1" t="s">
        <v>27</v>
      </c>
      <c r="AV29" s="2">
        <v>19015.14</v>
      </c>
      <c r="AW29" s="2">
        <v>19528.36</v>
      </c>
      <c r="AX29" s="2">
        <v>15675.83</v>
      </c>
      <c r="AY29" s="2">
        <v>18710.21</v>
      </c>
      <c r="AZ29" s="2">
        <v>13573.48</v>
      </c>
      <c r="BA29" s="2">
        <v>18033.68</v>
      </c>
      <c r="BB29" s="2">
        <v>14425.83</v>
      </c>
      <c r="BC29" s="2">
        <v>15292.24</v>
      </c>
      <c r="BD29" s="2">
        <v>14441.31</v>
      </c>
      <c r="BE29" s="2">
        <v>23138.92</v>
      </c>
      <c r="BF29" s="2">
        <v>15021.87</v>
      </c>
      <c r="BG29" s="2">
        <v>21300.94</v>
      </c>
      <c r="BH29" s="2">
        <v>14923.58</v>
      </c>
      <c r="BI29" s="2">
        <v>19217.060000000001</v>
      </c>
      <c r="BJ29" s="2">
        <v>15675.53</v>
      </c>
      <c r="BK29" s="2">
        <v>16833.48</v>
      </c>
      <c r="BL29" s="2">
        <v>14001.06</v>
      </c>
      <c r="BM29" s="2">
        <v>14248.4</v>
      </c>
      <c r="BN29" s="2">
        <v>13012.52</v>
      </c>
      <c r="BO29" s="2">
        <v>12766.13</v>
      </c>
      <c r="BR29" s="1" t="s">
        <v>27</v>
      </c>
      <c r="BS29" s="2">
        <v>22998.15</v>
      </c>
      <c r="BT29" s="2">
        <v>24516.45</v>
      </c>
      <c r="BU29" s="2">
        <v>19593</v>
      </c>
      <c r="BV29" s="2">
        <v>23367.07</v>
      </c>
      <c r="BW29" s="2">
        <v>16899.75</v>
      </c>
      <c r="BX29" s="2">
        <v>22210.65</v>
      </c>
      <c r="BY29" s="2">
        <v>17829</v>
      </c>
      <c r="BZ29" s="2">
        <v>20084.740000000002</v>
      </c>
      <c r="CA29" s="2">
        <v>17570.7</v>
      </c>
      <c r="CB29" s="2">
        <v>27914.42</v>
      </c>
      <c r="CC29" s="2">
        <v>18225.87</v>
      </c>
      <c r="CD29" s="2">
        <v>25748.32</v>
      </c>
      <c r="CE29" s="2">
        <v>18103.36</v>
      </c>
      <c r="CF29" s="2">
        <v>23260.68</v>
      </c>
      <c r="CG29" s="2">
        <v>18950.05</v>
      </c>
      <c r="CH29" s="2">
        <v>20365.560000000001</v>
      </c>
      <c r="CI29" s="2">
        <v>16891.39</v>
      </c>
      <c r="CJ29" s="2">
        <v>17244.48</v>
      </c>
      <c r="CK29" s="2">
        <v>15671.57</v>
      </c>
      <c r="CL29" s="2">
        <v>15412.98</v>
      </c>
    </row>
    <row r="30" spans="2:90" x14ac:dyDescent="0.3">
      <c r="B30" s="1" t="s">
        <v>28</v>
      </c>
      <c r="C30" s="2">
        <v>0.2</v>
      </c>
      <c r="D30" s="2">
        <v>0.2</v>
      </c>
      <c r="E30" s="2">
        <v>0.05</v>
      </c>
      <c r="F30" s="2">
        <v>0.05</v>
      </c>
      <c r="G30" s="2">
        <v>0.05</v>
      </c>
      <c r="H30" s="2">
        <v>0.15</v>
      </c>
      <c r="I30" s="2">
        <v>0.05</v>
      </c>
      <c r="J30" s="2">
        <v>0.22</v>
      </c>
      <c r="K30" s="2">
        <v>0.2</v>
      </c>
      <c r="L30" s="2">
        <v>0.2</v>
      </c>
      <c r="M30" s="2">
        <v>0.2</v>
      </c>
      <c r="N30" s="2">
        <v>0.2</v>
      </c>
      <c r="O30" s="2">
        <v>0.2</v>
      </c>
      <c r="P30" s="2">
        <v>0.2</v>
      </c>
      <c r="Q30" s="2">
        <v>0.2</v>
      </c>
      <c r="R30" s="2">
        <v>0.2</v>
      </c>
      <c r="S30" s="2">
        <v>0.21</v>
      </c>
      <c r="T30" s="2">
        <v>0.2</v>
      </c>
      <c r="U30" s="2">
        <v>0.2</v>
      </c>
      <c r="V30" s="2">
        <v>0.2</v>
      </c>
      <c r="X30" s="1" t="s">
        <v>28</v>
      </c>
      <c r="Y30" s="2">
        <v>1883.38</v>
      </c>
      <c r="Z30" s="2">
        <v>2384</v>
      </c>
      <c r="AA30" s="2">
        <v>452.01</v>
      </c>
      <c r="AB30" s="2">
        <v>481.65</v>
      </c>
      <c r="AC30" s="2">
        <v>340.72</v>
      </c>
      <c r="AD30" s="2">
        <v>1450.05</v>
      </c>
      <c r="AE30" s="2">
        <v>388.88</v>
      </c>
      <c r="AF30" s="2">
        <v>2367.6</v>
      </c>
      <c r="AG30" s="2">
        <v>1557.16</v>
      </c>
      <c r="AH30" s="2">
        <v>2302.35</v>
      </c>
      <c r="AI30" s="2">
        <v>1523.11</v>
      </c>
      <c r="AJ30" s="2">
        <v>2305.59</v>
      </c>
      <c r="AK30" s="2">
        <v>1494.63</v>
      </c>
      <c r="AL30" s="2">
        <v>2028.84</v>
      </c>
      <c r="AM30" s="2">
        <v>1430.44</v>
      </c>
      <c r="AN30" s="2">
        <v>1582.31</v>
      </c>
      <c r="AO30" s="2">
        <v>1389</v>
      </c>
      <c r="AP30" s="2">
        <v>1378.28</v>
      </c>
      <c r="AQ30" s="2">
        <v>1390.99</v>
      </c>
      <c r="AR30" s="2">
        <v>1430.83</v>
      </c>
      <c r="AU30" s="1" t="s">
        <v>28</v>
      </c>
      <c r="AV30" s="2">
        <v>9447.6200000000008</v>
      </c>
      <c r="AW30" s="2">
        <v>11491</v>
      </c>
      <c r="AX30" s="2">
        <v>8665.14</v>
      </c>
      <c r="AY30" s="2">
        <v>9236.85</v>
      </c>
      <c r="AZ30" s="2">
        <v>6670.28</v>
      </c>
      <c r="BA30" s="2">
        <v>9360</v>
      </c>
      <c r="BB30" s="2">
        <v>7662.37</v>
      </c>
      <c r="BC30" s="2">
        <v>10373.4</v>
      </c>
      <c r="BD30" s="2">
        <v>7997.84</v>
      </c>
      <c r="BE30" s="2">
        <v>10840.65</v>
      </c>
      <c r="BF30" s="2">
        <v>7791.89</v>
      </c>
      <c r="BG30" s="2">
        <v>10867.41</v>
      </c>
      <c r="BH30" s="2">
        <v>7730.37</v>
      </c>
      <c r="BI30" s="2">
        <v>9788.16</v>
      </c>
      <c r="BJ30" s="2">
        <v>7392.56</v>
      </c>
      <c r="BK30" s="2">
        <v>7945.69</v>
      </c>
      <c r="BL30" s="2">
        <v>6966</v>
      </c>
      <c r="BM30" s="2">
        <v>7132.72</v>
      </c>
      <c r="BN30" s="2">
        <v>7261.01</v>
      </c>
      <c r="BO30" s="2">
        <v>7683.17</v>
      </c>
      <c r="BR30" s="1" t="s">
        <v>28</v>
      </c>
      <c r="BS30" s="2">
        <v>11331</v>
      </c>
      <c r="BT30" s="2">
        <v>13875</v>
      </c>
      <c r="BU30" s="2">
        <v>9117.15</v>
      </c>
      <c r="BV30" s="2">
        <v>9718.5</v>
      </c>
      <c r="BW30" s="2">
        <v>7011</v>
      </c>
      <c r="BX30" s="2">
        <v>10810.05</v>
      </c>
      <c r="BY30" s="2">
        <v>8051.25</v>
      </c>
      <c r="BZ30" s="2">
        <v>12741</v>
      </c>
      <c r="CA30" s="2">
        <v>9555</v>
      </c>
      <c r="CB30" s="2">
        <v>13143</v>
      </c>
      <c r="CC30" s="2">
        <v>9315</v>
      </c>
      <c r="CD30" s="2">
        <v>13173</v>
      </c>
      <c r="CE30" s="2">
        <v>9225</v>
      </c>
      <c r="CF30" s="2">
        <v>11817</v>
      </c>
      <c r="CG30" s="2">
        <v>8823</v>
      </c>
      <c r="CH30" s="2">
        <v>9528</v>
      </c>
      <c r="CI30" s="2">
        <v>8355</v>
      </c>
      <c r="CJ30" s="2">
        <v>8511</v>
      </c>
      <c r="CK30" s="2">
        <v>8652</v>
      </c>
      <c r="CL30" s="2">
        <v>9114</v>
      </c>
    </row>
    <row r="33" spans="2:90" x14ac:dyDescent="0.3">
      <c r="B33" t="s">
        <v>33</v>
      </c>
      <c r="X33" t="s">
        <v>34</v>
      </c>
      <c r="AU33" t="s">
        <v>35</v>
      </c>
      <c r="BR33" t="s">
        <v>36</v>
      </c>
    </row>
    <row r="34" spans="2:90" x14ac:dyDescent="0.3">
      <c r="B34" s="1" t="s">
        <v>16</v>
      </c>
      <c r="C34" s="1" t="s">
        <v>17</v>
      </c>
      <c r="D34" s="1" t="s">
        <v>18</v>
      </c>
      <c r="E34" s="1" t="s">
        <v>17</v>
      </c>
      <c r="F34" s="1" t="s">
        <v>18</v>
      </c>
      <c r="G34" s="1" t="s">
        <v>17</v>
      </c>
      <c r="H34" s="1" t="s">
        <v>18</v>
      </c>
      <c r="I34" s="1" t="s">
        <v>17</v>
      </c>
      <c r="J34" s="1" t="s">
        <v>18</v>
      </c>
      <c r="K34" s="1" t="s">
        <v>17</v>
      </c>
      <c r="L34" s="1" t="s">
        <v>18</v>
      </c>
      <c r="M34" s="1" t="s">
        <v>17</v>
      </c>
      <c r="N34" s="1" t="s">
        <v>18</v>
      </c>
      <c r="O34" s="1" t="s">
        <v>17</v>
      </c>
      <c r="P34" s="1" t="s">
        <v>18</v>
      </c>
      <c r="Q34" s="1" t="s">
        <v>17</v>
      </c>
      <c r="R34" s="1" t="s">
        <v>18</v>
      </c>
      <c r="S34" s="1" t="s">
        <v>17</v>
      </c>
      <c r="T34" s="1" t="s">
        <v>18</v>
      </c>
      <c r="U34" s="1" t="s">
        <v>17</v>
      </c>
      <c r="V34" s="1" t="s">
        <v>18</v>
      </c>
      <c r="X34" s="1" t="s">
        <v>16</v>
      </c>
      <c r="Y34" s="1" t="s">
        <v>17</v>
      </c>
      <c r="Z34" s="1" t="s">
        <v>18</v>
      </c>
      <c r="AA34" s="1" t="s">
        <v>17</v>
      </c>
      <c r="AB34" s="1" t="s">
        <v>18</v>
      </c>
      <c r="AC34" s="1" t="s">
        <v>17</v>
      </c>
      <c r="AD34" s="1" t="s">
        <v>18</v>
      </c>
      <c r="AE34" s="1" t="s">
        <v>17</v>
      </c>
      <c r="AF34" s="1" t="s">
        <v>18</v>
      </c>
      <c r="AG34" s="1" t="s">
        <v>17</v>
      </c>
      <c r="AH34" s="1" t="s">
        <v>18</v>
      </c>
      <c r="AI34" s="1" t="s">
        <v>17</v>
      </c>
      <c r="AJ34" s="1" t="s">
        <v>18</v>
      </c>
      <c r="AK34" s="1" t="s">
        <v>17</v>
      </c>
      <c r="AL34" s="1" t="s">
        <v>18</v>
      </c>
      <c r="AM34" s="1" t="s">
        <v>17</v>
      </c>
      <c r="AN34" s="1" t="s">
        <v>18</v>
      </c>
      <c r="AO34" s="1" t="s">
        <v>17</v>
      </c>
      <c r="AP34" s="1" t="s">
        <v>18</v>
      </c>
      <c r="AQ34" s="1" t="s">
        <v>17</v>
      </c>
      <c r="AR34" s="1" t="s">
        <v>18</v>
      </c>
      <c r="AU34" s="1" t="s">
        <v>16</v>
      </c>
      <c r="AV34" s="1" t="s">
        <v>17</v>
      </c>
      <c r="AW34" s="1" t="s">
        <v>18</v>
      </c>
      <c r="AX34" s="1" t="s">
        <v>17</v>
      </c>
      <c r="AY34" s="1" t="s">
        <v>18</v>
      </c>
      <c r="AZ34" s="1" t="s">
        <v>17</v>
      </c>
      <c r="BA34" s="1" t="s">
        <v>18</v>
      </c>
      <c r="BB34" s="1" t="s">
        <v>17</v>
      </c>
      <c r="BC34" s="1" t="s">
        <v>18</v>
      </c>
      <c r="BD34" s="1" t="s">
        <v>17</v>
      </c>
      <c r="BE34" s="1" t="s">
        <v>18</v>
      </c>
      <c r="BF34" s="1" t="s">
        <v>17</v>
      </c>
      <c r="BG34" s="1" t="s">
        <v>18</v>
      </c>
      <c r="BH34" s="1" t="s">
        <v>17</v>
      </c>
      <c r="BI34" s="1" t="s">
        <v>18</v>
      </c>
      <c r="BJ34" s="1" t="s">
        <v>17</v>
      </c>
      <c r="BK34" s="1" t="s">
        <v>18</v>
      </c>
      <c r="BL34" s="1" t="s">
        <v>17</v>
      </c>
      <c r="BM34" s="1" t="s">
        <v>18</v>
      </c>
      <c r="BN34" s="1" t="s">
        <v>17</v>
      </c>
      <c r="BO34" s="1" t="s">
        <v>18</v>
      </c>
      <c r="BR34" s="1" t="s">
        <v>16</v>
      </c>
      <c r="BS34" s="1" t="s">
        <v>17</v>
      </c>
      <c r="BT34" s="1" t="s">
        <v>18</v>
      </c>
      <c r="BU34" s="1" t="s">
        <v>17</v>
      </c>
      <c r="BV34" s="1" t="s">
        <v>18</v>
      </c>
      <c r="BW34" s="1" t="s">
        <v>17</v>
      </c>
      <c r="BX34" s="1" t="s">
        <v>18</v>
      </c>
      <c r="BY34" s="1" t="s">
        <v>17</v>
      </c>
      <c r="BZ34" s="1" t="s">
        <v>18</v>
      </c>
      <c r="CA34" s="1" t="s">
        <v>17</v>
      </c>
      <c r="CB34" s="1" t="s">
        <v>18</v>
      </c>
      <c r="CC34" s="1" t="s">
        <v>17</v>
      </c>
      <c r="CD34" s="1" t="s">
        <v>18</v>
      </c>
      <c r="CE34" s="1" t="s">
        <v>17</v>
      </c>
      <c r="CF34" s="1" t="s">
        <v>18</v>
      </c>
      <c r="CG34" s="1" t="s">
        <v>17</v>
      </c>
      <c r="CH34" s="1" t="s">
        <v>18</v>
      </c>
      <c r="CI34" s="1" t="s">
        <v>17</v>
      </c>
      <c r="CJ34" s="1" t="s">
        <v>18</v>
      </c>
      <c r="CK34" s="1" t="s">
        <v>17</v>
      </c>
      <c r="CL34" s="1" t="s">
        <v>18</v>
      </c>
    </row>
    <row r="35" spans="2:90" x14ac:dyDescent="0.3">
      <c r="B35" s="1" t="s">
        <v>19</v>
      </c>
      <c r="C35" s="1" t="s">
        <v>1</v>
      </c>
      <c r="D35" s="1" t="s">
        <v>1</v>
      </c>
      <c r="E35" s="1" t="s">
        <v>2</v>
      </c>
      <c r="F35" s="1" t="s">
        <v>2</v>
      </c>
      <c r="G35" s="1" t="s">
        <v>3</v>
      </c>
      <c r="H35" s="1" t="s">
        <v>3</v>
      </c>
      <c r="I35" s="1" t="s">
        <v>4</v>
      </c>
      <c r="J35" s="1" t="s">
        <v>4</v>
      </c>
      <c r="K35" s="1" t="s">
        <v>5</v>
      </c>
      <c r="L35" s="1" t="s">
        <v>5</v>
      </c>
      <c r="M35" s="1" t="s">
        <v>6</v>
      </c>
      <c r="N35" s="1" t="s">
        <v>6</v>
      </c>
      <c r="O35" s="1" t="s">
        <v>7</v>
      </c>
      <c r="P35" s="1" t="s">
        <v>7</v>
      </c>
      <c r="Q35" s="1" t="s">
        <v>8</v>
      </c>
      <c r="R35" s="1" t="s">
        <v>8</v>
      </c>
      <c r="S35" s="1" t="s">
        <v>9</v>
      </c>
      <c r="T35" s="1" t="s">
        <v>9</v>
      </c>
      <c r="U35" s="1" t="s">
        <v>10</v>
      </c>
      <c r="V35" s="1" t="s">
        <v>10</v>
      </c>
      <c r="X35" s="1" t="s">
        <v>19</v>
      </c>
      <c r="Y35" s="1" t="s">
        <v>1</v>
      </c>
      <c r="Z35" s="1" t="s">
        <v>1</v>
      </c>
      <c r="AA35" s="1" t="s">
        <v>2</v>
      </c>
      <c r="AB35" s="1" t="s">
        <v>2</v>
      </c>
      <c r="AC35" s="1" t="s">
        <v>3</v>
      </c>
      <c r="AD35" s="1" t="s">
        <v>3</v>
      </c>
      <c r="AE35" s="1" t="s">
        <v>4</v>
      </c>
      <c r="AF35" s="1" t="s">
        <v>4</v>
      </c>
      <c r="AG35" s="1" t="s">
        <v>5</v>
      </c>
      <c r="AH35" s="1" t="s">
        <v>5</v>
      </c>
      <c r="AI35" s="1" t="s">
        <v>6</v>
      </c>
      <c r="AJ35" s="1" t="s">
        <v>6</v>
      </c>
      <c r="AK35" s="1" t="s">
        <v>7</v>
      </c>
      <c r="AL35" s="1" t="s">
        <v>7</v>
      </c>
      <c r="AM35" s="1" t="s">
        <v>8</v>
      </c>
      <c r="AN35" s="1" t="s">
        <v>8</v>
      </c>
      <c r="AO35" s="1" t="s">
        <v>9</v>
      </c>
      <c r="AP35" s="1" t="s">
        <v>9</v>
      </c>
      <c r="AQ35" s="1" t="s">
        <v>10</v>
      </c>
      <c r="AR35" s="1" t="s">
        <v>10</v>
      </c>
      <c r="AU35" s="1" t="s">
        <v>19</v>
      </c>
      <c r="AV35" s="1" t="s">
        <v>1</v>
      </c>
      <c r="AW35" s="1" t="s">
        <v>1</v>
      </c>
      <c r="AX35" s="1" t="s">
        <v>2</v>
      </c>
      <c r="AY35" s="1" t="s">
        <v>2</v>
      </c>
      <c r="AZ35" s="1" t="s">
        <v>3</v>
      </c>
      <c r="BA35" s="1" t="s">
        <v>3</v>
      </c>
      <c r="BB35" s="1" t="s">
        <v>4</v>
      </c>
      <c r="BC35" s="1" t="s">
        <v>4</v>
      </c>
      <c r="BD35" s="1" t="s">
        <v>5</v>
      </c>
      <c r="BE35" s="1" t="s">
        <v>5</v>
      </c>
      <c r="BF35" s="1" t="s">
        <v>6</v>
      </c>
      <c r="BG35" s="1" t="s">
        <v>6</v>
      </c>
      <c r="BH35" s="1" t="s">
        <v>7</v>
      </c>
      <c r="BI35" s="1" t="s">
        <v>7</v>
      </c>
      <c r="BJ35" s="1" t="s">
        <v>8</v>
      </c>
      <c r="BK35" s="1" t="s">
        <v>8</v>
      </c>
      <c r="BL35" s="1" t="s">
        <v>9</v>
      </c>
      <c r="BM35" s="1" t="s">
        <v>9</v>
      </c>
      <c r="BN35" s="1" t="s">
        <v>10</v>
      </c>
      <c r="BO35" s="1" t="s">
        <v>10</v>
      </c>
      <c r="BR35" s="1" t="s">
        <v>19</v>
      </c>
      <c r="BS35" s="1" t="s">
        <v>1</v>
      </c>
      <c r="BT35" s="1" t="s">
        <v>1</v>
      </c>
      <c r="BU35" s="1" t="s">
        <v>2</v>
      </c>
      <c r="BV35" s="1" t="s">
        <v>2</v>
      </c>
      <c r="BW35" s="1" t="s">
        <v>3</v>
      </c>
      <c r="BX35" s="1" t="s">
        <v>3</v>
      </c>
      <c r="BY35" s="1" t="s">
        <v>4</v>
      </c>
      <c r="BZ35" s="1" t="s">
        <v>4</v>
      </c>
      <c r="CA35" s="1" t="s">
        <v>5</v>
      </c>
      <c r="CB35" s="1" t="s">
        <v>5</v>
      </c>
      <c r="CC35" s="1" t="s">
        <v>6</v>
      </c>
      <c r="CD35" s="1" t="s">
        <v>6</v>
      </c>
      <c r="CE35" s="1" t="s">
        <v>7</v>
      </c>
      <c r="CF35" s="1" t="s">
        <v>7</v>
      </c>
      <c r="CG35" s="1" t="s">
        <v>8</v>
      </c>
      <c r="CH35" s="1" t="s">
        <v>8</v>
      </c>
      <c r="CI35" s="1" t="s">
        <v>9</v>
      </c>
      <c r="CJ35" s="1" t="s">
        <v>9</v>
      </c>
      <c r="CK35" s="1" t="s">
        <v>10</v>
      </c>
      <c r="CL35" s="1" t="s">
        <v>10</v>
      </c>
    </row>
    <row r="36" spans="2:90" x14ac:dyDescent="0.3">
      <c r="B36" s="1" t="s">
        <v>20</v>
      </c>
      <c r="X36" s="1" t="s">
        <v>20</v>
      </c>
      <c r="AU36" s="1" t="s">
        <v>20</v>
      </c>
      <c r="BR36" s="1" t="s">
        <v>20</v>
      </c>
    </row>
    <row r="37" spans="2:90" x14ac:dyDescent="0.3">
      <c r="B37" s="1" t="s">
        <v>21</v>
      </c>
      <c r="C37" s="2">
        <v>197.28</v>
      </c>
      <c r="D37" s="2">
        <v>196.42</v>
      </c>
      <c r="E37" s="2">
        <v>151.79</v>
      </c>
      <c r="F37" s="2">
        <v>142.05000000000001</v>
      </c>
      <c r="G37" s="2">
        <v>54.11</v>
      </c>
      <c r="H37" s="2">
        <v>65.5</v>
      </c>
      <c r="I37" s="2">
        <v>220.46</v>
      </c>
      <c r="J37" s="2">
        <v>1057.46</v>
      </c>
      <c r="K37" s="2">
        <v>1511.33</v>
      </c>
      <c r="L37" s="2">
        <v>1330.56</v>
      </c>
      <c r="M37" s="2">
        <v>2749.42</v>
      </c>
      <c r="N37" s="2">
        <v>2357.5100000000002</v>
      </c>
      <c r="O37" s="2">
        <v>2144.65</v>
      </c>
      <c r="P37" s="2">
        <v>1843.56</v>
      </c>
      <c r="Q37" s="2">
        <v>2727.24</v>
      </c>
      <c r="R37" s="2">
        <v>2484.65</v>
      </c>
      <c r="S37" s="2">
        <v>2153.42</v>
      </c>
      <c r="T37" s="2">
        <v>1642.77</v>
      </c>
      <c r="U37" s="2">
        <v>2872.8</v>
      </c>
      <c r="V37" s="2">
        <v>2278.58</v>
      </c>
      <c r="X37" s="1" t="s">
        <v>21</v>
      </c>
      <c r="Y37" s="2">
        <v>108.4</v>
      </c>
      <c r="Z37" s="2">
        <v>107.92</v>
      </c>
      <c r="AA37" s="2">
        <v>83.4</v>
      </c>
      <c r="AB37" s="2">
        <v>78.05</v>
      </c>
      <c r="AC37" s="2">
        <v>77.3</v>
      </c>
      <c r="AD37" s="2">
        <v>93.58</v>
      </c>
      <c r="AE37" s="2">
        <v>98.42</v>
      </c>
      <c r="AF37" s="2">
        <v>196.7</v>
      </c>
      <c r="AG37" s="2">
        <v>224.9</v>
      </c>
      <c r="AH37" s="2">
        <v>198</v>
      </c>
      <c r="AI37" s="2">
        <v>227.3</v>
      </c>
      <c r="AJ37" s="2">
        <v>194.9</v>
      </c>
      <c r="AK37" s="2">
        <v>220.1</v>
      </c>
      <c r="AL37" s="2">
        <v>189.2</v>
      </c>
      <c r="AM37" s="2">
        <v>213.6</v>
      </c>
      <c r="AN37" s="2">
        <v>194.6</v>
      </c>
      <c r="AO37" s="2">
        <v>188.5</v>
      </c>
      <c r="AP37" s="2">
        <v>143.80000000000001</v>
      </c>
      <c r="AQ37" s="2">
        <v>190</v>
      </c>
      <c r="AR37" s="2">
        <v>150.69999999999999</v>
      </c>
      <c r="AU37" s="1" t="s">
        <v>21</v>
      </c>
      <c r="AV37" s="2">
        <v>2145</v>
      </c>
      <c r="AW37" s="2">
        <v>2130.2800000000002</v>
      </c>
      <c r="AX37" s="2">
        <v>1620.6</v>
      </c>
      <c r="AY37" s="2">
        <v>1515.95</v>
      </c>
      <c r="AZ37" s="2">
        <v>1546.7</v>
      </c>
      <c r="BA37" s="2">
        <v>1843.47</v>
      </c>
      <c r="BB37" s="2">
        <v>1978.28</v>
      </c>
      <c r="BC37" s="2">
        <v>1869.3</v>
      </c>
      <c r="BD37" s="2">
        <v>2138.1</v>
      </c>
      <c r="BE37" s="2">
        <v>1887</v>
      </c>
      <c r="BF37" s="2">
        <v>2138.6999999999998</v>
      </c>
      <c r="BG37" s="2">
        <v>1850.1</v>
      </c>
      <c r="BH37" s="2">
        <v>2097.9</v>
      </c>
      <c r="BI37" s="2">
        <v>1780.8</v>
      </c>
      <c r="BJ37" s="2">
        <v>2009.4</v>
      </c>
      <c r="BK37" s="2">
        <v>1829.4</v>
      </c>
      <c r="BL37" s="2">
        <v>1765.5</v>
      </c>
      <c r="BM37" s="2">
        <v>1363.2</v>
      </c>
      <c r="BN37" s="2">
        <v>1791</v>
      </c>
      <c r="BO37" s="2">
        <v>1419.3</v>
      </c>
      <c r="BR37" s="1" t="s">
        <v>21</v>
      </c>
      <c r="BS37" s="2">
        <v>2253.4</v>
      </c>
      <c r="BT37" s="2">
        <v>2238.1999999999998</v>
      </c>
      <c r="BU37" s="2">
        <v>1704</v>
      </c>
      <c r="BV37" s="2">
        <v>1594</v>
      </c>
      <c r="BW37" s="2">
        <v>1624</v>
      </c>
      <c r="BX37" s="2">
        <v>1937.05</v>
      </c>
      <c r="BY37" s="2">
        <v>2076.6999999999998</v>
      </c>
      <c r="BZ37" s="2">
        <v>2066</v>
      </c>
      <c r="CA37" s="2">
        <v>2363</v>
      </c>
      <c r="CB37" s="2">
        <v>2085</v>
      </c>
      <c r="CC37" s="2">
        <v>2366</v>
      </c>
      <c r="CD37" s="2">
        <v>2045</v>
      </c>
      <c r="CE37" s="2">
        <v>2318</v>
      </c>
      <c r="CF37" s="2">
        <v>1970</v>
      </c>
      <c r="CG37" s="2">
        <v>2223</v>
      </c>
      <c r="CH37" s="2">
        <v>2024</v>
      </c>
      <c r="CI37" s="2">
        <v>1954</v>
      </c>
      <c r="CJ37" s="2">
        <v>1507</v>
      </c>
      <c r="CK37" s="2">
        <v>1981</v>
      </c>
      <c r="CL37" s="2">
        <v>1570</v>
      </c>
    </row>
    <row r="38" spans="2:90" x14ac:dyDescent="0.3">
      <c r="B38" s="1" t="s">
        <v>22</v>
      </c>
      <c r="C38" s="2">
        <v>594.57000000000005</v>
      </c>
      <c r="D38" s="2">
        <v>257.45</v>
      </c>
      <c r="E38" s="2">
        <v>459.71</v>
      </c>
      <c r="F38" s="2">
        <v>219.34</v>
      </c>
      <c r="G38" s="2">
        <v>145.96</v>
      </c>
      <c r="H38" s="2">
        <v>131.19</v>
      </c>
      <c r="I38" s="2">
        <v>706.22</v>
      </c>
      <c r="J38" s="2">
        <v>684.08</v>
      </c>
      <c r="K38" s="2">
        <v>915.84</v>
      </c>
      <c r="L38" s="2">
        <v>647.22</v>
      </c>
      <c r="M38" s="2">
        <v>1943.35</v>
      </c>
      <c r="N38" s="2">
        <v>1206.6099999999999</v>
      </c>
      <c r="O38" s="2">
        <v>1436.31</v>
      </c>
      <c r="P38" s="2">
        <v>1102.3399999999999</v>
      </c>
      <c r="Q38" s="2">
        <v>1690.8</v>
      </c>
      <c r="R38" s="2">
        <v>1151.05</v>
      </c>
      <c r="S38" s="2">
        <v>1431.68</v>
      </c>
      <c r="T38" s="2">
        <v>810.82</v>
      </c>
      <c r="U38" s="2">
        <v>1626.75</v>
      </c>
      <c r="V38" s="2">
        <v>674.57</v>
      </c>
      <c r="X38" s="1" t="s">
        <v>22</v>
      </c>
      <c r="Y38" s="2">
        <v>968.64</v>
      </c>
      <c r="Z38" s="2">
        <v>594.38</v>
      </c>
      <c r="AA38" s="2">
        <v>963.53</v>
      </c>
      <c r="AB38" s="2">
        <v>616.75</v>
      </c>
      <c r="AC38" s="2">
        <v>636.92999999999995</v>
      </c>
      <c r="AD38" s="2">
        <v>788.09</v>
      </c>
      <c r="AE38" s="2">
        <v>1078.02</v>
      </c>
      <c r="AF38" s="2">
        <v>739.56</v>
      </c>
      <c r="AG38" s="2">
        <v>1027.82</v>
      </c>
      <c r="AH38" s="2">
        <v>696.81</v>
      </c>
      <c r="AI38" s="2">
        <v>992.78</v>
      </c>
      <c r="AJ38" s="2">
        <v>702.78</v>
      </c>
      <c r="AK38" s="2">
        <v>855.38</v>
      </c>
      <c r="AL38" s="2">
        <v>748.4</v>
      </c>
      <c r="AM38" s="2">
        <v>813.18</v>
      </c>
      <c r="AN38" s="2">
        <v>721.12</v>
      </c>
      <c r="AO38" s="2">
        <v>793.56</v>
      </c>
      <c r="AP38" s="2">
        <v>594.84</v>
      </c>
      <c r="AQ38" s="2">
        <v>914.53</v>
      </c>
      <c r="AR38" s="2">
        <v>562.15</v>
      </c>
      <c r="AU38" s="1" t="s">
        <v>22</v>
      </c>
      <c r="AV38" s="2">
        <v>5467.61</v>
      </c>
      <c r="AW38" s="2">
        <v>3587.52</v>
      </c>
      <c r="AX38" s="2">
        <v>4806.7700000000004</v>
      </c>
      <c r="AY38" s="2">
        <v>3217.45</v>
      </c>
      <c r="AZ38" s="2">
        <v>3355.07</v>
      </c>
      <c r="BA38" s="2">
        <v>4119.6099999999997</v>
      </c>
      <c r="BB38" s="2">
        <v>5506.43</v>
      </c>
      <c r="BC38" s="2">
        <v>4020.44</v>
      </c>
      <c r="BD38" s="2">
        <v>5691.53</v>
      </c>
      <c r="BE38" s="2">
        <v>4079.19</v>
      </c>
      <c r="BF38" s="2">
        <v>5526.12</v>
      </c>
      <c r="BG38" s="2">
        <v>4146.22</v>
      </c>
      <c r="BH38" s="2">
        <v>4849.62</v>
      </c>
      <c r="BI38" s="2">
        <v>4374.6000000000004</v>
      </c>
      <c r="BJ38" s="2">
        <v>4652.32</v>
      </c>
      <c r="BK38" s="2">
        <v>4177.08</v>
      </c>
      <c r="BL38" s="2">
        <v>4550.66</v>
      </c>
      <c r="BM38" s="2">
        <v>3560.75</v>
      </c>
      <c r="BN38" s="2">
        <v>5388.72</v>
      </c>
      <c r="BO38" s="2">
        <v>3444.95</v>
      </c>
      <c r="BR38" s="1" t="s">
        <v>22</v>
      </c>
      <c r="BS38" s="2">
        <v>6436.25</v>
      </c>
      <c r="BT38" s="2">
        <v>4181.8999999999996</v>
      </c>
      <c r="BU38" s="2">
        <v>5770.3</v>
      </c>
      <c r="BV38" s="2">
        <v>3834.2</v>
      </c>
      <c r="BW38" s="2">
        <v>3992</v>
      </c>
      <c r="BX38" s="2">
        <v>4907.7</v>
      </c>
      <c r="BY38" s="2">
        <v>6584.45</v>
      </c>
      <c r="BZ38" s="2">
        <v>4760</v>
      </c>
      <c r="CA38" s="2">
        <v>6719.35</v>
      </c>
      <c r="CB38" s="2">
        <v>4776</v>
      </c>
      <c r="CC38" s="2">
        <v>6518.9</v>
      </c>
      <c r="CD38" s="2">
        <v>4849</v>
      </c>
      <c r="CE38" s="2">
        <v>5705</v>
      </c>
      <c r="CF38" s="2">
        <v>5123</v>
      </c>
      <c r="CG38" s="2">
        <v>5465.5</v>
      </c>
      <c r="CH38" s="2">
        <v>4898.2</v>
      </c>
      <c r="CI38" s="2">
        <v>5344.21</v>
      </c>
      <c r="CJ38" s="2">
        <v>4155.59</v>
      </c>
      <c r="CK38" s="2">
        <v>6303.25</v>
      </c>
      <c r="CL38" s="2">
        <v>4007.1</v>
      </c>
    </row>
    <row r="39" spans="2:90" x14ac:dyDescent="0.3">
      <c r="B39" s="1" t="s">
        <v>23</v>
      </c>
      <c r="C39" s="2">
        <v>8872.32</v>
      </c>
      <c r="D39" s="2">
        <v>850.12</v>
      </c>
      <c r="E39" s="2">
        <v>14214.46</v>
      </c>
      <c r="F39" s="2">
        <v>112.71</v>
      </c>
      <c r="G39" s="2">
        <v>2362.6799999999998</v>
      </c>
      <c r="H39" s="2">
        <v>4622.75</v>
      </c>
      <c r="I39" s="2">
        <v>8521.39</v>
      </c>
      <c r="J39" s="2">
        <v>3676.35</v>
      </c>
      <c r="K39" s="2">
        <v>12106.28</v>
      </c>
      <c r="L39" s="2">
        <v>4004.61</v>
      </c>
      <c r="M39" s="2">
        <v>25558.99</v>
      </c>
      <c r="N39" s="2">
        <v>7211.77</v>
      </c>
      <c r="O39" s="2">
        <v>25367.74</v>
      </c>
      <c r="P39" s="2">
        <v>5856.68</v>
      </c>
      <c r="Q39" s="2">
        <v>27351.8</v>
      </c>
      <c r="R39" s="2">
        <v>7059.71</v>
      </c>
      <c r="S39" s="2">
        <v>7985.71</v>
      </c>
      <c r="T39" s="2">
        <v>4929.7</v>
      </c>
      <c r="U39" s="2">
        <v>6129.43</v>
      </c>
      <c r="V39" s="2">
        <v>4926.03</v>
      </c>
      <c r="X39" s="1" t="s">
        <v>23</v>
      </c>
      <c r="Y39" s="2">
        <v>1421.85</v>
      </c>
      <c r="Z39" s="2">
        <v>435.85</v>
      </c>
      <c r="AA39" s="2">
        <v>1347.16</v>
      </c>
      <c r="AB39" s="2">
        <v>144.5</v>
      </c>
      <c r="AC39" s="2">
        <v>984.45</v>
      </c>
      <c r="AD39" s="2">
        <v>1926.15</v>
      </c>
      <c r="AE39" s="2">
        <v>1184.18</v>
      </c>
      <c r="AF39" s="2">
        <v>847.71</v>
      </c>
      <c r="AG39" s="2">
        <v>1261.07</v>
      </c>
      <c r="AH39" s="2">
        <v>767.28</v>
      </c>
      <c r="AI39" s="2">
        <v>1479.11</v>
      </c>
      <c r="AJ39" s="2">
        <v>759.18</v>
      </c>
      <c r="AK39" s="2">
        <v>1822.39</v>
      </c>
      <c r="AL39" s="2">
        <v>757.36</v>
      </c>
      <c r="AM39" s="2">
        <v>1499.55</v>
      </c>
      <c r="AN39" s="2">
        <v>740.98</v>
      </c>
      <c r="AO39" s="2">
        <v>825.75</v>
      </c>
      <c r="AP39" s="2">
        <v>644.78</v>
      </c>
      <c r="AQ39" s="2">
        <v>635.20000000000005</v>
      </c>
      <c r="AR39" s="2">
        <v>564.96</v>
      </c>
      <c r="AU39" s="1" t="s">
        <v>23</v>
      </c>
      <c r="AV39" s="2">
        <v>6563.4</v>
      </c>
      <c r="AW39" s="2">
        <v>3120</v>
      </c>
      <c r="AX39" s="2">
        <v>7044.44</v>
      </c>
      <c r="AY39" s="2">
        <v>2759.65</v>
      </c>
      <c r="AZ39" s="2">
        <v>4726.5</v>
      </c>
      <c r="BA39" s="2">
        <v>6932.7</v>
      </c>
      <c r="BB39" s="2">
        <v>6477.13</v>
      </c>
      <c r="BC39" s="2">
        <v>4758.9399999999996</v>
      </c>
      <c r="BD39" s="2">
        <v>6904.91</v>
      </c>
      <c r="BE39" s="2">
        <v>4699.59</v>
      </c>
      <c r="BF39" s="2">
        <v>7189.29</v>
      </c>
      <c r="BG39" s="2">
        <v>4710.99</v>
      </c>
      <c r="BH39" s="2">
        <v>7084.62</v>
      </c>
      <c r="BI39" s="2">
        <v>4736.54</v>
      </c>
      <c r="BJ39" s="2">
        <v>6467.85</v>
      </c>
      <c r="BK39" s="2">
        <v>4546.99</v>
      </c>
      <c r="BL39" s="2">
        <v>5017.62</v>
      </c>
      <c r="BM39" s="2">
        <v>4094.92</v>
      </c>
      <c r="BN39" s="2">
        <v>3959.77</v>
      </c>
      <c r="BO39" s="2">
        <v>3583.83</v>
      </c>
      <c r="BR39" s="1" t="s">
        <v>23</v>
      </c>
      <c r="BS39" s="2">
        <v>7985.25</v>
      </c>
      <c r="BT39" s="2">
        <v>3555.85</v>
      </c>
      <c r="BU39" s="2">
        <v>8391.6</v>
      </c>
      <c r="BV39" s="2">
        <v>2904.15</v>
      </c>
      <c r="BW39" s="2">
        <v>5710.95</v>
      </c>
      <c r="BX39" s="2">
        <v>8858.85</v>
      </c>
      <c r="BY39" s="2">
        <v>7661.31</v>
      </c>
      <c r="BZ39" s="2">
        <v>5606.65</v>
      </c>
      <c r="CA39" s="2">
        <v>8165.98</v>
      </c>
      <c r="CB39" s="2">
        <v>5466.87</v>
      </c>
      <c r="CC39" s="2">
        <v>8668.4</v>
      </c>
      <c r="CD39" s="2">
        <v>5470.16</v>
      </c>
      <c r="CE39" s="2">
        <v>8907.01</v>
      </c>
      <c r="CF39" s="2">
        <v>5493.9</v>
      </c>
      <c r="CG39" s="2">
        <v>7967.4</v>
      </c>
      <c r="CH39" s="2">
        <v>5287.97</v>
      </c>
      <c r="CI39" s="2">
        <v>5843.36</v>
      </c>
      <c r="CJ39" s="2">
        <v>4739.7</v>
      </c>
      <c r="CK39" s="2">
        <v>4594.97</v>
      </c>
      <c r="CL39" s="2">
        <v>4148.79</v>
      </c>
    </row>
    <row r="40" spans="2:90" x14ac:dyDescent="0.3">
      <c r="B40" s="1" t="s">
        <v>24</v>
      </c>
      <c r="C40" s="2">
        <v>2525.46</v>
      </c>
      <c r="D40" s="2">
        <v>336.19</v>
      </c>
      <c r="E40" s="2">
        <v>2556.15</v>
      </c>
      <c r="F40" s="2">
        <v>210.29</v>
      </c>
      <c r="G40" s="2">
        <v>838.01</v>
      </c>
      <c r="H40" s="2">
        <v>1031.98</v>
      </c>
      <c r="I40" s="2">
        <v>1668.05</v>
      </c>
      <c r="J40" s="2">
        <v>917.89</v>
      </c>
      <c r="K40" s="2">
        <v>2373.2800000000002</v>
      </c>
      <c r="L40" s="2">
        <v>945.49</v>
      </c>
      <c r="M40" s="2">
        <v>4651.1000000000004</v>
      </c>
      <c r="N40" s="2">
        <v>1582.34</v>
      </c>
      <c r="O40" s="2">
        <v>3702.18</v>
      </c>
      <c r="P40" s="2">
        <v>1263.77</v>
      </c>
      <c r="Q40" s="2">
        <v>2731.05</v>
      </c>
      <c r="R40" s="2">
        <v>1478.33</v>
      </c>
      <c r="S40" s="2">
        <v>1343.45</v>
      </c>
      <c r="T40" s="2">
        <v>1137.4000000000001</v>
      </c>
      <c r="U40" s="2">
        <v>1438.86</v>
      </c>
      <c r="V40" s="2">
        <v>1275.48</v>
      </c>
      <c r="X40" s="1" t="s">
        <v>24</v>
      </c>
      <c r="Y40" s="2">
        <v>1214.1600000000001</v>
      </c>
      <c r="Z40" s="2">
        <v>528.88</v>
      </c>
      <c r="AA40" s="2">
        <v>1228.92</v>
      </c>
      <c r="AB40" s="2">
        <v>486.2</v>
      </c>
      <c r="AC40" s="2">
        <v>1047.53</v>
      </c>
      <c r="AD40" s="2">
        <v>1289.98</v>
      </c>
      <c r="AE40" s="2">
        <v>1076.4100000000001</v>
      </c>
      <c r="AF40" s="2">
        <v>849.34</v>
      </c>
      <c r="AG40" s="2">
        <v>1063.6199999999999</v>
      </c>
      <c r="AH40" s="2">
        <v>773.16</v>
      </c>
      <c r="AI40" s="2">
        <v>1078.56</v>
      </c>
      <c r="AJ40" s="2">
        <v>739.4</v>
      </c>
      <c r="AK40" s="2">
        <v>1066.69</v>
      </c>
      <c r="AL40" s="2">
        <v>733.14</v>
      </c>
      <c r="AM40" s="2">
        <v>905.19</v>
      </c>
      <c r="AN40" s="2">
        <v>706.64</v>
      </c>
      <c r="AO40" s="2">
        <v>719.74</v>
      </c>
      <c r="AP40" s="2">
        <v>639.23</v>
      </c>
      <c r="AQ40" s="2">
        <v>638.58000000000004</v>
      </c>
      <c r="AR40" s="2">
        <v>596.77</v>
      </c>
      <c r="AU40" s="1" t="s">
        <v>24</v>
      </c>
      <c r="AV40" s="2">
        <v>6882.84</v>
      </c>
      <c r="AW40" s="2">
        <v>3462.52</v>
      </c>
      <c r="AX40" s="2">
        <v>6451.58</v>
      </c>
      <c r="AY40" s="2">
        <v>3120</v>
      </c>
      <c r="AZ40" s="2">
        <v>5516.09</v>
      </c>
      <c r="BA40" s="2">
        <v>7110.02</v>
      </c>
      <c r="BB40" s="2">
        <v>6084.04</v>
      </c>
      <c r="BC40" s="2">
        <v>4973.3500000000004</v>
      </c>
      <c r="BD40" s="2">
        <v>6548.56</v>
      </c>
      <c r="BE40" s="2">
        <v>4855.68</v>
      </c>
      <c r="BF40" s="2">
        <v>6702.52</v>
      </c>
      <c r="BG40" s="2">
        <v>4733.6499999999996</v>
      </c>
      <c r="BH40" s="2">
        <v>6696.04</v>
      </c>
      <c r="BI40" s="2">
        <v>4724.28</v>
      </c>
      <c r="BJ40" s="2">
        <v>5647.52</v>
      </c>
      <c r="BK40" s="2">
        <v>4493.3900000000003</v>
      </c>
      <c r="BL40" s="2">
        <v>4508.7</v>
      </c>
      <c r="BM40" s="2">
        <v>4253.96</v>
      </c>
      <c r="BN40" s="2">
        <v>4145.41</v>
      </c>
      <c r="BO40" s="2">
        <v>3942.45</v>
      </c>
      <c r="BR40" s="1" t="s">
        <v>24</v>
      </c>
      <c r="BS40" s="2">
        <v>8097</v>
      </c>
      <c r="BT40" s="2">
        <v>3991.4</v>
      </c>
      <c r="BU40" s="2">
        <v>7680.49</v>
      </c>
      <c r="BV40" s="2">
        <v>3606.2</v>
      </c>
      <c r="BW40" s="2">
        <v>6563.62</v>
      </c>
      <c r="BX40" s="2">
        <v>8400</v>
      </c>
      <c r="BY40" s="2">
        <v>7160.45</v>
      </c>
      <c r="BZ40" s="2">
        <v>5822.68</v>
      </c>
      <c r="CA40" s="2">
        <v>7612.18</v>
      </c>
      <c r="CB40" s="2">
        <v>5628.84</v>
      </c>
      <c r="CC40" s="2">
        <v>7781.09</v>
      </c>
      <c r="CD40" s="2">
        <v>5473.04</v>
      </c>
      <c r="CE40" s="2">
        <v>7762.73</v>
      </c>
      <c r="CF40" s="2">
        <v>5457.42</v>
      </c>
      <c r="CG40" s="2">
        <v>6552.71</v>
      </c>
      <c r="CH40" s="2">
        <v>5200.03</v>
      </c>
      <c r="CI40" s="2">
        <v>5228.4399999999996</v>
      </c>
      <c r="CJ40" s="2">
        <v>4893.18</v>
      </c>
      <c r="CK40" s="2">
        <v>4783.99</v>
      </c>
      <c r="CL40" s="2">
        <v>4539.21</v>
      </c>
    </row>
    <row r="41" spans="2:90" x14ac:dyDescent="0.3">
      <c r="B41" s="1" t="s">
        <v>25</v>
      </c>
      <c r="C41" s="2">
        <v>7882.71</v>
      </c>
      <c r="D41" s="2">
        <v>5054.97</v>
      </c>
      <c r="E41" s="2">
        <v>5581.85</v>
      </c>
      <c r="F41" s="2">
        <v>2591.9699999999998</v>
      </c>
      <c r="G41" s="2">
        <v>1811.96</v>
      </c>
      <c r="H41" s="2">
        <v>3626.7</v>
      </c>
      <c r="I41" s="2">
        <v>3007.45</v>
      </c>
      <c r="J41" s="2">
        <v>6118.05</v>
      </c>
      <c r="K41" s="2">
        <v>6836.62</v>
      </c>
      <c r="L41" s="2">
        <v>7718.8</v>
      </c>
      <c r="M41" s="2">
        <v>10368.18</v>
      </c>
      <c r="N41" s="2">
        <v>9354.27</v>
      </c>
      <c r="O41" s="2">
        <v>7067.52</v>
      </c>
      <c r="P41" s="2">
        <v>6741.79</v>
      </c>
      <c r="Q41" s="2">
        <v>8160.93</v>
      </c>
      <c r="R41" s="2">
        <v>7470.21</v>
      </c>
      <c r="S41" s="2">
        <v>6509.93</v>
      </c>
      <c r="T41" s="2">
        <v>5366.13</v>
      </c>
      <c r="U41" s="2">
        <v>7219.59</v>
      </c>
      <c r="V41" s="2">
        <v>5852.29</v>
      </c>
      <c r="X41" s="1" t="s">
        <v>25</v>
      </c>
      <c r="Y41" s="2">
        <v>760.46</v>
      </c>
      <c r="Z41" s="2">
        <v>844.47</v>
      </c>
      <c r="AA41" s="2">
        <v>972.54</v>
      </c>
      <c r="AB41" s="2">
        <v>1003.92</v>
      </c>
      <c r="AC41" s="2">
        <v>685.48</v>
      </c>
      <c r="AD41" s="2">
        <v>923.27</v>
      </c>
      <c r="AE41" s="2">
        <v>878.99</v>
      </c>
      <c r="AF41" s="2">
        <v>892.14</v>
      </c>
      <c r="AG41" s="2">
        <v>937.91</v>
      </c>
      <c r="AH41" s="2">
        <v>949.88</v>
      </c>
      <c r="AI41" s="2">
        <v>876.82</v>
      </c>
      <c r="AJ41" s="2">
        <v>882.77</v>
      </c>
      <c r="AK41" s="2">
        <v>817.9</v>
      </c>
      <c r="AL41" s="2">
        <v>856.71</v>
      </c>
      <c r="AM41" s="2">
        <v>769.67</v>
      </c>
      <c r="AN41" s="2">
        <v>746.41</v>
      </c>
      <c r="AO41" s="2">
        <v>715.67</v>
      </c>
      <c r="AP41" s="2">
        <v>698.8</v>
      </c>
      <c r="AQ41" s="2">
        <v>674.98</v>
      </c>
      <c r="AR41" s="2">
        <v>755.73</v>
      </c>
      <c r="AU41" s="1" t="s">
        <v>25</v>
      </c>
      <c r="AV41" s="2">
        <v>4650.54</v>
      </c>
      <c r="AW41" s="2">
        <v>5155.53</v>
      </c>
      <c r="AX41" s="2">
        <v>4963.46</v>
      </c>
      <c r="AY41" s="2">
        <v>5119.78</v>
      </c>
      <c r="AZ41" s="2">
        <v>3790.52</v>
      </c>
      <c r="BA41" s="2">
        <v>5008.4399999999996</v>
      </c>
      <c r="BB41" s="2">
        <v>4759.26</v>
      </c>
      <c r="BC41" s="2">
        <v>4909.8599999999997</v>
      </c>
      <c r="BD41" s="2">
        <v>5511.37</v>
      </c>
      <c r="BE41" s="2">
        <v>5620.12</v>
      </c>
      <c r="BF41" s="2">
        <v>5191.25</v>
      </c>
      <c r="BG41" s="2">
        <v>5233.33</v>
      </c>
      <c r="BH41" s="2">
        <v>4880.6899999999996</v>
      </c>
      <c r="BI41" s="2">
        <v>5084.59</v>
      </c>
      <c r="BJ41" s="2">
        <v>4649.43</v>
      </c>
      <c r="BK41" s="2">
        <v>4474.92</v>
      </c>
      <c r="BL41" s="2">
        <v>4372.33</v>
      </c>
      <c r="BM41" s="2">
        <v>4234.55</v>
      </c>
      <c r="BN41" s="2">
        <v>4210.87</v>
      </c>
      <c r="BO41" s="2">
        <v>4683.0200000000004</v>
      </c>
      <c r="BR41" s="1" t="s">
        <v>25</v>
      </c>
      <c r="BS41" s="2">
        <v>5411</v>
      </c>
      <c r="BT41" s="2">
        <v>6000</v>
      </c>
      <c r="BU41" s="2">
        <v>5936</v>
      </c>
      <c r="BV41" s="2">
        <v>6123.7</v>
      </c>
      <c r="BW41" s="2">
        <v>4476</v>
      </c>
      <c r="BX41" s="2">
        <v>5931.71</v>
      </c>
      <c r="BY41" s="2">
        <v>5638.25</v>
      </c>
      <c r="BZ41" s="2">
        <v>5802</v>
      </c>
      <c r="CA41" s="2">
        <v>6449.29</v>
      </c>
      <c r="CB41" s="2">
        <v>6570</v>
      </c>
      <c r="CC41" s="2">
        <v>6068.06</v>
      </c>
      <c r="CD41" s="2">
        <v>6116.1</v>
      </c>
      <c r="CE41" s="2">
        <v>5698.59</v>
      </c>
      <c r="CF41" s="2">
        <v>5941.3</v>
      </c>
      <c r="CG41" s="2">
        <v>5419.09</v>
      </c>
      <c r="CH41" s="2">
        <v>5221.34</v>
      </c>
      <c r="CI41" s="2">
        <v>5088</v>
      </c>
      <c r="CJ41" s="2">
        <v>4933.3500000000004</v>
      </c>
      <c r="CK41" s="2">
        <v>4885.8500000000004</v>
      </c>
      <c r="CL41" s="2">
        <v>5438.75</v>
      </c>
    </row>
    <row r="42" spans="2:90" x14ac:dyDescent="0.3">
      <c r="B42" s="1" t="s">
        <v>26</v>
      </c>
      <c r="C42" s="2">
        <v>2168.33</v>
      </c>
      <c r="D42" s="2">
        <v>2198.08</v>
      </c>
      <c r="E42" s="2">
        <v>1219.32</v>
      </c>
      <c r="F42" s="2">
        <v>2086.85</v>
      </c>
      <c r="G42" s="2">
        <v>730.35</v>
      </c>
      <c r="H42" s="2">
        <v>797.17</v>
      </c>
      <c r="I42" s="2">
        <v>673.61</v>
      </c>
      <c r="J42" s="2">
        <v>2101.77</v>
      </c>
      <c r="K42" s="2">
        <v>799.93</v>
      </c>
      <c r="L42" s="2">
        <v>3258.96</v>
      </c>
      <c r="M42" s="2">
        <v>1730.74</v>
      </c>
      <c r="N42" s="2">
        <v>3772.21</v>
      </c>
      <c r="O42" s="2">
        <v>1335.76</v>
      </c>
      <c r="P42" s="2">
        <v>2187.35</v>
      </c>
      <c r="Q42" s="2">
        <v>1730.38</v>
      </c>
      <c r="R42" s="2">
        <v>2874.15</v>
      </c>
      <c r="S42" s="2">
        <v>1438.67</v>
      </c>
      <c r="T42" s="2">
        <v>2222.39</v>
      </c>
      <c r="U42" s="2">
        <v>1555.22</v>
      </c>
      <c r="V42" s="2">
        <v>1315.21</v>
      </c>
      <c r="X42" s="1" t="s">
        <v>26</v>
      </c>
      <c r="Y42" s="2">
        <v>1116.46</v>
      </c>
      <c r="Z42" s="2">
        <v>1157.71</v>
      </c>
      <c r="AA42" s="2">
        <v>1404.26</v>
      </c>
      <c r="AB42" s="2">
        <v>1650.41</v>
      </c>
      <c r="AC42" s="2">
        <v>1022.47</v>
      </c>
      <c r="AD42" s="2">
        <v>1186.54</v>
      </c>
      <c r="AE42" s="2">
        <v>1024.21</v>
      </c>
      <c r="AF42" s="2">
        <v>994.79</v>
      </c>
      <c r="AG42" s="2">
        <v>978.7</v>
      </c>
      <c r="AH42" s="2">
        <v>1445.5</v>
      </c>
      <c r="AI42" s="2">
        <v>1036.6400000000001</v>
      </c>
      <c r="AJ42" s="2">
        <v>1341.23</v>
      </c>
      <c r="AK42" s="2">
        <v>1020.98</v>
      </c>
      <c r="AL42" s="2">
        <v>1240.03</v>
      </c>
      <c r="AM42" s="2">
        <v>1005.08</v>
      </c>
      <c r="AN42" s="2">
        <v>1217.9000000000001</v>
      </c>
      <c r="AO42" s="2">
        <v>960.42</v>
      </c>
      <c r="AP42" s="2">
        <v>1183.3900000000001</v>
      </c>
      <c r="AQ42" s="2">
        <v>864.46</v>
      </c>
      <c r="AR42" s="2">
        <v>851.14</v>
      </c>
      <c r="AU42" s="1" t="s">
        <v>26</v>
      </c>
      <c r="AV42" s="2">
        <v>5417.01</v>
      </c>
      <c r="AW42" s="2">
        <v>5500.57</v>
      </c>
      <c r="AX42" s="2">
        <v>5599.92</v>
      </c>
      <c r="AY42" s="2">
        <v>6473.46</v>
      </c>
      <c r="AZ42" s="2">
        <v>4442.01</v>
      </c>
      <c r="BA42" s="2">
        <v>5015.07</v>
      </c>
      <c r="BB42" s="2">
        <v>4243.9399999999996</v>
      </c>
      <c r="BC42" s="2">
        <v>4274.0600000000004</v>
      </c>
      <c r="BD42" s="2">
        <v>4423.51</v>
      </c>
      <c r="BE42" s="2">
        <v>6745.44</v>
      </c>
      <c r="BF42" s="2">
        <v>4761.3599999999997</v>
      </c>
      <c r="BG42" s="2">
        <v>6146.41</v>
      </c>
      <c r="BH42" s="2">
        <v>4684.05</v>
      </c>
      <c r="BI42" s="2">
        <v>5570.75</v>
      </c>
      <c r="BJ42" s="2">
        <v>4664.67</v>
      </c>
      <c r="BK42" s="2">
        <v>5581.47</v>
      </c>
      <c r="BL42" s="2">
        <v>4536.92</v>
      </c>
      <c r="BM42" s="2">
        <v>5313.31</v>
      </c>
      <c r="BN42" s="2">
        <v>4173.82</v>
      </c>
      <c r="BO42" s="2">
        <v>3859.91</v>
      </c>
      <c r="BR42" s="1" t="s">
        <v>26</v>
      </c>
      <c r="BS42" s="2">
        <v>6533.47</v>
      </c>
      <c r="BT42" s="2">
        <v>6658.28</v>
      </c>
      <c r="BU42" s="2">
        <v>7004.18</v>
      </c>
      <c r="BV42" s="2">
        <v>8123.88</v>
      </c>
      <c r="BW42" s="2">
        <v>5464.48</v>
      </c>
      <c r="BX42" s="2">
        <v>6201.6</v>
      </c>
      <c r="BY42" s="2">
        <v>5268.14</v>
      </c>
      <c r="BZ42" s="2">
        <v>5268.84</v>
      </c>
      <c r="CA42" s="2">
        <v>5402.21</v>
      </c>
      <c r="CB42" s="2">
        <v>8190.94</v>
      </c>
      <c r="CC42" s="2">
        <v>5798</v>
      </c>
      <c r="CD42" s="2">
        <v>7487.65</v>
      </c>
      <c r="CE42" s="2">
        <v>5705.03</v>
      </c>
      <c r="CF42" s="2">
        <v>6810.78</v>
      </c>
      <c r="CG42" s="2">
        <v>5669.75</v>
      </c>
      <c r="CH42" s="2">
        <v>6799.37</v>
      </c>
      <c r="CI42" s="2">
        <v>5497.34</v>
      </c>
      <c r="CJ42" s="2">
        <v>6496.7</v>
      </c>
      <c r="CK42" s="2">
        <v>5038.28</v>
      </c>
      <c r="CL42" s="2">
        <v>4711.05</v>
      </c>
    </row>
    <row r="43" spans="2:90" x14ac:dyDescent="0.3">
      <c r="B43" s="1" t="s">
        <v>27</v>
      </c>
      <c r="C43" s="2">
        <v>11132.37</v>
      </c>
      <c r="D43" s="2">
        <v>10375.23</v>
      </c>
      <c r="E43" s="2">
        <v>4397.16</v>
      </c>
      <c r="F43" s="2">
        <v>6954.31</v>
      </c>
      <c r="G43" s="2">
        <v>2661.01</v>
      </c>
      <c r="H43" s="2">
        <v>3830.82</v>
      </c>
      <c r="I43" s="2">
        <v>4169.72</v>
      </c>
      <c r="J43" s="2">
        <v>12268.77</v>
      </c>
      <c r="K43" s="2">
        <v>4427.8500000000004</v>
      </c>
      <c r="L43" s="2">
        <v>19908.669999999998</v>
      </c>
      <c r="M43" s="2">
        <v>8785.06</v>
      </c>
      <c r="N43" s="2">
        <v>25616.49</v>
      </c>
      <c r="O43" s="2">
        <v>6949.56</v>
      </c>
      <c r="P43" s="2">
        <v>14269.07</v>
      </c>
      <c r="Q43" s="2">
        <v>10287.25</v>
      </c>
      <c r="R43" s="2">
        <v>12483.14</v>
      </c>
      <c r="S43" s="2">
        <v>6943.63</v>
      </c>
      <c r="T43" s="2">
        <v>7267.69</v>
      </c>
      <c r="U43" s="2">
        <v>7761.04</v>
      </c>
      <c r="V43" s="2">
        <v>7459.82</v>
      </c>
      <c r="X43" s="1" t="s">
        <v>27</v>
      </c>
      <c r="Y43" s="2">
        <v>1327.67</v>
      </c>
      <c r="Z43" s="2">
        <v>1662.7</v>
      </c>
      <c r="AA43" s="2">
        <v>1305.72</v>
      </c>
      <c r="AB43" s="2">
        <v>1552.28</v>
      </c>
      <c r="AC43" s="2">
        <v>1108.76</v>
      </c>
      <c r="AD43" s="2">
        <v>1392.32</v>
      </c>
      <c r="AE43" s="2">
        <v>1134.3900000000001</v>
      </c>
      <c r="AF43" s="2">
        <v>1597.5</v>
      </c>
      <c r="AG43" s="2">
        <v>1043.1300000000001</v>
      </c>
      <c r="AH43" s="2">
        <v>1591.83</v>
      </c>
      <c r="AI43" s="2">
        <v>1068</v>
      </c>
      <c r="AJ43" s="2">
        <v>1482.46</v>
      </c>
      <c r="AK43" s="2">
        <v>1059.93</v>
      </c>
      <c r="AL43" s="2">
        <v>1347.87</v>
      </c>
      <c r="AM43" s="2">
        <v>1091.51</v>
      </c>
      <c r="AN43" s="2">
        <v>1177.3599999999999</v>
      </c>
      <c r="AO43" s="2">
        <v>963.44</v>
      </c>
      <c r="AP43" s="2">
        <v>998.69</v>
      </c>
      <c r="AQ43" s="2">
        <v>886.35</v>
      </c>
      <c r="AR43" s="2">
        <v>882.28</v>
      </c>
      <c r="AU43" s="1" t="s">
        <v>27</v>
      </c>
      <c r="AV43" s="2">
        <v>6338.38</v>
      </c>
      <c r="AW43" s="2">
        <v>6509.45</v>
      </c>
      <c r="AX43" s="2">
        <v>5225.28</v>
      </c>
      <c r="AY43" s="2">
        <v>6236.74</v>
      </c>
      <c r="AZ43" s="2">
        <v>4524.49</v>
      </c>
      <c r="BA43" s="2">
        <v>6011.23</v>
      </c>
      <c r="BB43" s="2">
        <v>4808.6099999999997</v>
      </c>
      <c r="BC43" s="2">
        <v>5097.41</v>
      </c>
      <c r="BD43" s="2">
        <v>4813.7700000000004</v>
      </c>
      <c r="BE43" s="2">
        <v>7712.97</v>
      </c>
      <c r="BF43" s="2">
        <v>5007.29</v>
      </c>
      <c r="BG43" s="2">
        <v>7100.31</v>
      </c>
      <c r="BH43" s="2">
        <v>4974.53</v>
      </c>
      <c r="BI43" s="2">
        <v>6405.69</v>
      </c>
      <c r="BJ43" s="2">
        <v>5225.18</v>
      </c>
      <c r="BK43" s="2">
        <v>5611.16</v>
      </c>
      <c r="BL43" s="2">
        <v>4667.0200000000004</v>
      </c>
      <c r="BM43" s="2">
        <v>4749.47</v>
      </c>
      <c r="BN43" s="2">
        <v>4337.51</v>
      </c>
      <c r="BO43" s="2">
        <v>4255.38</v>
      </c>
      <c r="BR43" s="1" t="s">
        <v>27</v>
      </c>
      <c r="BS43" s="2">
        <v>7666.05</v>
      </c>
      <c r="BT43" s="2">
        <v>8172.15</v>
      </c>
      <c r="BU43" s="2">
        <v>6531</v>
      </c>
      <c r="BV43" s="2">
        <v>7789.02</v>
      </c>
      <c r="BW43" s="2">
        <v>5633.25</v>
      </c>
      <c r="BX43" s="2">
        <v>7403.55</v>
      </c>
      <c r="BY43" s="2">
        <v>5943</v>
      </c>
      <c r="BZ43" s="2">
        <v>6694.91</v>
      </c>
      <c r="CA43" s="2">
        <v>5856.9</v>
      </c>
      <c r="CB43" s="2">
        <v>9304.81</v>
      </c>
      <c r="CC43" s="2">
        <v>6075.29</v>
      </c>
      <c r="CD43" s="2">
        <v>8582.77</v>
      </c>
      <c r="CE43" s="2">
        <v>6034.45</v>
      </c>
      <c r="CF43" s="2">
        <v>7753.56</v>
      </c>
      <c r="CG43" s="2">
        <v>6316.68</v>
      </c>
      <c r="CH43" s="2">
        <v>6788.52</v>
      </c>
      <c r="CI43" s="2">
        <v>5630.46</v>
      </c>
      <c r="CJ43" s="2">
        <v>5748.16</v>
      </c>
      <c r="CK43" s="2">
        <v>5223.8599999999997</v>
      </c>
      <c r="CL43" s="2">
        <v>5137.66</v>
      </c>
    </row>
    <row r="44" spans="2:90" x14ac:dyDescent="0.3">
      <c r="B44" s="1" t="s">
        <v>28</v>
      </c>
      <c r="C44" s="2">
        <v>1185.78</v>
      </c>
      <c r="D44" s="2">
        <v>1794.35</v>
      </c>
      <c r="E44" s="2">
        <v>117.52</v>
      </c>
      <c r="F44" s="2">
        <v>125.23</v>
      </c>
      <c r="G44" s="2">
        <v>34.07</v>
      </c>
      <c r="H44" s="2">
        <v>244.61</v>
      </c>
      <c r="I44" s="2">
        <v>124.44</v>
      </c>
      <c r="J44" s="2">
        <v>3167.34</v>
      </c>
      <c r="K44" s="2">
        <v>1518.57</v>
      </c>
      <c r="L44" s="2">
        <v>3812.72</v>
      </c>
      <c r="M44" s="2">
        <v>3624.79</v>
      </c>
      <c r="N44" s="2">
        <v>6439.32</v>
      </c>
      <c r="O44" s="2">
        <v>3076.24</v>
      </c>
      <c r="P44" s="2">
        <v>3750.99</v>
      </c>
      <c r="Q44" s="2">
        <v>3537.47</v>
      </c>
      <c r="R44" s="2">
        <v>3520.3</v>
      </c>
      <c r="S44" s="2">
        <v>2856.42</v>
      </c>
      <c r="T44" s="2">
        <v>2429.36</v>
      </c>
      <c r="U44" s="2">
        <v>3314.77</v>
      </c>
      <c r="V44" s="2">
        <v>2750.68</v>
      </c>
      <c r="X44" s="1" t="s">
        <v>28</v>
      </c>
      <c r="Y44" s="2">
        <v>627.79</v>
      </c>
      <c r="Z44" s="2">
        <v>794.67</v>
      </c>
      <c r="AA44" s="2">
        <v>150.66999999999999</v>
      </c>
      <c r="AB44" s="2">
        <v>160.55000000000001</v>
      </c>
      <c r="AC44" s="2">
        <v>113.57</v>
      </c>
      <c r="AD44" s="2">
        <v>483.35</v>
      </c>
      <c r="AE44" s="2">
        <v>129.63</v>
      </c>
      <c r="AF44" s="2">
        <v>789.2</v>
      </c>
      <c r="AG44" s="2">
        <v>519.04999999999995</v>
      </c>
      <c r="AH44" s="2">
        <v>767.45</v>
      </c>
      <c r="AI44" s="2">
        <v>507.7</v>
      </c>
      <c r="AJ44" s="2">
        <v>768.53</v>
      </c>
      <c r="AK44" s="2">
        <v>498.21</v>
      </c>
      <c r="AL44" s="2">
        <v>676.28</v>
      </c>
      <c r="AM44" s="2">
        <v>476.81</v>
      </c>
      <c r="AN44" s="2">
        <v>527.44000000000005</v>
      </c>
      <c r="AO44" s="2">
        <v>463</v>
      </c>
      <c r="AP44" s="2">
        <v>459.43</v>
      </c>
      <c r="AQ44" s="2">
        <v>463.66</v>
      </c>
      <c r="AR44" s="2">
        <v>476.94</v>
      </c>
      <c r="AU44" s="1" t="s">
        <v>28</v>
      </c>
      <c r="AV44" s="2">
        <v>3149.21</v>
      </c>
      <c r="AW44" s="2">
        <v>3830.33</v>
      </c>
      <c r="AX44" s="2">
        <v>2888.38</v>
      </c>
      <c r="AY44" s="2">
        <v>3078.95</v>
      </c>
      <c r="AZ44" s="2">
        <v>2223.4299999999998</v>
      </c>
      <c r="BA44" s="2">
        <v>3120</v>
      </c>
      <c r="BB44" s="2">
        <v>2554.12</v>
      </c>
      <c r="BC44" s="2">
        <v>3457.8</v>
      </c>
      <c r="BD44" s="2">
        <v>2665.95</v>
      </c>
      <c r="BE44" s="2">
        <v>3613.55</v>
      </c>
      <c r="BF44" s="2">
        <v>2597.3000000000002</v>
      </c>
      <c r="BG44" s="2">
        <v>3622.47</v>
      </c>
      <c r="BH44" s="2">
        <v>2576.79</v>
      </c>
      <c r="BI44" s="2">
        <v>3262.72</v>
      </c>
      <c r="BJ44" s="2">
        <v>2464.19</v>
      </c>
      <c r="BK44" s="2">
        <v>2648.56</v>
      </c>
      <c r="BL44" s="2">
        <v>2322</v>
      </c>
      <c r="BM44" s="2">
        <v>2377.5700000000002</v>
      </c>
      <c r="BN44" s="2">
        <v>2420.34</v>
      </c>
      <c r="BO44" s="2">
        <v>2561.06</v>
      </c>
      <c r="BR44" s="1" t="s">
        <v>28</v>
      </c>
      <c r="BS44" s="2">
        <v>3777</v>
      </c>
      <c r="BT44" s="2">
        <v>4625</v>
      </c>
      <c r="BU44" s="2">
        <v>3039.05</v>
      </c>
      <c r="BV44" s="2">
        <v>3239.5</v>
      </c>
      <c r="BW44" s="2">
        <v>2337</v>
      </c>
      <c r="BX44" s="2">
        <v>3603.35</v>
      </c>
      <c r="BY44" s="2">
        <v>2683.75</v>
      </c>
      <c r="BZ44" s="2">
        <v>4247</v>
      </c>
      <c r="CA44" s="2">
        <v>3185</v>
      </c>
      <c r="CB44" s="2">
        <v>4381</v>
      </c>
      <c r="CC44" s="2">
        <v>3105</v>
      </c>
      <c r="CD44" s="2">
        <v>4391</v>
      </c>
      <c r="CE44" s="2">
        <v>3075</v>
      </c>
      <c r="CF44" s="2">
        <v>3939</v>
      </c>
      <c r="CG44" s="2">
        <v>2941</v>
      </c>
      <c r="CH44" s="2">
        <v>3176</v>
      </c>
      <c r="CI44" s="2">
        <v>2785</v>
      </c>
      <c r="CJ44" s="2">
        <v>2837</v>
      </c>
      <c r="CK44" s="2">
        <v>2884</v>
      </c>
      <c r="CL44" s="2">
        <v>3038</v>
      </c>
    </row>
    <row r="47" spans="2:90" x14ac:dyDescent="0.3">
      <c r="B47" t="s">
        <v>37</v>
      </c>
      <c r="X47" t="s">
        <v>38</v>
      </c>
      <c r="AU47" t="s">
        <v>39</v>
      </c>
      <c r="BR47" t="s">
        <v>40</v>
      </c>
    </row>
    <row r="48" spans="2:90" x14ac:dyDescent="0.3">
      <c r="B48" s="1" t="s">
        <v>16</v>
      </c>
      <c r="C48" s="1" t="s">
        <v>17</v>
      </c>
      <c r="D48" s="1" t="s">
        <v>18</v>
      </c>
      <c r="E48" s="1" t="s">
        <v>17</v>
      </c>
      <c r="F48" s="1" t="s">
        <v>18</v>
      </c>
      <c r="G48" s="1" t="s">
        <v>17</v>
      </c>
      <c r="H48" s="1" t="s">
        <v>18</v>
      </c>
      <c r="I48" s="1" t="s">
        <v>17</v>
      </c>
      <c r="J48" s="1" t="s">
        <v>18</v>
      </c>
      <c r="K48" s="1" t="s">
        <v>17</v>
      </c>
      <c r="L48" s="1" t="s">
        <v>18</v>
      </c>
      <c r="M48" s="1" t="s">
        <v>17</v>
      </c>
      <c r="N48" s="1" t="s">
        <v>18</v>
      </c>
      <c r="O48" s="1" t="s">
        <v>17</v>
      </c>
      <c r="P48" s="1" t="s">
        <v>18</v>
      </c>
      <c r="Q48" s="1" t="s">
        <v>17</v>
      </c>
      <c r="R48" s="1" t="s">
        <v>18</v>
      </c>
      <c r="S48" s="1" t="s">
        <v>17</v>
      </c>
      <c r="T48" s="1" t="s">
        <v>18</v>
      </c>
      <c r="U48" s="1" t="s">
        <v>17</v>
      </c>
      <c r="V48" s="1" t="s">
        <v>18</v>
      </c>
      <c r="X48" s="1" t="s">
        <v>16</v>
      </c>
      <c r="Y48" s="1" t="s">
        <v>17</v>
      </c>
      <c r="Z48" s="1" t="s">
        <v>18</v>
      </c>
      <c r="AA48" s="1" t="s">
        <v>17</v>
      </c>
      <c r="AB48" s="1" t="s">
        <v>18</v>
      </c>
      <c r="AC48" s="1" t="s">
        <v>17</v>
      </c>
      <c r="AD48" s="1" t="s">
        <v>18</v>
      </c>
      <c r="AE48" s="1" t="s">
        <v>17</v>
      </c>
      <c r="AF48" s="1" t="s">
        <v>18</v>
      </c>
      <c r="AG48" s="1" t="s">
        <v>17</v>
      </c>
      <c r="AH48" s="1" t="s">
        <v>18</v>
      </c>
      <c r="AI48" s="1" t="s">
        <v>17</v>
      </c>
      <c r="AJ48" s="1" t="s">
        <v>18</v>
      </c>
      <c r="AK48" s="1" t="s">
        <v>17</v>
      </c>
      <c r="AL48" s="1" t="s">
        <v>18</v>
      </c>
      <c r="AM48" s="1" t="s">
        <v>17</v>
      </c>
      <c r="AN48" s="1" t="s">
        <v>18</v>
      </c>
      <c r="AO48" s="1" t="s">
        <v>17</v>
      </c>
      <c r="AP48" s="1" t="s">
        <v>18</v>
      </c>
      <c r="AQ48" s="1" t="s">
        <v>17</v>
      </c>
      <c r="AR48" s="1" t="s">
        <v>18</v>
      </c>
      <c r="AU48" s="1" t="s">
        <v>16</v>
      </c>
      <c r="AV48" s="1" t="s">
        <v>17</v>
      </c>
      <c r="AW48" s="1" t="s">
        <v>18</v>
      </c>
      <c r="AX48" s="1" t="s">
        <v>17</v>
      </c>
      <c r="AY48" s="1" t="s">
        <v>18</v>
      </c>
      <c r="AZ48" s="1" t="s">
        <v>17</v>
      </c>
      <c r="BA48" s="1" t="s">
        <v>18</v>
      </c>
      <c r="BB48" s="1" t="s">
        <v>17</v>
      </c>
      <c r="BC48" s="1" t="s">
        <v>18</v>
      </c>
      <c r="BD48" s="1" t="s">
        <v>17</v>
      </c>
      <c r="BE48" s="1" t="s">
        <v>18</v>
      </c>
      <c r="BF48" s="1" t="s">
        <v>17</v>
      </c>
      <c r="BG48" s="1" t="s">
        <v>18</v>
      </c>
      <c r="BH48" s="1" t="s">
        <v>17</v>
      </c>
      <c r="BI48" s="1" t="s">
        <v>18</v>
      </c>
      <c r="BJ48" s="1" t="s">
        <v>17</v>
      </c>
      <c r="BK48" s="1" t="s">
        <v>18</v>
      </c>
      <c r="BL48" s="1" t="s">
        <v>17</v>
      </c>
      <c r="BM48" s="1" t="s">
        <v>18</v>
      </c>
      <c r="BN48" s="1" t="s">
        <v>17</v>
      </c>
      <c r="BO48" s="1" t="s">
        <v>18</v>
      </c>
      <c r="BR48" s="1" t="s">
        <v>16</v>
      </c>
      <c r="BS48" s="1" t="s">
        <v>17</v>
      </c>
      <c r="BT48" s="1" t="s">
        <v>18</v>
      </c>
      <c r="BU48" s="1" t="s">
        <v>17</v>
      </c>
      <c r="BV48" s="1" t="s">
        <v>18</v>
      </c>
      <c r="BW48" s="1" t="s">
        <v>17</v>
      </c>
      <c r="BX48" s="1" t="s">
        <v>18</v>
      </c>
      <c r="BY48" s="1" t="s">
        <v>17</v>
      </c>
      <c r="BZ48" s="1" t="s">
        <v>18</v>
      </c>
      <c r="CA48" s="1" t="s">
        <v>17</v>
      </c>
      <c r="CB48" s="1" t="s">
        <v>18</v>
      </c>
      <c r="CC48" s="1" t="s">
        <v>17</v>
      </c>
      <c r="CD48" s="1" t="s">
        <v>18</v>
      </c>
      <c r="CE48" s="1" t="s">
        <v>17</v>
      </c>
      <c r="CF48" s="1" t="s">
        <v>18</v>
      </c>
      <c r="CG48" s="1" t="s">
        <v>17</v>
      </c>
      <c r="CH48" s="1" t="s">
        <v>18</v>
      </c>
      <c r="CI48" s="1" t="s">
        <v>17</v>
      </c>
      <c r="CJ48" s="1" t="s">
        <v>18</v>
      </c>
      <c r="CK48" s="1" t="s">
        <v>17</v>
      </c>
      <c r="CL48" s="1" t="s">
        <v>18</v>
      </c>
    </row>
    <row r="49" spans="2:90" x14ac:dyDescent="0.3">
      <c r="B49" s="1" t="s">
        <v>19</v>
      </c>
      <c r="C49" s="1" t="s">
        <v>1</v>
      </c>
      <c r="D49" s="1" t="s">
        <v>1</v>
      </c>
      <c r="E49" s="1" t="s">
        <v>2</v>
      </c>
      <c r="F49" s="1" t="s">
        <v>2</v>
      </c>
      <c r="G49" s="1" t="s">
        <v>3</v>
      </c>
      <c r="H49" s="1" t="s">
        <v>3</v>
      </c>
      <c r="I49" s="1" t="s">
        <v>4</v>
      </c>
      <c r="J49" s="1" t="s">
        <v>4</v>
      </c>
      <c r="K49" s="1" t="s">
        <v>5</v>
      </c>
      <c r="L49" s="1" t="s">
        <v>5</v>
      </c>
      <c r="M49" s="1" t="s">
        <v>6</v>
      </c>
      <c r="N49" s="1" t="s">
        <v>6</v>
      </c>
      <c r="O49" s="1" t="s">
        <v>7</v>
      </c>
      <c r="P49" s="1" t="s">
        <v>7</v>
      </c>
      <c r="Q49" s="1" t="s">
        <v>8</v>
      </c>
      <c r="R49" s="1" t="s">
        <v>8</v>
      </c>
      <c r="S49" s="1" t="s">
        <v>9</v>
      </c>
      <c r="T49" s="1" t="s">
        <v>9</v>
      </c>
      <c r="U49" s="1" t="s">
        <v>10</v>
      </c>
      <c r="V49" s="1" t="s">
        <v>10</v>
      </c>
      <c r="X49" s="1" t="s">
        <v>19</v>
      </c>
      <c r="Y49" s="1" t="s">
        <v>1</v>
      </c>
      <c r="Z49" s="1" t="s">
        <v>1</v>
      </c>
      <c r="AA49" s="1" t="s">
        <v>2</v>
      </c>
      <c r="AB49" s="1" t="s">
        <v>2</v>
      </c>
      <c r="AC49" s="1" t="s">
        <v>3</v>
      </c>
      <c r="AD49" s="1" t="s">
        <v>3</v>
      </c>
      <c r="AE49" s="1" t="s">
        <v>4</v>
      </c>
      <c r="AF49" s="1" t="s">
        <v>4</v>
      </c>
      <c r="AG49" s="1" t="s">
        <v>5</v>
      </c>
      <c r="AH49" s="1" t="s">
        <v>5</v>
      </c>
      <c r="AI49" s="1" t="s">
        <v>6</v>
      </c>
      <c r="AJ49" s="1" t="s">
        <v>6</v>
      </c>
      <c r="AK49" s="1" t="s">
        <v>7</v>
      </c>
      <c r="AL49" s="1" t="s">
        <v>7</v>
      </c>
      <c r="AM49" s="1" t="s">
        <v>8</v>
      </c>
      <c r="AN49" s="1" t="s">
        <v>8</v>
      </c>
      <c r="AO49" s="1" t="s">
        <v>9</v>
      </c>
      <c r="AP49" s="1" t="s">
        <v>9</v>
      </c>
      <c r="AQ49" s="1" t="s">
        <v>10</v>
      </c>
      <c r="AR49" s="1" t="s">
        <v>10</v>
      </c>
      <c r="AU49" s="1" t="s">
        <v>19</v>
      </c>
      <c r="AV49" s="1" t="s">
        <v>1</v>
      </c>
      <c r="AW49" s="1" t="s">
        <v>1</v>
      </c>
      <c r="AX49" s="1" t="s">
        <v>2</v>
      </c>
      <c r="AY49" s="1" t="s">
        <v>2</v>
      </c>
      <c r="AZ49" s="1" t="s">
        <v>3</v>
      </c>
      <c r="BA49" s="1" t="s">
        <v>3</v>
      </c>
      <c r="BB49" s="1" t="s">
        <v>4</v>
      </c>
      <c r="BC49" s="1" t="s">
        <v>4</v>
      </c>
      <c r="BD49" s="1" t="s">
        <v>5</v>
      </c>
      <c r="BE49" s="1" t="s">
        <v>5</v>
      </c>
      <c r="BF49" s="1" t="s">
        <v>6</v>
      </c>
      <c r="BG49" s="1" t="s">
        <v>6</v>
      </c>
      <c r="BH49" s="1" t="s">
        <v>7</v>
      </c>
      <c r="BI49" s="1" t="s">
        <v>7</v>
      </c>
      <c r="BJ49" s="1" t="s">
        <v>8</v>
      </c>
      <c r="BK49" s="1" t="s">
        <v>8</v>
      </c>
      <c r="BL49" s="1" t="s">
        <v>9</v>
      </c>
      <c r="BM49" s="1" t="s">
        <v>9</v>
      </c>
      <c r="BN49" s="1" t="s">
        <v>10</v>
      </c>
      <c r="BO49" s="1" t="s">
        <v>10</v>
      </c>
      <c r="BR49" s="1" t="s">
        <v>19</v>
      </c>
      <c r="BS49" s="1" t="s">
        <v>1</v>
      </c>
      <c r="BT49" s="1" t="s">
        <v>1</v>
      </c>
      <c r="BU49" s="1" t="s">
        <v>2</v>
      </c>
      <c r="BV49" s="1" t="s">
        <v>2</v>
      </c>
      <c r="BW49" s="1" t="s">
        <v>3</v>
      </c>
      <c r="BX49" s="1" t="s">
        <v>3</v>
      </c>
      <c r="BY49" s="1" t="s">
        <v>4</v>
      </c>
      <c r="BZ49" s="1" t="s">
        <v>4</v>
      </c>
      <c r="CA49" s="1" t="s">
        <v>5</v>
      </c>
      <c r="CB49" s="1" t="s">
        <v>5</v>
      </c>
      <c r="CC49" s="1" t="s">
        <v>6</v>
      </c>
      <c r="CD49" s="1" t="s">
        <v>6</v>
      </c>
      <c r="CE49" s="1" t="s">
        <v>7</v>
      </c>
      <c r="CF49" s="1" t="s">
        <v>7</v>
      </c>
      <c r="CG49" s="1" t="s">
        <v>8</v>
      </c>
      <c r="CH49" s="1" t="s">
        <v>8</v>
      </c>
      <c r="CI49" s="1" t="s">
        <v>9</v>
      </c>
      <c r="CJ49" s="1" t="s">
        <v>9</v>
      </c>
      <c r="CK49" s="1" t="s">
        <v>10</v>
      </c>
      <c r="CL49" s="1" t="s">
        <v>10</v>
      </c>
    </row>
    <row r="50" spans="2:90" x14ac:dyDescent="0.3">
      <c r="B50" s="1" t="s">
        <v>20</v>
      </c>
      <c r="X50" s="1" t="s">
        <v>20</v>
      </c>
      <c r="AU50" s="1" t="s">
        <v>20</v>
      </c>
      <c r="BR50" s="1" t="s">
        <v>20</v>
      </c>
    </row>
    <row r="51" spans="2:90" x14ac:dyDescent="0.3">
      <c r="B51" s="1" t="s">
        <v>21</v>
      </c>
      <c r="C51" s="2">
        <v>120.77</v>
      </c>
      <c r="D51" s="2">
        <v>117.31</v>
      </c>
      <c r="E51" s="2">
        <v>113.3</v>
      </c>
      <c r="F51" s="2">
        <v>102.74</v>
      </c>
      <c r="G51" s="2">
        <v>32.69</v>
      </c>
      <c r="H51" s="2">
        <v>41.56</v>
      </c>
      <c r="I51" s="2">
        <v>139.38</v>
      </c>
      <c r="J51" s="2">
        <v>636.52</v>
      </c>
      <c r="K51" s="2">
        <v>973.06</v>
      </c>
      <c r="L51" s="2">
        <v>802.37</v>
      </c>
      <c r="M51" s="2">
        <v>1798.68</v>
      </c>
      <c r="N51" s="2">
        <v>1435.8</v>
      </c>
      <c r="O51" s="2">
        <v>1375.85</v>
      </c>
      <c r="P51" s="2">
        <v>1086.46</v>
      </c>
      <c r="Q51" s="2">
        <v>1750.49</v>
      </c>
      <c r="R51" s="2">
        <v>1534.71</v>
      </c>
      <c r="S51" s="2">
        <v>1382.3</v>
      </c>
      <c r="T51" s="2">
        <v>854.52</v>
      </c>
      <c r="U51" s="2">
        <v>1697.98</v>
      </c>
      <c r="V51" s="2">
        <v>1099.22</v>
      </c>
      <c r="X51" s="1" t="s">
        <v>21</v>
      </c>
      <c r="Y51" s="2">
        <v>0.03</v>
      </c>
      <c r="Z51" s="2">
        <v>0.03</v>
      </c>
      <c r="AA51" s="2">
        <v>0.02</v>
      </c>
      <c r="AB51" s="2">
        <v>0.02</v>
      </c>
      <c r="AC51" s="2">
        <v>0.02</v>
      </c>
      <c r="AD51" s="2">
        <v>0.03</v>
      </c>
      <c r="AE51" s="2">
        <v>0.03</v>
      </c>
      <c r="AF51" s="2">
        <v>0.05</v>
      </c>
      <c r="AG51" s="2">
        <v>0.06</v>
      </c>
      <c r="AH51" s="2">
        <v>0.05</v>
      </c>
      <c r="AI51" s="2">
        <v>0.06</v>
      </c>
      <c r="AJ51" s="2">
        <v>0.05</v>
      </c>
      <c r="AK51" s="2">
        <v>0.06</v>
      </c>
      <c r="AL51" s="2">
        <v>0.05</v>
      </c>
      <c r="AM51" s="2">
        <v>0.06</v>
      </c>
      <c r="AN51" s="2">
        <v>0.05</v>
      </c>
      <c r="AO51" s="2">
        <v>0.05</v>
      </c>
      <c r="AP51" s="2">
        <v>0.04</v>
      </c>
      <c r="AQ51" s="2">
        <v>0.05</v>
      </c>
      <c r="AR51" s="2">
        <v>0.04</v>
      </c>
      <c r="AU51" s="1" t="s">
        <v>21</v>
      </c>
      <c r="AV51" s="2">
        <v>0.23</v>
      </c>
      <c r="AW51" s="2">
        <v>0.23</v>
      </c>
      <c r="AX51" s="2">
        <v>0.23</v>
      </c>
      <c r="AY51" s="2">
        <v>0.23</v>
      </c>
      <c r="AZ51" s="2">
        <v>0.23</v>
      </c>
      <c r="BA51" s="2">
        <v>0.23</v>
      </c>
      <c r="BB51" s="2">
        <v>0.22</v>
      </c>
      <c r="BC51" s="2">
        <v>0.57999999999999996</v>
      </c>
      <c r="BD51" s="2">
        <v>0.55000000000000004</v>
      </c>
      <c r="BE51" s="2">
        <v>0.59</v>
      </c>
      <c r="BF51" s="2">
        <v>0.65</v>
      </c>
      <c r="BG51" s="2">
        <v>0.57999999999999996</v>
      </c>
      <c r="BH51" s="2">
        <v>0.66</v>
      </c>
      <c r="BI51" s="2">
        <v>0.56000000000000005</v>
      </c>
      <c r="BJ51" s="2">
        <v>0.61</v>
      </c>
      <c r="BK51" s="2">
        <v>0.56999999999999995</v>
      </c>
      <c r="BL51" s="2">
        <v>0.55000000000000004</v>
      </c>
      <c r="BM51" s="2">
        <v>0.43</v>
      </c>
      <c r="BN51" s="2">
        <v>0.56000000000000005</v>
      </c>
      <c r="BO51" s="2">
        <v>0.44</v>
      </c>
      <c r="BR51" s="1" t="s">
        <v>21</v>
      </c>
      <c r="BS51" s="2">
        <v>0.24</v>
      </c>
      <c r="BT51" s="2">
        <v>0.24</v>
      </c>
      <c r="BU51" s="2">
        <v>0.24</v>
      </c>
      <c r="BV51" s="2">
        <v>0.24</v>
      </c>
      <c r="BW51" s="2">
        <v>0.24</v>
      </c>
      <c r="BX51" s="2">
        <v>0.24</v>
      </c>
      <c r="BY51" s="2">
        <v>0.23</v>
      </c>
      <c r="BZ51" s="2">
        <v>0.65</v>
      </c>
      <c r="CA51" s="2">
        <v>0.6</v>
      </c>
      <c r="CB51" s="2">
        <v>0.65</v>
      </c>
      <c r="CC51" s="2">
        <v>0.72</v>
      </c>
      <c r="CD51" s="2">
        <v>0.64</v>
      </c>
      <c r="CE51" s="2">
        <v>0.72</v>
      </c>
      <c r="CF51" s="2">
        <v>0.62</v>
      </c>
      <c r="CG51" s="2">
        <v>0.67</v>
      </c>
      <c r="CH51" s="2">
        <v>0.63</v>
      </c>
      <c r="CI51" s="2">
        <v>0.61</v>
      </c>
      <c r="CJ51" s="2">
        <v>0.47</v>
      </c>
      <c r="CK51" s="2">
        <v>0.62</v>
      </c>
      <c r="CL51" s="2">
        <v>0.49</v>
      </c>
    </row>
    <row r="52" spans="2:90" x14ac:dyDescent="0.3">
      <c r="B52" s="1" t="s">
        <v>22</v>
      </c>
      <c r="C52" s="2">
        <v>507.09</v>
      </c>
      <c r="D52" s="2">
        <v>206.79</v>
      </c>
      <c r="E52" s="2">
        <v>420.79</v>
      </c>
      <c r="F52" s="2">
        <v>189.79</v>
      </c>
      <c r="G52" s="2">
        <v>127.12</v>
      </c>
      <c r="H52" s="2">
        <v>108.73</v>
      </c>
      <c r="I52" s="2">
        <v>630.69000000000005</v>
      </c>
      <c r="J52" s="2">
        <v>536.99</v>
      </c>
      <c r="K52" s="2">
        <v>812.35</v>
      </c>
      <c r="L52" s="2">
        <v>510.46</v>
      </c>
      <c r="M52" s="2">
        <v>1728.14</v>
      </c>
      <c r="N52" s="2">
        <v>950.17</v>
      </c>
      <c r="O52" s="2">
        <v>1236.67</v>
      </c>
      <c r="P52" s="2">
        <v>907.92</v>
      </c>
      <c r="Q52" s="2">
        <v>1449.04</v>
      </c>
      <c r="R52" s="2">
        <v>972.91</v>
      </c>
      <c r="S52" s="2">
        <v>1247.05</v>
      </c>
      <c r="T52" s="2">
        <v>650.58000000000004</v>
      </c>
      <c r="U52" s="2">
        <v>1388.49</v>
      </c>
      <c r="V52" s="2">
        <v>535.29999999999995</v>
      </c>
      <c r="X52" s="1" t="s">
        <v>22</v>
      </c>
      <c r="Y52" s="2">
        <v>0.27</v>
      </c>
      <c r="Z52" s="2">
        <v>0.17</v>
      </c>
      <c r="AA52" s="2">
        <v>0.27</v>
      </c>
      <c r="AB52" s="2">
        <v>0.17</v>
      </c>
      <c r="AC52" s="2">
        <v>0.18</v>
      </c>
      <c r="AD52" s="2">
        <v>0.22</v>
      </c>
      <c r="AE52" s="2">
        <v>0.3</v>
      </c>
      <c r="AF52" s="2">
        <v>0.21</v>
      </c>
      <c r="AG52" s="2">
        <v>0.28999999999999998</v>
      </c>
      <c r="AH52" s="2">
        <v>0.19</v>
      </c>
      <c r="AI52" s="2">
        <v>0.28000000000000003</v>
      </c>
      <c r="AJ52" s="2">
        <v>0.2</v>
      </c>
      <c r="AK52" s="2">
        <v>0.24</v>
      </c>
      <c r="AL52" s="2">
        <v>0.21</v>
      </c>
      <c r="AM52" s="2">
        <v>0.23</v>
      </c>
      <c r="AN52" s="2">
        <v>0.2</v>
      </c>
      <c r="AO52" s="2">
        <v>0.22</v>
      </c>
      <c r="AP52" s="2">
        <v>0.17</v>
      </c>
      <c r="AQ52" s="2">
        <v>0.25</v>
      </c>
      <c r="AR52" s="2">
        <v>0.16</v>
      </c>
      <c r="AU52" s="1" t="s">
        <v>22</v>
      </c>
      <c r="AV52" s="2">
        <v>0.53</v>
      </c>
      <c r="AW52" s="2">
        <v>0.34</v>
      </c>
      <c r="AX52" s="2">
        <v>0.46</v>
      </c>
      <c r="AY52" s="2">
        <v>0.31</v>
      </c>
      <c r="AZ52" s="2">
        <v>0.44</v>
      </c>
      <c r="BA52" s="2">
        <v>0.4</v>
      </c>
      <c r="BB52" s="2">
        <v>0.53</v>
      </c>
      <c r="BC52" s="2">
        <v>0.55000000000000004</v>
      </c>
      <c r="BD52" s="2">
        <v>0.56999999999999995</v>
      </c>
      <c r="BE52" s="2">
        <v>0.51</v>
      </c>
      <c r="BF52" s="2">
        <v>0.61</v>
      </c>
      <c r="BG52" s="2">
        <v>0.52</v>
      </c>
      <c r="BH52" s="2">
        <v>0.61</v>
      </c>
      <c r="BI52" s="2">
        <v>0.55000000000000004</v>
      </c>
      <c r="BJ52" s="2">
        <v>0.57999999999999996</v>
      </c>
      <c r="BK52" s="2">
        <v>0.49</v>
      </c>
      <c r="BL52" s="2">
        <v>0.56999999999999995</v>
      </c>
      <c r="BM52" s="2">
        <v>0.45</v>
      </c>
      <c r="BN52" s="2">
        <v>0.52</v>
      </c>
      <c r="BO52" s="2">
        <v>0.35</v>
      </c>
      <c r="BR52" s="1" t="s">
        <v>22</v>
      </c>
      <c r="BS52" s="2">
        <v>0.62</v>
      </c>
      <c r="BT52" s="2">
        <v>0.4</v>
      </c>
      <c r="BU52" s="2">
        <v>0.55000000000000004</v>
      </c>
      <c r="BV52" s="2">
        <v>0.37</v>
      </c>
      <c r="BW52" s="2">
        <v>0.52</v>
      </c>
      <c r="BX52" s="2">
        <v>0.47</v>
      </c>
      <c r="BY52" s="2">
        <v>0.63</v>
      </c>
      <c r="BZ52" s="2">
        <v>0.65</v>
      </c>
      <c r="CA52" s="2">
        <v>0.68</v>
      </c>
      <c r="CB52" s="2">
        <v>0.6</v>
      </c>
      <c r="CC52" s="2">
        <v>0.72</v>
      </c>
      <c r="CD52" s="2">
        <v>0.61</v>
      </c>
      <c r="CE52" s="2">
        <v>0.71</v>
      </c>
      <c r="CF52" s="2">
        <v>0.64</v>
      </c>
      <c r="CG52" s="2">
        <v>0.68</v>
      </c>
      <c r="CH52" s="2">
        <v>0.56999999999999995</v>
      </c>
      <c r="CI52" s="2">
        <v>0.67</v>
      </c>
      <c r="CJ52" s="2">
        <v>0.52</v>
      </c>
      <c r="CK52" s="2">
        <v>0.61</v>
      </c>
      <c r="CL52" s="2">
        <v>0.4</v>
      </c>
    </row>
    <row r="53" spans="2:90" x14ac:dyDescent="0.3">
      <c r="B53" s="1" t="s">
        <v>23</v>
      </c>
      <c r="C53" s="2">
        <v>7274.44</v>
      </c>
      <c r="D53" s="2">
        <v>659.39</v>
      </c>
      <c r="E53" s="2">
        <v>12482.27</v>
      </c>
      <c r="F53" s="2">
        <v>88.25</v>
      </c>
      <c r="G53" s="2">
        <v>1900.24</v>
      </c>
      <c r="H53" s="2">
        <v>3565.58</v>
      </c>
      <c r="I53" s="2">
        <v>7011.05</v>
      </c>
      <c r="J53" s="2">
        <v>2787.87</v>
      </c>
      <c r="K53" s="2">
        <v>9786.56</v>
      </c>
      <c r="L53" s="2">
        <v>2980.55</v>
      </c>
      <c r="M53" s="2">
        <v>20800.419999999998</v>
      </c>
      <c r="N53" s="2">
        <v>5314.49</v>
      </c>
      <c r="O53" s="2">
        <v>19825.13</v>
      </c>
      <c r="P53" s="2">
        <v>4400.08</v>
      </c>
      <c r="Q53" s="2">
        <v>21499.59</v>
      </c>
      <c r="R53" s="2">
        <v>5476.82</v>
      </c>
      <c r="S53" s="2">
        <v>6396.16</v>
      </c>
      <c r="T53" s="2">
        <v>3572.2</v>
      </c>
      <c r="U53" s="2">
        <v>4731.1000000000004</v>
      </c>
      <c r="V53" s="2">
        <v>3730.23</v>
      </c>
      <c r="X53" s="1" t="s">
        <v>23</v>
      </c>
      <c r="Y53" s="2">
        <v>0.39</v>
      </c>
      <c r="Z53" s="2">
        <v>0.12</v>
      </c>
      <c r="AA53" s="2">
        <v>0.37</v>
      </c>
      <c r="AB53" s="2">
        <v>0.04</v>
      </c>
      <c r="AC53" s="2">
        <v>0.27</v>
      </c>
      <c r="AD53" s="2">
        <v>0.54</v>
      </c>
      <c r="AE53" s="2">
        <v>0.33</v>
      </c>
      <c r="AF53" s="2">
        <v>0.24</v>
      </c>
      <c r="AG53" s="2">
        <v>0.35</v>
      </c>
      <c r="AH53" s="2">
        <v>0.21</v>
      </c>
      <c r="AI53" s="2">
        <v>0.41</v>
      </c>
      <c r="AJ53" s="2">
        <v>0.21</v>
      </c>
      <c r="AK53" s="2">
        <v>0.51</v>
      </c>
      <c r="AL53" s="2">
        <v>0.21</v>
      </c>
      <c r="AM53" s="2">
        <v>0.42</v>
      </c>
      <c r="AN53" s="2">
        <v>0.21</v>
      </c>
      <c r="AO53" s="2">
        <v>0.23</v>
      </c>
      <c r="AP53" s="2">
        <v>0.18</v>
      </c>
      <c r="AQ53" s="2">
        <v>0.18</v>
      </c>
      <c r="AR53" s="2">
        <v>0.16</v>
      </c>
      <c r="AU53" s="1" t="s">
        <v>23</v>
      </c>
      <c r="AV53" s="2">
        <v>0.86</v>
      </c>
      <c r="AW53" s="2">
        <v>0.3</v>
      </c>
      <c r="AX53" s="2">
        <v>0.97</v>
      </c>
      <c r="AY53" s="2">
        <v>0.27</v>
      </c>
      <c r="AZ53" s="2">
        <v>0.81</v>
      </c>
      <c r="BA53" s="2">
        <v>0.92</v>
      </c>
      <c r="BB53" s="2">
        <v>0.81</v>
      </c>
      <c r="BC53" s="2">
        <v>0.59</v>
      </c>
      <c r="BD53" s="2">
        <v>0.86</v>
      </c>
      <c r="BE53" s="2">
        <v>0.59</v>
      </c>
      <c r="BF53" s="2">
        <v>0.9</v>
      </c>
      <c r="BG53" s="2">
        <v>0.59</v>
      </c>
      <c r="BH53" s="2">
        <v>0.95</v>
      </c>
      <c r="BI53" s="2">
        <v>0.59</v>
      </c>
      <c r="BJ53" s="2">
        <v>0.92</v>
      </c>
      <c r="BK53" s="2">
        <v>0.56999999999999995</v>
      </c>
      <c r="BL53" s="2">
        <v>0.63</v>
      </c>
      <c r="BM53" s="2">
        <v>0.51</v>
      </c>
      <c r="BN53" s="2">
        <v>0.49</v>
      </c>
      <c r="BO53" s="2">
        <v>0.45</v>
      </c>
      <c r="BR53" s="1" t="s">
        <v>23</v>
      </c>
      <c r="BS53" s="2">
        <v>1.05</v>
      </c>
      <c r="BT53" s="2">
        <v>0.34</v>
      </c>
      <c r="BU53" s="2">
        <v>1.1499999999999999</v>
      </c>
      <c r="BV53" s="2">
        <v>0.28000000000000003</v>
      </c>
      <c r="BW53" s="2">
        <v>0.98</v>
      </c>
      <c r="BX53" s="2">
        <v>1.18</v>
      </c>
      <c r="BY53" s="2">
        <v>0.96</v>
      </c>
      <c r="BZ53" s="2">
        <v>0.7</v>
      </c>
      <c r="CA53" s="2">
        <v>1.02</v>
      </c>
      <c r="CB53" s="2">
        <v>0.68</v>
      </c>
      <c r="CC53" s="2">
        <v>1.08</v>
      </c>
      <c r="CD53" s="2">
        <v>0.68</v>
      </c>
      <c r="CE53" s="2">
        <v>1.2</v>
      </c>
      <c r="CF53" s="2">
        <v>0.69</v>
      </c>
      <c r="CG53" s="2">
        <v>1.1299999999999999</v>
      </c>
      <c r="CH53" s="2">
        <v>0.66</v>
      </c>
      <c r="CI53" s="2">
        <v>0.73</v>
      </c>
      <c r="CJ53" s="2">
        <v>0.59</v>
      </c>
      <c r="CK53" s="2">
        <v>0.56999999999999995</v>
      </c>
      <c r="CL53" s="2">
        <v>0.52</v>
      </c>
    </row>
    <row r="54" spans="2:90" x14ac:dyDescent="0.3">
      <c r="B54" s="1" t="s">
        <v>24</v>
      </c>
      <c r="C54" s="2">
        <v>1983.47</v>
      </c>
      <c r="D54" s="2">
        <v>260.5</v>
      </c>
      <c r="E54" s="2">
        <v>2223.02</v>
      </c>
      <c r="F54" s="2">
        <v>173.41</v>
      </c>
      <c r="G54" s="2">
        <v>665.68</v>
      </c>
      <c r="H54" s="2">
        <v>832.54</v>
      </c>
      <c r="I54" s="2">
        <v>1297.24</v>
      </c>
      <c r="J54" s="2">
        <v>713.49</v>
      </c>
      <c r="K54" s="2">
        <v>1839.8</v>
      </c>
      <c r="L54" s="2">
        <v>710.85</v>
      </c>
      <c r="M54" s="2">
        <v>3590.92</v>
      </c>
      <c r="N54" s="2">
        <v>1173.71</v>
      </c>
      <c r="O54" s="2">
        <v>2802.29</v>
      </c>
      <c r="P54" s="2">
        <v>958.4</v>
      </c>
      <c r="Q54" s="2">
        <v>2051.41</v>
      </c>
      <c r="R54" s="2">
        <v>1101.6600000000001</v>
      </c>
      <c r="S54" s="2">
        <v>1016.45</v>
      </c>
      <c r="T54" s="2">
        <v>847.73</v>
      </c>
      <c r="U54" s="2">
        <v>1069.43</v>
      </c>
      <c r="V54" s="2">
        <v>952.61</v>
      </c>
      <c r="X54" s="1" t="s">
        <v>24</v>
      </c>
      <c r="Y54" s="2">
        <v>0.34</v>
      </c>
      <c r="Z54" s="2">
        <v>0.15</v>
      </c>
      <c r="AA54" s="2">
        <v>0.34</v>
      </c>
      <c r="AB54" s="2">
        <v>0.14000000000000001</v>
      </c>
      <c r="AC54" s="2">
        <v>0.28999999999999998</v>
      </c>
      <c r="AD54" s="2">
        <v>0.36</v>
      </c>
      <c r="AE54" s="2">
        <v>0.3</v>
      </c>
      <c r="AF54" s="2">
        <v>0.24</v>
      </c>
      <c r="AG54" s="2">
        <v>0.3</v>
      </c>
      <c r="AH54" s="2">
        <v>0.21</v>
      </c>
      <c r="AI54" s="2">
        <v>0.3</v>
      </c>
      <c r="AJ54" s="2">
        <v>0.21</v>
      </c>
      <c r="AK54" s="2">
        <v>0.3</v>
      </c>
      <c r="AL54" s="2">
        <v>0.2</v>
      </c>
      <c r="AM54" s="2">
        <v>0.25</v>
      </c>
      <c r="AN54" s="2">
        <v>0.2</v>
      </c>
      <c r="AO54" s="2">
        <v>0.2</v>
      </c>
      <c r="AP54" s="2">
        <v>0.18</v>
      </c>
      <c r="AQ54" s="2">
        <v>0.18</v>
      </c>
      <c r="AR54" s="2">
        <v>0.17</v>
      </c>
      <c r="AU54" s="1" t="s">
        <v>24</v>
      </c>
      <c r="AV54" s="2">
        <v>0.89</v>
      </c>
      <c r="AW54" s="2">
        <v>0.43</v>
      </c>
      <c r="AX54" s="2">
        <v>0.88</v>
      </c>
      <c r="AY54" s="2">
        <v>0.3</v>
      </c>
      <c r="AZ54" s="2">
        <v>0.88</v>
      </c>
      <c r="BA54" s="2">
        <v>0.89</v>
      </c>
      <c r="BB54" s="2">
        <v>0.76</v>
      </c>
      <c r="BC54" s="2">
        <v>0.62</v>
      </c>
      <c r="BD54" s="2">
        <v>0.82</v>
      </c>
      <c r="BE54" s="2">
        <v>0.61</v>
      </c>
      <c r="BF54" s="2">
        <v>0.84</v>
      </c>
      <c r="BG54" s="2">
        <v>0.59</v>
      </c>
      <c r="BH54" s="2">
        <v>0.84</v>
      </c>
      <c r="BI54" s="2">
        <v>0.59</v>
      </c>
      <c r="BJ54" s="2">
        <v>0.71</v>
      </c>
      <c r="BK54" s="2">
        <v>0.56000000000000005</v>
      </c>
      <c r="BL54" s="2">
        <v>0.56000000000000005</v>
      </c>
      <c r="BM54" s="2">
        <v>0.53</v>
      </c>
      <c r="BN54" s="2">
        <v>0.52</v>
      </c>
      <c r="BO54" s="2">
        <v>0.49</v>
      </c>
      <c r="BR54" s="1" t="s">
        <v>24</v>
      </c>
      <c r="BS54" s="2">
        <v>1.05</v>
      </c>
      <c r="BT54" s="2">
        <v>0.5</v>
      </c>
      <c r="BU54" s="2">
        <v>1.05</v>
      </c>
      <c r="BV54" s="2">
        <v>0.35</v>
      </c>
      <c r="BW54" s="2">
        <v>1.05</v>
      </c>
      <c r="BX54" s="2">
        <v>1.05</v>
      </c>
      <c r="BY54" s="2">
        <v>0.9</v>
      </c>
      <c r="BZ54" s="2">
        <v>0.73</v>
      </c>
      <c r="CA54" s="2">
        <v>0.95</v>
      </c>
      <c r="CB54" s="2">
        <v>0.7</v>
      </c>
      <c r="CC54" s="2">
        <v>0.97</v>
      </c>
      <c r="CD54" s="2">
        <v>0.68</v>
      </c>
      <c r="CE54" s="2">
        <v>0.97</v>
      </c>
      <c r="CF54" s="2">
        <v>0.68</v>
      </c>
      <c r="CG54" s="2">
        <v>0.82</v>
      </c>
      <c r="CH54" s="2">
        <v>0.65</v>
      </c>
      <c r="CI54" s="2">
        <v>0.65</v>
      </c>
      <c r="CJ54" s="2">
        <v>0.61</v>
      </c>
      <c r="CK54" s="2">
        <v>0.6</v>
      </c>
      <c r="CL54" s="2">
        <v>0.56999999999999995</v>
      </c>
    </row>
    <row r="55" spans="2:90" x14ac:dyDescent="0.3">
      <c r="B55" s="1" t="s">
        <v>25</v>
      </c>
      <c r="C55" s="2">
        <v>6454.88</v>
      </c>
      <c r="D55" s="2">
        <v>4155.95</v>
      </c>
      <c r="E55" s="2">
        <v>4904.03</v>
      </c>
      <c r="F55" s="2">
        <v>2279.54</v>
      </c>
      <c r="G55" s="2">
        <v>1507.46</v>
      </c>
      <c r="H55" s="2">
        <v>3048.04</v>
      </c>
      <c r="I55" s="2">
        <v>2427.6</v>
      </c>
      <c r="J55" s="2">
        <v>4938.88</v>
      </c>
      <c r="K55" s="2">
        <v>5479.7</v>
      </c>
      <c r="L55" s="2">
        <v>6278.8</v>
      </c>
      <c r="M55" s="2">
        <v>8352.52</v>
      </c>
      <c r="N55" s="2">
        <v>7676.28</v>
      </c>
      <c r="O55" s="2">
        <v>5630.21</v>
      </c>
      <c r="P55" s="2">
        <v>5530.79</v>
      </c>
      <c r="Q55" s="2">
        <v>6453.12</v>
      </c>
      <c r="R55" s="2">
        <v>6001.96</v>
      </c>
      <c r="S55" s="2">
        <v>5062.59</v>
      </c>
      <c r="T55" s="2">
        <v>4397.83</v>
      </c>
      <c r="U55" s="2">
        <v>5669.23</v>
      </c>
      <c r="V55" s="2">
        <v>4726.2700000000004</v>
      </c>
      <c r="X55" s="1" t="s">
        <v>25</v>
      </c>
      <c r="Y55" s="2">
        <v>0.21</v>
      </c>
      <c r="Z55" s="2">
        <v>0.23</v>
      </c>
      <c r="AA55" s="2">
        <v>0.27</v>
      </c>
      <c r="AB55" s="2">
        <v>0.28000000000000003</v>
      </c>
      <c r="AC55" s="2">
        <v>0.19</v>
      </c>
      <c r="AD55" s="2">
        <v>0.26</v>
      </c>
      <c r="AE55" s="2">
        <v>0.24</v>
      </c>
      <c r="AF55" s="2">
        <v>0.25</v>
      </c>
      <c r="AG55" s="2">
        <v>0.26</v>
      </c>
      <c r="AH55" s="2">
        <v>0.26</v>
      </c>
      <c r="AI55" s="2">
        <v>0.24</v>
      </c>
      <c r="AJ55" s="2">
        <v>0.25</v>
      </c>
      <c r="AK55" s="2">
        <v>0.23</v>
      </c>
      <c r="AL55" s="2">
        <v>0.24</v>
      </c>
      <c r="AM55" s="2">
        <v>0.21</v>
      </c>
      <c r="AN55" s="2">
        <v>0.21</v>
      </c>
      <c r="AO55" s="2">
        <v>0.2</v>
      </c>
      <c r="AP55" s="2">
        <v>0.19</v>
      </c>
      <c r="AQ55" s="2">
        <v>0.19</v>
      </c>
      <c r="AR55" s="2">
        <v>0.21</v>
      </c>
      <c r="AU55" s="1" t="s">
        <v>25</v>
      </c>
      <c r="AV55" s="2">
        <v>0.85</v>
      </c>
      <c r="AW55" s="2">
        <v>0.7</v>
      </c>
      <c r="AX55" s="2">
        <v>0.71</v>
      </c>
      <c r="AY55" s="2">
        <v>0.49</v>
      </c>
      <c r="AZ55" s="2">
        <v>0.73</v>
      </c>
      <c r="BA55" s="2">
        <v>0.86</v>
      </c>
      <c r="BB55" s="2">
        <v>0.5</v>
      </c>
      <c r="BC55" s="2">
        <v>0.7</v>
      </c>
      <c r="BD55" s="2">
        <v>0.69</v>
      </c>
      <c r="BE55" s="2">
        <v>0.72</v>
      </c>
      <c r="BF55" s="2">
        <v>0.65</v>
      </c>
      <c r="BG55" s="2">
        <v>0.62</v>
      </c>
      <c r="BH55" s="2">
        <v>0.61</v>
      </c>
      <c r="BI55" s="2">
        <v>0.59</v>
      </c>
      <c r="BJ55" s="2">
        <v>0.57999999999999996</v>
      </c>
      <c r="BK55" s="2">
        <v>0.56000000000000005</v>
      </c>
      <c r="BL55" s="2">
        <v>0.56000000000000005</v>
      </c>
      <c r="BM55" s="2">
        <v>0.5</v>
      </c>
      <c r="BN55" s="2">
        <v>0.51</v>
      </c>
      <c r="BO55" s="2">
        <v>0.45</v>
      </c>
      <c r="BR55" s="1" t="s">
        <v>25</v>
      </c>
      <c r="BS55" s="2">
        <v>0.99</v>
      </c>
      <c r="BT55" s="2">
        <v>0.82</v>
      </c>
      <c r="BU55" s="2">
        <v>0.84</v>
      </c>
      <c r="BV55" s="2">
        <v>0.59</v>
      </c>
      <c r="BW55" s="2">
        <v>0.86</v>
      </c>
      <c r="BX55" s="2">
        <v>1.02</v>
      </c>
      <c r="BY55" s="2">
        <v>0.59</v>
      </c>
      <c r="BZ55" s="2">
        <v>0.83</v>
      </c>
      <c r="CA55" s="2">
        <v>0.81</v>
      </c>
      <c r="CB55" s="2">
        <v>0.84</v>
      </c>
      <c r="CC55" s="2">
        <v>0.76</v>
      </c>
      <c r="CD55" s="2">
        <v>0.72</v>
      </c>
      <c r="CE55" s="2">
        <v>0.71</v>
      </c>
      <c r="CF55" s="2">
        <v>0.69</v>
      </c>
      <c r="CG55" s="2">
        <v>0.68</v>
      </c>
      <c r="CH55" s="2">
        <v>0.65</v>
      </c>
      <c r="CI55" s="2">
        <v>0.65</v>
      </c>
      <c r="CJ55" s="2">
        <v>0.59</v>
      </c>
      <c r="CK55" s="2">
        <v>0.6</v>
      </c>
      <c r="CL55" s="2">
        <v>0.52</v>
      </c>
    </row>
    <row r="56" spans="2:90" x14ac:dyDescent="0.3">
      <c r="B56" s="1" t="s">
        <v>26</v>
      </c>
      <c r="C56" s="2">
        <v>1867.19</v>
      </c>
      <c r="D56" s="2">
        <v>1943.66</v>
      </c>
      <c r="E56" s="2">
        <v>1115.8399999999999</v>
      </c>
      <c r="F56" s="2">
        <v>1931.09</v>
      </c>
      <c r="G56" s="2">
        <v>634.30999999999995</v>
      </c>
      <c r="H56" s="2">
        <v>717.46</v>
      </c>
      <c r="I56" s="2">
        <v>584.88</v>
      </c>
      <c r="J56" s="2">
        <v>1856.21</v>
      </c>
      <c r="K56" s="2">
        <v>694.54</v>
      </c>
      <c r="L56" s="2">
        <v>2855.48</v>
      </c>
      <c r="M56" s="2">
        <v>1480.35</v>
      </c>
      <c r="N56" s="2">
        <v>3339.7</v>
      </c>
      <c r="O56" s="2">
        <v>1145.99</v>
      </c>
      <c r="P56" s="2">
        <v>1960.68</v>
      </c>
      <c r="Q56" s="2">
        <v>1478.28</v>
      </c>
      <c r="R56" s="2">
        <v>2514.39</v>
      </c>
      <c r="S56" s="2">
        <v>1206.1500000000001</v>
      </c>
      <c r="T56" s="2">
        <v>2007.03</v>
      </c>
      <c r="U56" s="2">
        <v>1308.1500000000001</v>
      </c>
      <c r="V56" s="2">
        <v>1153.67</v>
      </c>
      <c r="X56" s="1" t="s">
        <v>26</v>
      </c>
      <c r="Y56" s="2">
        <v>0.31</v>
      </c>
      <c r="Z56" s="2">
        <v>0.32</v>
      </c>
      <c r="AA56" s="2">
        <v>0.39</v>
      </c>
      <c r="AB56" s="2">
        <v>0.46</v>
      </c>
      <c r="AC56" s="2">
        <v>0.28000000000000003</v>
      </c>
      <c r="AD56" s="2">
        <v>0.33</v>
      </c>
      <c r="AE56" s="2">
        <v>0.28000000000000003</v>
      </c>
      <c r="AF56" s="2">
        <v>0.28000000000000003</v>
      </c>
      <c r="AG56" s="2">
        <v>0.27</v>
      </c>
      <c r="AH56" s="2">
        <v>0.4</v>
      </c>
      <c r="AI56" s="2">
        <v>0.28999999999999998</v>
      </c>
      <c r="AJ56" s="2">
        <v>0.37</v>
      </c>
      <c r="AK56" s="2">
        <v>0.28000000000000003</v>
      </c>
      <c r="AL56" s="2">
        <v>0.34</v>
      </c>
      <c r="AM56" s="2">
        <v>0.28000000000000003</v>
      </c>
      <c r="AN56" s="2">
        <v>0.34</v>
      </c>
      <c r="AO56" s="2">
        <v>0.27</v>
      </c>
      <c r="AP56" s="2">
        <v>0.33</v>
      </c>
      <c r="AQ56" s="2">
        <v>0.24</v>
      </c>
      <c r="AR56" s="2">
        <v>0.24</v>
      </c>
      <c r="AU56" s="1" t="s">
        <v>26</v>
      </c>
      <c r="AV56" s="2">
        <v>0.87</v>
      </c>
      <c r="AW56" s="2">
        <v>0.87</v>
      </c>
      <c r="AX56" s="2">
        <v>0.7</v>
      </c>
      <c r="AY56" s="2">
        <v>0.81</v>
      </c>
      <c r="AZ56" s="2">
        <v>0.85</v>
      </c>
      <c r="BA56" s="2">
        <v>0.85</v>
      </c>
      <c r="BB56" s="2">
        <v>0.53</v>
      </c>
      <c r="BC56" s="2">
        <v>0.85</v>
      </c>
      <c r="BD56" s="2">
        <v>0.55000000000000004</v>
      </c>
      <c r="BE56" s="2">
        <v>0.86</v>
      </c>
      <c r="BF56" s="2">
        <v>0.6</v>
      </c>
      <c r="BG56" s="2">
        <v>0.77</v>
      </c>
      <c r="BH56" s="2">
        <v>0.59</v>
      </c>
      <c r="BI56" s="2">
        <v>0.7</v>
      </c>
      <c r="BJ56" s="2">
        <v>0.57999999999999996</v>
      </c>
      <c r="BK56" s="2">
        <v>0.7</v>
      </c>
      <c r="BL56" s="2">
        <v>0.56999999999999995</v>
      </c>
      <c r="BM56" s="2">
        <v>0.66</v>
      </c>
      <c r="BN56" s="2">
        <v>0.52</v>
      </c>
      <c r="BO56" s="2">
        <v>0.48</v>
      </c>
      <c r="BR56" s="1" t="s">
        <v>26</v>
      </c>
      <c r="BS56" s="2">
        <v>1.05</v>
      </c>
      <c r="BT56" s="2">
        <v>1.05</v>
      </c>
      <c r="BU56" s="2">
        <v>0.88</v>
      </c>
      <c r="BV56" s="2">
        <v>1.02</v>
      </c>
      <c r="BW56" s="2">
        <v>1.05</v>
      </c>
      <c r="BX56" s="2">
        <v>1.05</v>
      </c>
      <c r="BY56" s="2">
        <v>0.66</v>
      </c>
      <c r="BZ56" s="2">
        <v>1.05</v>
      </c>
      <c r="CA56" s="2">
        <v>0.68</v>
      </c>
      <c r="CB56" s="2">
        <v>1.05</v>
      </c>
      <c r="CC56" s="2">
        <v>0.72</v>
      </c>
      <c r="CD56" s="2">
        <v>0.94</v>
      </c>
      <c r="CE56" s="2">
        <v>0.71</v>
      </c>
      <c r="CF56" s="2">
        <v>0.85</v>
      </c>
      <c r="CG56" s="2">
        <v>0.71</v>
      </c>
      <c r="CH56" s="2">
        <v>0.85</v>
      </c>
      <c r="CI56" s="2">
        <v>0.69</v>
      </c>
      <c r="CJ56" s="2">
        <v>0.81</v>
      </c>
      <c r="CK56" s="2">
        <v>0.63</v>
      </c>
      <c r="CL56" s="2">
        <v>0.59</v>
      </c>
    </row>
    <row r="57" spans="2:90" x14ac:dyDescent="0.3">
      <c r="B57" s="1" t="s">
        <v>27</v>
      </c>
      <c r="C57" s="2">
        <v>9942.7800000000007</v>
      </c>
      <c r="D57" s="2">
        <v>9137.99</v>
      </c>
      <c r="E57" s="2">
        <v>4088.1</v>
      </c>
      <c r="F57" s="2">
        <v>6494.22</v>
      </c>
      <c r="G57" s="2">
        <v>2372.34</v>
      </c>
      <c r="H57" s="2">
        <v>3452.97</v>
      </c>
      <c r="I57" s="2">
        <v>3707.22</v>
      </c>
      <c r="J57" s="2">
        <v>10811.02</v>
      </c>
      <c r="K57" s="2">
        <v>3907.92</v>
      </c>
      <c r="L57" s="2">
        <v>17713.3</v>
      </c>
      <c r="M57" s="2">
        <v>7764.28</v>
      </c>
      <c r="N57" s="2">
        <v>22962.3</v>
      </c>
      <c r="O57" s="2">
        <v>6177.29</v>
      </c>
      <c r="P57" s="2">
        <v>12851.33</v>
      </c>
      <c r="Q57" s="2">
        <v>9051.18</v>
      </c>
      <c r="R57" s="2">
        <v>11036.52</v>
      </c>
      <c r="S57" s="2">
        <v>6017.49</v>
      </c>
      <c r="T57" s="2">
        <v>6508.65</v>
      </c>
      <c r="U57" s="2">
        <v>6762.79</v>
      </c>
      <c r="V57" s="2">
        <v>6580.51</v>
      </c>
      <c r="X57" s="1" t="s">
        <v>27</v>
      </c>
      <c r="Y57" s="2">
        <v>0.37</v>
      </c>
      <c r="Z57" s="2">
        <v>0.46</v>
      </c>
      <c r="AA57" s="2">
        <v>0.36</v>
      </c>
      <c r="AB57" s="2">
        <v>0.43</v>
      </c>
      <c r="AC57" s="2">
        <v>0.31</v>
      </c>
      <c r="AD57" s="2">
        <v>0.39</v>
      </c>
      <c r="AE57" s="2">
        <v>0.32</v>
      </c>
      <c r="AF57" s="2">
        <v>0.44</v>
      </c>
      <c r="AG57" s="2">
        <v>0.28999999999999998</v>
      </c>
      <c r="AH57" s="2">
        <v>0.44</v>
      </c>
      <c r="AI57" s="2">
        <v>0.3</v>
      </c>
      <c r="AJ57" s="2">
        <v>0.41</v>
      </c>
      <c r="AK57" s="2">
        <v>0.28999999999999998</v>
      </c>
      <c r="AL57" s="2">
        <v>0.37</v>
      </c>
      <c r="AM57" s="2">
        <v>0.3</v>
      </c>
      <c r="AN57" s="2">
        <v>0.33</v>
      </c>
      <c r="AO57" s="2">
        <v>0.27</v>
      </c>
      <c r="AP57" s="2">
        <v>0.28000000000000003</v>
      </c>
      <c r="AQ57" s="2">
        <v>0.25</v>
      </c>
      <c r="AR57" s="2">
        <v>0.25</v>
      </c>
      <c r="AU57" s="1" t="s">
        <v>27</v>
      </c>
      <c r="AV57" s="2">
        <v>0.92</v>
      </c>
      <c r="AW57" s="2">
        <v>0.89</v>
      </c>
      <c r="AX57" s="2">
        <v>0.67</v>
      </c>
      <c r="AY57" s="2">
        <v>0.78</v>
      </c>
      <c r="AZ57" s="2">
        <v>0.82</v>
      </c>
      <c r="BA57" s="2">
        <v>0.88</v>
      </c>
      <c r="BB57" s="2">
        <v>0.62</v>
      </c>
      <c r="BC57" s="2">
        <v>0.91</v>
      </c>
      <c r="BD57" s="2">
        <v>0.6</v>
      </c>
      <c r="BE57" s="2">
        <v>0.96</v>
      </c>
      <c r="BF57" s="2">
        <v>0.63</v>
      </c>
      <c r="BG57" s="2">
        <v>0.89</v>
      </c>
      <c r="BH57" s="2">
        <v>0.62</v>
      </c>
      <c r="BI57" s="2">
        <v>0.8</v>
      </c>
      <c r="BJ57" s="2">
        <v>0.65</v>
      </c>
      <c r="BK57" s="2">
        <v>0.7</v>
      </c>
      <c r="BL57" s="2">
        <v>0.57999999999999996</v>
      </c>
      <c r="BM57" s="2">
        <v>0.59</v>
      </c>
      <c r="BN57" s="2">
        <v>0.54</v>
      </c>
      <c r="BO57" s="2">
        <v>0.53</v>
      </c>
      <c r="BR57" s="1" t="s">
        <v>27</v>
      </c>
      <c r="BS57" s="2">
        <v>1.1100000000000001</v>
      </c>
      <c r="BT57" s="2">
        <v>1.1200000000000001</v>
      </c>
      <c r="BU57" s="2">
        <v>0.84</v>
      </c>
      <c r="BV57" s="2">
        <v>0.97</v>
      </c>
      <c r="BW57" s="2">
        <v>1.02</v>
      </c>
      <c r="BX57" s="2">
        <v>1.0900000000000001</v>
      </c>
      <c r="BY57" s="2">
        <v>0.77</v>
      </c>
      <c r="BZ57" s="2">
        <v>1.2</v>
      </c>
      <c r="CA57" s="2">
        <v>0.73</v>
      </c>
      <c r="CB57" s="2">
        <v>1.1599999999999999</v>
      </c>
      <c r="CC57" s="2">
        <v>0.76</v>
      </c>
      <c r="CD57" s="2">
        <v>1.07</v>
      </c>
      <c r="CE57" s="2">
        <v>0.75</v>
      </c>
      <c r="CF57" s="2">
        <v>0.97</v>
      </c>
      <c r="CG57" s="2">
        <v>0.79</v>
      </c>
      <c r="CH57" s="2">
        <v>0.85</v>
      </c>
      <c r="CI57" s="2">
        <v>0.7</v>
      </c>
      <c r="CJ57" s="2">
        <v>0.72</v>
      </c>
      <c r="CK57" s="2">
        <v>0.65</v>
      </c>
      <c r="CL57" s="2">
        <v>0.64</v>
      </c>
    </row>
    <row r="58" spans="2:90" x14ac:dyDescent="0.3">
      <c r="B58" s="1" t="s">
        <v>28</v>
      </c>
      <c r="C58" s="2">
        <v>1050.47</v>
      </c>
      <c r="D58" s="2">
        <v>1637.65</v>
      </c>
      <c r="E58" s="2">
        <v>102.63</v>
      </c>
      <c r="F58" s="2">
        <v>108.89</v>
      </c>
      <c r="G58" s="2">
        <v>25.22</v>
      </c>
      <c r="H58" s="2">
        <v>222.9</v>
      </c>
      <c r="I58" s="2">
        <v>90.11</v>
      </c>
      <c r="J58" s="2">
        <v>2934.16</v>
      </c>
      <c r="K58" s="2">
        <v>1343.92</v>
      </c>
      <c r="L58" s="2">
        <v>3544.92</v>
      </c>
      <c r="M58" s="2">
        <v>3238.18</v>
      </c>
      <c r="N58" s="2">
        <v>5980.87</v>
      </c>
      <c r="O58" s="2">
        <v>2733.39</v>
      </c>
      <c r="P58" s="2">
        <v>3434.46</v>
      </c>
      <c r="Q58" s="2">
        <v>3168.44</v>
      </c>
      <c r="R58" s="2">
        <v>3179.38</v>
      </c>
      <c r="S58" s="2">
        <v>2510.7199999999998</v>
      </c>
      <c r="T58" s="2">
        <v>2178.0500000000002</v>
      </c>
      <c r="U58" s="2">
        <v>2911.82</v>
      </c>
      <c r="V58" s="2">
        <v>2415.9699999999998</v>
      </c>
      <c r="X58" s="1" t="s">
        <v>28</v>
      </c>
      <c r="Y58" s="2">
        <v>0.17</v>
      </c>
      <c r="Z58" s="2">
        <v>0.22</v>
      </c>
      <c r="AA58" s="2">
        <v>0.04</v>
      </c>
      <c r="AB58" s="2">
        <v>0.04</v>
      </c>
      <c r="AC58" s="2">
        <v>0.03</v>
      </c>
      <c r="AD58" s="2">
        <v>0.13</v>
      </c>
      <c r="AE58" s="2">
        <v>0.04</v>
      </c>
      <c r="AF58" s="2">
        <v>0.22</v>
      </c>
      <c r="AG58" s="2">
        <v>0.14000000000000001</v>
      </c>
      <c r="AH58" s="2">
        <v>0.21</v>
      </c>
      <c r="AI58" s="2">
        <v>0.14000000000000001</v>
      </c>
      <c r="AJ58" s="2">
        <v>0.21</v>
      </c>
      <c r="AK58" s="2">
        <v>0.14000000000000001</v>
      </c>
      <c r="AL58" s="2">
        <v>0.19</v>
      </c>
      <c r="AM58" s="2">
        <v>0.13</v>
      </c>
      <c r="AN58" s="2">
        <v>0.15</v>
      </c>
      <c r="AO58" s="2">
        <v>0.13</v>
      </c>
      <c r="AP58" s="2">
        <v>0.13</v>
      </c>
      <c r="AQ58" s="2">
        <v>0.13</v>
      </c>
      <c r="AR58" s="2">
        <v>0.13</v>
      </c>
      <c r="AU58" s="1" t="s">
        <v>28</v>
      </c>
      <c r="AV58" s="2">
        <v>0.47</v>
      </c>
      <c r="AW58" s="2">
        <v>0.56000000000000005</v>
      </c>
      <c r="AX58" s="2">
        <v>0.28000000000000003</v>
      </c>
      <c r="AY58" s="2">
        <v>0.3</v>
      </c>
      <c r="AZ58" s="2">
        <v>0.23</v>
      </c>
      <c r="BA58" s="2">
        <v>0.3</v>
      </c>
      <c r="BB58" s="2">
        <v>0.25</v>
      </c>
      <c r="BC58" s="2">
        <v>0.7</v>
      </c>
      <c r="BD58" s="2">
        <v>0.5</v>
      </c>
      <c r="BE58" s="2">
        <v>0.71</v>
      </c>
      <c r="BF58" s="2">
        <v>0.6</v>
      </c>
      <c r="BG58" s="2">
        <v>0.69</v>
      </c>
      <c r="BH58" s="2">
        <v>0.62</v>
      </c>
      <c r="BI58" s="2">
        <v>0.62</v>
      </c>
      <c r="BJ58" s="2">
        <v>0.59</v>
      </c>
      <c r="BK58" s="2">
        <v>0.56000000000000005</v>
      </c>
      <c r="BL58" s="2">
        <v>0.56000000000000005</v>
      </c>
      <c r="BM58" s="2">
        <v>0.5</v>
      </c>
      <c r="BN58" s="2">
        <v>0.51</v>
      </c>
      <c r="BO58" s="2">
        <v>0.45</v>
      </c>
      <c r="BR58" s="1" t="s">
        <v>28</v>
      </c>
      <c r="BS58" s="2">
        <v>0.56000000000000005</v>
      </c>
      <c r="BT58" s="2">
        <v>0.68</v>
      </c>
      <c r="BU58" s="2">
        <v>0.28999999999999998</v>
      </c>
      <c r="BV58" s="2">
        <v>0.31</v>
      </c>
      <c r="BW58" s="2">
        <v>0.24</v>
      </c>
      <c r="BX58" s="2">
        <v>0.35</v>
      </c>
      <c r="BY58" s="2">
        <v>0.26</v>
      </c>
      <c r="BZ58" s="2">
        <v>0.85</v>
      </c>
      <c r="CA58" s="2">
        <v>0.59</v>
      </c>
      <c r="CB58" s="2">
        <v>0.87</v>
      </c>
      <c r="CC58" s="2">
        <v>0.71</v>
      </c>
      <c r="CD58" s="2">
        <v>0.84</v>
      </c>
      <c r="CE58" s="2">
        <v>0.74</v>
      </c>
      <c r="CF58" s="2">
        <v>0.75</v>
      </c>
      <c r="CG58" s="2">
        <v>0.7</v>
      </c>
      <c r="CH58" s="2">
        <v>0.67</v>
      </c>
      <c r="CI58" s="2">
        <v>0.67</v>
      </c>
      <c r="CJ58" s="2">
        <v>0.6</v>
      </c>
      <c r="CK58" s="2">
        <v>0.61</v>
      </c>
      <c r="CL58" s="2">
        <v>0.53</v>
      </c>
    </row>
    <row r="61" spans="2:90" x14ac:dyDescent="0.3">
      <c r="B61" t="s">
        <v>41</v>
      </c>
      <c r="X61" t="s">
        <v>42</v>
      </c>
      <c r="AU61" t="s">
        <v>43</v>
      </c>
      <c r="BR61" t="s">
        <v>44</v>
      </c>
    </row>
    <row r="62" spans="2:90" x14ac:dyDescent="0.3">
      <c r="B62" s="1" t="s">
        <v>16</v>
      </c>
      <c r="C62" s="1" t="s">
        <v>17</v>
      </c>
      <c r="D62" s="1" t="s">
        <v>18</v>
      </c>
      <c r="E62" s="1" t="s">
        <v>17</v>
      </c>
      <c r="F62" s="1" t="s">
        <v>18</v>
      </c>
      <c r="G62" s="1" t="s">
        <v>17</v>
      </c>
      <c r="H62" s="1" t="s">
        <v>18</v>
      </c>
      <c r="I62" s="1" t="s">
        <v>17</v>
      </c>
      <c r="J62" s="1" t="s">
        <v>18</v>
      </c>
      <c r="K62" s="1" t="s">
        <v>17</v>
      </c>
      <c r="L62" s="1" t="s">
        <v>18</v>
      </c>
      <c r="M62" s="1" t="s">
        <v>17</v>
      </c>
      <c r="N62" s="1" t="s">
        <v>18</v>
      </c>
      <c r="O62" s="1" t="s">
        <v>17</v>
      </c>
      <c r="P62" s="1" t="s">
        <v>18</v>
      </c>
      <c r="Q62" s="1" t="s">
        <v>17</v>
      </c>
      <c r="R62" s="1" t="s">
        <v>18</v>
      </c>
      <c r="S62" s="1" t="s">
        <v>17</v>
      </c>
      <c r="T62" s="1" t="s">
        <v>18</v>
      </c>
      <c r="U62" s="1" t="s">
        <v>17</v>
      </c>
      <c r="V62" s="1" t="s">
        <v>18</v>
      </c>
      <c r="X62" s="1" t="s">
        <v>16</v>
      </c>
      <c r="Y62" s="1" t="s">
        <v>17</v>
      </c>
      <c r="Z62" s="1" t="s">
        <v>18</v>
      </c>
      <c r="AA62" s="1" t="s">
        <v>17</v>
      </c>
      <c r="AB62" s="1" t="s">
        <v>18</v>
      </c>
      <c r="AC62" s="1" t="s">
        <v>17</v>
      </c>
      <c r="AD62" s="1" t="s">
        <v>18</v>
      </c>
      <c r="AE62" s="1" t="s">
        <v>17</v>
      </c>
      <c r="AF62" s="1" t="s">
        <v>18</v>
      </c>
      <c r="AG62" s="1" t="s">
        <v>17</v>
      </c>
      <c r="AH62" s="1" t="s">
        <v>18</v>
      </c>
      <c r="AI62" s="1" t="s">
        <v>17</v>
      </c>
      <c r="AJ62" s="1" t="s">
        <v>18</v>
      </c>
      <c r="AK62" s="1" t="s">
        <v>17</v>
      </c>
      <c r="AL62" s="1" t="s">
        <v>18</v>
      </c>
      <c r="AM62" s="1" t="s">
        <v>17</v>
      </c>
      <c r="AN62" s="1" t="s">
        <v>18</v>
      </c>
      <c r="AO62" s="1" t="s">
        <v>17</v>
      </c>
      <c r="AP62" s="1" t="s">
        <v>18</v>
      </c>
      <c r="AQ62" s="1" t="s">
        <v>17</v>
      </c>
      <c r="AR62" s="1" t="s">
        <v>18</v>
      </c>
      <c r="AU62" s="1" t="s">
        <v>16</v>
      </c>
      <c r="AV62" s="1" t="s">
        <v>17</v>
      </c>
      <c r="AW62" s="1" t="s">
        <v>18</v>
      </c>
      <c r="AX62" s="1" t="s">
        <v>17</v>
      </c>
      <c r="AY62" s="1" t="s">
        <v>18</v>
      </c>
      <c r="AZ62" s="1" t="s">
        <v>17</v>
      </c>
      <c r="BA62" s="1" t="s">
        <v>18</v>
      </c>
      <c r="BB62" s="1" t="s">
        <v>17</v>
      </c>
      <c r="BC62" s="1" t="s">
        <v>18</v>
      </c>
      <c r="BD62" s="1" t="s">
        <v>17</v>
      </c>
      <c r="BE62" s="1" t="s">
        <v>18</v>
      </c>
      <c r="BF62" s="1" t="s">
        <v>17</v>
      </c>
      <c r="BG62" s="1" t="s">
        <v>18</v>
      </c>
      <c r="BH62" s="1" t="s">
        <v>17</v>
      </c>
      <c r="BI62" s="1" t="s">
        <v>18</v>
      </c>
      <c r="BJ62" s="1" t="s">
        <v>17</v>
      </c>
      <c r="BK62" s="1" t="s">
        <v>18</v>
      </c>
      <c r="BL62" s="1" t="s">
        <v>17</v>
      </c>
      <c r="BM62" s="1" t="s">
        <v>18</v>
      </c>
      <c r="BN62" s="1" t="s">
        <v>17</v>
      </c>
      <c r="BO62" s="1" t="s">
        <v>18</v>
      </c>
      <c r="BR62" s="1" t="s">
        <v>16</v>
      </c>
      <c r="BS62" s="1" t="s">
        <v>17</v>
      </c>
      <c r="BT62" s="1" t="s">
        <v>18</v>
      </c>
      <c r="BU62" s="1" t="s">
        <v>17</v>
      </c>
      <c r="BV62" s="1" t="s">
        <v>18</v>
      </c>
      <c r="BW62" s="1" t="s">
        <v>17</v>
      </c>
      <c r="BX62" s="1" t="s">
        <v>18</v>
      </c>
      <c r="BY62" s="1" t="s">
        <v>17</v>
      </c>
      <c r="BZ62" s="1" t="s">
        <v>18</v>
      </c>
      <c r="CA62" s="1" t="s">
        <v>17</v>
      </c>
      <c r="CB62" s="1" t="s">
        <v>18</v>
      </c>
      <c r="CC62" s="1" t="s">
        <v>17</v>
      </c>
      <c r="CD62" s="1" t="s">
        <v>18</v>
      </c>
      <c r="CE62" s="1" t="s">
        <v>17</v>
      </c>
      <c r="CF62" s="1" t="s">
        <v>18</v>
      </c>
      <c r="CG62" s="1" t="s">
        <v>17</v>
      </c>
      <c r="CH62" s="1" t="s">
        <v>18</v>
      </c>
      <c r="CI62" s="1" t="s">
        <v>17</v>
      </c>
      <c r="CJ62" s="1" t="s">
        <v>18</v>
      </c>
      <c r="CK62" s="1" t="s">
        <v>17</v>
      </c>
      <c r="CL62" s="1" t="s">
        <v>18</v>
      </c>
    </row>
    <row r="63" spans="2:90" x14ac:dyDescent="0.3">
      <c r="B63" s="1" t="s">
        <v>19</v>
      </c>
      <c r="C63" s="1" t="s">
        <v>1</v>
      </c>
      <c r="D63" s="1" t="s">
        <v>1</v>
      </c>
      <c r="E63" s="1" t="s">
        <v>2</v>
      </c>
      <c r="F63" s="1" t="s">
        <v>2</v>
      </c>
      <c r="G63" s="1" t="s">
        <v>3</v>
      </c>
      <c r="H63" s="1" t="s">
        <v>3</v>
      </c>
      <c r="I63" s="1" t="s">
        <v>4</v>
      </c>
      <c r="J63" s="1" t="s">
        <v>4</v>
      </c>
      <c r="K63" s="1" t="s">
        <v>5</v>
      </c>
      <c r="L63" s="1" t="s">
        <v>5</v>
      </c>
      <c r="M63" s="1" t="s">
        <v>6</v>
      </c>
      <c r="N63" s="1" t="s">
        <v>6</v>
      </c>
      <c r="O63" s="1" t="s">
        <v>7</v>
      </c>
      <c r="P63" s="1" t="s">
        <v>7</v>
      </c>
      <c r="Q63" s="1" t="s">
        <v>8</v>
      </c>
      <c r="R63" s="1" t="s">
        <v>8</v>
      </c>
      <c r="S63" s="1" t="s">
        <v>9</v>
      </c>
      <c r="T63" s="1" t="s">
        <v>9</v>
      </c>
      <c r="U63" s="1" t="s">
        <v>10</v>
      </c>
      <c r="V63" s="1" t="s">
        <v>10</v>
      </c>
      <c r="X63" s="1" t="s">
        <v>19</v>
      </c>
      <c r="Y63" s="1" t="s">
        <v>1</v>
      </c>
      <c r="Z63" s="1" t="s">
        <v>1</v>
      </c>
      <c r="AA63" s="1" t="s">
        <v>2</v>
      </c>
      <c r="AB63" s="1" t="s">
        <v>2</v>
      </c>
      <c r="AC63" s="1" t="s">
        <v>3</v>
      </c>
      <c r="AD63" s="1" t="s">
        <v>3</v>
      </c>
      <c r="AE63" s="1" t="s">
        <v>4</v>
      </c>
      <c r="AF63" s="1" t="s">
        <v>4</v>
      </c>
      <c r="AG63" s="1" t="s">
        <v>5</v>
      </c>
      <c r="AH63" s="1" t="s">
        <v>5</v>
      </c>
      <c r="AI63" s="1" t="s">
        <v>6</v>
      </c>
      <c r="AJ63" s="1" t="s">
        <v>6</v>
      </c>
      <c r="AK63" s="1" t="s">
        <v>7</v>
      </c>
      <c r="AL63" s="1" t="s">
        <v>7</v>
      </c>
      <c r="AM63" s="1" t="s">
        <v>8</v>
      </c>
      <c r="AN63" s="1" t="s">
        <v>8</v>
      </c>
      <c r="AO63" s="1" t="s">
        <v>9</v>
      </c>
      <c r="AP63" s="1" t="s">
        <v>9</v>
      </c>
      <c r="AQ63" s="1" t="s">
        <v>10</v>
      </c>
      <c r="AR63" s="1" t="s">
        <v>10</v>
      </c>
      <c r="AU63" s="1" t="s">
        <v>19</v>
      </c>
      <c r="AV63" s="1" t="s">
        <v>1</v>
      </c>
      <c r="AW63" s="1" t="s">
        <v>1</v>
      </c>
      <c r="AX63" s="1" t="s">
        <v>2</v>
      </c>
      <c r="AY63" s="1" t="s">
        <v>2</v>
      </c>
      <c r="AZ63" s="1" t="s">
        <v>3</v>
      </c>
      <c r="BA63" s="1" t="s">
        <v>3</v>
      </c>
      <c r="BB63" s="1" t="s">
        <v>4</v>
      </c>
      <c r="BC63" s="1" t="s">
        <v>4</v>
      </c>
      <c r="BD63" s="1" t="s">
        <v>5</v>
      </c>
      <c r="BE63" s="1" t="s">
        <v>5</v>
      </c>
      <c r="BF63" s="1" t="s">
        <v>6</v>
      </c>
      <c r="BG63" s="1" t="s">
        <v>6</v>
      </c>
      <c r="BH63" s="1" t="s">
        <v>7</v>
      </c>
      <c r="BI63" s="1" t="s">
        <v>7</v>
      </c>
      <c r="BJ63" s="1" t="s">
        <v>8</v>
      </c>
      <c r="BK63" s="1" t="s">
        <v>8</v>
      </c>
      <c r="BL63" s="1" t="s">
        <v>9</v>
      </c>
      <c r="BM63" s="1" t="s">
        <v>9</v>
      </c>
      <c r="BN63" s="1" t="s">
        <v>10</v>
      </c>
      <c r="BO63" s="1" t="s">
        <v>10</v>
      </c>
      <c r="BR63" s="1" t="s">
        <v>19</v>
      </c>
      <c r="BS63" s="1" t="s">
        <v>1</v>
      </c>
      <c r="BT63" s="1" t="s">
        <v>1</v>
      </c>
      <c r="BU63" s="1" t="s">
        <v>2</v>
      </c>
      <c r="BV63" s="1" t="s">
        <v>2</v>
      </c>
      <c r="BW63" s="1" t="s">
        <v>3</v>
      </c>
      <c r="BX63" s="1" t="s">
        <v>3</v>
      </c>
      <c r="BY63" s="1" t="s">
        <v>4</v>
      </c>
      <c r="BZ63" s="1" t="s">
        <v>4</v>
      </c>
      <c r="CA63" s="1" t="s">
        <v>5</v>
      </c>
      <c r="CB63" s="1" t="s">
        <v>5</v>
      </c>
      <c r="CC63" s="1" t="s">
        <v>6</v>
      </c>
      <c r="CD63" s="1" t="s">
        <v>6</v>
      </c>
      <c r="CE63" s="1" t="s">
        <v>7</v>
      </c>
      <c r="CF63" s="1" t="s">
        <v>7</v>
      </c>
      <c r="CG63" s="1" t="s">
        <v>8</v>
      </c>
      <c r="CH63" s="1" t="s">
        <v>8</v>
      </c>
      <c r="CI63" s="1" t="s">
        <v>9</v>
      </c>
      <c r="CJ63" s="1" t="s">
        <v>9</v>
      </c>
      <c r="CK63" s="1" t="s">
        <v>10</v>
      </c>
      <c r="CL63" s="1" t="s">
        <v>10</v>
      </c>
    </row>
    <row r="64" spans="2:90" x14ac:dyDescent="0.3">
      <c r="B64" s="1" t="s">
        <v>20</v>
      </c>
      <c r="X64" s="1" t="s">
        <v>20</v>
      </c>
      <c r="AU64" s="1" t="s">
        <v>20</v>
      </c>
      <c r="BR64" s="1" t="s">
        <v>20</v>
      </c>
    </row>
    <row r="65" spans="2:90" x14ac:dyDescent="0.3">
      <c r="B65" s="1" t="s">
        <v>21</v>
      </c>
      <c r="C65" s="2">
        <v>9.6</v>
      </c>
      <c r="D65" s="2">
        <v>10.11</v>
      </c>
      <c r="E65" s="2">
        <v>6.55</v>
      </c>
      <c r="F65" s="2">
        <v>6.55</v>
      </c>
      <c r="G65" s="2">
        <v>2.73</v>
      </c>
      <c r="H65" s="2">
        <v>4.09</v>
      </c>
      <c r="I65" s="2">
        <v>9.9</v>
      </c>
      <c r="J65" s="2">
        <v>72.58</v>
      </c>
      <c r="K65" s="2">
        <v>74.59</v>
      </c>
      <c r="L65" s="2">
        <v>68.540000000000006</v>
      </c>
      <c r="M65" s="2">
        <v>127.01</v>
      </c>
      <c r="N65" s="2">
        <v>127.01</v>
      </c>
      <c r="O65" s="2">
        <v>119.85</v>
      </c>
      <c r="P65" s="2">
        <v>93.54</v>
      </c>
      <c r="Q65" s="2">
        <v>122.57</v>
      </c>
      <c r="R65" s="2">
        <v>118.74</v>
      </c>
      <c r="S65" s="2">
        <v>123.38</v>
      </c>
      <c r="T65" s="2">
        <v>99.39</v>
      </c>
      <c r="U65" s="2">
        <v>163.30000000000001</v>
      </c>
      <c r="V65" s="2">
        <v>145.15</v>
      </c>
      <c r="X65" s="1" t="s">
        <v>21</v>
      </c>
      <c r="Y65" s="2">
        <v>60</v>
      </c>
      <c r="Z65" s="2">
        <v>60</v>
      </c>
      <c r="AA65" s="2">
        <v>60</v>
      </c>
      <c r="AB65" s="2">
        <v>60</v>
      </c>
      <c r="AC65" s="2">
        <v>60</v>
      </c>
      <c r="AD65" s="2">
        <v>60</v>
      </c>
      <c r="AE65" s="2">
        <v>70</v>
      </c>
      <c r="AF65" s="2">
        <v>70</v>
      </c>
      <c r="AG65" s="2">
        <v>70</v>
      </c>
      <c r="AH65" s="2">
        <v>70</v>
      </c>
      <c r="AI65" s="2">
        <v>70</v>
      </c>
      <c r="AJ65" s="2">
        <v>70</v>
      </c>
      <c r="AK65" s="2">
        <v>70</v>
      </c>
      <c r="AL65" s="2">
        <v>70</v>
      </c>
      <c r="AM65" s="2">
        <v>70</v>
      </c>
      <c r="AN65" s="2">
        <v>70</v>
      </c>
      <c r="AO65" s="2">
        <v>70</v>
      </c>
      <c r="AP65" s="2">
        <v>70</v>
      </c>
      <c r="AQ65" s="2">
        <v>70</v>
      </c>
      <c r="AR65" s="2">
        <v>70</v>
      </c>
      <c r="AU65" s="1" t="s">
        <v>21</v>
      </c>
      <c r="AV65" s="2">
        <v>54.99</v>
      </c>
      <c r="AW65" s="2">
        <v>54.99</v>
      </c>
      <c r="AX65" s="2">
        <v>54.99</v>
      </c>
      <c r="AY65" s="2">
        <v>54.99</v>
      </c>
      <c r="AZ65" s="2">
        <v>54.99</v>
      </c>
      <c r="BA65" s="2">
        <v>54.99</v>
      </c>
      <c r="BB65" s="2">
        <v>64.989999999999995</v>
      </c>
      <c r="BC65" s="2">
        <v>62.52</v>
      </c>
      <c r="BD65" s="2">
        <v>68.2</v>
      </c>
      <c r="BE65" s="2">
        <v>67.180000000000007</v>
      </c>
      <c r="BF65" s="2">
        <v>64.930000000000007</v>
      </c>
      <c r="BG65" s="2">
        <v>67.48</v>
      </c>
      <c r="BH65" s="2">
        <v>64.849999999999994</v>
      </c>
      <c r="BI65" s="2">
        <v>67.98</v>
      </c>
      <c r="BJ65" s="2">
        <v>66.709999999999994</v>
      </c>
      <c r="BK65" s="2">
        <v>67.75</v>
      </c>
      <c r="BL65" s="2">
        <v>68.08</v>
      </c>
      <c r="BM65" s="2">
        <v>69.58</v>
      </c>
      <c r="BN65" s="2">
        <v>67.989999999999995</v>
      </c>
      <c r="BO65" s="2">
        <v>69.47</v>
      </c>
      <c r="BR65" s="1" t="s">
        <v>21</v>
      </c>
      <c r="BS65" s="2">
        <v>-0.12</v>
      </c>
      <c r="BT65" s="2">
        <v>-0.12</v>
      </c>
      <c r="BU65" s="2">
        <v>-0.12</v>
      </c>
      <c r="BV65" s="2">
        <v>-0.12</v>
      </c>
      <c r="BW65" s="2">
        <v>-0.05</v>
      </c>
      <c r="BX65" s="2">
        <v>-0.05</v>
      </c>
      <c r="BY65" s="2">
        <v>-0.11</v>
      </c>
      <c r="BZ65" s="2">
        <v>-0.16</v>
      </c>
      <c r="CA65" s="2">
        <v>-0.05</v>
      </c>
      <c r="CB65" s="2">
        <v>-7.0000000000000007E-2</v>
      </c>
      <c r="CC65" s="2">
        <v>-0.24</v>
      </c>
      <c r="CD65" s="2">
        <v>-0.12</v>
      </c>
      <c r="CE65" s="2">
        <v>-0.2</v>
      </c>
      <c r="CF65" s="2">
        <v>-7.0000000000000007E-2</v>
      </c>
      <c r="CG65" s="2">
        <v>-0.16</v>
      </c>
      <c r="CH65" s="2">
        <v>-0.11</v>
      </c>
      <c r="CI65" s="2">
        <v>-0.08</v>
      </c>
      <c r="CJ65" s="2">
        <v>-0.02</v>
      </c>
      <c r="CK65" s="2">
        <v>-0.11</v>
      </c>
      <c r="CL65" s="2">
        <v>-0.03</v>
      </c>
    </row>
    <row r="66" spans="2:90" x14ac:dyDescent="0.3">
      <c r="B66" s="1" t="s">
        <v>22</v>
      </c>
      <c r="C66" s="2">
        <v>43.56</v>
      </c>
      <c r="D66" s="2">
        <v>24.29</v>
      </c>
      <c r="E66" s="2">
        <v>18.12</v>
      </c>
      <c r="F66" s="2">
        <v>14.97</v>
      </c>
      <c r="G66" s="2">
        <v>9.56</v>
      </c>
      <c r="H66" s="2">
        <v>12.02</v>
      </c>
      <c r="I66" s="2">
        <v>39.51</v>
      </c>
      <c r="J66" s="2">
        <v>78.040000000000006</v>
      </c>
      <c r="K66" s="2">
        <v>55.48</v>
      </c>
      <c r="L66" s="2">
        <v>74.09</v>
      </c>
      <c r="M66" s="2">
        <v>122.24</v>
      </c>
      <c r="N66" s="2">
        <v>151.13999999999999</v>
      </c>
      <c r="O66" s="2">
        <v>109.41</v>
      </c>
      <c r="P66" s="2">
        <v>106.37</v>
      </c>
      <c r="Q66" s="2">
        <v>127.06</v>
      </c>
      <c r="R66" s="2">
        <v>94.39</v>
      </c>
      <c r="S66" s="2">
        <v>94.26</v>
      </c>
      <c r="T66" s="2">
        <v>79.67</v>
      </c>
      <c r="U66" s="2">
        <v>122.68</v>
      </c>
      <c r="V66" s="2">
        <v>65.989999999999995</v>
      </c>
      <c r="X66" s="1" t="s">
        <v>22</v>
      </c>
      <c r="Y66" s="2">
        <v>59.98</v>
      </c>
      <c r="Z66" s="2">
        <v>60</v>
      </c>
      <c r="AA66" s="2">
        <v>59.98</v>
      </c>
      <c r="AB66" s="2">
        <v>60</v>
      </c>
      <c r="AC66" s="2">
        <v>60</v>
      </c>
      <c r="AD66" s="2">
        <v>59.99</v>
      </c>
      <c r="AE66" s="2">
        <v>69.94</v>
      </c>
      <c r="AF66" s="2">
        <v>69.989999999999995</v>
      </c>
      <c r="AG66" s="2">
        <v>69.959999999999994</v>
      </c>
      <c r="AH66" s="2">
        <v>70</v>
      </c>
      <c r="AI66" s="2">
        <v>69.97</v>
      </c>
      <c r="AJ66" s="2">
        <v>70</v>
      </c>
      <c r="AK66" s="2">
        <v>69.989999999999995</v>
      </c>
      <c r="AL66" s="2">
        <v>69.989999999999995</v>
      </c>
      <c r="AM66" s="2">
        <v>69.989999999999995</v>
      </c>
      <c r="AN66" s="2">
        <v>70</v>
      </c>
      <c r="AO66" s="2">
        <v>69.989999999999995</v>
      </c>
      <c r="AP66" s="2">
        <v>70</v>
      </c>
      <c r="AQ66" s="2">
        <v>69.98</v>
      </c>
      <c r="AR66" s="2">
        <v>70</v>
      </c>
      <c r="AU66" s="1" t="s">
        <v>22</v>
      </c>
      <c r="AV66" s="2">
        <v>53.86</v>
      </c>
      <c r="AW66" s="2">
        <v>54.91</v>
      </c>
      <c r="AX66" s="2">
        <v>54.47</v>
      </c>
      <c r="AY66" s="2">
        <v>54.95</v>
      </c>
      <c r="AZ66" s="2">
        <v>54.6</v>
      </c>
      <c r="BA66" s="2">
        <v>54.79</v>
      </c>
      <c r="BB66" s="2">
        <v>63.6</v>
      </c>
      <c r="BC66" s="2">
        <v>63.24</v>
      </c>
      <c r="BD66" s="2">
        <v>67.63</v>
      </c>
      <c r="BE66" s="2">
        <v>68.790000000000006</v>
      </c>
      <c r="BF66" s="2">
        <v>66.430000000000007</v>
      </c>
      <c r="BG66" s="2">
        <v>68.66</v>
      </c>
      <c r="BH66" s="2">
        <v>66.69</v>
      </c>
      <c r="BI66" s="2">
        <v>68.180000000000007</v>
      </c>
      <c r="BJ66" s="2">
        <v>67.39</v>
      </c>
      <c r="BK66" s="2">
        <v>69.06</v>
      </c>
      <c r="BL66" s="2">
        <v>67.709999999999994</v>
      </c>
      <c r="BM66" s="2">
        <v>69.459999999999994</v>
      </c>
      <c r="BN66" s="2">
        <v>68.67</v>
      </c>
      <c r="BO66" s="2">
        <v>69.88</v>
      </c>
      <c r="BR66" s="1" t="s">
        <v>22</v>
      </c>
      <c r="BS66" s="2">
        <v>-0.15</v>
      </c>
      <c r="BT66" s="2">
        <v>-0.12</v>
      </c>
      <c r="BU66" s="2">
        <v>-0.13</v>
      </c>
      <c r="BV66" s="2">
        <v>-0.12</v>
      </c>
      <c r="BW66" s="2">
        <v>-0.05</v>
      </c>
      <c r="BX66" s="2">
        <v>-0.05</v>
      </c>
      <c r="BY66" s="2">
        <v>-0.14000000000000001</v>
      </c>
      <c r="BZ66" s="2">
        <v>-0.15</v>
      </c>
      <c r="CA66" s="2">
        <v>-0.06</v>
      </c>
      <c r="CB66" s="2">
        <v>-0.03</v>
      </c>
      <c r="CC66" s="2">
        <v>-0.16</v>
      </c>
      <c r="CD66" s="2">
        <v>-0.06</v>
      </c>
      <c r="CE66" s="2">
        <v>-0.12</v>
      </c>
      <c r="CF66" s="2">
        <v>-7.0000000000000007E-2</v>
      </c>
      <c r="CG66" s="2">
        <v>-0.13</v>
      </c>
      <c r="CH66" s="2">
        <v>-0.04</v>
      </c>
      <c r="CI66" s="2">
        <v>-0.1</v>
      </c>
      <c r="CJ66" s="2">
        <v>-0.02</v>
      </c>
      <c r="CK66" s="2">
        <v>-7.0000000000000007E-2</v>
      </c>
      <c r="CL66" s="2">
        <v>-0.01</v>
      </c>
    </row>
    <row r="67" spans="2:90" x14ac:dyDescent="0.3">
      <c r="B67" s="1" t="s">
        <v>23</v>
      </c>
      <c r="C67" s="2">
        <v>854</v>
      </c>
      <c r="D67" s="2">
        <v>90.59</v>
      </c>
      <c r="E67" s="2">
        <v>1090.1099999999999</v>
      </c>
      <c r="F67" s="2">
        <v>8.89</v>
      </c>
      <c r="G67" s="2">
        <v>259.73</v>
      </c>
      <c r="H67" s="2">
        <v>635.79</v>
      </c>
      <c r="I67" s="2">
        <v>826.25</v>
      </c>
      <c r="J67" s="2">
        <v>486.37</v>
      </c>
      <c r="K67" s="2">
        <v>1368.96</v>
      </c>
      <c r="L67" s="2">
        <v>590.4</v>
      </c>
      <c r="M67" s="2">
        <v>2734.23</v>
      </c>
      <c r="N67" s="2">
        <v>1118.8900000000001</v>
      </c>
      <c r="O67" s="2">
        <v>3027.79</v>
      </c>
      <c r="P67" s="2">
        <v>799.37</v>
      </c>
      <c r="Q67" s="2">
        <v>3176.86</v>
      </c>
      <c r="R67" s="2">
        <v>863.92</v>
      </c>
      <c r="S67" s="2">
        <v>888.21</v>
      </c>
      <c r="T67" s="2">
        <v>753.99</v>
      </c>
      <c r="U67" s="2">
        <v>738.55</v>
      </c>
      <c r="V67" s="2">
        <v>620.16</v>
      </c>
      <c r="X67" s="1" t="s">
        <v>23</v>
      </c>
      <c r="Y67" s="2">
        <v>59.73</v>
      </c>
      <c r="Z67" s="2">
        <v>60</v>
      </c>
      <c r="AA67" s="2">
        <v>59.8</v>
      </c>
      <c r="AB67" s="2">
        <v>60</v>
      </c>
      <c r="AC67" s="2">
        <v>59.97</v>
      </c>
      <c r="AD67" s="2">
        <v>58.19</v>
      </c>
      <c r="AE67" s="2">
        <v>69.900000000000006</v>
      </c>
      <c r="AF67" s="2">
        <v>69.989999999999995</v>
      </c>
      <c r="AG67" s="2">
        <v>69.849999999999994</v>
      </c>
      <c r="AH67" s="2">
        <v>69.989999999999995</v>
      </c>
      <c r="AI67" s="2">
        <v>69.59</v>
      </c>
      <c r="AJ67" s="2">
        <v>69.989999999999995</v>
      </c>
      <c r="AK67" s="2">
        <v>68.5</v>
      </c>
      <c r="AL67" s="2">
        <v>69.989999999999995</v>
      </c>
      <c r="AM67" s="2">
        <v>69.55</v>
      </c>
      <c r="AN67" s="2">
        <v>69.989999999999995</v>
      </c>
      <c r="AO67" s="2">
        <v>69.989999999999995</v>
      </c>
      <c r="AP67" s="2">
        <v>70</v>
      </c>
      <c r="AQ67" s="2">
        <v>70</v>
      </c>
      <c r="AR67" s="2">
        <v>70</v>
      </c>
      <c r="AU67" s="1" t="s">
        <v>23</v>
      </c>
      <c r="AV67" s="2">
        <v>38.799999999999997</v>
      </c>
      <c r="AW67" s="2">
        <v>54.96</v>
      </c>
      <c r="AX67" s="2">
        <v>30.41</v>
      </c>
      <c r="AY67" s="2">
        <v>54.98</v>
      </c>
      <c r="AZ67" s="2">
        <v>42.91</v>
      </c>
      <c r="BA67" s="2">
        <v>34.08</v>
      </c>
      <c r="BB67" s="2">
        <v>50.71</v>
      </c>
      <c r="BC67" s="2">
        <v>62.24</v>
      </c>
      <c r="BD67" s="2">
        <v>49.52</v>
      </c>
      <c r="BE67" s="2">
        <v>67.239999999999995</v>
      </c>
      <c r="BF67" s="2">
        <v>45.85</v>
      </c>
      <c r="BG67" s="2">
        <v>67.2</v>
      </c>
      <c r="BH67" s="2">
        <v>39.86</v>
      </c>
      <c r="BI67" s="2">
        <v>67.11</v>
      </c>
      <c r="BJ67" s="2">
        <v>43.96</v>
      </c>
      <c r="BK67" s="2">
        <v>67.72</v>
      </c>
      <c r="BL67" s="2">
        <v>65.98</v>
      </c>
      <c r="BM67" s="2">
        <v>68.760000000000005</v>
      </c>
      <c r="BN67" s="2">
        <v>68.989999999999995</v>
      </c>
      <c r="BO67" s="2">
        <v>69.44</v>
      </c>
      <c r="BR67" s="1" t="s">
        <v>23</v>
      </c>
      <c r="BS67" s="2">
        <v>-0.7</v>
      </c>
      <c r="BT67" s="2">
        <v>-0.12</v>
      </c>
      <c r="BU67" s="2">
        <v>-1.26</v>
      </c>
      <c r="BV67" s="2">
        <v>-0.12</v>
      </c>
      <c r="BW67" s="2">
        <v>-0.2</v>
      </c>
      <c r="BX67" s="2">
        <v>-0.36</v>
      </c>
      <c r="BY67" s="2">
        <v>-0.52</v>
      </c>
      <c r="BZ67" s="2">
        <v>-0.17</v>
      </c>
      <c r="CA67" s="2">
        <v>-0.71</v>
      </c>
      <c r="CB67" s="2">
        <v>-7.0000000000000007E-2</v>
      </c>
      <c r="CC67" s="2">
        <v>-1.61</v>
      </c>
      <c r="CD67" s="2">
        <v>-0.13</v>
      </c>
      <c r="CE67" s="2">
        <v>-1.82</v>
      </c>
      <c r="CF67" s="2">
        <v>-0.11</v>
      </c>
      <c r="CG67" s="2">
        <v>-1.91</v>
      </c>
      <c r="CH67" s="2">
        <v>-0.11</v>
      </c>
      <c r="CI67" s="2">
        <v>-0.18</v>
      </c>
      <c r="CJ67" s="2">
        <v>-0.05</v>
      </c>
      <c r="CK67" s="2">
        <v>-0.06</v>
      </c>
      <c r="CL67" s="2">
        <v>-0.03</v>
      </c>
    </row>
    <row r="68" spans="2:90" x14ac:dyDescent="0.3">
      <c r="B68" s="1" t="s">
        <v>24</v>
      </c>
      <c r="C68" s="2">
        <v>264.05</v>
      </c>
      <c r="D68" s="2">
        <v>31.56</v>
      </c>
      <c r="E68" s="2">
        <v>180.72</v>
      </c>
      <c r="F68" s="2">
        <v>19.399999999999999</v>
      </c>
      <c r="G68" s="2">
        <v>85.17</v>
      </c>
      <c r="H68" s="2">
        <v>100.32</v>
      </c>
      <c r="I68" s="2">
        <v>188.78</v>
      </c>
      <c r="J68" s="2">
        <v>92.33</v>
      </c>
      <c r="K68" s="2">
        <v>259.58</v>
      </c>
      <c r="L68" s="2">
        <v>121.23</v>
      </c>
      <c r="M68" s="2">
        <v>538.5</v>
      </c>
      <c r="N68" s="2">
        <v>216.18</v>
      </c>
      <c r="O68" s="2">
        <v>450.21</v>
      </c>
      <c r="P68" s="2">
        <v>146.01</v>
      </c>
      <c r="Q68" s="2">
        <v>334.73</v>
      </c>
      <c r="R68" s="2">
        <v>182.17</v>
      </c>
      <c r="S68" s="2">
        <v>156.99</v>
      </c>
      <c r="T68" s="2">
        <v>129.61000000000001</v>
      </c>
      <c r="U68" s="2">
        <v>171.82</v>
      </c>
      <c r="V68" s="2">
        <v>138.85</v>
      </c>
      <c r="X68" s="1" t="s">
        <v>24</v>
      </c>
      <c r="Y68" s="2">
        <v>59.9</v>
      </c>
      <c r="Z68" s="2">
        <v>60</v>
      </c>
      <c r="AA68" s="2">
        <v>59.89</v>
      </c>
      <c r="AB68" s="2">
        <v>60</v>
      </c>
      <c r="AC68" s="2">
        <v>59.96</v>
      </c>
      <c r="AD68" s="2">
        <v>59.85</v>
      </c>
      <c r="AE68" s="2">
        <v>69.94</v>
      </c>
      <c r="AF68" s="2">
        <v>69.989999999999995</v>
      </c>
      <c r="AG68" s="2">
        <v>69.95</v>
      </c>
      <c r="AH68" s="2">
        <v>69.989999999999995</v>
      </c>
      <c r="AI68" s="2">
        <v>69.94</v>
      </c>
      <c r="AJ68" s="2">
        <v>69.989999999999995</v>
      </c>
      <c r="AK68" s="2">
        <v>69.95</v>
      </c>
      <c r="AL68" s="2">
        <v>70</v>
      </c>
      <c r="AM68" s="2">
        <v>69.98</v>
      </c>
      <c r="AN68" s="2">
        <v>70</v>
      </c>
      <c r="AO68" s="2">
        <v>70</v>
      </c>
      <c r="AP68" s="2">
        <v>70</v>
      </c>
      <c r="AQ68" s="2">
        <v>70</v>
      </c>
      <c r="AR68" s="2">
        <v>70</v>
      </c>
      <c r="AU68" s="1" t="s">
        <v>24</v>
      </c>
      <c r="AV68" s="2">
        <v>36.53</v>
      </c>
      <c r="AW68" s="2">
        <v>54.64</v>
      </c>
      <c r="AX68" s="2">
        <v>37.4</v>
      </c>
      <c r="AY68" s="2">
        <v>54.96</v>
      </c>
      <c r="AZ68" s="2">
        <v>37.36</v>
      </c>
      <c r="BA68" s="2">
        <v>36.840000000000003</v>
      </c>
      <c r="BB68" s="2">
        <v>54.46</v>
      </c>
      <c r="BC68" s="2">
        <v>61.45</v>
      </c>
      <c r="BD68" s="2">
        <v>53.81</v>
      </c>
      <c r="BE68" s="2">
        <v>66.67</v>
      </c>
      <c r="BF68" s="2">
        <v>52.01</v>
      </c>
      <c r="BG68" s="2">
        <v>67.12</v>
      </c>
      <c r="BH68" s="2">
        <v>52.09</v>
      </c>
      <c r="BI68" s="2">
        <v>67.150000000000006</v>
      </c>
      <c r="BJ68" s="2">
        <v>62.29</v>
      </c>
      <c r="BK68" s="2">
        <v>67.87</v>
      </c>
      <c r="BL68" s="2">
        <v>67.83</v>
      </c>
      <c r="BM68" s="2">
        <v>68.45</v>
      </c>
      <c r="BN68" s="2">
        <v>68.67</v>
      </c>
      <c r="BO68" s="2">
        <v>69.010000000000005</v>
      </c>
      <c r="BR68" s="1" t="s">
        <v>24</v>
      </c>
      <c r="BS68" s="2">
        <v>-0.83</v>
      </c>
      <c r="BT68" s="2">
        <v>-0.13</v>
      </c>
      <c r="BU68" s="2">
        <v>-0.78</v>
      </c>
      <c r="BV68" s="2">
        <v>-0.12</v>
      </c>
      <c r="BW68" s="2">
        <v>-0.3</v>
      </c>
      <c r="BX68" s="2">
        <v>-0.31</v>
      </c>
      <c r="BY68" s="2">
        <v>-0.39</v>
      </c>
      <c r="BZ68" s="2">
        <v>-0.19</v>
      </c>
      <c r="CA68" s="2">
        <v>-0.51</v>
      </c>
      <c r="CB68" s="2">
        <v>-0.09</v>
      </c>
      <c r="CC68" s="2">
        <v>-1.06</v>
      </c>
      <c r="CD68" s="2">
        <v>-0.13</v>
      </c>
      <c r="CE68" s="2">
        <v>-0.85</v>
      </c>
      <c r="CF68" s="2">
        <v>-0.11</v>
      </c>
      <c r="CG68" s="2">
        <v>-0.4</v>
      </c>
      <c r="CH68" s="2">
        <v>-0.1</v>
      </c>
      <c r="CI68" s="2">
        <v>-0.09</v>
      </c>
      <c r="CJ68" s="2">
        <v>-7.0000000000000007E-2</v>
      </c>
      <c r="CK68" s="2">
        <v>-7.0000000000000007E-2</v>
      </c>
      <c r="CL68" s="2">
        <v>-0.06</v>
      </c>
    </row>
    <row r="69" spans="2:90" x14ac:dyDescent="0.3">
      <c r="B69" s="1" t="s">
        <v>25</v>
      </c>
      <c r="C69" s="2">
        <v>685.46</v>
      </c>
      <c r="D69" s="2">
        <v>413.87</v>
      </c>
      <c r="E69" s="2">
        <v>411.84</v>
      </c>
      <c r="F69" s="2">
        <v>199.41</v>
      </c>
      <c r="G69" s="2">
        <v>155.16</v>
      </c>
      <c r="H69" s="2">
        <v>281.27</v>
      </c>
      <c r="I69" s="2">
        <v>309.45999999999998</v>
      </c>
      <c r="J69" s="2">
        <v>616.72</v>
      </c>
      <c r="K69" s="2">
        <v>742.3</v>
      </c>
      <c r="L69" s="2">
        <v>742.51</v>
      </c>
      <c r="M69" s="2">
        <v>1124.1500000000001</v>
      </c>
      <c r="N69" s="2">
        <v>882.62</v>
      </c>
      <c r="O69" s="2">
        <v>771.88</v>
      </c>
      <c r="P69" s="2">
        <v>608.17999999999995</v>
      </c>
      <c r="Q69" s="2">
        <v>878.97</v>
      </c>
      <c r="R69" s="2">
        <v>738.29</v>
      </c>
      <c r="S69" s="2">
        <v>737.08</v>
      </c>
      <c r="T69" s="2">
        <v>437.75</v>
      </c>
      <c r="U69" s="2">
        <v>736.73</v>
      </c>
      <c r="V69" s="2">
        <v>516.91999999999996</v>
      </c>
      <c r="X69" s="1" t="s">
        <v>25</v>
      </c>
      <c r="Y69" s="2">
        <v>59.99</v>
      </c>
      <c r="Z69" s="2">
        <v>59.99</v>
      </c>
      <c r="AA69" s="2">
        <v>59.97</v>
      </c>
      <c r="AB69" s="2">
        <v>59.97</v>
      </c>
      <c r="AC69" s="2">
        <v>60</v>
      </c>
      <c r="AD69" s="2">
        <v>59.98</v>
      </c>
      <c r="AE69" s="2">
        <v>69.98</v>
      </c>
      <c r="AF69" s="2">
        <v>69.98</v>
      </c>
      <c r="AG69" s="2">
        <v>69.98</v>
      </c>
      <c r="AH69" s="2">
        <v>69.97</v>
      </c>
      <c r="AI69" s="2">
        <v>69.98</v>
      </c>
      <c r="AJ69" s="2">
        <v>69.98</v>
      </c>
      <c r="AK69" s="2">
        <v>69.989999999999995</v>
      </c>
      <c r="AL69" s="2">
        <v>69.989999999999995</v>
      </c>
      <c r="AM69" s="2">
        <v>69.989999999999995</v>
      </c>
      <c r="AN69" s="2">
        <v>69.989999999999995</v>
      </c>
      <c r="AO69" s="2">
        <v>70</v>
      </c>
      <c r="AP69" s="2">
        <v>70</v>
      </c>
      <c r="AQ69" s="2">
        <v>70</v>
      </c>
      <c r="AR69" s="2">
        <v>69.989999999999995</v>
      </c>
      <c r="AU69" s="1" t="s">
        <v>25</v>
      </c>
      <c r="AV69" s="2">
        <v>39.58</v>
      </c>
      <c r="AW69" s="2">
        <v>49.08</v>
      </c>
      <c r="AX69" s="2">
        <v>48.92</v>
      </c>
      <c r="AY69" s="2">
        <v>54.23</v>
      </c>
      <c r="AZ69" s="2">
        <v>47.94</v>
      </c>
      <c r="BA69" s="2">
        <v>39.06</v>
      </c>
      <c r="BB69" s="2">
        <v>64.040000000000006</v>
      </c>
      <c r="BC69" s="2">
        <v>57.9</v>
      </c>
      <c r="BD69" s="2">
        <v>63.24</v>
      </c>
      <c r="BE69" s="2">
        <v>61.35</v>
      </c>
      <c r="BF69" s="2">
        <v>65.14</v>
      </c>
      <c r="BG69" s="2">
        <v>66.290000000000006</v>
      </c>
      <c r="BH69" s="2">
        <v>66.569999999999993</v>
      </c>
      <c r="BI69" s="2">
        <v>67.150000000000006</v>
      </c>
      <c r="BJ69" s="2">
        <v>67.400000000000006</v>
      </c>
      <c r="BK69" s="2">
        <v>67.92</v>
      </c>
      <c r="BL69" s="2">
        <v>67.959999999999994</v>
      </c>
      <c r="BM69" s="2">
        <v>68.86</v>
      </c>
      <c r="BN69" s="2">
        <v>68.739999999999995</v>
      </c>
      <c r="BO69" s="2">
        <v>69.42</v>
      </c>
      <c r="BR69" s="1" t="s">
        <v>25</v>
      </c>
      <c r="BS69" s="2">
        <v>-0.67</v>
      </c>
      <c r="BT69" s="2">
        <v>-0.28999999999999998</v>
      </c>
      <c r="BU69" s="2">
        <v>-0.28999999999999998</v>
      </c>
      <c r="BV69" s="2">
        <v>-0.14000000000000001</v>
      </c>
      <c r="BW69" s="2">
        <v>-0.13</v>
      </c>
      <c r="BX69" s="2">
        <v>-0.27</v>
      </c>
      <c r="BY69" s="2">
        <v>-0.13</v>
      </c>
      <c r="BZ69" s="2">
        <v>-0.28999999999999998</v>
      </c>
      <c r="CA69" s="2">
        <v>-0.18</v>
      </c>
      <c r="CB69" s="2">
        <v>-0.24</v>
      </c>
      <c r="CC69" s="2">
        <v>-0.23</v>
      </c>
      <c r="CD69" s="2">
        <v>-0.17</v>
      </c>
      <c r="CE69" s="2">
        <v>-0.13</v>
      </c>
      <c r="CF69" s="2">
        <v>-0.11</v>
      </c>
      <c r="CG69" s="2">
        <v>-0.13</v>
      </c>
      <c r="CH69" s="2">
        <v>-0.1</v>
      </c>
      <c r="CI69" s="2">
        <v>-0.09</v>
      </c>
      <c r="CJ69" s="2">
        <v>-0.05</v>
      </c>
      <c r="CK69" s="2">
        <v>-7.0000000000000007E-2</v>
      </c>
      <c r="CL69" s="2">
        <v>-0.03</v>
      </c>
    </row>
    <row r="70" spans="2:90" x14ac:dyDescent="0.3">
      <c r="B70" s="1" t="s">
        <v>26</v>
      </c>
      <c r="C70" s="2">
        <v>137.9</v>
      </c>
      <c r="D70" s="2">
        <v>130.71</v>
      </c>
      <c r="E70" s="2">
        <v>59.88</v>
      </c>
      <c r="F70" s="2">
        <v>116.97</v>
      </c>
      <c r="G70" s="2">
        <v>50.24</v>
      </c>
      <c r="H70" s="2">
        <v>40.14</v>
      </c>
      <c r="I70" s="2">
        <v>54.55</v>
      </c>
      <c r="J70" s="2">
        <v>129.28</v>
      </c>
      <c r="K70" s="2">
        <v>63.67</v>
      </c>
      <c r="L70" s="2">
        <v>230.42</v>
      </c>
      <c r="M70" s="2">
        <v>152.51</v>
      </c>
      <c r="N70" s="2">
        <v>265.02999999999997</v>
      </c>
      <c r="O70" s="2">
        <v>109.59</v>
      </c>
      <c r="P70" s="2">
        <v>133.94999999999999</v>
      </c>
      <c r="Q70" s="2">
        <v>146</v>
      </c>
      <c r="R70" s="2">
        <v>213.9</v>
      </c>
      <c r="S70" s="2">
        <v>130.08000000000001</v>
      </c>
      <c r="T70" s="2">
        <v>126.71</v>
      </c>
      <c r="U70" s="2">
        <v>131.1</v>
      </c>
      <c r="V70" s="2">
        <v>93.69</v>
      </c>
      <c r="X70" s="1" t="s">
        <v>26</v>
      </c>
      <c r="Y70" s="2">
        <v>59.94</v>
      </c>
      <c r="Z70" s="2">
        <v>59.92</v>
      </c>
      <c r="AA70" s="2">
        <v>59.75</v>
      </c>
      <c r="AB70" s="2">
        <v>59.3</v>
      </c>
      <c r="AC70" s="2">
        <v>59.97</v>
      </c>
      <c r="AD70" s="2">
        <v>59.91</v>
      </c>
      <c r="AE70" s="2">
        <v>69.959999999999994</v>
      </c>
      <c r="AF70" s="2">
        <v>69.97</v>
      </c>
      <c r="AG70" s="2">
        <v>69.97</v>
      </c>
      <c r="AH70" s="2">
        <v>69.64</v>
      </c>
      <c r="AI70" s="2">
        <v>69.959999999999994</v>
      </c>
      <c r="AJ70" s="2">
        <v>69.78</v>
      </c>
      <c r="AK70" s="2">
        <v>69.959999999999994</v>
      </c>
      <c r="AL70" s="2">
        <v>69.86</v>
      </c>
      <c r="AM70" s="2">
        <v>69.959999999999994</v>
      </c>
      <c r="AN70" s="2">
        <v>69.88</v>
      </c>
      <c r="AO70" s="2">
        <v>69.97</v>
      </c>
      <c r="AP70" s="2">
        <v>69.900000000000006</v>
      </c>
      <c r="AQ70" s="2">
        <v>69.989999999999995</v>
      </c>
      <c r="AR70" s="2">
        <v>69.989999999999995</v>
      </c>
      <c r="AU70" s="1" t="s">
        <v>26</v>
      </c>
      <c r="AV70" s="2">
        <v>38.32</v>
      </c>
      <c r="AW70" s="2">
        <v>38.57</v>
      </c>
      <c r="AX70" s="2">
        <v>49.21</v>
      </c>
      <c r="AY70" s="2">
        <v>42.94</v>
      </c>
      <c r="AZ70" s="2">
        <v>39.659999999999997</v>
      </c>
      <c r="BA70" s="2">
        <v>40.01</v>
      </c>
      <c r="BB70" s="2">
        <v>63.58</v>
      </c>
      <c r="BC70" s="2">
        <v>47.04</v>
      </c>
      <c r="BD70" s="2">
        <v>68.05</v>
      </c>
      <c r="BE70" s="2">
        <v>49.36</v>
      </c>
      <c r="BF70" s="2">
        <v>67.02</v>
      </c>
      <c r="BG70" s="2">
        <v>58.06</v>
      </c>
      <c r="BH70" s="2">
        <v>67.290000000000006</v>
      </c>
      <c r="BI70" s="2">
        <v>62.84</v>
      </c>
      <c r="BJ70" s="2">
        <v>67.349999999999994</v>
      </c>
      <c r="BK70" s="2">
        <v>62.76</v>
      </c>
      <c r="BL70" s="2">
        <v>67.75</v>
      </c>
      <c r="BM70" s="2">
        <v>64.47</v>
      </c>
      <c r="BN70" s="2">
        <v>68.62</v>
      </c>
      <c r="BO70" s="2">
        <v>69.13</v>
      </c>
      <c r="BR70" s="1" t="s">
        <v>26</v>
      </c>
      <c r="BS70" s="2">
        <v>-0.73</v>
      </c>
      <c r="BT70" s="2">
        <v>-0.72</v>
      </c>
      <c r="BU70" s="2">
        <v>-0.28000000000000003</v>
      </c>
      <c r="BV70" s="2">
        <v>-0.5</v>
      </c>
      <c r="BW70" s="2">
        <v>-0.26</v>
      </c>
      <c r="BX70" s="2">
        <v>-0.25</v>
      </c>
      <c r="BY70" s="2">
        <v>-0.14000000000000001</v>
      </c>
      <c r="BZ70" s="2">
        <v>-0.67</v>
      </c>
      <c r="CA70" s="2">
        <v>-0.05</v>
      </c>
      <c r="CB70" s="2">
        <v>-0.71</v>
      </c>
      <c r="CC70" s="2">
        <v>-0.14000000000000001</v>
      </c>
      <c r="CD70" s="2">
        <v>-0.62</v>
      </c>
      <c r="CE70" s="2">
        <v>-0.1</v>
      </c>
      <c r="CF70" s="2">
        <v>-0.28000000000000003</v>
      </c>
      <c r="CG70" s="2">
        <v>-0.13</v>
      </c>
      <c r="CH70" s="2">
        <v>-0.37</v>
      </c>
      <c r="CI70" s="2">
        <v>-0.1</v>
      </c>
      <c r="CJ70" s="2">
        <v>-0.25</v>
      </c>
      <c r="CK70" s="2">
        <v>-0.08</v>
      </c>
      <c r="CL70" s="2">
        <v>-0.05</v>
      </c>
    </row>
    <row r="71" spans="2:90" x14ac:dyDescent="0.3">
      <c r="B71" s="1" t="s">
        <v>27</v>
      </c>
      <c r="C71" s="2">
        <v>557.28</v>
      </c>
      <c r="D71" s="2">
        <v>587.82000000000005</v>
      </c>
      <c r="E71" s="2">
        <v>181.97</v>
      </c>
      <c r="F71" s="2">
        <v>277.14999999999998</v>
      </c>
      <c r="G71" s="2">
        <v>149.06</v>
      </c>
      <c r="H71" s="2">
        <v>173.81</v>
      </c>
      <c r="I71" s="2">
        <v>251.46</v>
      </c>
      <c r="J71" s="2">
        <v>728.29</v>
      </c>
      <c r="K71" s="2">
        <v>282.26</v>
      </c>
      <c r="L71" s="2">
        <v>1172.43</v>
      </c>
      <c r="M71" s="2">
        <v>561.83000000000004</v>
      </c>
      <c r="N71" s="2">
        <v>1415.33</v>
      </c>
      <c r="O71" s="2">
        <v>401.1</v>
      </c>
      <c r="P71" s="2">
        <v>698.51</v>
      </c>
      <c r="Q71" s="2">
        <v>616.70000000000005</v>
      </c>
      <c r="R71" s="2">
        <v>754.56</v>
      </c>
      <c r="S71" s="2">
        <v>457.05</v>
      </c>
      <c r="T71" s="2">
        <v>356.15</v>
      </c>
      <c r="U71" s="2">
        <v>463.03</v>
      </c>
      <c r="V71" s="2">
        <v>432.64</v>
      </c>
      <c r="X71" s="1" t="s">
        <v>27</v>
      </c>
      <c r="Y71" s="2">
        <v>59.82</v>
      </c>
      <c r="Z71" s="2">
        <v>59.27</v>
      </c>
      <c r="AA71" s="2">
        <v>59.84</v>
      </c>
      <c r="AB71" s="2">
        <v>59.52</v>
      </c>
      <c r="AC71" s="2">
        <v>59.94</v>
      </c>
      <c r="AD71" s="2">
        <v>59.76</v>
      </c>
      <c r="AE71" s="2">
        <v>69.92</v>
      </c>
      <c r="AF71" s="2">
        <v>69.34</v>
      </c>
      <c r="AG71" s="2">
        <v>69.95</v>
      </c>
      <c r="AH71" s="2">
        <v>69.349999999999994</v>
      </c>
      <c r="AI71" s="2">
        <v>69.95</v>
      </c>
      <c r="AJ71" s="2">
        <v>69.58</v>
      </c>
      <c r="AK71" s="2">
        <v>69.95</v>
      </c>
      <c r="AL71" s="2">
        <v>69.77</v>
      </c>
      <c r="AM71" s="2">
        <v>69.94</v>
      </c>
      <c r="AN71" s="2">
        <v>69.900000000000006</v>
      </c>
      <c r="AO71" s="2">
        <v>69.97</v>
      </c>
      <c r="AP71" s="2">
        <v>69.97</v>
      </c>
      <c r="AQ71" s="2">
        <v>69.98</v>
      </c>
      <c r="AR71" s="2">
        <v>69.98</v>
      </c>
      <c r="AU71" s="1" t="s">
        <v>27</v>
      </c>
      <c r="AV71" s="2">
        <v>34.4</v>
      </c>
      <c r="AW71" s="2">
        <v>36.81</v>
      </c>
      <c r="AX71" s="2">
        <v>50.34</v>
      </c>
      <c r="AY71" s="2">
        <v>44.92</v>
      </c>
      <c r="AZ71" s="2">
        <v>41.96</v>
      </c>
      <c r="BA71" s="2">
        <v>37.35</v>
      </c>
      <c r="BB71" s="2">
        <v>61.49</v>
      </c>
      <c r="BC71" s="2">
        <v>41.09</v>
      </c>
      <c r="BD71" s="2">
        <v>66.83</v>
      </c>
      <c r="BE71" s="2">
        <v>38.82</v>
      </c>
      <c r="BF71" s="2">
        <v>66.03</v>
      </c>
      <c r="BG71" s="2">
        <v>47.02</v>
      </c>
      <c r="BH71" s="2">
        <v>66.17</v>
      </c>
      <c r="BI71" s="2">
        <v>55.4</v>
      </c>
      <c r="BJ71" s="2">
        <v>64.959999999999994</v>
      </c>
      <c r="BK71" s="2">
        <v>62.55</v>
      </c>
      <c r="BL71" s="2">
        <v>67.349999999999994</v>
      </c>
      <c r="BM71" s="2">
        <v>67.06</v>
      </c>
      <c r="BN71" s="2">
        <v>68.27</v>
      </c>
      <c r="BO71" s="2">
        <v>68.45</v>
      </c>
      <c r="BR71" s="1" t="s">
        <v>27</v>
      </c>
      <c r="BS71" s="2">
        <v>-0.96</v>
      </c>
      <c r="BT71" s="2">
        <v>-0.8</v>
      </c>
      <c r="BU71" s="2">
        <v>-0.25</v>
      </c>
      <c r="BV71" s="2">
        <v>-0.43</v>
      </c>
      <c r="BW71" s="2">
        <v>-0.21</v>
      </c>
      <c r="BX71" s="2">
        <v>-0.3</v>
      </c>
      <c r="BY71" s="2">
        <v>-0.19</v>
      </c>
      <c r="BZ71" s="2">
        <v>-0.95</v>
      </c>
      <c r="CA71" s="2">
        <v>-0.08</v>
      </c>
      <c r="CB71" s="2">
        <v>-1.36</v>
      </c>
      <c r="CC71" s="2">
        <v>-0.18</v>
      </c>
      <c r="CD71" s="2">
        <v>-1.49</v>
      </c>
      <c r="CE71" s="2">
        <v>-0.14000000000000001</v>
      </c>
      <c r="CF71" s="2">
        <v>-0.65</v>
      </c>
      <c r="CG71" s="2">
        <v>-0.25</v>
      </c>
      <c r="CH71" s="2">
        <v>-0.38</v>
      </c>
      <c r="CI71" s="2">
        <v>-0.11</v>
      </c>
      <c r="CJ71" s="2">
        <v>-0.13</v>
      </c>
      <c r="CK71" s="2">
        <v>-0.1</v>
      </c>
      <c r="CL71" s="2">
        <v>-0.09</v>
      </c>
    </row>
    <row r="72" spans="2:90" x14ac:dyDescent="0.3">
      <c r="B72" s="1" t="s">
        <v>28</v>
      </c>
      <c r="C72" s="2">
        <v>58.95</v>
      </c>
      <c r="D72" s="2">
        <v>53.85</v>
      </c>
      <c r="E72" s="2">
        <v>2.4500000000000002</v>
      </c>
      <c r="F72" s="2">
        <v>2.89</v>
      </c>
      <c r="G72" s="2">
        <v>1.1100000000000001</v>
      </c>
      <c r="H72" s="2">
        <v>6.43</v>
      </c>
      <c r="I72" s="2">
        <v>3.97</v>
      </c>
      <c r="J72" s="2">
        <v>83.48</v>
      </c>
      <c r="K72" s="2">
        <v>69.849999999999994</v>
      </c>
      <c r="L72" s="2">
        <v>75.87</v>
      </c>
      <c r="M72" s="2">
        <v>122.45</v>
      </c>
      <c r="N72" s="2">
        <v>143.07</v>
      </c>
      <c r="O72" s="2">
        <v>113.48</v>
      </c>
      <c r="P72" s="2">
        <v>115.27</v>
      </c>
      <c r="Q72" s="2">
        <v>109.12</v>
      </c>
      <c r="R72" s="2">
        <v>114.41</v>
      </c>
      <c r="S72" s="2">
        <v>131.53</v>
      </c>
      <c r="T72" s="2">
        <v>77.75</v>
      </c>
      <c r="U72" s="2">
        <v>144.52000000000001</v>
      </c>
      <c r="V72" s="2">
        <v>91.8</v>
      </c>
      <c r="X72" s="1" t="s">
        <v>28</v>
      </c>
      <c r="Y72" s="2">
        <v>60</v>
      </c>
      <c r="Z72" s="2">
        <v>59.99</v>
      </c>
      <c r="AA72" s="2">
        <v>60</v>
      </c>
      <c r="AB72" s="2">
        <v>60</v>
      </c>
      <c r="AC72" s="2">
        <v>60</v>
      </c>
      <c r="AD72" s="2">
        <v>60</v>
      </c>
      <c r="AE72" s="2">
        <v>70</v>
      </c>
      <c r="AF72" s="2">
        <v>69.989999999999995</v>
      </c>
      <c r="AG72" s="2">
        <v>70</v>
      </c>
      <c r="AH72" s="2">
        <v>69.989999999999995</v>
      </c>
      <c r="AI72" s="2">
        <v>70</v>
      </c>
      <c r="AJ72" s="2">
        <v>69.989999999999995</v>
      </c>
      <c r="AK72" s="2">
        <v>70</v>
      </c>
      <c r="AL72" s="2">
        <v>70</v>
      </c>
      <c r="AM72" s="2">
        <v>70</v>
      </c>
      <c r="AN72" s="2">
        <v>70</v>
      </c>
      <c r="AO72" s="2">
        <v>70</v>
      </c>
      <c r="AP72" s="2">
        <v>70</v>
      </c>
      <c r="AQ72" s="2">
        <v>70</v>
      </c>
      <c r="AR72" s="2">
        <v>70</v>
      </c>
      <c r="AU72" s="1" t="s">
        <v>28</v>
      </c>
      <c r="AV72" s="2">
        <v>54.42</v>
      </c>
      <c r="AW72" s="2">
        <v>53.31</v>
      </c>
      <c r="AX72" s="2">
        <v>54.97</v>
      </c>
      <c r="AY72" s="2">
        <v>54.96</v>
      </c>
      <c r="AZ72" s="2">
        <v>54.99</v>
      </c>
      <c r="BA72" s="2">
        <v>54.96</v>
      </c>
      <c r="BB72" s="2">
        <v>64.989999999999995</v>
      </c>
      <c r="BC72" s="2">
        <v>58.38</v>
      </c>
      <c r="BD72" s="2">
        <v>68.959999999999994</v>
      </c>
      <c r="BE72" s="2">
        <v>61.77</v>
      </c>
      <c r="BF72" s="2">
        <v>66.959999999999994</v>
      </c>
      <c r="BG72" s="2">
        <v>62.94</v>
      </c>
      <c r="BH72" s="2">
        <v>66.209999999999994</v>
      </c>
      <c r="BI72" s="2">
        <v>66.34</v>
      </c>
      <c r="BJ72" s="2">
        <v>67.28</v>
      </c>
      <c r="BK72" s="2">
        <v>67.92</v>
      </c>
      <c r="BL72" s="2">
        <v>67.900000000000006</v>
      </c>
      <c r="BM72" s="2">
        <v>68.88</v>
      </c>
      <c r="BN72" s="2">
        <v>68.77</v>
      </c>
      <c r="BO72" s="2">
        <v>69.45</v>
      </c>
      <c r="BR72" s="1" t="s">
        <v>28</v>
      </c>
      <c r="BS72" s="2">
        <v>-0.13</v>
      </c>
      <c r="BT72" s="2">
        <v>-0.16</v>
      </c>
      <c r="BU72" s="2">
        <v>-0.12</v>
      </c>
      <c r="BV72" s="2">
        <v>-0.12</v>
      </c>
      <c r="BW72" s="2">
        <v>-0.05</v>
      </c>
      <c r="BX72" s="2">
        <v>-0.05</v>
      </c>
      <c r="BY72" s="2">
        <v>-0.11</v>
      </c>
      <c r="BZ72" s="2">
        <v>-0.27</v>
      </c>
      <c r="CA72" s="2">
        <v>-0.03</v>
      </c>
      <c r="CB72" s="2">
        <v>-0.23</v>
      </c>
      <c r="CC72" s="2">
        <v>-0.14000000000000001</v>
      </c>
      <c r="CD72" s="2">
        <v>-0.35</v>
      </c>
      <c r="CE72" s="2">
        <v>-0.14000000000000001</v>
      </c>
      <c r="CF72" s="2">
        <v>-0.14000000000000001</v>
      </c>
      <c r="CG72" s="2">
        <v>-0.13</v>
      </c>
      <c r="CH72" s="2">
        <v>-0.1</v>
      </c>
      <c r="CI72" s="2">
        <v>-0.09</v>
      </c>
      <c r="CJ72" s="2">
        <v>-0.05</v>
      </c>
      <c r="CK72" s="2">
        <v>-7.0000000000000007E-2</v>
      </c>
      <c r="CL72" s="2">
        <v>-0.03</v>
      </c>
    </row>
    <row r="75" spans="2:90" x14ac:dyDescent="0.3">
      <c r="B75" t="s">
        <v>45</v>
      </c>
      <c r="X75" t="s">
        <v>46</v>
      </c>
      <c r="AU75" t="s">
        <v>47</v>
      </c>
      <c r="BR75" t="s">
        <v>48</v>
      </c>
    </row>
    <row r="76" spans="2:90" x14ac:dyDescent="0.3">
      <c r="B76" s="1" t="s">
        <v>16</v>
      </c>
      <c r="C76" s="1" t="s">
        <v>17</v>
      </c>
      <c r="D76" s="1" t="s">
        <v>18</v>
      </c>
      <c r="E76" s="1" t="s">
        <v>17</v>
      </c>
      <c r="F76" s="1" t="s">
        <v>18</v>
      </c>
      <c r="G76" s="1" t="s">
        <v>17</v>
      </c>
      <c r="H76" s="1" t="s">
        <v>18</v>
      </c>
      <c r="I76" s="1" t="s">
        <v>17</v>
      </c>
      <c r="J76" s="1" t="s">
        <v>18</v>
      </c>
      <c r="K76" s="1" t="s">
        <v>17</v>
      </c>
      <c r="L76" s="1" t="s">
        <v>18</v>
      </c>
      <c r="M76" s="1" t="s">
        <v>17</v>
      </c>
      <c r="N76" s="1" t="s">
        <v>18</v>
      </c>
      <c r="O76" s="1" t="s">
        <v>17</v>
      </c>
      <c r="P76" s="1" t="s">
        <v>18</v>
      </c>
      <c r="Q76" s="1" t="s">
        <v>17</v>
      </c>
      <c r="R76" s="1" t="s">
        <v>18</v>
      </c>
      <c r="S76" s="1" t="s">
        <v>17</v>
      </c>
      <c r="T76" s="1" t="s">
        <v>18</v>
      </c>
      <c r="U76" s="1" t="s">
        <v>17</v>
      </c>
      <c r="V76" s="1" t="s">
        <v>18</v>
      </c>
      <c r="X76" s="1" t="s">
        <v>16</v>
      </c>
      <c r="Y76" s="1" t="s">
        <v>17</v>
      </c>
      <c r="Z76" s="1" t="s">
        <v>18</v>
      </c>
      <c r="AA76" s="1" t="s">
        <v>17</v>
      </c>
      <c r="AB76" s="1" t="s">
        <v>18</v>
      </c>
      <c r="AC76" s="1" t="s">
        <v>17</v>
      </c>
      <c r="AD76" s="1" t="s">
        <v>18</v>
      </c>
      <c r="AE76" s="1" t="s">
        <v>17</v>
      </c>
      <c r="AF76" s="1" t="s">
        <v>18</v>
      </c>
      <c r="AG76" s="1" t="s">
        <v>17</v>
      </c>
      <c r="AH76" s="1" t="s">
        <v>18</v>
      </c>
      <c r="AI76" s="1" t="s">
        <v>17</v>
      </c>
      <c r="AJ76" s="1" t="s">
        <v>18</v>
      </c>
      <c r="AK76" s="1" t="s">
        <v>17</v>
      </c>
      <c r="AL76" s="1" t="s">
        <v>18</v>
      </c>
      <c r="AM76" s="1" t="s">
        <v>17</v>
      </c>
      <c r="AN76" s="1" t="s">
        <v>18</v>
      </c>
      <c r="AO76" s="1" t="s">
        <v>17</v>
      </c>
      <c r="AP76" s="1" t="s">
        <v>18</v>
      </c>
      <c r="AQ76" s="1" t="s">
        <v>17</v>
      </c>
      <c r="AR76" s="1" t="s">
        <v>18</v>
      </c>
      <c r="AU76" s="1" t="s">
        <v>16</v>
      </c>
      <c r="AV76" s="1" t="s">
        <v>17</v>
      </c>
      <c r="AW76" s="1" t="s">
        <v>18</v>
      </c>
      <c r="AX76" s="1" t="s">
        <v>17</v>
      </c>
      <c r="AY76" s="1" t="s">
        <v>18</v>
      </c>
      <c r="AZ76" s="1" t="s">
        <v>17</v>
      </c>
      <c r="BA76" s="1" t="s">
        <v>18</v>
      </c>
      <c r="BB76" s="1" t="s">
        <v>17</v>
      </c>
      <c r="BC76" s="1" t="s">
        <v>18</v>
      </c>
      <c r="BD76" s="1" t="s">
        <v>17</v>
      </c>
      <c r="BE76" s="1" t="s">
        <v>18</v>
      </c>
      <c r="BF76" s="1" t="s">
        <v>17</v>
      </c>
      <c r="BG76" s="1" t="s">
        <v>18</v>
      </c>
      <c r="BH76" s="1" t="s">
        <v>17</v>
      </c>
      <c r="BI76" s="1" t="s">
        <v>18</v>
      </c>
      <c r="BJ76" s="1" t="s">
        <v>17</v>
      </c>
      <c r="BK76" s="1" t="s">
        <v>18</v>
      </c>
      <c r="BL76" s="1" t="s">
        <v>17</v>
      </c>
      <c r="BM76" s="1" t="s">
        <v>18</v>
      </c>
      <c r="BN76" s="1" t="s">
        <v>17</v>
      </c>
      <c r="BO76" s="1" t="s">
        <v>18</v>
      </c>
      <c r="BR76" s="1" t="s">
        <v>16</v>
      </c>
      <c r="BS76" s="1" t="s">
        <v>17</v>
      </c>
      <c r="BT76" s="1" t="s">
        <v>18</v>
      </c>
      <c r="BU76" s="1" t="s">
        <v>17</v>
      </c>
      <c r="BV76" s="1" t="s">
        <v>18</v>
      </c>
      <c r="BW76" s="1" t="s">
        <v>17</v>
      </c>
      <c r="BX76" s="1" t="s">
        <v>18</v>
      </c>
      <c r="BY76" s="1" t="s">
        <v>17</v>
      </c>
      <c r="BZ76" s="1" t="s">
        <v>18</v>
      </c>
      <c r="CA76" s="1" t="s">
        <v>17</v>
      </c>
      <c r="CB76" s="1" t="s">
        <v>18</v>
      </c>
      <c r="CC76" s="1" t="s">
        <v>17</v>
      </c>
      <c r="CD76" s="1" t="s">
        <v>18</v>
      </c>
      <c r="CE76" s="1" t="s">
        <v>17</v>
      </c>
      <c r="CF76" s="1" t="s">
        <v>18</v>
      </c>
      <c r="CG76" s="1" t="s">
        <v>17</v>
      </c>
      <c r="CH76" s="1" t="s">
        <v>18</v>
      </c>
      <c r="CI76" s="1" t="s">
        <v>17</v>
      </c>
      <c r="CJ76" s="1" t="s">
        <v>18</v>
      </c>
      <c r="CK76" s="1" t="s">
        <v>17</v>
      </c>
      <c r="CL76" s="1" t="s">
        <v>18</v>
      </c>
    </row>
    <row r="77" spans="2:90" x14ac:dyDescent="0.3">
      <c r="B77" s="1" t="s">
        <v>19</v>
      </c>
      <c r="C77" s="1" t="s">
        <v>1</v>
      </c>
      <c r="D77" s="1" t="s">
        <v>1</v>
      </c>
      <c r="E77" s="1" t="s">
        <v>2</v>
      </c>
      <c r="F77" s="1" t="s">
        <v>2</v>
      </c>
      <c r="G77" s="1" t="s">
        <v>3</v>
      </c>
      <c r="H77" s="1" t="s">
        <v>3</v>
      </c>
      <c r="I77" s="1" t="s">
        <v>4</v>
      </c>
      <c r="J77" s="1" t="s">
        <v>4</v>
      </c>
      <c r="K77" s="1" t="s">
        <v>5</v>
      </c>
      <c r="L77" s="1" t="s">
        <v>5</v>
      </c>
      <c r="M77" s="1" t="s">
        <v>6</v>
      </c>
      <c r="N77" s="1" t="s">
        <v>6</v>
      </c>
      <c r="O77" s="1" t="s">
        <v>7</v>
      </c>
      <c r="P77" s="1" t="s">
        <v>7</v>
      </c>
      <c r="Q77" s="1" t="s">
        <v>8</v>
      </c>
      <c r="R77" s="1" t="s">
        <v>8</v>
      </c>
      <c r="S77" s="1" t="s">
        <v>9</v>
      </c>
      <c r="T77" s="1" t="s">
        <v>9</v>
      </c>
      <c r="U77" s="1" t="s">
        <v>10</v>
      </c>
      <c r="V77" s="1" t="s">
        <v>10</v>
      </c>
      <c r="X77" s="1" t="s">
        <v>19</v>
      </c>
      <c r="Y77" s="1" t="s">
        <v>1</v>
      </c>
      <c r="Z77" s="1" t="s">
        <v>1</v>
      </c>
      <c r="AA77" s="1" t="s">
        <v>2</v>
      </c>
      <c r="AB77" s="1" t="s">
        <v>2</v>
      </c>
      <c r="AC77" s="1" t="s">
        <v>3</v>
      </c>
      <c r="AD77" s="1" t="s">
        <v>3</v>
      </c>
      <c r="AE77" s="1" t="s">
        <v>4</v>
      </c>
      <c r="AF77" s="1" t="s">
        <v>4</v>
      </c>
      <c r="AG77" s="1" t="s">
        <v>5</v>
      </c>
      <c r="AH77" s="1" t="s">
        <v>5</v>
      </c>
      <c r="AI77" s="1" t="s">
        <v>6</v>
      </c>
      <c r="AJ77" s="1" t="s">
        <v>6</v>
      </c>
      <c r="AK77" s="1" t="s">
        <v>7</v>
      </c>
      <c r="AL77" s="1" t="s">
        <v>7</v>
      </c>
      <c r="AM77" s="1" t="s">
        <v>8</v>
      </c>
      <c r="AN77" s="1" t="s">
        <v>8</v>
      </c>
      <c r="AO77" s="1" t="s">
        <v>9</v>
      </c>
      <c r="AP77" s="1" t="s">
        <v>9</v>
      </c>
      <c r="AQ77" s="1" t="s">
        <v>10</v>
      </c>
      <c r="AR77" s="1" t="s">
        <v>10</v>
      </c>
      <c r="AU77" s="1" t="s">
        <v>19</v>
      </c>
      <c r="AV77" s="1" t="s">
        <v>1</v>
      </c>
      <c r="AW77" s="1" t="s">
        <v>1</v>
      </c>
      <c r="AX77" s="1" t="s">
        <v>2</v>
      </c>
      <c r="AY77" s="1" t="s">
        <v>2</v>
      </c>
      <c r="AZ77" s="1" t="s">
        <v>3</v>
      </c>
      <c r="BA77" s="1" t="s">
        <v>3</v>
      </c>
      <c r="BB77" s="1" t="s">
        <v>4</v>
      </c>
      <c r="BC77" s="1" t="s">
        <v>4</v>
      </c>
      <c r="BD77" s="1" t="s">
        <v>5</v>
      </c>
      <c r="BE77" s="1" t="s">
        <v>5</v>
      </c>
      <c r="BF77" s="1" t="s">
        <v>6</v>
      </c>
      <c r="BG77" s="1" t="s">
        <v>6</v>
      </c>
      <c r="BH77" s="1" t="s">
        <v>7</v>
      </c>
      <c r="BI77" s="1" t="s">
        <v>7</v>
      </c>
      <c r="BJ77" s="1" t="s">
        <v>8</v>
      </c>
      <c r="BK77" s="1" t="s">
        <v>8</v>
      </c>
      <c r="BL77" s="1" t="s">
        <v>9</v>
      </c>
      <c r="BM77" s="1" t="s">
        <v>9</v>
      </c>
      <c r="BN77" s="1" t="s">
        <v>10</v>
      </c>
      <c r="BO77" s="1" t="s">
        <v>10</v>
      </c>
      <c r="BR77" s="1" t="s">
        <v>19</v>
      </c>
      <c r="BS77" s="1" t="s">
        <v>1</v>
      </c>
      <c r="BT77" s="1" t="s">
        <v>1</v>
      </c>
      <c r="BU77" s="1" t="s">
        <v>2</v>
      </c>
      <c r="BV77" s="1" t="s">
        <v>2</v>
      </c>
      <c r="BW77" s="1" t="s">
        <v>3</v>
      </c>
      <c r="BX77" s="1" t="s">
        <v>3</v>
      </c>
      <c r="BY77" s="1" t="s">
        <v>4</v>
      </c>
      <c r="BZ77" s="1" t="s">
        <v>4</v>
      </c>
      <c r="CA77" s="1" t="s">
        <v>5</v>
      </c>
      <c r="CB77" s="1" t="s">
        <v>5</v>
      </c>
      <c r="CC77" s="1" t="s">
        <v>6</v>
      </c>
      <c r="CD77" s="1" t="s">
        <v>6</v>
      </c>
      <c r="CE77" s="1" t="s">
        <v>7</v>
      </c>
      <c r="CF77" s="1" t="s">
        <v>7</v>
      </c>
      <c r="CG77" s="1" t="s">
        <v>8</v>
      </c>
      <c r="CH77" s="1" t="s">
        <v>8</v>
      </c>
      <c r="CI77" s="1" t="s">
        <v>9</v>
      </c>
      <c r="CJ77" s="1" t="s">
        <v>9</v>
      </c>
      <c r="CK77" s="1" t="s">
        <v>10</v>
      </c>
      <c r="CL77" s="1" t="s">
        <v>10</v>
      </c>
    </row>
    <row r="78" spans="2:90" x14ac:dyDescent="0.3">
      <c r="B78" s="1" t="s">
        <v>20</v>
      </c>
      <c r="X78" s="1" t="s">
        <v>20</v>
      </c>
      <c r="AU78" s="1" t="s">
        <v>20</v>
      </c>
      <c r="BR78" s="1" t="s">
        <v>20</v>
      </c>
    </row>
    <row r="79" spans="2:90" x14ac:dyDescent="0.3">
      <c r="B79" s="1" t="s">
        <v>21</v>
      </c>
      <c r="C79" s="2">
        <v>2.59</v>
      </c>
      <c r="D79" s="2">
        <v>4.1500000000000004</v>
      </c>
      <c r="E79" s="2">
        <v>1.91</v>
      </c>
      <c r="F79" s="2">
        <v>1.91</v>
      </c>
      <c r="G79" s="2">
        <v>0.63</v>
      </c>
      <c r="H79" s="2">
        <v>1.3</v>
      </c>
      <c r="I79" s="2">
        <v>6.06</v>
      </c>
      <c r="J79" s="2">
        <v>14.52</v>
      </c>
      <c r="K79" s="2">
        <v>32.26</v>
      </c>
      <c r="L79" s="2">
        <v>42.34</v>
      </c>
      <c r="M79" s="2">
        <v>32.659999999999997</v>
      </c>
      <c r="N79" s="2">
        <v>47.17</v>
      </c>
      <c r="O79" s="2">
        <v>29.23</v>
      </c>
      <c r="P79" s="2">
        <v>32.159999999999997</v>
      </c>
      <c r="Q79" s="2">
        <v>22.98</v>
      </c>
      <c r="R79" s="2">
        <v>22.98</v>
      </c>
      <c r="S79" s="2">
        <v>13.71</v>
      </c>
      <c r="T79" s="2">
        <v>23.99</v>
      </c>
      <c r="U79" s="2">
        <v>13.61</v>
      </c>
      <c r="V79" s="2">
        <v>18.14</v>
      </c>
      <c r="X79" s="1" t="s">
        <v>21</v>
      </c>
      <c r="Y79" s="2">
        <v>1.3</v>
      </c>
      <c r="Z79" s="2">
        <v>1.3</v>
      </c>
      <c r="AA79" s="2">
        <v>1.3</v>
      </c>
      <c r="AB79" s="2">
        <v>1.3</v>
      </c>
      <c r="AC79" s="2">
        <v>0.5</v>
      </c>
      <c r="AD79" s="2">
        <v>0.5</v>
      </c>
      <c r="AE79" s="2">
        <v>1.37</v>
      </c>
      <c r="AF79" s="2">
        <v>1.37</v>
      </c>
      <c r="AG79" s="2">
        <v>1.71</v>
      </c>
      <c r="AH79" s="2">
        <v>1.71</v>
      </c>
      <c r="AI79" s="2">
        <v>3.09</v>
      </c>
      <c r="AJ79" s="2">
        <v>3.09</v>
      </c>
      <c r="AK79" s="2">
        <v>2.4900000000000002</v>
      </c>
      <c r="AL79" s="2">
        <v>2.4900000000000002</v>
      </c>
      <c r="AM79" s="2">
        <v>3.26</v>
      </c>
      <c r="AN79" s="2">
        <v>3.26</v>
      </c>
      <c r="AO79" s="2">
        <v>2.91</v>
      </c>
      <c r="AP79" s="2">
        <v>2.91</v>
      </c>
      <c r="AQ79" s="2">
        <v>3.86</v>
      </c>
      <c r="AR79" s="2">
        <v>3.86</v>
      </c>
      <c r="AU79" s="1" t="s">
        <v>21</v>
      </c>
      <c r="AV79" s="2">
        <v>1.42</v>
      </c>
      <c r="AW79" s="2">
        <v>1.42</v>
      </c>
      <c r="AX79" s="2">
        <v>1.42</v>
      </c>
      <c r="AY79" s="2">
        <v>1.42</v>
      </c>
      <c r="AZ79" s="2">
        <v>0.55000000000000004</v>
      </c>
      <c r="BA79" s="2">
        <v>0.55000000000000004</v>
      </c>
      <c r="BB79" s="2">
        <v>1.48</v>
      </c>
      <c r="BC79" s="2">
        <v>1.54</v>
      </c>
      <c r="BD79" s="2">
        <v>1.76</v>
      </c>
      <c r="BE79" s="2">
        <v>1.79</v>
      </c>
      <c r="BF79" s="2">
        <v>3.33</v>
      </c>
      <c r="BG79" s="2">
        <v>3.2</v>
      </c>
      <c r="BH79" s="2">
        <v>2.68</v>
      </c>
      <c r="BI79" s="2">
        <v>2.56</v>
      </c>
      <c r="BJ79" s="2">
        <v>3.42</v>
      </c>
      <c r="BK79" s="2">
        <v>3.37</v>
      </c>
      <c r="BL79" s="2">
        <v>3</v>
      </c>
      <c r="BM79" s="2">
        <v>2.93</v>
      </c>
      <c r="BN79" s="2">
        <v>3.97</v>
      </c>
      <c r="BO79" s="2">
        <v>3.89</v>
      </c>
      <c r="BR79" s="1" t="s">
        <v>21</v>
      </c>
      <c r="BS79" s="2">
        <v>-0.08</v>
      </c>
      <c r="BT79" s="2">
        <v>-0.08</v>
      </c>
      <c r="BU79" s="2">
        <v>-0.08</v>
      </c>
      <c r="BV79" s="2">
        <v>-0.08</v>
      </c>
      <c r="BW79" s="2">
        <v>-0.08</v>
      </c>
      <c r="BX79" s="2">
        <v>-0.08</v>
      </c>
      <c r="BY79" s="2">
        <v>-7.0000000000000007E-2</v>
      </c>
      <c r="BZ79" s="2">
        <v>-0.11</v>
      </c>
      <c r="CA79" s="2">
        <v>-0.03</v>
      </c>
      <c r="CB79" s="2">
        <v>-0.04</v>
      </c>
      <c r="CC79" s="2">
        <v>-7.0000000000000007E-2</v>
      </c>
      <c r="CD79" s="2">
        <v>-0.04</v>
      </c>
      <c r="CE79" s="2">
        <v>-7.0000000000000007E-2</v>
      </c>
      <c r="CF79" s="2">
        <v>-0.03</v>
      </c>
      <c r="CG79" s="2">
        <v>-0.05</v>
      </c>
      <c r="CH79" s="2">
        <v>-0.03</v>
      </c>
      <c r="CI79" s="2">
        <v>-0.03</v>
      </c>
      <c r="CJ79" s="2">
        <v>-0.01</v>
      </c>
      <c r="CK79" s="2">
        <v>-0.03</v>
      </c>
      <c r="CL79" s="2">
        <v>-0.01</v>
      </c>
    </row>
    <row r="80" spans="2:90" x14ac:dyDescent="0.3">
      <c r="B80" s="1" t="s">
        <v>22</v>
      </c>
      <c r="C80" s="2">
        <v>22.79</v>
      </c>
      <c r="D80" s="2">
        <v>10.82</v>
      </c>
      <c r="E80" s="2">
        <v>12.16</v>
      </c>
      <c r="F80" s="2">
        <v>6.77</v>
      </c>
      <c r="G80" s="2">
        <v>3.75</v>
      </c>
      <c r="H80" s="2">
        <v>5.84</v>
      </c>
      <c r="I80" s="2">
        <v>18.940000000000001</v>
      </c>
      <c r="J80" s="2">
        <v>36.58</v>
      </c>
      <c r="K80" s="2">
        <v>23.78</v>
      </c>
      <c r="L80" s="2">
        <v>33.6</v>
      </c>
      <c r="M80" s="2">
        <v>41.06</v>
      </c>
      <c r="N80" s="2">
        <v>46.71</v>
      </c>
      <c r="O80" s="2">
        <v>38.130000000000003</v>
      </c>
      <c r="P80" s="2">
        <v>38.619999999999997</v>
      </c>
      <c r="Q80" s="2">
        <v>48.41</v>
      </c>
      <c r="R80" s="2">
        <v>33.71</v>
      </c>
      <c r="S80" s="2">
        <v>34.04</v>
      </c>
      <c r="T80" s="2">
        <v>33.090000000000003</v>
      </c>
      <c r="U80" s="2">
        <v>38.14</v>
      </c>
      <c r="V80" s="2">
        <v>27.64</v>
      </c>
      <c r="X80" s="1" t="s">
        <v>22</v>
      </c>
      <c r="Y80" s="2">
        <v>1.3</v>
      </c>
      <c r="Z80" s="2">
        <v>1.3</v>
      </c>
      <c r="AA80" s="2">
        <v>1.3</v>
      </c>
      <c r="AB80" s="2">
        <v>1.3</v>
      </c>
      <c r="AC80" s="2">
        <v>0.5</v>
      </c>
      <c r="AD80" s="2">
        <v>0.5</v>
      </c>
      <c r="AE80" s="2">
        <v>1.37</v>
      </c>
      <c r="AF80" s="2">
        <v>1.37</v>
      </c>
      <c r="AG80" s="2">
        <v>1.72</v>
      </c>
      <c r="AH80" s="2">
        <v>1.71</v>
      </c>
      <c r="AI80" s="2">
        <v>3.09</v>
      </c>
      <c r="AJ80" s="2">
        <v>3.09</v>
      </c>
      <c r="AK80" s="2">
        <v>2.4900000000000002</v>
      </c>
      <c r="AL80" s="2">
        <v>2.4900000000000002</v>
      </c>
      <c r="AM80" s="2">
        <v>3.26</v>
      </c>
      <c r="AN80" s="2">
        <v>3.26</v>
      </c>
      <c r="AO80" s="2">
        <v>2.91</v>
      </c>
      <c r="AP80" s="2">
        <v>2.91</v>
      </c>
      <c r="AQ80" s="2">
        <v>3.86</v>
      </c>
      <c r="AR80" s="2">
        <v>3.86</v>
      </c>
      <c r="AU80" s="1" t="s">
        <v>22</v>
      </c>
      <c r="AV80" s="2">
        <v>1.45</v>
      </c>
      <c r="AW80" s="2">
        <v>1.42</v>
      </c>
      <c r="AX80" s="2">
        <v>1.43</v>
      </c>
      <c r="AY80" s="2">
        <v>1.42</v>
      </c>
      <c r="AZ80" s="2">
        <v>0.55000000000000004</v>
      </c>
      <c r="BA80" s="2">
        <v>0.55000000000000004</v>
      </c>
      <c r="BB80" s="2">
        <v>1.51</v>
      </c>
      <c r="BC80" s="2">
        <v>1.52</v>
      </c>
      <c r="BD80" s="2">
        <v>1.77</v>
      </c>
      <c r="BE80" s="2">
        <v>1.74</v>
      </c>
      <c r="BF80" s="2">
        <v>3.25</v>
      </c>
      <c r="BG80" s="2">
        <v>3.15</v>
      </c>
      <c r="BH80" s="2">
        <v>2.61</v>
      </c>
      <c r="BI80" s="2">
        <v>2.5499999999999998</v>
      </c>
      <c r="BJ80" s="2">
        <v>3.38</v>
      </c>
      <c r="BK80" s="2">
        <v>3.3</v>
      </c>
      <c r="BL80" s="2">
        <v>3.01</v>
      </c>
      <c r="BM80" s="2">
        <v>2.94</v>
      </c>
      <c r="BN80" s="2">
        <v>3.93</v>
      </c>
      <c r="BO80" s="2">
        <v>3.86</v>
      </c>
      <c r="BR80" s="1" t="s">
        <v>22</v>
      </c>
      <c r="BS80" s="2">
        <v>-0.1</v>
      </c>
      <c r="BT80" s="2">
        <v>-0.08</v>
      </c>
      <c r="BU80" s="2">
        <v>-0.09</v>
      </c>
      <c r="BV80" s="2">
        <v>-0.08</v>
      </c>
      <c r="BW80" s="2">
        <v>-0.09</v>
      </c>
      <c r="BX80" s="2">
        <v>-0.09</v>
      </c>
      <c r="BY80" s="2">
        <v>-0.09</v>
      </c>
      <c r="BZ80" s="2">
        <v>-0.1</v>
      </c>
      <c r="CA80" s="2">
        <v>-0.03</v>
      </c>
      <c r="CB80" s="2">
        <v>-0.02</v>
      </c>
      <c r="CC80" s="2">
        <v>-0.05</v>
      </c>
      <c r="CD80" s="2">
        <v>-0.02</v>
      </c>
      <c r="CE80" s="2">
        <v>-0.05</v>
      </c>
      <c r="CF80" s="2">
        <v>-0.03</v>
      </c>
      <c r="CG80" s="2">
        <v>-0.04</v>
      </c>
      <c r="CH80" s="2">
        <v>-0.01</v>
      </c>
      <c r="CI80" s="2">
        <v>-0.03</v>
      </c>
      <c r="CJ80" s="2">
        <v>-0.01</v>
      </c>
      <c r="CK80" s="2">
        <v>-0.02</v>
      </c>
      <c r="CL80" s="2">
        <v>0</v>
      </c>
    </row>
    <row r="81" spans="2:90" x14ac:dyDescent="0.3">
      <c r="B81" s="1" t="s">
        <v>23</v>
      </c>
      <c r="C81" s="2">
        <v>211.54</v>
      </c>
      <c r="D81" s="2">
        <v>31.43</v>
      </c>
      <c r="E81" s="2">
        <v>279.79000000000002</v>
      </c>
      <c r="F81" s="2">
        <v>2.56</v>
      </c>
      <c r="G81" s="2">
        <v>48.32</v>
      </c>
      <c r="H81" s="2">
        <v>179.58</v>
      </c>
      <c r="I81" s="2">
        <v>278</v>
      </c>
      <c r="J81" s="2">
        <v>182.7</v>
      </c>
      <c r="K81" s="2">
        <v>361.17</v>
      </c>
      <c r="L81" s="2">
        <v>181.3</v>
      </c>
      <c r="M81" s="2">
        <v>708.93</v>
      </c>
      <c r="N81" s="2">
        <v>296.29000000000002</v>
      </c>
      <c r="O81" s="2">
        <v>824.28</v>
      </c>
      <c r="P81" s="2">
        <v>244.85</v>
      </c>
      <c r="Q81" s="2">
        <v>897.48</v>
      </c>
      <c r="R81" s="2">
        <v>264.44</v>
      </c>
      <c r="S81" s="2">
        <v>224.51</v>
      </c>
      <c r="T81" s="2">
        <v>216.02</v>
      </c>
      <c r="U81" s="2">
        <v>220.66</v>
      </c>
      <c r="V81" s="2">
        <v>186.52</v>
      </c>
      <c r="X81" s="1" t="s">
        <v>23</v>
      </c>
      <c r="Y81" s="2">
        <v>1.31</v>
      </c>
      <c r="Z81" s="2">
        <v>1.3</v>
      </c>
      <c r="AA81" s="2">
        <v>1.3</v>
      </c>
      <c r="AB81" s="2">
        <v>1.3</v>
      </c>
      <c r="AC81" s="2">
        <v>0.5</v>
      </c>
      <c r="AD81" s="2">
        <v>0.52</v>
      </c>
      <c r="AE81" s="2">
        <v>1.37</v>
      </c>
      <c r="AF81" s="2">
        <v>1.37</v>
      </c>
      <c r="AG81" s="2">
        <v>1.72</v>
      </c>
      <c r="AH81" s="2">
        <v>1.71</v>
      </c>
      <c r="AI81" s="2">
        <v>3.1</v>
      </c>
      <c r="AJ81" s="2">
        <v>3.09</v>
      </c>
      <c r="AK81" s="2">
        <v>2.54</v>
      </c>
      <c r="AL81" s="2">
        <v>2.4900000000000002</v>
      </c>
      <c r="AM81" s="2">
        <v>3.28</v>
      </c>
      <c r="AN81" s="2">
        <v>3.26</v>
      </c>
      <c r="AO81" s="2">
        <v>2.91</v>
      </c>
      <c r="AP81" s="2">
        <v>2.91</v>
      </c>
      <c r="AQ81" s="2">
        <v>3.86</v>
      </c>
      <c r="AR81" s="2">
        <v>3.86</v>
      </c>
      <c r="AU81" s="1" t="s">
        <v>23</v>
      </c>
      <c r="AV81" s="2">
        <v>2.0099999999999998</v>
      </c>
      <c r="AW81" s="2">
        <v>1.42</v>
      </c>
      <c r="AX81" s="2">
        <v>2.57</v>
      </c>
      <c r="AY81" s="2">
        <v>1.42</v>
      </c>
      <c r="AZ81" s="2">
        <v>0.7</v>
      </c>
      <c r="BA81" s="2">
        <v>0.88</v>
      </c>
      <c r="BB81" s="2">
        <v>1.89</v>
      </c>
      <c r="BC81" s="2">
        <v>1.54</v>
      </c>
      <c r="BD81" s="2">
        <v>2.42</v>
      </c>
      <c r="BE81" s="2">
        <v>1.78</v>
      </c>
      <c r="BF81" s="2">
        <v>4.71</v>
      </c>
      <c r="BG81" s="2">
        <v>3.21</v>
      </c>
      <c r="BH81" s="2">
        <v>4.37</v>
      </c>
      <c r="BI81" s="2">
        <v>2.59</v>
      </c>
      <c r="BJ81" s="2">
        <v>5.19</v>
      </c>
      <c r="BK81" s="2">
        <v>3.37</v>
      </c>
      <c r="BL81" s="2">
        <v>3.09</v>
      </c>
      <c r="BM81" s="2">
        <v>2.97</v>
      </c>
      <c r="BN81" s="2">
        <v>3.91</v>
      </c>
      <c r="BO81" s="2">
        <v>3.89</v>
      </c>
      <c r="BR81" s="1" t="s">
        <v>23</v>
      </c>
      <c r="BS81" s="2">
        <v>-0.35</v>
      </c>
      <c r="BT81" s="2">
        <v>-0.08</v>
      </c>
      <c r="BU81" s="2">
        <v>-0.49</v>
      </c>
      <c r="BV81" s="2">
        <v>-0.08</v>
      </c>
      <c r="BW81" s="2">
        <v>-0.28000000000000003</v>
      </c>
      <c r="BX81" s="2">
        <v>-0.41</v>
      </c>
      <c r="BY81" s="2">
        <v>-0.27</v>
      </c>
      <c r="BZ81" s="2">
        <v>-0.11</v>
      </c>
      <c r="CA81" s="2">
        <v>-0.28999999999999998</v>
      </c>
      <c r="CB81" s="2">
        <v>-0.04</v>
      </c>
      <c r="CC81" s="2">
        <v>-0.34</v>
      </c>
      <c r="CD81" s="2">
        <v>-0.04</v>
      </c>
      <c r="CE81" s="2">
        <v>-0.42</v>
      </c>
      <c r="CF81" s="2">
        <v>-0.04</v>
      </c>
      <c r="CG81" s="2">
        <v>-0.37</v>
      </c>
      <c r="CH81" s="2">
        <v>-0.03</v>
      </c>
      <c r="CI81" s="2">
        <v>-0.06</v>
      </c>
      <c r="CJ81" s="2">
        <v>-0.02</v>
      </c>
      <c r="CK81" s="2">
        <v>-0.01</v>
      </c>
      <c r="CL81" s="2">
        <v>-0.01</v>
      </c>
    </row>
    <row r="82" spans="2:90" x14ac:dyDescent="0.3">
      <c r="B82" s="1" t="s">
        <v>24</v>
      </c>
      <c r="C82" s="2">
        <v>73.3</v>
      </c>
      <c r="D82" s="2">
        <v>12.31</v>
      </c>
      <c r="E82" s="2">
        <v>63.05</v>
      </c>
      <c r="F82" s="2">
        <v>5.83</v>
      </c>
      <c r="G82" s="2">
        <v>21.53</v>
      </c>
      <c r="H82" s="2">
        <v>32.119999999999997</v>
      </c>
      <c r="I82" s="2">
        <v>79.760000000000005</v>
      </c>
      <c r="J82" s="2">
        <v>41.04</v>
      </c>
      <c r="K82" s="2">
        <v>121.01</v>
      </c>
      <c r="L82" s="2">
        <v>40.619999999999997</v>
      </c>
      <c r="M82" s="2">
        <v>217.62</v>
      </c>
      <c r="N82" s="2">
        <v>59.36</v>
      </c>
      <c r="O82" s="2">
        <v>189.37</v>
      </c>
      <c r="P82" s="2">
        <v>49.53</v>
      </c>
      <c r="Q82" s="2">
        <v>151.78</v>
      </c>
      <c r="R82" s="2">
        <v>74.540000000000006</v>
      </c>
      <c r="S82" s="2">
        <v>71.12</v>
      </c>
      <c r="T82" s="2">
        <v>46.74</v>
      </c>
      <c r="U82" s="2">
        <v>68.069999999999993</v>
      </c>
      <c r="V82" s="2">
        <v>60.42</v>
      </c>
      <c r="X82" s="1" t="s">
        <v>24</v>
      </c>
      <c r="Y82" s="2">
        <v>1.3</v>
      </c>
      <c r="Z82" s="2">
        <v>1.3</v>
      </c>
      <c r="AA82" s="2">
        <v>1.3</v>
      </c>
      <c r="AB82" s="2">
        <v>1.3</v>
      </c>
      <c r="AC82" s="2">
        <v>0.5</v>
      </c>
      <c r="AD82" s="2">
        <v>0.5</v>
      </c>
      <c r="AE82" s="2">
        <v>1.37</v>
      </c>
      <c r="AF82" s="2">
        <v>1.37</v>
      </c>
      <c r="AG82" s="2">
        <v>1.72</v>
      </c>
      <c r="AH82" s="2">
        <v>1.71</v>
      </c>
      <c r="AI82" s="2">
        <v>3.09</v>
      </c>
      <c r="AJ82" s="2">
        <v>3.09</v>
      </c>
      <c r="AK82" s="2">
        <v>2.4900000000000002</v>
      </c>
      <c r="AL82" s="2">
        <v>2.4900000000000002</v>
      </c>
      <c r="AM82" s="2">
        <v>3.26</v>
      </c>
      <c r="AN82" s="2">
        <v>3.26</v>
      </c>
      <c r="AO82" s="2">
        <v>2.91</v>
      </c>
      <c r="AP82" s="2">
        <v>2.91</v>
      </c>
      <c r="AQ82" s="2">
        <v>3.86</v>
      </c>
      <c r="AR82" s="2">
        <v>3.86</v>
      </c>
      <c r="AU82" s="1" t="s">
        <v>24</v>
      </c>
      <c r="AV82" s="2">
        <v>2.14</v>
      </c>
      <c r="AW82" s="2">
        <v>1.43</v>
      </c>
      <c r="AX82" s="2">
        <v>2.09</v>
      </c>
      <c r="AY82" s="2">
        <v>1.42</v>
      </c>
      <c r="AZ82" s="2">
        <v>0.8</v>
      </c>
      <c r="BA82" s="2">
        <v>0.81</v>
      </c>
      <c r="BB82" s="2">
        <v>1.76</v>
      </c>
      <c r="BC82" s="2">
        <v>1.56</v>
      </c>
      <c r="BD82" s="2">
        <v>2.23</v>
      </c>
      <c r="BE82" s="2">
        <v>1.8</v>
      </c>
      <c r="BF82" s="2">
        <v>4.1500000000000004</v>
      </c>
      <c r="BG82" s="2">
        <v>3.22</v>
      </c>
      <c r="BH82" s="2">
        <v>3.34</v>
      </c>
      <c r="BI82" s="2">
        <v>2.59</v>
      </c>
      <c r="BJ82" s="2">
        <v>3.66</v>
      </c>
      <c r="BK82" s="2">
        <v>3.36</v>
      </c>
      <c r="BL82" s="2">
        <v>3.01</v>
      </c>
      <c r="BM82" s="2">
        <v>2.98</v>
      </c>
      <c r="BN82" s="2">
        <v>3.93</v>
      </c>
      <c r="BO82" s="2">
        <v>3.91</v>
      </c>
      <c r="BR82" s="1" t="s">
        <v>24</v>
      </c>
      <c r="BS82" s="2">
        <v>-0.39</v>
      </c>
      <c r="BT82" s="2">
        <v>-0.09</v>
      </c>
      <c r="BU82" s="2">
        <v>-0.38</v>
      </c>
      <c r="BV82" s="2">
        <v>-0.08</v>
      </c>
      <c r="BW82" s="2">
        <v>-0.38</v>
      </c>
      <c r="BX82" s="2">
        <v>-0.38</v>
      </c>
      <c r="BY82" s="2">
        <v>-0.22</v>
      </c>
      <c r="BZ82" s="2">
        <v>-0.12</v>
      </c>
      <c r="CA82" s="2">
        <v>-0.23</v>
      </c>
      <c r="CB82" s="2">
        <v>-0.05</v>
      </c>
      <c r="CC82" s="2">
        <v>-0.26</v>
      </c>
      <c r="CD82" s="2">
        <v>-0.04</v>
      </c>
      <c r="CE82" s="2">
        <v>-0.26</v>
      </c>
      <c r="CF82" s="2">
        <v>-0.04</v>
      </c>
      <c r="CG82" s="2">
        <v>-0.11</v>
      </c>
      <c r="CH82" s="2">
        <v>-0.03</v>
      </c>
      <c r="CI82" s="2">
        <v>-0.03</v>
      </c>
      <c r="CJ82" s="2">
        <v>-0.02</v>
      </c>
      <c r="CK82" s="2">
        <v>-0.02</v>
      </c>
      <c r="CL82" s="2">
        <v>-0.01</v>
      </c>
    </row>
    <row r="83" spans="2:90" x14ac:dyDescent="0.3">
      <c r="B83" s="1" t="s">
        <v>25</v>
      </c>
      <c r="C83" s="2">
        <v>186.97</v>
      </c>
      <c r="D83" s="2">
        <v>128.97</v>
      </c>
      <c r="E83" s="2">
        <v>100.68</v>
      </c>
      <c r="F83" s="2">
        <v>36.5</v>
      </c>
      <c r="G83" s="2">
        <v>39.5</v>
      </c>
      <c r="H83" s="2">
        <v>104.98</v>
      </c>
      <c r="I83" s="2">
        <v>115.84</v>
      </c>
      <c r="J83" s="2">
        <v>211.68</v>
      </c>
      <c r="K83" s="2">
        <v>249.85</v>
      </c>
      <c r="L83" s="2">
        <v>267.83</v>
      </c>
      <c r="M83" s="2">
        <v>318.02</v>
      </c>
      <c r="N83" s="2">
        <v>275.87</v>
      </c>
      <c r="O83" s="2">
        <v>246.2</v>
      </c>
      <c r="P83" s="2">
        <v>220.17</v>
      </c>
      <c r="Q83" s="2">
        <v>307.16000000000003</v>
      </c>
      <c r="R83" s="2">
        <v>271.52999999999997</v>
      </c>
      <c r="S83" s="2">
        <v>263.93</v>
      </c>
      <c r="T83" s="2">
        <v>178.76</v>
      </c>
      <c r="U83" s="2">
        <v>259.16000000000003</v>
      </c>
      <c r="V83" s="2">
        <v>179.66</v>
      </c>
      <c r="X83" s="1" t="s">
        <v>25</v>
      </c>
      <c r="Y83" s="2">
        <v>1.3</v>
      </c>
      <c r="Z83" s="2">
        <v>1.3</v>
      </c>
      <c r="AA83" s="2">
        <v>1.3</v>
      </c>
      <c r="AB83" s="2">
        <v>1.3</v>
      </c>
      <c r="AC83" s="2">
        <v>0.5</v>
      </c>
      <c r="AD83" s="2">
        <v>0.5</v>
      </c>
      <c r="AE83" s="2">
        <v>1.37</v>
      </c>
      <c r="AF83" s="2">
        <v>1.37</v>
      </c>
      <c r="AG83" s="2">
        <v>1.71</v>
      </c>
      <c r="AH83" s="2">
        <v>1.71</v>
      </c>
      <c r="AI83" s="2">
        <v>3.09</v>
      </c>
      <c r="AJ83" s="2">
        <v>3.09</v>
      </c>
      <c r="AK83" s="2">
        <v>2.4900000000000002</v>
      </c>
      <c r="AL83" s="2">
        <v>2.4900000000000002</v>
      </c>
      <c r="AM83" s="2">
        <v>3.26</v>
      </c>
      <c r="AN83" s="2">
        <v>3.26</v>
      </c>
      <c r="AO83" s="2">
        <v>2.91</v>
      </c>
      <c r="AP83" s="2">
        <v>2.91</v>
      </c>
      <c r="AQ83" s="2">
        <v>3.86</v>
      </c>
      <c r="AR83" s="2">
        <v>3.86</v>
      </c>
      <c r="AU83" s="1" t="s">
        <v>25</v>
      </c>
      <c r="AV83" s="2">
        <v>1.97</v>
      </c>
      <c r="AW83" s="2">
        <v>1.59</v>
      </c>
      <c r="AX83" s="2">
        <v>1.59</v>
      </c>
      <c r="AY83" s="2">
        <v>1.44</v>
      </c>
      <c r="AZ83" s="2">
        <v>0.63</v>
      </c>
      <c r="BA83" s="2">
        <v>0.77</v>
      </c>
      <c r="BB83" s="2">
        <v>1.5</v>
      </c>
      <c r="BC83" s="2">
        <v>1.66</v>
      </c>
      <c r="BD83" s="2">
        <v>1.9</v>
      </c>
      <c r="BE83" s="2">
        <v>1.96</v>
      </c>
      <c r="BF83" s="2">
        <v>3.32</v>
      </c>
      <c r="BG83" s="2">
        <v>3.26</v>
      </c>
      <c r="BH83" s="2">
        <v>2.61</v>
      </c>
      <c r="BI83" s="2">
        <v>2.59</v>
      </c>
      <c r="BJ83" s="2">
        <v>3.38</v>
      </c>
      <c r="BK83" s="2">
        <v>3.36</v>
      </c>
      <c r="BL83" s="2">
        <v>3</v>
      </c>
      <c r="BM83" s="2">
        <v>2.96</v>
      </c>
      <c r="BN83" s="2">
        <v>3.93</v>
      </c>
      <c r="BO83" s="2">
        <v>3.89</v>
      </c>
      <c r="BR83" s="1" t="s">
        <v>25</v>
      </c>
      <c r="BS83" s="2">
        <v>-0.34</v>
      </c>
      <c r="BT83" s="2">
        <v>-0.18</v>
      </c>
      <c r="BU83" s="2">
        <v>-0.18</v>
      </c>
      <c r="BV83" s="2">
        <v>-0.1</v>
      </c>
      <c r="BW83" s="2">
        <v>-0.2</v>
      </c>
      <c r="BX83" s="2">
        <v>-0.35</v>
      </c>
      <c r="BY83" s="2">
        <v>-0.08</v>
      </c>
      <c r="BZ83" s="2">
        <v>-0.17</v>
      </c>
      <c r="CA83" s="2">
        <v>-0.1</v>
      </c>
      <c r="CB83" s="2">
        <v>-0.12</v>
      </c>
      <c r="CC83" s="2">
        <v>-7.0000000000000007E-2</v>
      </c>
      <c r="CD83" s="2">
        <v>-0.05</v>
      </c>
      <c r="CE83" s="2">
        <v>-0.05</v>
      </c>
      <c r="CF83" s="2">
        <v>-0.04</v>
      </c>
      <c r="CG83" s="2">
        <v>-0.04</v>
      </c>
      <c r="CH83" s="2">
        <v>-0.03</v>
      </c>
      <c r="CI83" s="2">
        <v>-0.03</v>
      </c>
      <c r="CJ83" s="2">
        <v>-0.02</v>
      </c>
      <c r="CK83" s="2">
        <v>-0.02</v>
      </c>
      <c r="CL83" s="2">
        <v>-0.01</v>
      </c>
    </row>
    <row r="84" spans="2:90" x14ac:dyDescent="0.3">
      <c r="B84" s="1" t="s">
        <v>26</v>
      </c>
      <c r="C84" s="2">
        <v>46.37</v>
      </c>
      <c r="D84" s="2">
        <v>17.670000000000002</v>
      </c>
      <c r="E84" s="2">
        <v>18.47</v>
      </c>
      <c r="F84" s="2">
        <v>11.3</v>
      </c>
      <c r="G84" s="2">
        <v>12.56</v>
      </c>
      <c r="H84" s="2">
        <v>9.3699999999999992</v>
      </c>
      <c r="I84" s="2">
        <v>12.78</v>
      </c>
      <c r="J84" s="2">
        <v>29.93</v>
      </c>
      <c r="K84" s="2">
        <v>14.43</v>
      </c>
      <c r="L84" s="2">
        <v>52.44</v>
      </c>
      <c r="M84" s="2">
        <v>34.35</v>
      </c>
      <c r="N84" s="2">
        <v>52.02</v>
      </c>
      <c r="O84" s="2">
        <v>30.18</v>
      </c>
      <c r="P84" s="2">
        <v>29.77</v>
      </c>
      <c r="Q84" s="2">
        <v>38.590000000000003</v>
      </c>
      <c r="R84" s="2">
        <v>51.01</v>
      </c>
      <c r="S84" s="2">
        <v>38.21</v>
      </c>
      <c r="T84" s="2">
        <v>23.76</v>
      </c>
      <c r="U84" s="2">
        <v>36.06</v>
      </c>
      <c r="V84" s="2">
        <v>23.43</v>
      </c>
      <c r="X84" s="1" t="s">
        <v>26</v>
      </c>
      <c r="Y84" s="2">
        <v>1.3</v>
      </c>
      <c r="Z84" s="2">
        <v>1.3</v>
      </c>
      <c r="AA84" s="2">
        <v>1.31</v>
      </c>
      <c r="AB84" s="2">
        <v>1.32</v>
      </c>
      <c r="AC84" s="2">
        <v>0.5</v>
      </c>
      <c r="AD84" s="2">
        <v>0.5</v>
      </c>
      <c r="AE84" s="2">
        <v>1.37</v>
      </c>
      <c r="AF84" s="2">
        <v>1.37</v>
      </c>
      <c r="AG84" s="2">
        <v>1.72</v>
      </c>
      <c r="AH84" s="2">
        <v>1.72</v>
      </c>
      <c r="AI84" s="2">
        <v>3.09</v>
      </c>
      <c r="AJ84" s="2">
        <v>3.1</v>
      </c>
      <c r="AK84" s="2">
        <v>2.4900000000000002</v>
      </c>
      <c r="AL84" s="2">
        <v>2.4900000000000002</v>
      </c>
      <c r="AM84" s="2">
        <v>3.26</v>
      </c>
      <c r="AN84" s="2">
        <v>3.26</v>
      </c>
      <c r="AO84" s="2">
        <v>2.92</v>
      </c>
      <c r="AP84" s="2">
        <v>2.92</v>
      </c>
      <c r="AQ84" s="2">
        <v>3.86</v>
      </c>
      <c r="AR84" s="2">
        <v>3.86</v>
      </c>
      <c r="AU84" s="1" t="s">
        <v>26</v>
      </c>
      <c r="AV84" s="2">
        <v>2.04</v>
      </c>
      <c r="AW84" s="2">
        <v>2.02</v>
      </c>
      <c r="AX84" s="2">
        <v>1.59</v>
      </c>
      <c r="AY84" s="2">
        <v>1.82</v>
      </c>
      <c r="AZ84" s="2">
        <v>0.76</v>
      </c>
      <c r="BA84" s="2">
        <v>0.75</v>
      </c>
      <c r="BB84" s="2">
        <v>1.51</v>
      </c>
      <c r="BC84" s="2">
        <v>2.04</v>
      </c>
      <c r="BD84" s="2">
        <v>1.76</v>
      </c>
      <c r="BE84" s="2">
        <v>2.4300000000000002</v>
      </c>
      <c r="BF84" s="2">
        <v>3.22</v>
      </c>
      <c r="BG84" s="2">
        <v>3.72</v>
      </c>
      <c r="BH84" s="2">
        <v>2.59</v>
      </c>
      <c r="BI84" s="2">
        <v>2.77</v>
      </c>
      <c r="BJ84" s="2">
        <v>3.39</v>
      </c>
      <c r="BK84" s="2">
        <v>3.63</v>
      </c>
      <c r="BL84" s="2">
        <v>3.01</v>
      </c>
      <c r="BM84" s="2">
        <v>3.16</v>
      </c>
      <c r="BN84" s="2">
        <v>3.93</v>
      </c>
      <c r="BO84" s="2">
        <v>3.91</v>
      </c>
      <c r="BR84" s="1" t="s">
        <v>26</v>
      </c>
      <c r="BS84" s="2">
        <v>-0.36</v>
      </c>
      <c r="BT84" s="2">
        <v>-0.36</v>
      </c>
      <c r="BU84" s="2">
        <v>-0.18</v>
      </c>
      <c r="BV84" s="2">
        <v>-0.28000000000000003</v>
      </c>
      <c r="BW84" s="2">
        <v>-0.34</v>
      </c>
      <c r="BX84" s="2">
        <v>-0.33</v>
      </c>
      <c r="BY84" s="2">
        <v>-0.09</v>
      </c>
      <c r="BZ84" s="2">
        <v>-0.33</v>
      </c>
      <c r="CA84" s="2">
        <v>-0.03</v>
      </c>
      <c r="CB84" s="2">
        <v>-0.28999999999999998</v>
      </c>
      <c r="CC84" s="2">
        <v>-0.04</v>
      </c>
      <c r="CD84" s="2">
        <v>-0.17</v>
      </c>
      <c r="CE84" s="2">
        <v>-0.04</v>
      </c>
      <c r="CF84" s="2">
        <v>-0.1</v>
      </c>
      <c r="CG84" s="2">
        <v>-0.04</v>
      </c>
      <c r="CH84" s="2">
        <v>-0.1</v>
      </c>
      <c r="CI84" s="2">
        <v>-0.03</v>
      </c>
      <c r="CJ84" s="2">
        <v>-0.08</v>
      </c>
      <c r="CK84" s="2">
        <v>-0.02</v>
      </c>
      <c r="CL84" s="2">
        <v>-0.01</v>
      </c>
    </row>
    <row r="85" spans="2:90" x14ac:dyDescent="0.3">
      <c r="B85" s="1" t="s">
        <v>27</v>
      </c>
      <c r="C85" s="2">
        <v>122.09</v>
      </c>
      <c r="D85" s="2">
        <v>111.98</v>
      </c>
      <c r="E85" s="2">
        <v>36.4</v>
      </c>
      <c r="F85" s="2">
        <v>57.15</v>
      </c>
      <c r="G85" s="2">
        <v>32.18</v>
      </c>
      <c r="H85" s="2">
        <v>46.73</v>
      </c>
      <c r="I85" s="2">
        <v>62.25</v>
      </c>
      <c r="J85" s="2">
        <v>143.29</v>
      </c>
      <c r="K85" s="2">
        <v>70.569999999999993</v>
      </c>
      <c r="L85" s="2">
        <v>223.79</v>
      </c>
      <c r="M85" s="2">
        <v>115.4</v>
      </c>
      <c r="N85" s="2">
        <v>275.06</v>
      </c>
      <c r="O85" s="2">
        <v>89.15</v>
      </c>
      <c r="P85" s="2">
        <v>169.95</v>
      </c>
      <c r="Q85" s="2">
        <v>158.62</v>
      </c>
      <c r="R85" s="2">
        <v>172.7</v>
      </c>
      <c r="S85" s="2">
        <v>114.28</v>
      </c>
      <c r="T85" s="2">
        <v>83.55</v>
      </c>
      <c r="U85" s="2">
        <v>111.78</v>
      </c>
      <c r="V85" s="2">
        <v>82.42</v>
      </c>
      <c r="X85" s="1" t="s">
        <v>27</v>
      </c>
      <c r="Y85" s="2">
        <v>1.3</v>
      </c>
      <c r="Z85" s="2">
        <v>1.32</v>
      </c>
      <c r="AA85" s="2">
        <v>1.3</v>
      </c>
      <c r="AB85" s="2">
        <v>1.31</v>
      </c>
      <c r="AC85" s="2">
        <v>0.5</v>
      </c>
      <c r="AD85" s="2">
        <v>0.5</v>
      </c>
      <c r="AE85" s="2">
        <v>1.37</v>
      </c>
      <c r="AF85" s="2">
        <v>1.38</v>
      </c>
      <c r="AG85" s="2">
        <v>1.72</v>
      </c>
      <c r="AH85" s="2">
        <v>1.73</v>
      </c>
      <c r="AI85" s="2">
        <v>3.09</v>
      </c>
      <c r="AJ85" s="2">
        <v>3.1</v>
      </c>
      <c r="AK85" s="2">
        <v>2.4900000000000002</v>
      </c>
      <c r="AL85" s="2">
        <v>2.4900000000000002</v>
      </c>
      <c r="AM85" s="2">
        <v>3.26</v>
      </c>
      <c r="AN85" s="2">
        <v>3.26</v>
      </c>
      <c r="AO85" s="2">
        <v>2.92</v>
      </c>
      <c r="AP85" s="2">
        <v>2.92</v>
      </c>
      <c r="AQ85" s="2">
        <v>3.86</v>
      </c>
      <c r="AR85" s="2">
        <v>3.86</v>
      </c>
      <c r="AU85" s="1" t="s">
        <v>27</v>
      </c>
      <c r="AV85" s="2">
        <v>2.27</v>
      </c>
      <c r="AW85" s="2">
        <v>2.12</v>
      </c>
      <c r="AX85" s="2">
        <v>1.55</v>
      </c>
      <c r="AY85" s="2">
        <v>1.74</v>
      </c>
      <c r="AZ85" s="2">
        <v>0.71</v>
      </c>
      <c r="BA85" s="2">
        <v>0.8</v>
      </c>
      <c r="BB85" s="2">
        <v>1.56</v>
      </c>
      <c r="BC85" s="2">
        <v>2.34</v>
      </c>
      <c r="BD85" s="2">
        <v>1.8</v>
      </c>
      <c r="BE85" s="2">
        <v>3.09</v>
      </c>
      <c r="BF85" s="2">
        <v>3.27</v>
      </c>
      <c r="BG85" s="2">
        <v>4.59</v>
      </c>
      <c r="BH85" s="2">
        <v>2.63</v>
      </c>
      <c r="BI85" s="2">
        <v>3.14</v>
      </c>
      <c r="BJ85" s="2">
        <v>3.51</v>
      </c>
      <c r="BK85" s="2">
        <v>3.64</v>
      </c>
      <c r="BL85" s="2">
        <v>3.03</v>
      </c>
      <c r="BM85" s="2">
        <v>3.04</v>
      </c>
      <c r="BN85" s="2">
        <v>3.96</v>
      </c>
      <c r="BO85" s="2">
        <v>3.94</v>
      </c>
      <c r="BR85" s="1" t="s">
        <v>27</v>
      </c>
      <c r="BS85" s="2">
        <v>-0.42</v>
      </c>
      <c r="BT85" s="2">
        <v>-0.38</v>
      </c>
      <c r="BU85" s="2">
        <v>-0.16</v>
      </c>
      <c r="BV85" s="2">
        <v>-0.25</v>
      </c>
      <c r="BW85" s="2">
        <v>-0.3</v>
      </c>
      <c r="BX85" s="2">
        <v>-0.37</v>
      </c>
      <c r="BY85" s="2">
        <v>-0.12</v>
      </c>
      <c r="BZ85" s="2">
        <v>-0.41</v>
      </c>
      <c r="CA85" s="2">
        <v>-0.04</v>
      </c>
      <c r="CB85" s="2">
        <v>-0.44</v>
      </c>
      <c r="CC85" s="2">
        <v>-0.06</v>
      </c>
      <c r="CD85" s="2">
        <v>-0.32</v>
      </c>
      <c r="CE85" s="2">
        <v>-0.05</v>
      </c>
      <c r="CF85" s="2">
        <v>-0.21</v>
      </c>
      <c r="CG85" s="2">
        <v>-7.0000000000000007E-2</v>
      </c>
      <c r="CH85" s="2">
        <v>-0.11</v>
      </c>
      <c r="CI85" s="2">
        <v>-0.04</v>
      </c>
      <c r="CJ85" s="2">
        <v>-0.04</v>
      </c>
      <c r="CK85" s="2">
        <v>-0.02</v>
      </c>
      <c r="CL85" s="2">
        <v>-0.02</v>
      </c>
    </row>
    <row r="86" spans="2:90" x14ac:dyDescent="0.3">
      <c r="B86" s="1" t="s">
        <v>28</v>
      </c>
      <c r="C86" s="2">
        <v>5.78</v>
      </c>
      <c r="D86" s="2">
        <v>12.43</v>
      </c>
      <c r="E86" s="2">
        <v>0.33</v>
      </c>
      <c r="F86" s="2">
        <v>0.44</v>
      </c>
      <c r="G86" s="2">
        <v>0.13</v>
      </c>
      <c r="H86" s="2">
        <v>0.92</v>
      </c>
      <c r="I86" s="2">
        <v>1.23</v>
      </c>
      <c r="J86" s="2">
        <v>13.04</v>
      </c>
      <c r="K86" s="2">
        <v>10.75</v>
      </c>
      <c r="L86" s="2">
        <v>27.31</v>
      </c>
      <c r="M86" s="2">
        <v>30.61</v>
      </c>
      <c r="N86" s="2">
        <v>30.66</v>
      </c>
      <c r="O86" s="2">
        <v>26.48</v>
      </c>
      <c r="P86" s="2">
        <v>13.56</v>
      </c>
      <c r="Q86" s="2">
        <v>18.190000000000001</v>
      </c>
      <c r="R86" s="2">
        <v>8.17</v>
      </c>
      <c r="S86" s="2">
        <v>7.74</v>
      </c>
      <c r="T86" s="2">
        <v>6.48</v>
      </c>
      <c r="U86" s="2">
        <v>17.52</v>
      </c>
      <c r="V86" s="2">
        <v>17.649999999999999</v>
      </c>
      <c r="X86" s="1" t="s">
        <v>28</v>
      </c>
      <c r="Y86" s="2">
        <v>1.3</v>
      </c>
      <c r="Z86" s="2">
        <v>1.3</v>
      </c>
      <c r="AA86" s="2">
        <v>1.3</v>
      </c>
      <c r="AB86" s="2">
        <v>1.3</v>
      </c>
      <c r="AC86" s="2">
        <v>0.5</v>
      </c>
      <c r="AD86" s="2">
        <v>0.5</v>
      </c>
      <c r="AE86" s="2">
        <v>1.37</v>
      </c>
      <c r="AF86" s="2">
        <v>1.37</v>
      </c>
      <c r="AG86" s="2">
        <v>1.71</v>
      </c>
      <c r="AH86" s="2">
        <v>1.71</v>
      </c>
      <c r="AI86" s="2">
        <v>3.09</v>
      </c>
      <c r="AJ86" s="2">
        <v>3.09</v>
      </c>
      <c r="AK86" s="2">
        <v>2.4900000000000002</v>
      </c>
      <c r="AL86" s="2">
        <v>2.4900000000000002</v>
      </c>
      <c r="AM86" s="2">
        <v>3.26</v>
      </c>
      <c r="AN86" s="2">
        <v>3.26</v>
      </c>
      <c r="AO86" s="2">
        <v>2.91</v>
      </c>
      <c r="AP86" s="2">
        <v>2.91</v>
      </c>
      <c r="AQ86" s="2">
        <v>3.86</v>
      </c>
      <c r="AR86" s="2">
        <v>3.86</v>
      </c>
      <c r="AU86" s="1" t="s">
        <v>28</v>
      </c>
      <c r="AV86" s="2">
        <v>1.43</v>
      </c>
      <c r="AW86" s="2">
        <v>1.46</v>
      </c>
      <c r="AX86" s="2">
        <v>1.42</v>
      </c>
      <c r="AY86" s="2">
        <v>1.42</v>
      </c>
      <c r="AZ86" s="2">
        <v>0.55000000000000004</v>
      </c>
      <c r="BA86" s="2">
        <v>0.55000000000000004</v>
      </c>
      <c r="BB86" s="2">
        <v>1.48</v>
      </c>
      <c r="BC86" s="2">
        <v>1.64</v>
      </c>
      <c r="BD86" s="2">
        <v>1.74</v>
      </c>
      <c r="BE86" s="2">
        <v>1.94</v>
      </c>
      <c r="BF86" s="2">
        <v>3.23</v>
      </c>
      <c r="BG86" s="2">
        <v>3.43</v>
      </c>
      <c r="BH86" s="2">
        <v>2.63</v>
      </c>
      <c r="BI86" s="2">
        <v>2.62</v>
      </c>
      <c r="BJ86" s="2">
        <v>3.39</v>
      </c>
      <c r="BK86" s="2">
        <v>3.36</v>
      </c>
      <c r="BL86" s="2">
        <v>3</v>
      </c>
      <c r="BM86" s="2">
        <v>2.96</v>
      </c>
      <c r="BN86" s="2">
        <v>3.93</v>
      </c>
      <c r="BO86" s="2">
        <v>3.89</v>
      </c>
      <c r="BR86" s="1" t="s">
        <v>28</v>
      </c>
      <c r="BS86" s="2">
        <v>-0.09</v>
      </c>
      <c r="BT86" s="2">
        <v>-0.11</v>
      </c>
      <c r="BU86" s="2">
        <v>-0.08</v>
      </c>
      <c r="BV86" s="2">
        <v>-0.08</v>
      </c>
      <c r="BW86" s="2">
        <v>-0.08</v>
      </c>
      <c r="BX86" s="2">
        <v>-0.08</v>
      </c>
      <c r="BY86" s="2">
        <v>-7.0000000000000007E-2</v>
      </c>
      <c r="BZ86" s="2">
        <v>-0.17</v>
      </c>
      <c r="CA86" s="2">
        <v>-0.01</v>
      </c>
      <c r="CB86" s="2">
        <v>-0.12</v>
      </c>
      <c r="CC86" s="2">
        <v>-0.04</v>
      </c>
      <c r="CD86" s="2">
        <v>-0.1</v>
      </c>
      <c r="CE86" s="2">
        <v>-0.05</v>
      </c>
      <c r="CF86" s="2">
        <v>-0.05</v>
      </c>
      <c r="CG86" s="2">
        <v>-0.04</v>
      </c>
      <c r="CH86" s="2">
        <v>-0.03</v>
      </c>
      <c r="CI86" s="2">
        <v>-0.03</v>
      </c>
      <c r="CJ86" s="2">
        <v>-0.02</v>
      </c>
      <c r="CK86" s="2">
        <v>-0.02</v>
      </c>
      <c r="CL86" s="2">
        <v>-0.01</v>
      </c>
    </row>
    <row r="89" spans="2:90" x14ac:dyDescent="0.3">
      <c r="B89" t="s">
        <v>49</v>
      </c>
      <c r="X89" t="s">
        <v>50</v>
      </c>
      <c r="AU89" t="s">
        <v>51</v>
      </c>
      <c r="BR89" t="s">
        <v>52</v>
      </c>
    </row>
    <row r="90" spans="2:90" x14ac:dyDescent="0.3">
      <c r="B90" s="1" t="s">
        <v>16</v>
      </c>
      <c r="C90" s="1" t="s">
        <v>17</v>
      </c>
      <c r="D90" s="1" t="s">
        <v>18</v>
      </c>
      <c r="E90" s="1" t="s">
        <v>17</v>
      </c>
      <c r="F90" s="1" t="s">
        <v>18</v>
      </c>
      <c r="G90" s="1" t="s">
        <v>17</v>
      </c>
      <c r="H90" s="1" t="s">
        <v>18</v>
      </c>
      <c r="I90" s="1" t="s">
        <v>17</v>
      </c>
      <c r="J90" s="1" t="s">
        <v>18</v>
      </c>
      <c r="K90" s="1" t="s">
        <v>17</v>
      </c>
      <c r="L90" s="1" t="s">
        <v>18</v>
      </c>
      <c r="M90" s="1" t="s">
        <v>17</v>
      </c>
      <c r="N90" s="1" t="s">
        <v>18</v>
      </c>
      <c r="O90" s="1" t="s">
        <v>17</v>
      </c>
      <c r="P90" s="1" t="s">
        <v>18</v>
      </c>
      <c r="Q90" s="1" t="s">
        <v>17</v>
      </c>
      <c r="R90" s="1" t="s">
        <v>18</v>
      </c>
      <c r="S90" s="1" t="s">
        <v>17</v>
      </c>
      <c r="T90" s="1" t="s">
        <v>18</v>
      </c>
      <c r="U90" s="1" t="s">
        <v>17</v>
      </c>
      <c r="V90" s="1" t="s">
        <v>18</v>
      </c>
      <c r="X90" s="1" t="s">
        <v>16</v>
      </c>
      <c r="Y90" s="13" t="s">
        <v>17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 t="s">
        <v>18</v>
      </c>
      <c r="AJ90" s="13"/>
      <c r="AK90" s="13"/>
      <c r="AL90" s="13"/>
      <c r="AM90" s="13"/>
      <c r="AN90" s="13"/>
      <c r="AO90" s="13"/>
      <c r="AP90" s="13"/>
      <c r="AQ90" s="13"/>
      <c r="AR90" s="13"/>
      <c r="AU90" s="1" t="s">
        <v>16</v>
      </c>
      <c r="AV90" s="13" t="s">
        <v>17</v>
      </c>
      <c r="AW90" s="13"/>
      <c r="AX90" s="13"/>
      <c r="AY90" s="13"/>
      <c r="AZ90" s="13"/>
      <c r="BA90" s="13"/>
      <c r="BB90" s="13"/>
      <c r="BC90" s="13"/>
      <c r="BD90" s="13"/>
      <c r="BE90" s="13"/>
      <c r="BF90" s="13" t="s">
        <v>18</v>
      </c>
      <c r="BG90" s="13"/>
      <c r="BH90" s="13"/>
      <c r="BI90" s="13"/>
      <c r="BJ90" s="13"/>
      <c r="BK90" s="13"/>
      <c r="BL90" s="13"/>
      <c r="BM90" s="13"/>
      <c r="BN90" s="13"/>
      <c r="BO90" s="13"/>
      <c r="BR90" s="1" t="s">
        <v>16</v>
      </c>
      <c r="BS90" s="1" t="s">
        <v>17</v>
      </c>
      <c r="BT90" s="1" t="s">
        <v>18</v>
      </c>
      <c r="BU90" s="1" t="s">
        <v>17</v>
      </c>
      <c r="BV90" s="1" t="s">
        <v>18</v>
      </c>
      <c r="BW90" s="1" t="s">
        <v>17</v>
      </c>
      <c r="BX90" s="1" t="s">
        <v>18</v>
      </c>
      <c r="BY90" s="1" t="s">
        <v>17</v>
      </c>
      <c r="BZ90" s="1" t="s">
        <v>18</v>
      </c>
      <c r="CA90" s="1" t="s">
        <v>17</v>
      </c>
      <c r="CB90" s="1" t="s">
        <v>18</v>
      </c>
      <c r="CC90" s="1" t="s">
        <v>17</v>
      </c>
      <c r="CD90" s="1" t="s">
        <v>18</v>
      </c>
      <c r="CE90" s="1" t="s">
        <v>17</v>
      </c>
      <c r="CF90" s="1" t="s">
        <v>18</v>
      </c>
      <c r="CG90" s="1" t="s">
        <v>17</v>
      </c>
      <c r="CH90" s="1" t="s">
        <v>18</v>
      </c>
      <c r="CI90" s="1" t="s">
        <v>17</v>
      </c>
      <c r="CJ90" s="1" t="s">
        <v>18</v>
      </c>
      <c r="CK90" s="1" t="s">
        <v>17</v>
      </c>
      <c r="CL90" s="1" t="s">
        <v>18</v>
      </c>
    </row>
    <row r="91" spans="2:90" x14ac:dyDescent="0.3">
      <c r="B91" s="1" t="s">
        <v>19</v>
      </c>
      <c r="C91" s="1" t="s">
        <v>1</v>
      </c>
      <c r="D91" s="1" t="s">
        <v>1</v>
      </c>
      <c r="E91" s="1" t="s">
        <v>2</v>
      </c>
      <c r="F91" s="1" t="s">
        <v>2</v>
      </c>
      <c r="G91" s="1" t="s">
        <v>3</v>
      </c>
      <c r="H91" s="1" t="s">
        <v>3</v>
      </c>
      <c r="I91" s="1" t="s">
        <v>4</v>
      </c>
      <c r="J91" s="1" t="s">
        <v>4</v>
      </c>
      <c r="K91" s="1" t="s">
        <v>5</v>
      </c>
      <c r="L91" s="1" t="s">
        <v>5</v>
      </c>
      <c r="M91" s="1" t="s">
        <v>6</v>
      </c>
      <c r="N91" s="1" t="s">
        <v>6</v>
      </c>
      <c r="O91" s="1" t="s">
        <v>7</v>
      </c>
      <c r="P91" s="1" t="s">
        <v>7</v>
      </c>
      <c r="Q91" s="1" t="s">
        <v>8</v>
      </c>
      <c r="R91" s="1" t="s">
        <v>8</v>
      </c>
      <c r="S91" s="1" t="s">
        <v>9</v>
      </c>
      <c r="T91" s="1" t="s">
        <v>9</v>
      </c>
      <c r="U91" s="1" t="s">
        <v>10</v>
      </c>
      <c r="V91" s="1" t="s">
        <v>10</v>
      </c>
      <c r="X91" s="1" t="s">
        <v>19</v>
      </c>
      <c r="Y91" s="1" t="s">
        <v>1</v>
      </c>
      <c r="Z91" s="1" t="s">
        <v>10</v>
      </c>
      <c r="AA91" s="1" t="s">
        <v>2</v>
      </c>
      <c r="AB91" s="1" t="s">
        <v>3</v>
      </c>
      <c r="AC91" s="1" t="s">
        <v>4</v>
      </c>
      <c r="AD91" s="1" t="s">
        <v>5</v>
      </c>
      <c r="AE91" s="1" t="s">
        <v>6</v>
      </c>
      <c r="AF91" s="1" t="s">
        <v>7</v>
      </c>
      <c r="AG91" s="1" t="s">
        <v>8</v>
      </c>
      <c r="AH91" s="1" t="s">
        <v>9</v>
      </c>
      <c r="AI91" s="1" t="s">
        <v>1</v>
      </c>
      <c r="AJ91" s="1" t="s">
        <v>10</v>
      </c>
      <c r="AK91" s="1" t="s">
        <v>2</v>
      </c>
      <c r="AL91" s="1" t="s">
        <v>3</v>
      </c>
      <c r="AM91" s="1" t="s">
        <v>4</v>
      </c>
      <c r="AN91" s="1" t="s">
        <v>5</v>
      </c>
      <c r="AO91" s="1" t="s">
        <v>6</v>
      </c>
      <c r="AP91" s="1" t="s">
        <v>7</v>
      </c>
      <c r="AQ91" s="1" t="s">
        <v>8</v>
      </c>
      <c r="AR91" s="1" t="s">
        <v>9</v>
      </c>
      <c r="AU91" s="1" t="s">
        <v>19</v>
      </c>
      <c r="AV91" s="1" t="s">
        <v>1</v>
      </c>
      <c r="AW91" s="1" t="s">
        <v>10</v>
      </c>
      <c r="AX91" s="1" t="s">
        <v>2</v>
      </c>
      <c r="AY91" s="1" t="s">
        <v>3</v>
      </c>
      <c r="AZ91" s="1" t="s">
        <v>4</v>
      </c>
      <c r="BA91" s="1" t="s">
        <v>5</v>
      </c>
      <c r="BB91" s="1" t="s">
        <v>6</v>
      </c>
      <c r="BC91" s="1" t="s">
        <v>7</v>
      </c>
      <c r="BD91" s="1" t="s">
        <v>8</v>
      </c>
      <c r="BE91" s="1" t="s">
        <v>9</v>
      </c>
      <c r="BF91" s="1" t="s">
        <v>1</v>
      </c>
      <c r="BG91" s="1" t="s">
        <v>10</v>
      </c>
      <c r="BH91" s="1" t="s">
        <v>2</v>
      </c>
      <c r="BI91" s="1" t="s">
        <v>3</v>
      </c>
      <c r="BJ91" s="1" t="s">
        <v>4</v>
      </c>
      <c r="BK91" s="1" t="s">
        <v>5</v>
      </c>
      <c r="BL91" s="1" t="s">
        <v>6</v>
      </c>
      <c r="BM91" s="1" t="s">
        <v>7</v>
      </c>
      <c r="BN91" s="1" t="s">
        <v>8</v>
      </c>
      <c r="BO91" s="1" t="s">
        <v>9</v>
      </c>
      <c r="BR91" s="1" t="s">
        <v>19</v>
      </c>
      <c r="BS91" s="1" t="s">
        <v>1</v>
      </c>
      <c r="BT91" s="1" t="s">
        <v>1</v>
      </c>
      <c r="BU91" s="1" t="s">
        <v>2</v>
      </c>
      <c r="BV91" s="1" t="s">
        <v>2</v>
      </c>
      <c r="BW91" s="1" t="s">
        <v>3</v>
      </c>
      <c r="BX91" s="1" t="s">
        <v>3</v>
      </c>
      <c r="BY91" s="1" t="s">
        <v>4</v>
      </c>
      <c r="BZ91" s="1" t="s">
        <v>4</v>
      </c>
      <c r="CA91" s="1" t="s">
        <v>5</v>
      </c>
      <c r="CB91" s="1" t="s">
        <v>5</v>
      </c>
      <c r="CC91" s="1" t="s">
        <v>6</v>
      </c>
      <c r="CD91" s="1" t="s">
        <v>6</v>
      </c>
      <c r="CE91" s="1" t="s">
        <v>7</v>
      </c>
      <c r="CF91" s="1" t="s">
        <v>7</v>
      </c>
      <c r="CG91" s="1" t="s">
        <v>8</v>
      </c>
      <c r="CH91" s="1" t="s">
        <v>8</v>
      </c>
      <c r="CI91" s="1" t="s">
        <v>9</v>
      </c>
      <c r="CJ91" s="1" t="s">
        <v>9</v>
      </c>
      <c r="CK91" s="1" t="s">
        <v>10</v>
      </c>
      <c r="CL91" s="1" t="s">
        <v>10</v>
      </c>
    </row>
    <row r="92" spans="2:90" x14ac:dyDescent="0.3">
      <c r="B92" s="1" t="s">
        <v>20</v>
      </c>
      <c r="X92" s="1" t="s">
        <v>20</v>
      </c>
      <c r="AU92" s="1" t="s">
        <v>20</v>
      </c>
      <c r="BR92" s="1" t="s">
        <v>20</v>
      </c>
    </row>
    <row r="93" spans="2:90" x14ac:dyDescent="0.3">
      <c r="B93" s="1" t="s">
        <v>21</v>
      </c>
      <c r="C93" s="2">
        <v>64.319999999999993</v>
      </c>
      <c r="D93" s="2">
        <v>64.84</v>
      </c>
      <c r="E93" s="2">
        <v>30.03</v>
      </c>
      <c r="F93" s="2">
        <v>30.85</v>
      </c>
      <c r="G93" s="2">
        <v>18.059999999999999</v>
      </c>
      <c r="H93" s="2">
        <v>18.55</v>
      </c>
      <c r="I93" s="2">
        <v>65.12</v>
      </c>
      <c r="J93" s="2">
        <v>333.85</v>
      </c>
      <c r="K93" s="2">
        <v>431.42</v>
      </c>
      <c r="L93" s="2">
        <v>417.31</v>
      </c>
      <c r="M93" s="2">
        <v>791.08</v>
      </c>
      <c r="N93" s="2">
        <v>747.53</v>
      </c>
      <c r="O93" s="2">
        <v>619.72</v>
      </c>
      <c r="P93" s="2">
        <v>631.41</v>
      </c>
      <c r="Q93" s="2">
        <v>831.2</v>
      </c>
      <c r="R93" s="2">
        <v>808.21</v>
      </c>
      <c r="S93" s="2">
        <v>634.03</v>
      </c>
      <c r="T93" s="2">
        <v>664.88</v>
      </c>
      <c r="U93" s="2">
        <v>997.92</v>
      </c>
      <c r="V93" s="2">
        <v>1016.06</v>
      </c>
      <c r="X93" s="1" t="s">
        <v>21</v>
      </c>
      <c r="Y93" s="2">
        <v>603.85</v>
      </c>
      <c r="Z93" s="2">
        <v>3537.45</v>
      </c>
      <c r="AA93" s="2">
        <v>566.48</v>
      </c>
      <c r="AB93" s="2">
        <v>163.44999999999999</v>
      </c>
      <c r="AC93" s="2">
        <v>696.92</v>
      </c>
      <c r="AD93" s="2">
        <v>2027.2</v>
      </c>
      <c r="AE93" s="2">
        <v>3747.24</v>
      </c>
      <c r="AF93" s="2">
        <v>2866.36</v>
      </c>
      <c r="AG93" s="2">
        <v>3646.86</v>
      </c>
      <c r="AH93" s="2">
        <v>2879.8</v>
      </c>
      <c r="AI93" s="2">
        <v>586.55999999999995</v>
      </c>
      <c r="AJ93" s="2">
        <v>2290.0500000000002</v>
      </c>
      <c r="AK93" s="2">
        <v>513.70000000000005</v>
      </c>
      <c r="AL93" s="2">
        <v>207.81</v>
      </c>
      <c r="AM93" s="2">
        <v>1326.08</v>
      </c>
      <c r="AN93" s="2">
        <v>1671.6</v>
      </c>
      <c r="AO93" s="2">
        <v>2991.24</v>
      </c>
      <c r="AP93" s="2">
        <v>2263.4499999999998</v>
      </c>
      <c r="AQ93" s="2">
        <v>3197.32</v>
      </c>
      <c r="AR93" s="2">
        <v>1780.24</v>
      </c>
      <c r="AU93" s="1" t="s">
        <v>21</v>
      </c>
      <c r="AV93" s="2">
        <v>603.85</v>
      </c>
      <c r="AW93" s="2">
        <v>3537.45</v>
      </c>
      <c r="AX93" s="2">
        <v>566.48</v>
      </c>
      <c r="AY93" s="2">
        <v>163.44999999999999</v>
      </c>
      <c r="AZ93" s="2">
        <v>696.92</v>
      </c>
      <c r="BA93" s="2">
        <v>2027.2</v>
      </c>
      <c r="BB93" s="2">
        <v>3747.24</v>
      </c>
      <c r="BC93" s="2">
        <v>2866.36</v>
      </c>
      <c r="BD93" s="2">
        <v>3646.86</v>
      </c>
      <c r="BE93" s="2">
        <v>2879.8</v>
      </c>
      <c r="BF93" s="2">
        <v>586.55999999999995</v>
      </c>
      <c r="BG93" s="2">
        <v>2290.0500000000002</v>
      </c>
      <c r="BH93" s="2">
        <v>513.70000000000005</v>
      </c>
      <c r="BI93" s="2">
        <v>207.81</v>
      </c>
      <c r="BJ93" s="2">
        <v>1326.08</v>
      </c>
      <c r="BK93" s="2">
        <v>1671.6</v>
      </c>
      <c r="BL93" s="2">
        <v>2991.24</v>
      </c>
      <c r="BM93" s="2">
        <v>2263.4499999999998</v>
      </c>
      <c r="BN93" s="2">
        <v>3197.32</v>
      </c>
      <c r="BO93" s="2">
        <v>1780.24</v>
      </c>
      <c r="BR93" s="1" t="s">
        <v>21</v>
      </c>
      <c r="BS93" s="2">
        <v>0.26</v>
      </c>
      <c r="BT93" s="2">
        <v>0.26</v>
      </c>
      <c r="BU93" s="2">
        <v>0.26</v>
      </c>
      <c r="BV93" s="2">
        <v>0.26</v>
      </c>
      <c r="BW93" s="2">
        <v>0.1</v>
      </c>
      <c r="BX93" s="2">
        <v>0.1</v>
      </c>
      <c r="BY93" s="2">
        <v>0.32</v>
      </c>
      <c r="BZ93" s="2">
        <v>0.77</v>
      </c>
      <c r="CA93" s="2">
        <v>0.96</v>
      </c>
      <c r="CB93" s="2">
        <v>0.96</v>
      </c>
      <c r="CC93" s="2">
        <v>1.73</v>
      </c>
      <c r="CD93" s="2">
        <v>1.73</v>
      </c>
      <c r="CE93" s="2">
        <v>1.39</v>
      </c>
      <c r="CF93" s="2">
        <v>1.39</v>
      </c>
      <c r="CG93" s="2">
        <v>1.82</v>
      </c>
      <c r="CH93" s="2">
        <v>1.82</v>
      </c>
      <c r="CI93" s="2">
        <v>1.63</v>
      </c>
      <c r="CJ93" s="2">
        <v>1.63</v>
      </c>
      <c r="CK93" s="2">
        <v>2.16</v>
      </c>
      <c r="CL93" s="2">
        <v>2.16</v>
      </c>
    </row>
    <row r="94" spans="2:90" x14ac:dyDescent="0.3">
      <c r="B94" s="1" t="s">
        <v>22</v>
      </c>
      <c r="C94" s="2">
        <v>21.13</v>
      </c>
      <c r="D94" s="2">
        <v>15.55</v>
      </c>
      <c r="E94" s="2">
        <v>8.6300000000000008</v>
      </c>
      <c r="F94" s="2">
        <v>7.8</v>
      </c>
      <c r="G94" s="2">
        <v>5.53</v>
      </c>
      <c r="H94" s="2">
        <v>4.5999999999999996</v>
      </c>
      <c r="I94" s="2">
        <v>17.079999999999998</v>
      </c>
      <c r="J94" s="2">
        <v>32.47</v>
      </c>
      <c r="K94" s="2">
        <v>24.23</v>
      </c>
      <c r="L94" s="2">
        <v>29.07</v>
      </c>
      <c r="M94" s="2">
        <v>51.92</v>
      </c>
      <c r="N94" s="2">
        <v>58.59</v>
      </c>
      <c r="O94" s="2">
        <v>52.09</v>
      </c>
      <c r="P94" s="2">
        <v>49.43</v>
      </c>
      <c r="Q94" s="2">
        <v>66.3</v>
      </c>
      <c r="R94" s="2">
        <v>50.03</v>
      </c>
      <c r="S94" s="2">
        <v>56.32</v>
      </c>
      <c r="T94" s="2">
        <v>47.47</v>
      </c>
      <c r="U94" s="2">
        <v>77.44</v>
      </c>
      <c r="V94" s="2">
        <v>45.65</v>
      </c>
      <c r="X94" s="1" t="s">
        <v>22</v>
      </c>
      <c r="Y94" s="2">
        <v>1073.95</v>
      </c>
      <c r="Z94" s="2">
        <v>3512.63</v>
      </c>
      <c r="AA94" s="2">
        <v>1146.57</v>
      </c>
      <c r="AB94" s="2">
        <v>277.35000000000002</v>
      </c>
      <c r="AC94" s="2">
        <v>1540.35</v>
      </c>
      <c r="AD94" s="2">
        <v>1823.36</v>
      </c>
      <c r="AE94" s="2">
        <v>3178.2</v>
      </c>
      <c r="AF94" s="2">
        <v>2135.81</v>
      </c>
      <c r="AG94" s="2">
        <v>2648.25</v>
      </c>
      <c r="AH94" s="2">
        <v>2350.14</v>
      </c>
      <c r="AI94" s="2">
        <v>620.64</v>
      </c>
      <c r="AJ94" s="2">
        <v>2007.41</v>
      </c>
      <c r="AK94" s="2">
        <v>693.77</v>
      </c>
      <c r="AL94" s="2">
        <v>326.57</v>
      </c>
      <c r="AM94" s="2">
        <v>928.87</v>
      </c>
      <c r="AN94" s="2">
        <v>1099.1500000000001</v>
      </c>
      <c r="AO94" s="2">
        <v>1992.3</v>
      </c>
      <c r="AP94" s="2">
        <v>1787.58</v>
      </c>
      <c r="AQ94" s="2">
        <v>2316.19</v>
      </c>
      <c r="AR94" s="2">
        <v>1622.79</v>
      </c>
      <c r="AU94" s="1" t="s">
        <v>22</v>
      </c>
      <c r="AV94" s="2">
        <v>1073.95</v>
      </c>
      <c r="AW94" s="2">
        <v>3512.63</v>
      </c>
      <c r="AX94" s="2">
        <v>1146.57</v>
      </c>
      <c r="AY94" s="2">
        <v>277.35000000000002</v>
      </c>
      <c r="AZ94" s="2">
        <v>1540.35</v>
      </c>
      <c r="BA94" s="2">
        <v>1823.36</v>
      </c>
      <c r="BB94" s="2">
        <v>3178.2</v>
      </c>
      <c r="BC94" s="2">
        <v>2135.81</v>
      </c>
      <c r="BD94" s="2">
        <v>2648.25</v>
      </c>
      <c r="BE94" s="2">
        <v>2350.14</v>
      </c>
      <c r="BF94" s="2">
        <v>620.64</v>
      </c>
      <c r="BG94" s="2">
        <v>2007.41</v>
      </c>
      <c r="BH94" s="2">
        <v>693.77</v>
      </c>
      <c r="BI94" s="2">
        <v>326.57</v>
      </c>
      <c r="BJ94" s="2">
        <v>928.87</v>
      </c>
      <c r="BK94" s="2">
        <v>1099.1500000000001</v>
      </c>
      <c r="BL94" s="2">
        <v>1992.3</v>
      </c>
      <c r="BM94" s="2">
        <v>1787.58</v>
      </c>
      <c r="BN94" s="2">
        <v>2316.19</v>
      </c>
      <c r="BO94" s="2">
        <v>1622.79</v>
      </c>
      <c r="BR94" s="1" t="s">
        <v>22</v>
      </c>
      <c r="BS94" s="2">
        <v>0.61</v>
      </c>
      <c r="BT94" s="2">
        <v>0.43</v>
      </c>
      <c r="BU94" s="2">
        <v>0.48</v>
      </c>
      <c r="BV94" s="2">
        <v>0.36</v>
      </c>
      <c r="BW94" s="2">
        <v>0.23</v>
      </c>
      <c r="BX94" s="2">
        <v>0.17</v>
      </c>
      <c r="BY94" s="2">
        <v>0.66</v>
      </c>
      <c r="BZ94" s="2">
        <v>0.92</v>
      </c>
      <c r="CA94" s="2">
        <v>0.89</v>
      </c>
      <c r="CB94" s="2">
        <v>0.93</v>
      </c>
      <c r="CC94" s="2">
        <v>1.96</v>
      </c>
      <c r="CD94" s="2">
        <v>1.72</v>
      </c>
      <c r="CE94" s="2">
        <v>1.68</v>
      </c>
      <c r="CF94" s="2">
        <v>1.47</v>
      </c>
      <c r="CG94" s="2">
        <v>2.08</v>
      </c>
      <c r="CH94" s="2">
        <v>1.6</v>
      </c>
      <c r="CI94" s="2">
        <v>1.8</v>
      </c>
      <c r="CJ94" s="2">
        <v>1.36</v>
      </c>
      <c r="CK94" s="2">
        <v>1.78</v>
      </c>
      <c r="CL94" s="2">
        <v>1.2</v>
      </c>
    </row>
    <row r="95" spans="2:90" x14ac:dyDescent="0.3">
      <c r="B95" s="1" t="s">
        <v>23</v>
      </c>
      <c r="C95" s="2">
        <v>532.35</v>
      </c>
      <c r="D95" s="2">
        <v>68.709999999999994</v>
      </c>
      <c r="E95" s="2">
        <v>362.29</v>
      </c>
      <c r="F95" s="2">
        <v>13</v>
      </c>
      <c r="G95" s="2">
        <v>154.38999999999999</v>
      </c>
      <c r="H95" s="2">
        <v>241.8</v>
      </c>
      <c r="I95" s="2">
        <v>406.08</v>
      </c>
      <c r="J95" s="2">
        <v>219.41</v>
      </c>
      <c r="K95" s="2">
        <v>589.59</v>
      </c>
      <c r="L95" s="2">
        <v>252.37</v>
      </c>
      <c r="M95" s="2">
        <v>1315.41</v>
      </c>
      <c r="N95" s="2">
        <v>482.1</v>
      </c>
      <c r="O95" s="2">
        <v>1690.53</v>
      </c>
      <c r="P95" s="2">
        <v>412.38</v>
      </c>
      <c r="Q95" s="2">
        <v>1777.86</v>
      </c>
      <c r="R95" s="2">
        <v>454.52</v>
      </c>
      <c r="S95" s="2">
        <v>476.82</v>
      </c>
      <c r="T95" s="2">
        <v>387.49</v>
      </c>
      <c r="U95" s="2">
        <v>439.13</v>
      </c>
      <c r="V95" s="2">
        <v>389.12</v>
      </c>
      <c r="X95" s="1" t="s">
        <v>23</v>
      </c>
      <c r="Y95" s="2">
        <v>4546.5200000000004</v>
      </c>
      <c r="Z95" s="2">
        <v>6618.95</v>
      </c>
      <c r="AA95" s="2">
        <v>4613.68</v>
      </c>
      <c r="AB95" s="2">
        <v>1187.6500000000001</v>
      </c>
      <c r="AC95" s="2">
        <v>4676.62</v>
      </c>
      <c r="AD95" s="2">
        <v>6116.6</v>
      </c>
      <c r="AE95" s="2">
        <v>13000.26</v>
      </c>
      <c r="AF95" s="2">
        <v>12390.71</v>
      </c>
      <c r="AG95" s="2">
        <v>13437.25</v>
      </c>
      <c r="AH95" s="2">
        <v>6746.11</v>
      </c>
      <c r="AI95" s="2">
        <v>1318.46</v>
      </c>
      <c r="AJ95" s="2">
        <v>5775.48</v>
      </c>
      <c r="AK95" s="2">
        <v>441.27</v>
      </c>
      <c r="AL95" s="2">
        <v>2228.4899999999998</v>
      </c>
      <c r="AM95" s="2">
        <v>3085.62</v>
      </c>
      <c r="AN95" s="2">
        <v>3426.41</v>
      </c>
      <c r="AO95" s="2">
        <v>6042.09</v>
      </c>
      <c r="AP95" s="2">
        <v>4950.29</v>
      </c>
      <c r="AQ95" s="2">
        <v>6553.2</v>
      </c>
      <c r="AR95" s="2">
        <v>4765.6899999999996</v>
      </c>
      <c r="AU95" s="1" t="s">
        <v>23</v>
      </c>
      <c r="AV95" s="2">
        <v>4546.5200000000004</v>
      </c>
      <c r="AW95" s="2">
        <v>6618.95</v>
      </c>
      <c r="AX95" s="2">
        <v>4613.68</v>
      </c>
      <c r="AY95" s="2">
        <v>1187.6500000000001</v>
      </c>
      <c r="AZ95" s="2">
        <v>4676.62</v>
      </c>
      <c r="BA95" s="2">
        <v>6116.6</v>
      </c>
      <c r="BB95" s="2">
        <v>13000.26</v>
      </c>
      <c r="BC95" s="2">
        <v>12390.71</v>
      </c>
      <c r="BD95" s="2">
        <v>13437.25</v>
      </c>
      <c r="BE95" s="2">
        <v>6746.11</v>
      </c>
      <c r="BF95" s="2">
        <v>1318.46</v>
      </c>
      <c r="BG95" s="2">
        <v>5775.48</v>
      </c>
      <c r="BH95" s="2">
        <v>441.27</v>
      </c>
      <c r="BI95" s="2">
        <v>2228.4899999999998</v>
      </c>
      <c r="BJ95" s="2">
        <v>3085.62</v>
      </c>
      <c r="BK95" s="2">
        <v>3426.41</v>
      </c>
      <c r="BL95" s="2">
        <v>6042.09</v>
      </c>
      <c r="BM95" s="2">
        <v>4950.29</v>
      </c>
      <c r="BN95" s="2">
        <v>6553.2</v>
      </c>
      <c r="BO95" s="2">
        <v>4765.6899999999996</v>
      </c>
      <c r="BR95" s="1" t="s">
        <v>23</v>
      </c>
      <c r="BS95" s="2">
        <v>2.08</v>
      </c>
      <c r="BT95" s="2">
        <v>0.65</v>
      </c>
      <c r="BU95" s="2">
        <v>3.52</v>
      </c>
      <c r="BV95" s="2">
        <v>0.26</v>
      </c>
      <c r="BW95" s="2">
        <v>0.8</v>
      </c>
      <c r="BX95" s="2">
        <v>0.8</v>
      </c>
      <c r="BY95" s="2">
        <v>2.4</v>
      </c>
      <c r="BZ95" s="2">
        <v>1.45</v>
      </c>
      <c r="CA95" s="2">
        <v>3.2</v>
      </c>
      <c r="CB95" s="2">
        <v>1.74</v>
      </c>
      <c r="CC95" s="2">
        <v>5.76</v>
      </c>
      <c r="CD95" s="2">
        <v>3.17</v>
      </c>
      <c r="CE95" s="2">
        <v>4.6399999999999997</v>
      </c>
      <c r="CF95" s="2">
        <v>2.58</v>
      </c>
      <c r="CG95" s="2">
        <v>6.08</v>
      </c>
      <c r="CH95" s="2">
        <v>3.18</v>
      </c>
      <c r="CI95" s="2">
        <v>3.22</v>
      </c>
      <c r="CJ95" s="2">
        <v>2.5499999999999998</v>
      </c>
      <c r="CK95" s="2">
        <v>3.22</v>
      </c>
      <c r="CL95" s="2">
        <v>2.91</v>
      </c>
    </row>
    <row r="96" spans="2:90" x14ac:dyDescent="0.3">
      <c r="B96" s="1" t="s">
        <v>24</v>
      </c>
      <c r="C96" s="2">
        <v>204.65</v>
      </c>
      <c r="D96" s="2">
        <v>31.81</v>
      </c>
      <c r="E96" s="2">
        <v>89.34</v>
      </c>
      <c r="F96" s="2">
        <v>11.65</v>
      </c>
      <c r="G96" s="2">
        <v>65.63</v>
      </c>
      <c r="H96" s="2">
        <v>67</v>
      </c>
      <c r="I96" s="2">
        <v>102.27</v>
      </c>
      <c r="J96" s="2">
        <v>71.040000000000006</v>
      </c>
      <c r="K96" s="2">
        <v>152.88999999999999</v>
      </c>
      <c r="L96" s="2">
        <v>72.790000000000006</v>
      </c>
      <c r="M96" s="2">
        <v>304.06</v>
      </c>
      <c r="N96" s="2">
        <v>133.1</v>
      </c>
      <c r="O96" s="2">
        <v>260.3</v>
      </c>
      <c r="P96" s="2">
        <v>109.83</v>
      </c>
      <c r="Q96" s="2">
        <v>193.13</v>
      </c>
      <c r="R96" s="2">
        <v>119.97</v>
      </c>
      <c r="S96" s="2">
        <v>98.89</v>
      </c>
      <c r="T96" s="2">
        <v>113.31</v>
      </c>
      <c r="U96" s="2">
        <v>129.54</v>
      </c>
      <c r="V96" s="2">
        <v>123.59</v>
      </c>
      <c r="X96" s="1" t="s">
        <v>24</v>
      </c>
      <c r="Y96" s="2">
        <v>1239.67</v>
      </c>
      <c r="Z96" s="2">
        <v>2135.81</v>
      </c>
      <c r="AA96" s="2">
        <v>1389.39</v>
      </c>
      <c r="AB96" s="2">
        <v>416.06</v>
      </c>
      <c r="AC96" s="2">
        <v>1339.4</v>
      </c>
      <c r="AD96" s="2">
        <v>1649.06</v>
      </c>
      <c r="AE96" s="2">
        <v>2997.77</v>
      </c>
      <c r="AF96" s="2">
        <v>2341.5</v>
      </c>
      <c r="AG96" s="2">
        <v>2583.73</v>
      </c>
      <c r="AH96" s="2">
        <v>1851.5</v>
      </c>
      <c r="AI96" s="2">
        <v>532.77</v>
      </c>
      <c r="AJ96" s="2">
        <v>2005.67</v>
      </c>
      <c r="AK96" s="2">
        <v>521.22</v>
      </c>
      <c r="AL96" s="2">
        <v>520.34</v>
      </c>
      <c r="AM96" s="2">
        <v>1056.32</v>
      </c>
      <c r="AN96" s="2">
        <v>1162.58</v>
      </c>
      <c r="AO96" s="2">
        <v>1974.42</v>
      </c>
      <c r="AP96" s="2">
        <v>1612.37</v>
      </c>
      <c r="AQ96" s="2">
        <v>2001.04</v>
      </c>
      <c r="AR96" s="2">
        <v>1619.88</v>
      </c>
      <c r="AU96" s="1" t="s">
        <v>24</v>
      </c>
      <c r="AV96" s="2">
        <v>1239.67</v>
      </c>
      <c r="AW96" s="2">
        <v>2135.81</v>
      </c>
      <c r="AX96" s="2">
        <v>1389.39</v>
      </c>
      <c r="AY96" s="2">
        <v>416.06</v>
      </c>
      <c r="AZ96" s="2">
        <v>1339.4</v>
      </c>
      <c r="BA96" s="2">
        <v>1649.06</v>
      </c>
      <c r="BB96" s="2">
        <v>2997.77</v>
      </c>
      <c r="BC96" s="2">
        <v>2341.5</v>
      </c>
      <c r="BD96" s="2">
        <v>2583.73</v>
      </c>
      <c r="BE96" s="2">
        <v>1851.5</v>
      </c>
      <c r="BF96" s="2">
        <v>532.77</v>
      </c>
      <c r="BG96" s="2">
        <v>2005.67</v>
      </c>
      <c r="BH96" s="2">
        <v>521.22</v>
      </c>
      <c r="BI96" s="2">
        <v>520.34</v>
      </c>
      <c r="BJ96" s="2">
        <v>1056.32</v>
      </c>
      <c r="BK96" s="2">
        <v>1162.58</v>
      </c>
      <c r="BL96" s="2">
        <v>1974.42</v>
      </c>
      <c r="BM96" s="2">
        <v>1612.37</v>
      </c>
      <c r="BN96" s="2">
        <v>2001.04</v>
      </c>
      <c r="BO96" s="2">
        <v>1619.88</v>
      </c>
      <c r="BR96" s="1" t="s">
        <v>24</v>
      </c>
      <c r="BS96" s="2">
        <v>2.08</v>
      </c>
      <c r="BT96" s="2">
        <v>0.64</v>
      </c>
      <c r="BU96" s="2">
        <v>2.08</v>
      </c>
      <c r="BV96" s="2">
        <v>0.43</v>
      </c>
      <c r="BW96" s="2">
        <v>0.8</v>
      </c>
      <c r="BX96" s="2">
        <v>0.8</v>
      </c>
      <c r="BY96" s="2">
        <v>1.55</v>
      </c>
      <c r="BZ96" s="2">
        <v>1.08</v>
      </c>
      <c r="CA96" s="2">
        <v>2.23</v>
      </c>
      <c r="CB96" s="2">
        <v>1.22</v>
      </c>
      <c r="CC96" s="2">
        <v>4.3099999999999996</v>
      </c>
      <c r="CD96" s="2">
        <v>2.14</v>
      </c>
      <c r="CE96" s="2">
        <v>3.47</v>
      </c>
      <c r="CF96" s="2">
        <v>1.72</v>
      </c>
      <c r="CG96" s="2">
        <v>3.02</v>
      </c>
      <c r="CH96" s="2">
        <v>2.09</v>
      </c>
      <c r="CI96" s="2">
        <v>1.87</v>
      </c>
      <c r="CJ96" s="2">
        <v>1.78</v>
      </c>
      <c r="CK96" s="2">
        <v>2.25</v>
      </c>
      <c r="CL96" s="2">
        <v>2.14</v>
      </c>
    </row>
    <row r="97" spans="2:90" x14ac:dyDescent="0.3">
      <c r="B97" s="1" t="s">
        <v>25</v>
      </c>
      <c r="C97" s="2">
        <v>555.4</v>
      </c>
      <c r="D97" s="2">
        <v>356.18</v>
      </c>
      <c r="E97" s="2">
        <v>165.3</v>
      </c>
      <c r="F97" s="2">
        <v>76.53</v>
      </c>
      <c r="G97" s="2">
        <v>109.85</v>
      </c>
      <c r="H97" s="2">
        <v>192.4</v>
      </c>
      <c r="I97" s="2">
        <v>154.56</v>
      </c>
      <c r="J97" s="2">
        <v>350.77</v>
      </c>
      <c r="K97" s="2">
        <v>364.78</v>
      </c>
      <c r="L97" s="2">
        <v>429.67</v>
      </c>
      <c r="M97" s="2">
        <v>573.49</v>
      </c>
      <c r="N97" s="2">
        <v>519.5</v>
      </c>
      <c r="O97" s="2">
        <v>419.23</v>
      </c>
      <c r="P97" s="2">
        <v>382.66</v>
      </c>
      <c r="Q97" s="2">
        <v>521.69000000000005</v>
      </c>
      <c r="R97" s="2">
        <v>458.43</v>
      </c>
      <c r="S97" s="2">
        <v>446.33</v>
      </c>
      <c r="T97" s="2">
        <v>351.78</v>
      </c>
      <c r="U97" s="2">
        <v>554.47</v>
      </c>
      <c r="V97" s="2">
        <v>429.44</v>
      </c>
      <c r="X97" s="1" t="s">
        <v>25</v>
      </c>
      <c r="Y97" s="2">
        <v>4047.66</v>
      </c>
      <c r="Z97" s="2">
        <v>11925.78</v>
      </c>
      <c r="AA97" s="2">
        <v>5553.88</v>
      </c>
      <c r="AB97" s="2">
        <v>1425.7</v>
      </c>
      <c r="AC97" s="2">
        <v>5676.14</v>
      </c>
      <c r="AD97" s="2">
        <v>7517.58</v>
      </c>
      <c r="AE97" s="2">
        <v>12714.42</v>
      </c>
      <c r="AF97" s="2">
        <v>9447.67</v>
      </c>
      <c r="AG97" s="2">
        <v>11563.39</v>
      </c>
      <c r="AH97" s="2">
        <v>9461.51</v>
      </c>
      <c r="AI97" s="2">
        <v>4512.82</v>
      </c>
      <c r="AJ97" s="2">
        <v>13732.33</v>
      </c>
      <c r="AK97" s="2">
        <v>5738.9</v>
      </c>
      <c r="AL97" s="2">
        <v>1939.9</v>
      </c>
      <c r="AM97" s="2">
        <v>5761.54</v>
      </c>
      <c r="AN97" s="2">
        <v>7726.73</v>
      </c>
      <c r="AO97" s="2">
        <v>13039.44</v>
      </c>
      <c r="AP97" s="2">
        <v>10190.9</v>
      </c>
      <c r="AQ97" s="2">
        <v>11394.42</v>
      </c>
      <c r="AR97" s="2">
        <v>9736.01</v>
      </c>
      <c r="AU97" s="1" t="s">
        <v>25</v>
      </c>
      <c r="AV97" s="2">
        <v>4047.66</v>
      </c>
      <c r="AW97" s="2">
        <v>11925.78</v>
      </c>
      <c r="AX97" s="2">
        <v>5553.88</v>
      </c>
      <c r="AY97" s="2">
        <v>1425.7</v>
      </c>
      <c r="AZ97" s="2">
        <v>5676.14</v>
      </c>
      <c r="BA97" s="2">
        <v>7517.58</v>
      </c>
      <c r="BB97" s="2">
        <v>12714.42</v>
      </c>
      <c r="BC97" s="2">
        <v>9447.67</v>
      </c>
      <c r="BD97" s="2">
        <v>11563.39</v>
      </c>
      <c r="BE97" s="2">
        <v>9461.51</v>
      </c>
      <c r="BF97" s="2">
        <v>4512.82</v>
      </c>
      <c r="BG97" s="2">
        <v>13732.33</v>
      </c>
      <c r="BH97" s="2">
        <v>5738.9</v>
      </c>
      <c r="BI97" s="2">
        <v>1939.9</v>
      </c>
      <c r="BJ97" s="2">
        <v>5761.54</v>
      </c>
      <c r="BK97" s="2">
        <v>7726.73</v>
      </c>
      <c r="BL97" s="2">
        <v>13039.44</v>
      </c>
      <c r="BM97" s="2">
        <v>10190.9</v>
      </c>
      <c r="BN97" s="2">
        <v>11394.42</v>
      </c>
      <c r="BO97" s="2">
        <v>9736.01</v>
      </c>
      <c r="BR97" s="1" t="s">
        <v>25</v>
      </c>
      <c r="BS97" s="2">
        <v>2.0699999999999998</v>
      </c>
      <c r="BT97" s="2">
        <v>1.2</v>
      </c>
      <c r="BU97" s="2">
        <v>1.1499999999999999</v>
      </c>
      <c r="BV97" s="2">
        <v>0.52</v>
      </c>
      <c r="BW97" s="2">
        <v>0.53</v>
      </c>
      <c r="BX97" s="2">
        <v>0.79</v>
      </c>
      <c r="BY97" s="2">
        <v>0.68</v>
      </c>
      <c r="BZ97" s="2">
        <v>1.37</v>
      </c>
      <c r="CA97" s="2">
        <v>1.46</v>
      </c>
      <c r="CB97" s="2">
        <v>1.63</v>
      </c>
      <c r="CC97" s="2">
        <v>2.36</v>
      </c>
      <c r="CD97" s="2">
        <v>2.12</v>
      </c>
      <c r="CE97" s="2">
        <v>1.73</v>
      </c>
      <c r="CF97" s="2">
        <v>1.57</v>
      </c>
      <c r="CG97" s="2">
        <v>2.12</v>
      </c>
      <c r="CH97" s="2">
        <v>2</v>
      </c>
      <c r="CI97" s="2">
        <v>1.82</v>
      </c>
      <c r="CJ97" s="2">
        <v>1.54</v>
      </c>
      <c r="CK97" s="2">
        <v>2.14</v>
      </c>
      <c r="CL97" s="2">
        <v>1.55</v>
      </c>
    </row>
    <row r="98" spans="2:90" x14ac:dyDescent="0.3">
      <c r="B98" s="1" t="s">
        <v>26</v>
      </c>
      <c r="C98" s="2">
        <v>116.87</v>
      </c>
      <c r="D98" s="2">
        <v>106.04</v>
      </c>
      <c r="E98" s="2">
        <v>25.14</v>
      </c>
      <c r="F98" s="2">
        <v>27.5</v>
      </c>
      <c r="G98" s="2">
        <v>33.229999999999997</v>
      </c>
      <c r="H98" s="2">
        <v>30.2</v>
      </c>
      <c r="I98" s="2">
        <v>21.4</v>
      </c>
      <c r="J98" s="2">
        <v>86.35</v>
      </c>
      <c r="K98" s="2">
        <v>27.3</v>
      </c>
      <c r="L98" s="2">
        <v>120.63</v>
      </c>
      <c r="M98" s="2">
        <v>63.53</v>
      </c>
      <c r="N98" s="2">
        <v>115.46</v>
      </c>
      <c r="O98" s="2">
        <v>50</v>
      </c>
      <c r="P98" s="2">
        <v>62.94</v>
      </c>
      <c r="Q98" s="2">
        <v>67.510000000000005</v>
      </c>
      <c r="R98" s="2">
        <v>94.84</v>
      </c>
      <c r="S98" s="2">
        <v>64.22</v>
      </c>
      <c r="T98" s="2">
        <v>64.88</v>
      </c>
      <c r="U98" s="2">
        <v>79.91</v>
      </c>
      <c r="V98" s="2">
        <v>44.42</v>
      </c>
      <c r="X98" s="1" t="s">
        <v>26</v>
      </c>
      <c r="Y98" s="2">
        <v>1249.83</v>
      </c>
      <c r="Z98" s="2">
        <v>3272.07</v>
      </c>
      <c r="AA98" s="2">
        <v>1670.61</v>
      </c>
      <c r="AB98" s="2">
        <v>444.01</v>
      </c>
      <c r="AC98" s="2">
        <v>1422.87</v>
      </c>
      <c r="AD98" s="2">
        <v>1699.51</v>
      </c>
      <c r="AE98" s="2">
        <v>3192.02</v>
      </c>
      <c r="AF98" s="2">
        <v>2540.1999999999998</v>
      </c>
      <c r="AG98" s="2">
        <v>3262.85</v>
      </c>
      <c r="AH98" s="2">
        <v>2737.67</v>
      </c>
      <c r="AI98" s="2">
        <v>1330.82</v>
      </c>
      <c r="AJ98" s="2">
        <v>3359.68</v>
      </c>
      <c r="AK98" s="2">
        <v>1985.39</v>
      </c>
      <c r="AL98" s="2">
        <v>533.95000000000005</v>
      </c>
      <c r="AM98" s="2">
        <v>1405.7</v>
      </c>
      <c r="AN98" s="2">
        <v>2533.0700000000002</v>
      </c>
      <c r="AO98" s="2">
        <v>4274.83</v>
      </c>
      <c r="AP98" s="2">
        <v>3223.43</v>
      </c>
      <c r="AQ98" s="2">
        <v>4048.74</v>
      </c>
      <c r="AR98" s="2">
        <v>3633.63</v>
      </c>
      <c r="AU98" s="1" t="s">
        <v>26</v>
      </c>
      <c r="AV98" s="2">
        <v>1249.83</v>
      </c>
      <c r="AW98" s="2">
        <v>3272.07</v>
      </c>
      <c r="AX98" s="2">
        <v>1670.61</v>
      </c>
      <c r="AY98" s="2">
        <v>444.01</v>
      </c>
      <c r="AZ98" s="2">
        <v>1422.87</v>
      </c>
      <c r="BA98" s="2">
        <v>1699.51</v>
      </c>
      <c r="BB98" s="2">
        <v>3192.02</v>
      </c>
      <c r="BC98" s="2">
        <v>2540.1999999999998</v>
      </c>
      <c r="BD98" s="2">
        <v>3262.85</v>
      </c>
      <c r="BE98" s="2">
        <v>2737.67</v>
      </c>
      <c r="BF98" s="2">
        <v>1330.82</v>
      </c>
      <c r="BG98" s="2">
        <v>3359.68</v>
      </c>
      <c r="BH98" s="2">
        <v>1985.39</v>
      </c>
      <c r="BI98" s="2">
        <v>533.95000000000005</v>
      </c>
      <c r="BJ98" s="2">
        <v>1405.7</v>
      </c>
      <c r="BK98" s="2">
        <v>2533.0700000000002</v>
      </c>
      <c r="BL98" s="2">
        <v>4274.83</v>
      </c>
      <c r="BM98" s="2">
        <v>3223.43</v>
      </c>
      <c r="BN98" s="2">
        <v>4048.74</v>
      </c>
      <c r="BO98" s="2">
        <v>3633.63</v>
      </c>
      <c r="BR98" s="1" t="s">
        <v>26</v>
      </c>
      <c r="BS98" s="2">
        <v>1.94</v>
      </c>
      <c r="BT98" s="2">
        <v>1.9</v>
      </c>
      <c r="BU98" s="2">
        <v>0.87</v>
      </c>
      <c r="BV98" s="2">
        <v>1.26</v>
      </c>
      <c r="BW98" s="2">
        <v>0.71</v>
      </c>
      <c r="BX98" s="2">
        <v>0.67</v>
      </c>
      <c r="BY98" s="2">
        <v>0.66</v>
      </c>
      <c r="BZ98" s="2">
        <v>2.11</v>
      </c>
      <c r="CA98" s="2">
        <v>0.82</v>
      </c>
      <c r="CB98" s="2">
        <v>2.25</v>
      </c>
      <c r="CC98" s="2">
        <v>1.67</v>
      </c>
      <c r="CD98" s="2">
        <v>2.81</v>
      </c>
      <c r="CE98" s="2">
        <v>1.31</v>
      </c>
      <c r="CF98" s="2">
        <v>1.76</v>
      </c>
      <c r="CG98" s="2">
        <v>1.72</v>
      </c>
      <c r="CH98" s="2">
        <v>2.36</v>
      </c>
      <c r="CI98" s="2">
        <v>1.5</v>
      </c>
      <c r="CJ98" s="2">
        <v>1.88</v>
      </c>
      <c r="CK98" s="2">
        <v>1.8</v>
      </c>
      <c r="CL98" s="2">
        <v>1.55</v>
      </c>
    </row>
    <row r="99" spans="2:90" x14ac:dyDescent="0.3">
      <c r="B99" s="1" t="s">
        <v>27</v>
      </c>
      <c r="C99" s="2">
        <v>510.21</v>
      </c>
      <c r="D99" s="2">
        <v>537.44000000000005</v>
      </c>
      <c r="E99" s="2">
        <v>90.7</v>
      </c>
      <c r="F99" s="2">
        <v>125.8</v>
      </c>
      <c r="G99" s="2">
        <v>107.43</v>
      </c>
      <c r="H99" s="2">
        <v>157.31</v>
      </c>
      <c r="I99" s="2">
        <v>148.79</v>
      </c>
      <c r="J99" s="2">
        <v>586.16999999999996</v>
      </c>
      <c r="K99" s="2">
        <v>167.1</v>
      </c>
      <c r="L99" s="2">
        <v>799.15</v>
      </c>
      <c r="M99" s="2">
        <v>343.55</v>
      </c>
      <c r="N99" s="2">
        <v>963.8</v>
      </c>
      <c r="O99" s="2">
        <v>282.02</v>
      </c>
      <c r="P99" s="2">
        <v>549.28</v>
      </c>
      <c r="Q99" s="2">
        <v>460.75</v>
      </c>
      <c r="R99" s="2">
        <v>519.36</v>
      </c>
      <c r="S99" s="2">
        <v>354.81</v>
      </c>
      <c r="T99" s="2">
        <v>319.33999999999997</v>
      </c>
      <c r="U99" s="2">
        <v>423.43</v>
      </c>
      <c r="V99" s="2">
        <v>364.25</v>
      </c>
      <c r="X99" s="1" t="s">
        <v>27</v>
      </c>
      <c r="Y99" s="2">
        <v>4624.6000000000004</v>
      </c>
      <c r="Z99" s="2">
        <v>10426.65</v>
      </c>
      <c r="AA99" s="2">
        <v>4734.3999999999996</v>
      </c>
      <c r="AB99" s="2">
        <v>1482.71</v>
      </c>
      <c r="AC99" s="2">
        <v>4841.1099999999997</v>
      </c>
      <c r="AD99" s="2">
        <v>5523.86</v>
      </c>
      <c r="AE99" s="2">
        <v>10194.16</v>
      </c>
      <c r="AF99" s="2">
        <v>8196.6299999999992</v>
      </c>
      <c r="AG99" s="2">
        <v>10948.06</v>
      </c>
      <c r="AH99" s="2">
        <v>8516.39</v>
      </c>
      <c r="AI99" s="2">
        <v>5711.25</v>
      </c>
      <c r="AJ99" s="2">
        <v>10506.85</v>
      </c>
      <c r="AK99" s="2">
        <v>5653.39</v>
      </c>
      <c r="AL99" s="2">
        <v>1882.49</v>
      </c>
      <c r="AM99" s="2">
        <v>6756.89</v>
      </c>
      <c r="AN99" s="2">
        <v>8497.7999999999993</v>
      </c>
      <c r="AO99" s="2">
        <v>14351.67</v>
      </c>
      <c r="AP99" s="2">
        <v>10561.38</v>
      </c>
      <c r="AQ99" s="2">
        <v>11866.51</v>
      </c>
      <c r="AR99" s="2">
        <v>9122.76</v>
      </c>
      <c r="AU99" s="1" t="s">
        <v>27</v>
      </c>
      <c r="AV99" s="2">
        <v>4624.6000000000004</v>
      </c>
      <c r="AW99" s="2">
        <v>10426.65</v>
      </c>
      <c r="AX99" s="2">
        <v>4734.3999999999996</v>
      </c>
      <c r="AY99" s="2">
        <v>1482.71</v>
      </c>
      <c r="AZ99" s="2">
        <v>4841.1099999999997</v>
      </c>
      <c r="BA99" s="2">
        <v>5523.86</v>
      </c>
      <c r="BB99" s="2">
        <v>10194.16</v>
      </c>
      <c r="BC99" s="2">
        <v>8196.6299999999992</v>
      </c>
      <c r="BD99" s="2">
        <v>10948.06</v>
      </c>
      <c r="BE99" s="2">
        <v>8516.39</v>
      </c>
      <c r="BF99" s="2">
        <v>5711.25</v>
      </c>
      <c r="BG99" s="2">
        <v>10506.85</v>
      </c>
      <c r="BH99" s="2">
        <v>5653.39</v>
      </c>
      <c r="BI99" s="2">
        <v>1882.49</v>
      </c>
      <c r="BJ99" s="2">
        <v>6756.89</v>
      </c>
      <c r="BK99" s="2">
        <v>8497.7999999999993</v>
      </c>
      <c r="BL99" s="2">
        <v>14351.67</v>
      </c>
      <c r="BM99" s="2">
        <v>10561.38</v>
      </c>
      <c r="BN99" s="2">
        <v>11866.51</v>
      </c>
      <c r="BO99" s="2">
        <v>9122.76</v>
      </c>
      <c r="BR99" s="1" t="s">
        <v>27</v>
      </c>
      <c r="BS99" s="2">
        <v>2.79</v>
      </c>
      <c r="BT99" s="2">
        <v>2.08</v>
      </c>
      <c r="BU99" s="2">
        <v>1.1200000000000001</v>
      </c>
      <c r="BV99" s="2">
        <v>1.49</v>
      </c>
      <c r="BW99" s="2">
        <v>0.8</v>
      </c>
      <c r="BX99" s="2">
        <v>0.92</v>
      </c>
      <c r="BY99" s="2">
        <v>1.23</v>
      </c>
      <c r="BZ99" s="2">
        <v>2.56</v>
      </c>
      <c r="CA99" s="2">
        <v>1.41</v>
      </c>
      <c r="CB99" s="2">
        <v>4.17</v>
      </c>
      <c r="CC99" s="2">
        <v>2.74</v>
      </c>
      <c r="CD99" s="2">
        <v>5.76</v>
      </c>
      <c r="CE99" s="2">
        <v>2.19</v>
      </c>
      <c r="CF99" s="2">
        <v>3.53</v>
      </c>
      <c r="CG99" s="2">
        <v>3.14</v>
      </c>
      <c r="CH99" s="2">
        <v>3.53</v>
      </c>
      <c r="CI99" s="2">
        <v>2.4</v>
      </c>
      <c r="CJ99" s="2">
        <v>2.4300000000000002</v>
      </c>
      <c r="CK99" s="2">
        <v>2.92</v>
      </c>
      <c r="CL99" s="2">
        <v>2.82</v>
      </c>
    </row>
    <row r="100" spans="2:90" x14ac:dyDescent="0.3">
      <c r="B100" s="1" t="s">
        <v>28</v>
      </c>
      <c r="C100" s="2">
        <v>70.58</v>
      </c>
      <c r="D100" s="2">
        <v>90.42</v>
      </c>
      <c r="E100" s="2">
        <v>12.12</v>
      </c>
      <c r="F100" s="2">
        <v>13</v>
      </c>
      <c r="G100" s="2">
        <v>7.61</v>
      </c>
      <c r="H100" s="2">
        <v>14.35</v>
      </c>
      <c r="I100" s="2">
        <v>29.14</v>
      </c>
      <c r="J100" s="2">
        <v>136.66</v>
      </c>
      <c r="K100" s="2">
        <v>94.05</v>
      </c>
      <c r="L100" s="2">
        <v>164.62</v>
      </c>
      <c r="M100" s="2">
        <v>233.55</v>
      </c>
      <c r="N100" s="2">
        <v>284.72000000000003</v>
      </c>
      <c r="O100" s="2">
        <v>202.88</v>
      </c>
      <c r="P100" s="2">
        <v>187.69</v>
      </c>
      <c r="Q100" s="2">
        <v>241.72</v>
      </c>
      <c r="R100" s="2">
        <v>218.34</v>
      </c>
      <c r="S100" s="2">
        <v>206.44</v>
      </c>
      <c r="T100" s="2">
        <v>167.09</v>
      </c>
      <c r="U100" s="2">
        <v>240.92</v>
      </c>
      <c r="V100" s="2">
        <v>225.26</v>
      </c>
      <c r="X100" s="1" t="s">
        <v>28</v>
      </c>
      <c r="Y100" s="2">
        <v>2169.0100000000002</v>
      </c>
      <c r="Z100" s="2">
        <v>5498.55</v>
      </c>
      <c r="AA100" s="2">
        <v>513.14</v>
      </c>
      <c r="AB100" s="2">
        <v>126.11</v>
      </c>
      <c r="AC100" s="2">
        <v>450.53</v>
      </c>
      <c r="AD100" s="2">
        <v>2756.15</v>
      </c>
      <c r="AE100" s="2">
        <v>4898.3599999999997</v>
      </c>
      <c r="AF100" s="2">
        <v>3851.36</v>
      </c>
      <c r="AG100" s="2">
        <v>4868.63</v>
      </c>
      <c r="AH100" s="2">
        <v>4151.03</v>
      </c>
      <c r="AI100" s="2">
        <v>2828.55</v>
      </c>
      <c r="AJ100" s="2">
        <v>5655.23</v>
      </c>
      <c r="AK100" s="2">
        <v>544.45000000000005</v>
      </c>
      <c r="AL100" s="2">
        <v>660.69</v>
      </c>
      <c r="AM100" s="2">
        <v>3509.27</v>
      </c>
      <c r="AN100" s="2">
        <v>4281.28</v>
      </c>
      <c r="AO100" s="2">
        <v>7709.2</v>
      </c>
      <c r="AP100" s="2">
        <v>5387.14</v>
      </c>
      <c r="AQ100" s="2">
        <v>5430.48</v>
      </c>
      <c r="AR100" s="2">
        <v>4201.3599999999997</v>
      </c>
      <c r="AU100" s="1" t="s">
        <v>28</v>
      </c>
      <c r="AV100" s="2">
        <v>2169.0100000000002</v>
      </c>
      <c r="AW100" s="2">
        <v>5498.55</v>
      </c>
      <c r="AX100" s="2">
        <v>513.14</v>
      </c>
      <c r="AY100" s="2">
        <v>126.11</v>
      </c>
      <c r="AZ100" s="2">
        <v>450.53</v>
      </c>
      <c r="BA100" s="2">
        <v>2756.15</v>
      </c>
      <c r="BB100" s="2">
        <v>4898.3599999999997</v>
      </c>
      <c r="BC100" s="2">
        <v>3851.36</v>
      </c>
      <c r="BD100" s="2">
        <v>4868.63</v>
      </c>
      <c r="BE100" s="2">
        <v>4151.03</v>
      </c>
      <c r="BF100" s="2">
        <v>2828.55</v>
      </c>
      <c r="BG100" s="2">
        <v>5655.23</v>
      </c>
      <c r="BH100" s="2">
        <v>544.45000000000005</v>
      </c>
      <c r="BI100" s="2">
        <v>660.69</v>
      </c>
      <c r="BJ100" s="2">
        <v>3509.27</v>
      </c>
      <c r="BK100" s="2">
        <v>4281.28</v>
      </c>
      <c r="BL100" s="2">
        <v>7709.2</v>
      </c>
      <c r="BM100" s="2">
        <v>5387.14</v>
      </c>
      <c r="BN100" s="2">
        <v>5430.48</v>
      </c>
      <c r="BO100" s="2">
        <v>4201.3599999999997</v>
      </c>
      <c r="BR100" s="1" t="s">
        <v>28</v>
      </c>
      <c r="BS100" s="2">
        <v>0.63</v>
      </c>
      <c r="BT100" s="2">
        <v>0.75</v>
      </c>
      <c r="BU100" s="2">
        <v>0.26</v>
      </c>
      <c r="BV100" s="2">
        <v>0.26</v>
      </c>
      <c r="BW100" s="2">
        <v>0.1</v>
      </c>
      <c r="BX100" s="2">
        <v>0.17</v>
      </c>
      <c r="BY100" s="2">
        <v>0.32</v>
      </c>
      <c r="BZ100" s="2">
        <v>1.34</v>
      </c>
      <c r="CA100" s="2">
        <v>0.98</v>
      </c>
      <c r="CB100" s="2">
        <v>1.66</v>
      </c>
      <c r="CC100" s="2">
        <v>2.38</v>
      </c>
      <c r="CD100" s="2">
        <v>2.79</v>
      </c>
      <c r="CE100" s="2">
        <v>2.06</v>
      </c>
      <c r="CF100" s="2">
        <v>1.85</v>
      </c>
      <c r="CG100" s="2">
        <v>2.4700000000000002</v>
      </c>
      <c r="CH100" s="2">
        <v>2.2200000000000002</v>
      </c>
      <c r="CI100" s="2">
        <v>2.06</v>
      </c>
      <c r="CJ100" s="2">
        <v>1.76</v>
      </c>
      <c r="CK100" s="2">
        <v>2.38</v>
      </c>
      <c r="CL100" s="2">
        <v>1.92</v>
      </c>
    </row>
    <row r="103" spans="2:90" x14ac:dyDescent="0.3">
      <c r="B103" t="s">
        <v>53</v>
      </c>
      <c r="X103" t="s">
        <v>54</v>
      </c>
      <c r="AU103" t="s">
        <v>55</v>
      </c>
      <c r="BR103" t="s">
        <v>56</v>
      </c>
    </row>
    <row r="104" spans="2:90" x14ac:dyDescent="0.3">
      <c r="B104" s="1" t="s">
        <v>16</v>
      </c>
      <c r="C104" s="1" t="s">
        <v>17</v>
      </c>
      <c r="D104" s="1" t="s">
        <v>18</v>
      </c>
      <c r="E104" s="1" t="s">
        <v>17</v>
      </c>
      <c r="F104" s="1" t="s">
        <v>18</v>
      </c>
      <c r="G104" s="1" t="s">
        <v>17</v>
      </c>
      <c r="H104" s="1" t="s">
        <v>18</v>
      </c>
      <c r="I104" s="1" t="s">
        <v>17</v>
      </c>
      <c r="J104" s="1" t="s">
        <v>18</v>
      </c>
      <c r="K104" s="1" t="s">
        <v>17</v>
      </c>
      <c r="L104" s="1" t="s">
        <v>18</v>
      </c>
      <c r="M104" s="1" t="s">
        <v>17</v>
      </c>
      <c r="N104" s="1" t="s">
        <v>18</v>
      </c>
      <c r="O104" s="1" t="s">
        <v>17</v>
      </c>
      <c r="P104" s="1" t="s">
        <v>18</v>
      </c>
      <c r="Q104" s="1" t="s">
        <v>17</v>
      </c>
      <c r="R104" s="1" t="s">
        <v>18</v>
      </c>
      <c r="S104" s="1" t="s">
        <v>17</v>
      </c>
      <c r="T104" s="1" t="s">
        <v>18</v>
      </c>
      <c r="U104" s="1" t="s">
        <v>17</v>
      </c>
      <c r="V104" s="1" t="s">
        <v>18</v>
      </c>
      <c r="X104" s="1" t="s">
        <v>16</v>
      </c>
      <c r="Y104" s="1" t="s">
        <v>17</v>
      </c>
      <c r="Z104" s="1" t="s">
        <v>18</v>
      </c>
      <c r="AA104" s="1" t="s">
        <v>17</v>
      </c>
      <c r="AB104" s="1" t="s">
        <v>18</v>
      </c>
      <c r="AC104" s="1" t="s">
        <v>17</v>
      </c>
      <c r="AD104" s="1" t="s">
        <v>18</v>
      </c>
      <c r="AE104" s="1" t="s">
        <v>17</v>
      </c>
      <c r="AF104" s="1" t="s">
        <v>18</v>
      </c>
      <c r="AG104" s="1" t="s">
        <v>17</v>
      </c>
      <c r="AH104" s="1" t="s">
        <v>18</v>
      </c>
      <c r="AI104" s="1" t="s">
        <v>17</v>
      </c>
      <c r="AJ104" s="1" t="s">
        <v>18</v>
      </c>
      <c r="AK104" s="1" t="s">
        <v>17</v>
      </c>
      <c r="AL104" s="1" t="s">
        <v>18</v>
      </c>
      <c r="AM104" s="1" t="s">
        <v>17</v>
      </c>
      <c r="AN104" s="1" t="s">
        <v>18</v>
      </c>
      <c r="AO104" s="1" t="s">
        <v>17</v>
      </c>
      <c r="AP104" s="1" t="s">
        <v>18</v>
      </c>
      <c r="AQ104" s="1" t="s">
        <v>17</v>
      </c>
      <c r="AR104" s="1" t="s">
        <v>18</v>
      </c>
      <c r="AU104" s="1" t="s">
        <v>16</v>
      </c>
      <c r="AV104" s="1" t="s">
        <v>17</v>
      </c>
      <c r="AW104" s="1" t="s">
        <v>18</v>
      </c>
      <c r="AX104" s="1" t="s">
        <v>17</v>
      </c>
      <c r="AY104" s="1" t="s">
        <v>18</v>
      </c>
      <c r="AZ104" s="1" t="s">
        <v>17</v>
      </c>
      <c r="BA104" s="1" t="s">
        <v>18</v>
      </c>
      <c r="BB104" s="1" t="s">
        <v>17</v>
      </c>
      <c r="BC104" s="1" t="s">
        <v>18</v>
      </c>
      <c r="BD104" s="1" t="s">
        <v>17</v>
      </c>
      <c r="BE104" s="1" t="s">
        <v>18</v>
      </c>
      <c r="BF104" s="1" t="s">
        <v>17</v>
      </c>
      <c r="BG104" s="1" t="s">
        <v>18</v>
      </c>
      <c r="BH104" s="1" t="s">
        <v>17</v>
      </c>
      <c r="BI104" s="1" t="s">
        <v>18</v>
      </c>
      <c r="BJ104" s="1" t="s">
        <v>17</v>
      </c>
      <c r="BK104" s="1" t="s">
        <v>18</v>
      </c>
      <c r="BL104" s="1" t="s">
        <v>17</v>
      </c>
      <c r="BM104" s="1" t="s">
        <v>18</v>
      </c>
      <c r="BN104" s="1" t="s">
        <v>17</v>
      </c>
      <c r="BO104" s="1" t="s">
        <v>18</v>
      </c>
      <c r="BR104" s="1" t="s">
        <v>16</v>
      </c>
      <c r="BS104" s="1" t="s">
        <v>17</v>
      </c>
      <c r="BT104" s="1" t="s">
        <v>18</v>
      </c>
      <c r="BU104" s="1" t="s">
        <v>17</v>
      </c>
      <c r="BV104" s="1" t="s">
        <v>18</v>
      </c>
      <c r="BW104" s="1" t="s">
        <v>17</v>
      </c>
      <c r="BX104" s="1" t="s">
        <v>18</v>
      </c>
      <c r="BY104" s="1" t="s">
        <v>17</v>
      </c>
      <c r="BZ104" s="1" t="s">
        <v>18</v>
      </c>
      <c r="CA104" s="1" t="s">
        <v>17</v>
      </c>
      <c r="CB104" s="1" t="s">
        <v>18</v>
      </c>
      <c r="CC104" s="1" t="s">
        <v>17</v>
      </c>
      <c r="CD104" s="1" t="s">
        <v>18</v>
      </c>
      <c r="CE104" s="1" t="s">
        <v>17</v>
      </c>
      <c r="CF104" s="1" t="s">
        <v>18</v>
      </c>
      <c r="CG104" s="1" t="s">
        <v>17</v>
      </c>
      <c r="CH104" s="1" t="s">
        <v>18</v>
      </c>
      <c r="CI104" s="1" t="s">
        <v>17</v>
      </c>
      <c r="CJ104" s="1" t="s">
        <v>18</v>
      </c>
      <c r="CK104" s="1" t="s">
        <v>17</v>
      </c>
      <c r="CL104" s="1" t="s">
        <v>18</v>
      </c>
    </row>
    <row r="105" spans="2:90" x14ac:dyDescent="0.3">
      <c r="B105" s="1" t="s">
        <v>19</v>
      </c>
      <c r="C105" s="1" t="s">
        <v>1</v>
      </c>
      <c r="D105" s="1" t="s">
        <v>1</v>
      </c>
      <c r="E105" s="1" t="s">
        <v>2</v>
      </c>
      <c r="F105" s="1" t="s">
        <v>2</v>
      </c>
      <c r="G105" s="1" t="s">
        <v>3</v>
      </c>
      <c r="H105" s="1" t="s">
        <v>3</v>
      </c>
      <c r="I105" s="1" t="s">
        <v>4</v>
      </c>
      <c r="J105" s="1" t="s">
        <v>4</v>
      </c>
      <c r="K105" s="1" t="s">
        <v>5</v>
      </c>
      <c r="L105" s="1" t="s">
        <v>5</v>
      </c>
      <c r="M105" s="1" t="s">
        <v>6</v>
      </c>
      <c r="N105" s="1" t="s">
        <v>6</v>
      </c>
      <c r="O105" s="1" t="s">
        <v>7</v>
      </c>
      <c r="P105" s="1" t="s">
        <v>7</v>
      </c>
      <c r="Q105" s="1" t="s">
        <v>8</v>
      </c>
      <c r="R105" s="1" t="s">
        <v>8</v>
      </c>
      <c r="S105" s="1" t="s">
        <v>9</v>
      </c>
      <c r="T105" s="1" t="s">
        <v>9</v>
      </c>
      <c r="U105" s="1" t="s">
        <v>10</v>
      </c>
      <c r="V105" s="1" t="s">
        <v>10</v>
      </c>
      <c r="X105" s="1" t="s">
        <v>19</v>
      </c>
      <c r="Y105" s="1" t="s">
        <v>1</v>
      </c>
      <c r="Z105" s="1" t="s">
        <v>1</v>
      </c>
      <c r="AA105" s="1" t="s">
        <v>2</v>
      </c>
      <c r="AB105" s="1" t="s">
        <v>2</v>
      </c>
      <c r="AC105" s="1" t="s">
        <v>3</v>
      </c>
      <c r="AD105" s="1" t="s">
        <v>3</v>
      </c>
      <c r="AE105" s="1" t="s">
        <v>4</v>
      </c>
      <c r="AF105" s="1" t="s">
        <v>4</v>
      </c>
      <c r="AG105" s="1" t="s">
        <v>5</v>
      </c>
      <c r="AH105" s="1" t="s">
        <v>5</v>
      </c>
      <c r="AI105" s="1" t="s">
        <v>6</v>
      </c>
      <c r="AJ105" s="1" t="s">
        <v>6</v>
      </c>
      <c r="AK105" s="1" t="s">
        <v>7</v>
      </c>
      <c r="AL105" s="1" t="s">
        <v>7</v>
      </c>
      <c r="AM105" s="1" t="s">
        <v>8</v>
      </c>
      <c r="AN105" s="1" t="s">
        <v>8</v>
      </c>
      <c r="AO105" s="1" t="s">
        <v>9</v>
      </c>
      <c r="AP105" s="1" t="s">
        <v>9</v>
      </c>
      <c r="AQ105" s="1" t="s">
        <v>10</v>
      </c>
      <c r="AR105" s="1" t="s">
        <v>10</v>
      </c>
      <c r="AU105" s="1" t="s">
        <v>19</v>
      </c>
      <c r="AV105" s="1" t="s">
        <v>1</v>
      </c>
      <c r="AW105" s="1" t="s">
        <v>1</v>
      </c>
      <c r="AX105" s="1" t="s">
        <v>2</v>
      </c>
      <c r="AY105" s="1" t="s">
        <v>2</v>
      </c>
      <c r="AZ105" s="1" t="s">
        <v>3</v>
      </c>
      <c r="BA105" s="1" t="s">
        <v>3</v>
      </c>
      <c r="BB105" s="1" t="s">
        <v>4</v>
      </c>
      <c r="BC105" s="1" t="s">
        <v>4</v>
      </c>
      <c r="BD105" s="1" t="s">
        <v>5</v>
      </c>
      <c r="BE105" s="1" t="s">
        <v>5</v>
      </c>
      <c r="BF105" s="1" t="s">
        <v>6</v>
      </c>
      <c r="BG105" s="1" t="s">
        <v>6</v>
      </c>
      <c r="BH105" s="1" t="s">
        <v>7</v>
      </c>
      <c r="BI105" s="1" t="s">
        <v>7</v>
      </c>
      <c r="BJ105" s="1" t="s">
        <v>8</v>
      </c>
      <c r="BK105" s="1" t="s">
        <v>8</v>
      </c>
      <c r="BL105" s="1" t="s">
        <v>9</v>
      </c>
      <c r="BM105" s="1" t="s">
        <v>9</v>
      </c>
      <c r="BN105" s="1" t="s">
        <v>10</v>
      </c>
      <c r="BO105" s="1" t="s">
        <v>10</v>
      </c>
      <c r="BR105" s="1" t="s">
        <v>19</v>
      </c>
      <c r="BS105" s="1" t="s">
        <v>1</v>
      </c>
      <c r="BT105" s="1" t="s">
        <v>1</v>
      </c>
      <c r="BU105" s="1" t="s">
        <v>2</v>
      </c>
      <c r="BV105" s="1" t="s">
        <v>2</v>
      </c>
      <c r="BW105" s="1" t="s">
        <v>3</v>
      </c>
      <c r="BX105" s="1" t="s">
        <v>3</v>
      </c>
      <c r="BY105" s="1" t="s">
        <v>4</v>
      </c>
      <c r="BZ105" s="1" t="s">
        <v>4</v>
      </c>
      <c r="CA105" s="1" t="s">
        <v>5</v>
      </c>
      <c r="CB105" s="1" t="s">
        <v>5</v>
      </c>
      <c r="CC105" s="1" t="s">
        <v>6</v>
      </c>
      <c r="CD105" s="1" t="s">
        <v>6</v>
      </c>
      <c r="CE105" s="1" t="s">
        <v>7</v>
      </c>
      <c r="CF105" s="1" t="s">
        <v>7</v>
      </c>
      <c r="CG105" s="1" t="s">
        <v>8</v>
      </c>
      <c r="CH105" s="1" t="s">
        <v>8</v>
      </c>
      <c r="CI105" s="1" t="s">
        <v>9</v>
      </c>
      <c r="CJ105" s="1" t="s">
        <v>9</v>
      </c>
      <c r="CK105" s="1" t="s">
        <v>10</v>
      </c>
      <c r="CL105" s="1" t="s">
        <v>10</v>
      </c>
    </row>
    <row r="106" spans="2:90" x14ac:dyDescent="0.3">
      <c r="B106" s="1" t="s">
        <v>20</v>
      </c>
      <c r="X106" s="1" t="s">
        <v>20</v>
      </c>
      <c r="AU106" s="1" t="s">
        <v>20</v>
      </c>
      <c r="BR106" s="1" t="s">
        <v>20</v>
      </c>
    </row>
    <row r="107" spans="2:90" x14ac:dyDescent="0.3">
      <c r="B107" s="1" t="s">
        <v>21</v>
      </c>
      <c r="C107" s="2">
        <v>5.7085282425730971E-3</v>
      </c>
      <c r="D107" s="2">
        <v>9.3254413822277272E-3</v>
      </c>
      <c r="E107" s="2">
        <v>5.2892261331467464E-3</v>
      </c>
      <c r="F107" s="2">
        <v>1.1416286592594079E-2</v>
      </c>
      <c r="G107" s="2">
        <v>6.2640727470581071E-3</v>
      </c>
      <c r="H107" s="2">
        <v>4.5642309236052269E-3</v>
      </c>
      <c r="I107" s="2">
        <v>1.154764411508045E-2</v>
      </c>
      <c r="J107" s="2">
        <v>3.5258409740558307E-2</v>
      </c>
      <c r="K107" s="2">
        <v>4.956854281937835E-2</v>
      </c>
      <c r="L107" s="2">
        <v>3.1963846567963167E-2</v>
      </c>
      <c r="M107" s="2">
        <v>4.6277471262781381E-2</v>
      </c>
      <c r="N107" s="2">
        <v>4.0971301614931538E-2</v>
      </c>
      <c r="O107" s="2">
        <v>4.1986133113651618E-2</v>
      </c>
      <c r="P107" s="2">
        <v>4.9805014379092037E-2</v>
      </c>
      <c r="Q107" s="2">
        <v>4.6846174617276207E-2</v>
      </c>
      <c r="R107" s="2">
        <v>6.4500276987887808E-2</v>
      </c>
      <c r="S107" s="2">
        <v>7.0228820421806018E-2</v>
      </c>
      <c r="T107" s="2">
        <v>6.3657810159240436E-2</v>
      </c>
      <c r="U107" s="2">
        <v>9.0004342314760802E-2</v>
      </c>
      <c r="V107" s="2">
        <v>8.5878309977212991E-2</v>
      </c>
      <c r="X107" s="1" t="s">
        <v>21</v>
      </c>
      <c r="Y107" s="2">
        <v>464.5</v>
      </c>
      <c r="Z107" s="2">
        <v>451.2</v>
      </c>
      <c r="AA107" s="2">
        <v>435.75</v>
      </c>
      <c r="AB107" s="2">
        <v>395.15</v>
      </c>
      <c r="AC107" s="2">
        <v>326.89999999999998</v>
      </c>
      <c r="AD107" s="2">
        <v>415.63</v>
      </c>
      <c r="AE107" s="2">
        <v>435.58</v>
      </c>
      <c r="AF107" s="2">
        <v>828.8</v>
      </c>
      <c r="AG107" s="2">
        <v>1013.6</v>
      </c>
      <c r="AH107" s="2">
        <v>835.8</v>
      </c>
      <c r="AI107" s="2">
        <v>1040.9000000000001</v>
      </c>
      <c r="AJ107" s="2">
        <v>830.9</v>
      </c>
      <c r="AK107" s="2">
        <v>988.4</v>
      </c>
      <c r="AL107" s="2">
        <v>780.5</v>
      </c>
      <c r="AM107" s="2">
        <v>959.7</v>
      </c>
      <c r="AN107" s="2">
        <v>841.4</v>
      </c>
      <c r="AO107" s="2">
        <v>847</v>
      </c>
      <c r="AP107" s="2">
        <v>523.6</v>
      </c>
      <c r="AQ107" s="2">
        <v>786.1</v>
      </c>
      <c r="AR107" s="2">
        <v>508.9</v>
      </c>
      <c r="AU107" s="1" t="s">
        <v>21</v>
      </c>
      <c r="AV107" s="2">
        <v>8825.5499999999993</v>
      </c>
      <c r="AW107" s="2">
        <v>8572.85</v>
      </c>
      <c r="AX107" s="2">
        <v>8279.25</v>
      </c>
      <c r="AY107" s="2">
        <v>7507.85</v>
      </c>
      <c r="AZ107" s="2">
        <v>6211.1</v>
      </c>
      <c r="BA107" s="2">
        <v>7896.87</v>
      </c>
      <c r="BB107" s="2">
        <v>8275.92</v>
      </c>
      <c r="BC107" s="2">
        <v>7459.2</v>
      </c>
      <c r="BD107" s="2">
        <v>9122.4</v>
      </c>
      <c r="BE107" s="2">
        <v>7522.2</v>
      </c>
      <c r="BF107" s="2">
        <v>9368.1</v>
      </c>
      <c r="BG107" s="2">
        <v>7478.1</v>
      </c>
      <c r="BH107" s="2">
        <v>8895.6</v>
      </c>
      <c r="BI107" s="2">
        <v>7024.5</v>
      </c>
      <c r="BJ107" s="2">
        <v>8637.2999999999993</v>
      </c>
      <c r="BK107" s="2">
        <v>7572.6</v>
      </c>
      <c r="BL107" s="2">
        <v>7623</v>
      </c>
      <c r="BM107" s="2">
        <v>4712.3999999999996</v>
      </c>
      <c r="BN107" s="2">
        <v>7074.9</v>
      </c>
      <c r="BO107" s="2">
        <v>4580.1000000000004</v>
      </c>
      <c r="BR107" s="1" t="s">
        <v>21</v>
      </c>
      <c r="BS107" s="2">
        <v>0.78</v>
      </c>
      <c r="BT107" s="2">
        <v>0.78</v>
      </c>
      <c r="BU107" s="2">
        <v>0.78</v>
      </c>
      <c r="BV107" s="2">
        <v>0.78</v>
      </c>
      <c r="BW107" s="2">
        <v>0.3</v>
      </c>
      <c r="BX107" s="2">
        <v>0.3</v>
      </c>
      <c r="BY107" s="2">
        <v>0.96</v>
      </c>
      <c r="BZ107" s="2">
        <v>2.2999999999999998</v>
      </c>
      <c r="CA107" s="2">
        <v>2.88</v>
      </c>
      <c r="CB107" s="2">
        <v>2.88</v>
      </c>
      <c r="CC107" s="2">
        <v>5.18</v>
      </c>
      <c r="CD107" s="2">
        <v>5.18</v>
      </c>
      <c r="CE107" s="2">
        <v>4.18</v>
      </c>
      <c r="CF107" s="2">
        <v>4.18</v>
      </c>
      <c r="CG107" s="2">
        <v>5.47</v>
      </c>
      <c r="CH107" s="2">
        <v>5.47</v>
      </c>
      <c r="CI107" s="2">
        <v>4.9000000000000004</v>
      </c>
      <c r="CJ107" s="2">
        <v>4.9000000000000004</v>
      </c>
      <c r="CK107" s="2">
        <v>6.48</v>
      </c>
      <c r="CL107" s="2">
        <v>6.48</v>
      </c>
    </row>
    <row r="108" spans="2:90" x14ac:dyDescent="0.3">
      <c r="B108" s="1" t="s">
        <v>22</v>
      </c>
      <c r="C108" s="2">
        <v>1.7204580480467791E-2</v>
      </c>
      <c r="D108" s="2">
        <v>1.222296550175404E-2</v>
      </c>
      <c r="E108" s="2">
        <v>1.6018908661103441E-2</v>
      </c>
      <c r="F108" s="2">
        <v>1.762793594663559E-2</v>
      </c>
      <c r="G108" s="2">
        <v>1.689713653965259E-2</v>
      </c>
      <c r="H108" s="2">
        <v>9.1417016010346529E-3</v>
      </c>
      <c r="I108" s="2">
        <v>3.6991641236288293E-2</v>
      </c>
      <c r="J108" s="2">
        <v>2.2808969545250999E-2</v>
      </c>
      <c r="K108" s="2">
        <v>3.003768485750926E-2</v>
      </c>
      <c r="L108" s="2">
        <v>1.5548070568570471E-2</v>
      </c>
      <c r="M108" s="2">
        <v>3.2709925649237373E-2</v>
      </c>
      <c r="N108" s="2">
        <v>2.0969744451388338E-2</v>
      </c>
      <c r="O108" s="2">
        <v>2.8118855222282871E-2</v>
      </c>
      <c r="P108" s="2">
        <v>2.978045713220525E-2</v>
      </c>
      <c r="Q108" s="2">
        <v>2.9043102932961761E-2</v>
      </c>
      <c r="R108" s="2">
        <v>2.9880684936272009E-2</v>
      </c>
      <c r="S108" s="2">
        <v>4.6690937031090653E-2</v>
      </c>
      <c r="T108" s="2">
        <v>3.1419508289849053E-2</v>
      </c>
      <c r="U108" s="2">
        <v>5.0965804741206183E-2</v>
      </c>
      <c r="V108" s="2">
        <v>2.542413764771418E-2</v>
      </c>
      <c r="X108" s="1" t="s">
        <v>22</v>
      </c>
      <c r="Y108" s="2">
        <v>826.12</v>
      </c>
      <c r="Z108" s="2">
        <v>477.42</v>
      </c>
      <c r="AA108" s="2">
        <v>881.97</v>
      </c>
      <c r="AB108" s="2">
        <v>533.66999999999996</v>
      </c>
      <c r="AC108" s="2">
        <v>554.70000000000005</v>
      </c>
      <c r="AD108" s="2">
        <v>653.15</v>
      </c>
      <c r="AE108" s="2">
        <v>962.72</v>
      </c>
      <c r="AF108" s="2">
        <v>580.54999999999995</v>
      </c>
      <c r="AG108" s="2">
        <v>911.68</v>
      </c>
      <c r="AH108" s="2">
        <v>549.57000000000005</v>
      </c>
      <c r="AI108" s="2">
        <v>882.83</v>
      </c>
      <c r="AJ108" s="2">
        <v>553.41999999999996</v>
      </c>
      <c r="AK108" s="2">
        <v>736.49</v>
      </c>
      <c r="AL108" s="2">
        <v>616.41</v>
      </c>
      <c r="AM108" s="2">
        <v>696.91</v>
      </c>
      <c r="AN108" s="2">
        <v>609.52</v>
      </c>
      <c r="AO108" s="2">
        <v>691.22</v>
      </c>
      <c r="AP108" s="2">
        <v>477.29</v>
      </c>
      <c r="AQ108" s="2">
        <v>780.58</v>
      </c>
      <c r="AR108" s="2">
        <v>446.09</v>
      </c>
      <c r="AU108" s="1" t="s">
        <v>22</v>
      </c>
      <c r="AV108" s="2">
        <v>4187.9799999999996</v>
      </c>
      <c r="AW108" s="2">
        <v>2410.58</v>
      </c>
      <c r="AX108" s="2">
        <v>4153.03</v>
      </c>
      <c r="AY108" s="2">
        <v>2502.5300000000002</v>
      </c>
      <c r="AZ108" s="2">
        <v>2597.3000000000002</v>
      </c>
      <c r="BA108" s="2">
        <v>3060.4</v>
      </c>
      <c r="BB108" s="2">
        <v>4550.13</v>
      </c>
      <c r="BC108" s="2">
        <v>2724.45</v>
      </c>
      <c r="BD108" s="2">
        <v>4647.72</v>
      </c>
      <c r="BE108" s="2">
        <v>2780.43</v>
      </c>
      <c r="BF108" s="2">
        <v>4533.12</v>
      </c>
      <c r="BG108" s="2">
        <v>2807.58</v>
      </c>
      <c r="BH108" s="2">
        <v>3747.51</v>
      </c>
      <c r="BI108" s="2">
        <v>3126.59</v>
      </c>
      <c r="BJ108" s="2">
        <v>3550.43</v>
      </c>
      <c r="BK108" s="2">
        <v>3097.38</v>
      </c>
      <c r="BL108" s="2">
        <v>3515.57</v>
      </c>
      <c r="BM108" s="2">
        <v>2415.42</v>
      </c>
      <c r="BN108" s="2">
        <v>4006.47</v>
      </c>
      <c r="BO108" s="2">
        <v>2261.41</v>
      </c>
      <c r="BR108" s="1" t="s">
        <v>22</v>
      </c>
      <c r="BS108" s="2">
        <v>1.84</v>
      </c>
      <c r="BT108" s="2">
        <v>1.3</v>
      </c>
      <c r="BU108" s="2">
        <v>1.43</v>
      </c>
      <c r="BV108" s="2">
        <v>1.07</v>
      </c>
      <c r="BW108" s="2">
        <v>0.69</v>
      </c>
      <c r="BX108" s="2">
        <v>0.5</v>
      </c>
      <c r="BY108" s="2">
        <v>1.97</v>
      </c>
      <c r="BZ108" s="2">
        <v>2.77</v>
      </c>
      <c r="CA108" s="2">
        <v>2.67</v>
      </c>
      <c r="CB108" s="2">
        <v>2.79</v>
      </c>
      <c r="CC108" s="2">
        <v>5.87</v>
      </c>
      <c r="CD108" s="2">
        <v>5.15</v>
      </c>
      <c r="CE108" s="2">
        <v>5.04</v>
      </c>
      <c r="CF108" s="2">
        <v>4.42</v>
      </c>
      <c r="CG108" s="2">
        <v>6.24</v>
      </c>
      <c r="CH108" s="2">
        <v>4.79</v>
      </c>
      <c r="CI108" s="2">
        <v>5.41</v>
      </c>
      <c r="CJ108" s="2">
        <v>4.09</v>
      </c>
      <c r="CK108" s="2">
        <v>5.34</v>
      </c>
      <c r="CL108" s="2">
        <v>3.6</v>
      </c>
    </row>
    <row r="109" spans="2:90" x14ac:dyDescent="0.3">
      <c r="B109" s="1" t="s">
        <v>23</v>
      </c>
      <c r="C109" s="2">
        <v>0.25673098792146259</v>
      </c>
      <c r="D109" s="2">
        <v>4.0361186375417149E-2</v>
      </c>
      <c r="E109" s="2">
        <v>0.49531255880208908</v>
      </c>
      <c r="F109" s="2">
        <v>9.0582869542504673E-3</v>
      </c>
      <c r="G109" s="2">
        <v>0.2735168988730225</v>
      </c>
      <c r="H109" s="2">
        <v>0.32212669468848948</v>
      </c>
      <c r="I109" s="2">
        <v>0.44634844908738719</v>
      </c>
      <c r="J109" s="2">
        <v>0.1225788726284697</v>
      </c>
      <c r="K109" s="2">
        <v>0.39706130266942607</v>
      </c>
      <c r="L109" s="2">
        <v>9.6202155186185523E-2</v>
      </c>
      <c r="M109" s="2">
        <v>0.43020179719021351</v>
      </c>
      <c r="N109" s="2">
        <v>0.12533376479739841</v>
      </c>
      <c r="O109" s="2">
        <v>0.49662803181521681</v>
      </c>
      <c r="P109" s="2">
        <v>0.1582221525818204</v>
      </c>
      <c r="Q109" s="2">
        <v>0.46982561083616242</v>
      </c>
      <c r="R109" s="2">
        <v>0.18326655684066631</v>
      </c>
      <c r="S109" s="2">
        <v>0.26043549030408403</v>
      </c>
      <c r="T109" s="2">
        <v>0.19102729337765331</v>
      </c>
      <c r="U109" s="2">
        <v>0.1920340141723629</v>
      </c>
      <c r="V109" s="2">
        <v>0.1856591084346613</v>
      </c>
      <c r="X109" s="1" t="s">
        <v>23</v>
      </c>
      <c r="Y109" s="2">
        <v>3497.33</v>
      </c>
      <c r="Z109" s="2">
        <v>1014.2</v>
      </c>
      <c r="AA109" s="2">
        <v>3548.99</v>
      </c>
      <c r="AB109" s="2">
        <v>339.44</v>
      </c>
      <c r="AC109" s="2">
        <v>2375.31</v>
      </c>
      <c r="AD109" s="2">
        <v>4456.9799999999996</v>
      </c>
      <c r="AE109" s="2">
        <v>2922.89</v>
      </c>
      <c r="AF109" s="2">
        <v>1928.51</v>
      </c>
      <c r="AG109" s="2">
        <v>3058.3</v>
      </c>
      <c r="AH109" s="2">
        <v>1713.21</v>
      </c>
      <c r="AI109" s="2">
        <v>3611.18</v>
      </c>
      <c r="AJ109" s="2">
        <v>1678.36</v>
      </c>
      <c r="AK109" s="2">
        <v>4272.66</v>
      </c>
      <c r="AL109" s="2">
        <v>1707</v>
      </c>
      <c r="AM109" s="2">
        <v>3536.12</v>
      </c>
      <c r="AN109" s="2">
        <v>1724.53</v>
      </c>
      <c r="AO109" s="2">
        <v>1984.15</v>
      </c>
      <c r="AP109" s="2">
        <v>1401.67</v>
      </c>
      <c r="AQ109" s="2">
        <v>1470.88</v>
      </c>
      <c r="AR109" s="2">
        <v>1283.44</v>
      </c>
      <c r="AU109" s="1" t="s">
        <v>23</v>
      </c>
      <c r="AV109" s="2">
        <v>13758.37</v>
      </c>
      <c r="AW109" s="2">
        <v>6028.15</v>
      </c>
      <c r="AX109" s="2">
        <v>17259.91</v>
      </c>
      <c r="AY109" s="2">
        <v>6449.26</v>
      </c>
      <c r="AZ109" s="2">
        <v>9522.24</v>
      </c>
      <c r="BA109" s="2">
        <v>13945.32</v>
      </c>
      <c r="BB109" s="2">
        <v>13946.6</v>
      </c>
      <c r="BC109" s="2">
        <v>9081.6200000000008</v>
      </c>
      <c r="BD109" s="2">
        <v>14523.21</v>
      </c>
      <c r="BE109" s="2">
        <v>8686.08</v>
      </c>
      <c r="BF109" s="2">
        <v>15196.43</v>
      </c>
      <c r="BG109" s="2">
        <v>8542.11</v>
      </c>
      <c r="BH109" s="2">
        <v>13969.41</v>
      </c>
      <c r="BI109" s="2">
        <v>8669.48</v>
      </c>
      <c r="BJ109" s="2">
        <v>12843.88</v>
      </c>
      <c r="BK109" s="2">
        <v>8781.1299999999992</v>
      </c>
      <c r="BL109" s="2">
        <v>10126.4</v>
      </c>
      <c r="BM109" s="2">
        <v>7104.56</v>
      </c>
      <c r="BN109" s="2">
        <v>7472.72</v>
      </c>
      <c r="BO109" s="2">
        <v>6505.72</v>
      </c>
      <c r="BR109" s="1" t="s">
        <v>23</v>
      </c>
      <c r="BS109" s="2">
        <v>6.24</v>
      </c>
      <c r="BT109" s="2">
        <v>1.95</v>
      </c>
      <c r="BU109" s="2">
        <v>10.55</v>
      </c>
      <c r="BV109" s="2">
        <v>0.78</v>
      </c>
      <c r="BW109" s="2">
        <v>2.4</v>
      </c>
      <c r="BX109" s="2">
        <v>2.4</v>
      </c>
      <c r="BY109" s="2">
        <v>7.2</v>
      </c>
      <c r="BZ109" s="2">
        <v>4.34</v>
      </c>
      <c r="CA109" s="2">
        <v>9.6</v>
      </c>
      <c r="CB109" s="2">
        <v>5.22</v>
      </c>
      <c r="CC109" s="2">
        <v>17.28</v>
      </c>
      <c r="CD109" s="2">
        <v>9.5</v>
      </c>
      <c r="CE109" s="2">
        <v>13.92</v>
      </c>
      <c r="CF109" s="2">
        <v>7.73</v>
      </c>
      <c r="CG109" s="2">
        <v>18.239999999999998</v>
      </c>
      <c r="CH109" s="2">
        <v>9.5299999999999994</v>
      </c>
      <c r="CI109" s="2">
        <v>9.67</v>
      </c>
      <c r="CJ109" s="2">
        <v>7.65</v>
      </c>
      <c r="CK109" s="2">
        <v>9.65</v>
      </c>
      <c r="CL109" s="2">
        <v>8.7200000000000006</v>
      </c>
    </row>
    <row r="110" spans="2:90" x14ac:dyDescent="0.3">
      <c r="B110" s="1" t="s">
        <v>24</v>
      </c>
      <c r="C110" s="2">
        <v>7.3077147888730001E-2</v>
      </c>
      <c r="D110" s="2">
        <v>1.5961308106563179E-2</v>
      </c>
      <c r="E110" s="2">
        <v>8.9070791094558649E-2</v>
      </c>
      <c r="F110" s="2">
        <v>1.6900604769845892E-2</v>
      </c>
      <c r="G110" s="2">
        <v>9.7012670537094156E-2</v>
      </c>
      <c r="H110" s="2">
        <v>7.1911374481559112E-2</v>
      </c>
      <c r="I110" s="2">
        <v>8.737207550648618E-2</v>
      </c>
      <c r="J110" s="2">
        <v>3.0604790457096308E-2</v>
      </c>
      <c r="K110" s="2">
        <v>7.7838745543577031E-2</v>
      </c>
      <c r="L110" s="2">
        <v>2.2713366771542429E-2</v>
      </c>
      <c r="M110" s="2">
        <v>7.8286019084142289E-2</v>
      </c>
      <c r="N110" s="2">
        <v>2.7499577688905139E-2</v>
      </c>
      <c r="O110" s="2">
        <v>7.2478130366586027E-2</v>
      </c>
      <c r="P110" s="2">
        <v>3.4141597247643221E-2</v>
      </c>
      <c r="Q110" s="2">
        <v>4.6911619508555248E-2</v>
      </c>
      <c r="R110" s="2">
        <v>3.8376710796089661E-2</v>
      </c>
      <c r="S110" s="2">
        <v>4.381351933003097E-2</v>
      </c>
      <c r="T110" s="2">
        <v>4.4074577253736112E-2</v>
      </c>
      <c r="U110" s="2">
        <v>4.5079242544909741E-2</v>
      </c>
      <c r="V110" s="2">
        <v>4.8072074190827457E-2</v>
      </c>
      <c r="X110" s="1" t="s">
        <v>24</v>
      </c>
      <c r="Y110" s="2">
        <v>953.59</v>
      </c>
      <c r="Z110" s="2">
        <v>409.82</v>
      </c>
      <c r="AA110" s="2">
        <v>1068.76</v>
      </c>
      <c r="AB110" s="2">
        <v>400.94</v>
      </c>
      <c r="AC110" s="2">
        <v>832.11</v>
      </c>
      <c r="AD110" s="2">
        <v>1040.68</v>
      </c>
      <c r="AE110" s="2">
        <v>837.12</v>
      </c>
      <c r="AF110" s="2">
        <v>660.2</v>
      </c>
      <c r="AG110" s="2">
        <v>824.53</v>
      </c>
      <c r="AH110" s="2">
        <v>581.29</v>
      </c>
      <c r="AI110" s="2">
        <v>832.71</v>
      </c>
      <c r="AJ110" s="2">
        <v>548.45000000000005</v>
      </c>
      <c r="AK110" s="2">
        <v>807.42</v>
      </c>
      <c r="AL110" s="2">
        <v>555.99</v>
      </c>
      <c r="AM110" s="2">
        <v>679.93</v>
      </c>
      <c r="AN110" s="2">
        <v>526.59</v>
      </c>
      <c r="AO110" s="2">
        <v>544.55999999999995</v>
      </c>
      <c r="AP110" s="2">
        <v>476.44</v>
      </c>
      <c r="AQ110" s="2">
        <v>474.62</v>
      </c>
      <c r="AR110" s="2">
        <v>445.71</v>
      </c>
      <c r="AU110" s="1" t="s">
        <v>24</v>
      </c>
      <c r="AV110" s="2">
        <v>4335</v>
      </c>
      <c r="AW110" s="2">
        <v>2066.81</v>
      </c>
      <c r="AX110" s="2">
        <v>5070.04</v>
      </c>
      <c r="AY110" s="2">
        <v>2261.91</v>
      </c>
      <c r="AZ110" s="2">
        <v>3514.49</v>
      </c>
      <c r="BA110" s="2">
        <v>4765</v>
      </c>
      <c r="BB110" s="2">
        <v>3953.51</v>
      </c>
      <c r="BC110" s="2">
        <v>3100.53</v>
      </c>
      <c r="BD110" s="2">
        <v>4204.93</v>
      </c>
      <c r="BE110" s="2">
        <v>2940.86</v>
      </c>
      <c r="BF110" s="2">
        <v>4293</v>
      </c>
      <c r="BG110" s="2">
        <v>2779.19</v>
      </c>
      <c r="BH110" s="2">
        <v>4138.78</v>
      </c>
      <c r="BI110" s="2">
        <v>2814.03</v>
      </c>
      <c r="BJ110" s="2">
        <v>3466.89</v>
      </c>
      <c r="BK110" s="2">
        <v>2667.97</v>
      </c>
      <c r="BL110" s="2">
        <v>2759.2</v>
      </c>
      <c r="BM110" s="2">
        <v>2408.31</v>
      </c>
      <c r="BN110" s="2">
        <v>2402.5700000000002</v>
      </c>
      <c r="BO110" s="2">
        <v>2254.02</v>
      </c>
      <c r="BR110" s="1" t="s">
        <v>24</v>
      </c>
      <c r="BS110" s="2">
        <v>6.24</v>
      </c>
      <c r="BT110" s="2">
        <v>1.91</v>
      </c>
      <c r="BU110" s="2">
        <v>6.24</v>
      </c>
      <c r="BV110" s="2">
        <v>1.3</v>
      </c>
      <c r="BW110" s="2">
        <v>2.4</v>
      </c>
      <c r="BX110" s="2">
        <v>2.4</v>
      </c>
      <c r="BY110" s="2">
        <v>4.6500000000000004</v>
      </c>
      <c r="BZ110" s="2">
        <v>3.24</v>
      </c>
      <c r="CA110" s="2">
        <v>6.69</v>
      </c>
      <c r="CB110" s="2">
        <v>3.67</v>
      </c>
      <c r="CC110" s="2">
        <v>12.94</v>
      </c>
      <c r="CD110" s="2">
        <v>6.42</v>
      </c>
      <c r="CE110" s="2">
        <v>10.41</v>
      </c>
      <c r="CF110" s="2">
        <v>5.17</v>
      </c>
      <c r="CG110" s="2">
        <v>9.0500000000000007</v>
      </c>
      <c r="CH110" s="2">
        <v>6.28</v>
      </c>
      <c r="CI110" s="2">
        <v>5.6</v>
      </c>
      <c r="CJ110" s="2">
        <v>5.34</v>
      </c>
      <c r="CK110" s="2">
        <v>6.76</v>
      </c>
      <c r="CL110" s="2">
        <v>6.41</v>
      </c>
    </row>
    <row r="111" spans="2:90" x14ac:dyDescent="0.3">
      <c r="B111" s="1" t="s">
        <v>25</v>
      </c>
      <c r="C111" s="2">
        <v>0.228095461592728</v>
      </c>
      <c r="D111" s="2">
        <v>0.23999504339639399</v>
      </c>
      <c r="E111" s="2">
        <v>0.19450337236514381</v>
      </c>
      <c r="F111" s="2">
        <v>0.2083116674368608</v>
      </c>
      <c r="G111" s="2">
        <v>0.20976250701828511</v>
      </c>
      <c r="H111" s="2">
        <v>0.25271902733800122</v>
      </c>
      <c r="I111" s="2">
        <v>0.15752953957134491</v>
      </c>
      <c r="J111" s="2">
        <v>0.203991369615137</v>
      </c>
      <c r="K111" s="2">
        <v>0.22422719803737001</v>
      </c>
      <c r="L111" s="2">
        <v>0.18542759356120289</v>
      </c>
      <c r="M111" s="2">
        <v>0.17451431647305421</v>
      </c>
      <c r="N111" s="2">
        <v>0.16256839528040409</v>
      </c>
      <c r="O111" s="2">
        <v>0.1383618937837853</v>
      </c>
      <c r="P111" s="2">
        <v>0.18213399503722091</v>
      </c>
      <c r="Q111" s="2">
        <v>0.1401814111773691</v>
      </c>
      <c r="R111" s="2">
        <v>0.1939229324684319</v>
      </c>
      <c r="S111" s="2">
        <v>0.21230633361282411</v>
      </c>
      <c r="T111" s="2">
        <v>0.20793908144767981</v>
      </c>
      <c r="U111" s="2">
        <v>0.22618854418414919</v>
      </c>
      <c r="V111" s="2">
        <v>0.22056929082873711</v>
      </c>
      <c r="X111" s="1" t="s">
        <v>25</v>
      </c>
      <c r="Y111" s="2">
        <v>3113.58</v>
      </c>
      <c r="Z111" s="2">
        <v>3471.4</v>
      </c>
      <c r="AA111" s="2">
        <v>4272.22</v>
      </c>
      <c r="AB111" s="2">
        <v>4414.54</v>
      </c>
      <c r="AC111" s="2">
        <v>2851.4</v>
      </c>
      <c r="AD111" s="2">
        <v>3879.8</v>
      </c>
      <c r="AE111" s="2">
        <v>3547.59</v>
      </c>
      <c r="AF111" s="2">
        <v>3600.97</v>
      </c>
      <c r="AG111" s="2">
        <v>3758.79</v>
      </c>
      <c r="AH111" s="2">
        <v>3863.37</v>
      </c>
      <c r="AI111" s="2">
        <v>3531.78</v>
      </c>
      <c r="AJ111" s="2">
        <v>3622.07</v>
      </c>
      <c r="AK111" s="2">
        <v>3257.82</v>
      </c>
      <c r="AL111" s="2">
        <v>3514.1</v>
      </c>
      <c r="AM111" s="2">
        <v>3043</v>
      </c>
      <c r="AN111" s="2">
        <v>2998.53</v>
      </c>
      <c r="AO111" s="2">
        <v>2782.8</v>
      </c>
      <c r="AP111" s="2">
        <v>2863.53</v>
      </c>
      <c r="AQ111" s="2">
        <v>2650.17</v>
      </c>
      <c r="AR111" s="2">
        <v>3051.63</v>
      </c>
      <c r="AU111" s="1" t="s">
        <v>25</v>
      </c>
      <c r="AV111" s="2">
        <v>15556.42</v>
      </c>
      <c r="AW111" s="2">
        <v>17333.599999999999</v>
      </c>
      <c r="AX111" s="2">
        <v>19872.78</v>
      </c>
      <c r="AY111" s="2">
        <v>20532.46</v>
      </c>
      <c r="AZ111" s="2">
        <v>13183.6</v>
      </c>
      <c r="BA111" s="2">
        <v>17984.34</v>
      </c>
      <c r="BB111" s="2">
        <v>16478.41</v>
      </c>
      <c r="BC111" s="2">
        <v>16724.03</v>
      </c>
      <c r="BD111" s="2">
        <v>18854.89</v>
      </c>
      <c r="BE111" s="2">
        <v>19386.63</v>
      </c>
      <c r="BF111" s="2">
        <v>17775.810000000001</v>
      </c>
      <c r="BG111" s="2">
        <v>18237.43</v>
      </c>
      <c r="BH111" s="2">
        <v>16333.5</v>
      </c>
      <c r="BI111" s="2">
        <v>17642.400000000001</v>
      </c>
      <c r="BJ111" s="2">
        <v>15263.94</v>
      </c>
      <c r="BK111" s="2">
        <v>15034.65</v>
      </c>
      <c r="BL111" s="2">
        <v>13927.2</v>
      </c>
      <c r="BM111" s="2">
        <v>14336.22</v>
      </c>
      <c r="BN111" s="2">
        <v>13271.83</v>
      </c>
      <c r="BO111" s="2">
        <v>15349.87</v>
      </c>
      <c r="BR111" s="1" t="s">
        <v>25</v>
      </c>
      <c r="BS111" s="2">
        <v>6.22</v>
      </c>
      <c r="BT111" s="2">
        <v>3.59</v>
      </c>
      <c r="BU111" s="2">
        <v>3.44</v>
      </c>
      <c r="BV111" s="2">
        <v>1.55</v>
      </c>
      <c r="BW111" s="2">
        <v>1.59</v>
      </c>
      <c r="BX111" s="2">
        <v>2.36</v>
      </c>
      <c r="BY111" s="2">
        <v>2.0499999999999998</v>
      </c>
      <c r="BZ111" s="2">
        <v>4.1100000000000003</v>
      </c>
      <c r="CA111" s="2">
        <v>4.37</v>
      </c>
      <c r="CB111" s="2">
        <v>4.88</v>
      </c>
      <c r="CC111" s="2">
        <v>7.09</v>
      </c>
      <c r="CD111" s="2">
        <v>6.36</v>
      </c>
      <c r="CE111" s="2">
        <v>5.18</v>
      </c>
      <c r="CF111" s="2">
        <v>4.72</v>
      </c>
      <c r="CG111" s="2">
        <v>6.36</v>
      </c>
      <c r="CH111" s="2">
        <v>6</v>
      </c>
      <c r="CI111" s="2">
        <v>5.46</v>
      </c>
      <c r="CJ111" s="2">
        <v>4.6100000000000003</v>
      </c>
      <c r="CK111" s="2">
        <v>6.42</v>
      </c>
      <c r="CL111" s="2">
        <v>4.6500000000000004</v>
      </c>
    </row>
    <row r="112" spans="2:90" x14ac:dyDescent="0.3">
      <c r="B112" s="1" t="s">
        <v>26</v>
      </c>
      <c r="C112" s="2">
        <v>6.2743172365260155E-2</v>
      </c>
      <c r="D112" s="2">
        <v>0.1043583453489824</v>
      </c>
      <c r="E112" s="2">
        <v>4.2488037477228353E-2</v>
      </c>
      <c r="F112" s="2">
        <v>0.16771613992083739</v>
      </c>
      <c r="G112" s="2">
        <v>8.4549353738937141E-2</v>
      </c>
      <c r="H112" s="2">
        <v>5.554912924229586E-2</v>
      </c>
      <c r="I112" s="2">
        <v>3.5283536933499692E-2</v>
      </c>
      <c r="J112" s="2">
        <v>7.0078364988191727E-2</v>
      </c>
      <c r="K112" s="2">
        <v>2.6236073165692021E-2</v>
      </c>
      <c r="L112" s="2">
        <v>7.8289515250067082E-2</v>
      </c>
      <c r="M112" s="2">
        <v>2.9131333376983599E-2</v>
      </c>
      <c r="N112" s="2">
        <v>6.5557454121026371E-2</v>
      </c>
      <c r="O112" s="2">
        <v>2.6150372866384389E-2</v>
      </c>
      <c r="P112" s="2">
        <v>5.9092732648846243E-2</v>
      </c>
      <c r="Q112" s="2">
        <v>2.9722974008243652E-2</v>
      </c>
      <c r="R112" s="2">
        <v>7.4611503070749499E-2</v>
      </c>
      <c r="S112" s="2">
        <v>4.6918899739131083E-2</v>
      </c>
      <c r="T112" s="2">
        <v>8.611825192802057E-2</v>
      </c>
      <c r="U112" s="2">
        <v>4.8724781834712572E-2</v>
      </c>
      <c r="V112" s="2">
        <v>4.9569473999214547E-2</v>
      </c>
      <c r="X112" s="1" t="s">
        <v>26</v>
      </c>
      <c r="Y112" s="2">
        <v>961.41</v>
      </c>
      <c r="Z112" s="2">
        <v>1023.71</v>
      </c>
      <c r="AA112" s="2">
        <v>1285.08</v>
      </c>
      <c r="AB112" s="2">
        <v>1527.22</v>
      </c>
      <c r="AC112" s="2">
        <v>888.02</v>
      </c>
      <c r="AD112" s="2">
        <v>1067.8900000000001</v>
      </c>
      <c r="AE112" s="2">
        <v>889.29</v>
      </c>
      <c r="AF112" s="2">
        <v>878.56</v>
      </c>
      <c r="AG112" s="2">
        <v>849.76</v>
      </c>
      <c r="AH112" s="2">
        <v>1266.54</v>
      </c>
      <c r="AI112" s="2">
        <v>886.67</v>
      </c>
      <c r="AJ112" s="2">
        <v>1187.45</v>
      </c>
      <c r="AK112" s="2">
        <v>875.93</v>
      </c>
      <c r="AL112" s="2">
        <v>1111.53</v>
      </c>
      <c r="AM112" s="2">
        <v>858.65</v>
      </c>
      <c r="AN112" s="2">
        <v>1065.46</v>
      </c>
      <c r="AO112" s="2">
        <v>805.2</v>
      </c>
      <c r="AP112" s="2">
        <v>1068.71</v>
      </c>
      <c r="AQ112" s="2">
        <v>727.13</v>
      </c>
      <c r="AR112" s="2">
        <v>746.6</v>
      </c>
      <c r="AU112" s="1" t="s">
        <v>26</v>
      </c>
      <c r="AV112" s="2">
        <v>3790.48</v>
      </c>
      <c r="AW112" s="2">
        <v>4041.97</v>
      </c>
      <c r="AX112" s="2">
        <v>4708.07</v>
      </c>
      <c r="AY112" s="2">
        <v>5678.67</v>
      </c>
      <c r="AZ112" s="2">
        <v>3215.02</v>
      </c>
      <c r="BA112" s="2">
        <v>3872.53</v>
      </c>
      <c r="BB112" s="2">
        <v>3230.25</v>
      </c>
      <c r="BC112" s="2">
        <v>3204.92</v>
      </c>
      <c r="BD112" s="2">
        <v>3341.08</v>
      </c>
      <c r="BE112" s="2">
        <v>5091.3900000000003</v>
      </c>
      <c r="BF112" s="2">
        <v>3517.05</v>
      </c>
      <c r="BG112" s="2">
        <v>4817.47</v>
      </c>
      <c r="BH112" s="2">
        <v>3460.85</v>
      </c>
      <c r="BI112" s="2">
        <v>4438.92</v>
      </c>
      <c r="BJ112" s="2">
        <v>3403.67</v>
      </c>
      <c r="BK112" s="2">
        <v>4278.83</v>
      </c>
      <c r="BL112" s="2">
        <v>3179.77</v>
      </c>
      <c r="BM112" s="2">
        <v>4269.8599999999997</v>
      </c>
      <c r="BN112" s="2">
        <v>2871.07</v>
      </c>
      <c r="BO112" s="2">
        <v>2951.09</v>
      </c>
      <c r="BR112" s="1" t="s">
        <v>26</v>
      </c>
      <c r="BS112" s="2">
        <v>5.83</v>
      </c>
      <c r="BT112" s="2">
        <v>5.7</v>
      </c>
      <c r="BU112" s="2">
        <v>2.6</v>
      </c>
      <c r="BV112" s="2">
        <v>3.79</v>
      </c>
      <c r="BW112" s="2">
        <v>2.14</v>
      </c>
      <c r="BX112" s="2">
        <v>2.02</v>
      </c>
      <c r="BY112" s="2">
        <v>1.97</v>
      </c>
      <c r="BZ112" s="2">
        <v>6.34</v>
      </c>
      <c r="CA112" s="2">
        <v>2.4500000000000002</v>
      </c>
      <c r="CB112" s="2">
        <v>6.76</v>
      </c>
      <c r="CC112" s="2">
        <v>5.01</v>
      </c>
      <c r="CD112" s="2">
        <v>8.44</v>
      </c>
      <c r="CE112" s="2">
        <v>3.92</v>
      </c>
      <c r="CF112" s="2">
        <v>5.29</v>
      </c>
      <c r="CG112" s="2">
        <v>5.16</v>
      </c>
      <c r="CH112" s="2">
        <v>7.08</v>
      </c>
      <c r="CI112" s="2">
        <v>4.49</v>
      </c>
      <c r="CJ112" s="2">
        <v>5.63</v>
      </c>
      <c r="CK112" s="2">
        <v>5.4</v>
      </c>
      <c r="CL112" s="2">
        <v>4.6399999999999997</v>
      </c>
    </row>
    <row r="113" spans="2:90" x14ac:dyDescent="0.3">
      <c r="B113" s="1" t="s">
        <v>27</v>
      </c>
      <c r="C113" s="2">
        <v>0.32212818608968707</v>
      </c>
      <c r="D113" s="2">
        <v>0.49258527233545762</v>
      </c>
      <c r="E113" s="2">
        <v>0.15322204086980401</v>
      </c>
      <c r="F113" s="2">
        <v>0.55890458299009471</v>
      </c>
      <c r="G113" s="2">
        <v>0.30805322899000359</v>
      </c>
      <c r="H113" s="2">
        <v>0.26694270392008213</v>
      </c>
      <c r="I113" s="2">
        <v>0.2184089749593271</v>
      </c>
      <c r="J113" s="2">
        <v>0.40907204024045313</v>
      </c>
      <c r="K113" s="2">
        <v>0.145224452848011</v>
      </c>
      <c r="L113" s="2">
        <v>0.47826304206665721</v>
      </c>
      <c r="M113" s="2">
        <v>0.14786768179900131</v>
      </c>
      <c r="N113" s="2">
        <v>0.44519045013844161</v>
      </c>
      <c r="O113" s="2">
        <v>0.1360525732596502</v>
      </c>
      <c r="P113" s="2">
        <v>0.38548853117135912</v>
      </c>
      <c r="Q113" s="2">
        <v>0.17670550073758631</v>
      </c>
      <c r="R113" s="2">
        <v>0.32405609952250081</v>
      </c>
      <c r="S113" s="2">
        <v>0.22645045757235691</v>
      </c>
      <c r="T113" s="2">
        <v>0.28162507856620828</v>
      </c>
      <c r="U113" s="2">
        <v>0.24315208189868809</v>
      </c>
      <c r="V113" s="2">
        <v>0.28115612984148591</v>
      </c>
      <c r="X113" s="1" t="s">
        <v>27</v>
      </c>
      <c r="Y113" s="2">
        <v>3557.39</v>
      </c>
      <c r="Z113" s="2">
        <v>4393.2700000000004</v>
      </c>
      <c r="AA113" s="2">
        <v>3641.85</v>
      </c>
      <c r="AB113" s="2">
        <v>4348.76</v>
      </c>
      <c r="AC113" s="2">
        <v>2965.42</v>
      </c>
      <c r="AD113" s="2">
        <v>3764.98</v>
      </c>
      <c r="AE113" s="2">
        <v>3025.69</v>
      </c>
      <c r="AF113" s="2">
        <v>4223.0600000000004</v>
      </c>
      <c r="AG113" s="2">
        <v>2761.93</v>
      </c>
      <c r="AH113" s="2">
        <v>4248.8999999999996</v>
      </c>
      <c r="AI113" s="2">
        <v>2831.71</v>
      </c>
      <c r="AJ113" s="2">
        <v>3986.58</v>
      </c>
      <c r="AK113" s="2">
        <v>2826.42</v>
      </c>
      <c r="AL113" s="2">
        <v>3641.86</v>
      </c>
      <c r="AM113" s="2">
        <v>2881.07</v>
      </c>
      <c r="AN113" s="2">
        <v>3122.76</v>
      </c>
      <c r="AO113" s="2">
        <v>2504.8200000000002</v>
      </c>
      <c r="AP113" s="2">
        <v>2683.17</v>
      </c>
      <c r="AQ113" s="2">
        <v>2317.0300000000002</v>
      </c>
      <c r="AR113" s="2">
        <v>2334.86</v>
      </c>
      <c r="AU113" s="1" t="s">
        <v>27</v>
      </c>
      <c r="AV113" s="2">
        <v>14214.91</v>
      </c>
      <c r="AW113" s="2">
        <v>14150.78</v>
      </c>
      <c r="AX113" s="2">
        <v>13380.75</v>
      </c>
      <c r="AY113" s="2">
        <v>16207.41</v>
      </c>
      <c r="AZ113" s="2">
        <v>10277.18</v>
      </c>
      <c r="BA113" s="2">
        <v>13720.67</v>
      </c>
      <c r="BB113" s="2">
        <v>11070.56</v>
      </c>
      <c r="BC113" s="2">
        <v>11215.61</v>
      </c>
      <c r="BD113" s="2">
        <v>10925.49</v>
      </c>
      <c r="BE113" s="2">
        <v>17613.73</v>
      </c>
      <c r="BF113" s="2">
        <v>11349.72</v>
      </c>
      <c r="BG113" s="2">
        <v>16484.419999999998</v>
      </c>
      <c r="BH113" s="2">
        <v>11260.11</v>
      </c>
      <c r="BI113" s="2">
        <v>14849.09</v>
      </c>
      <c r="BJ113" s="2">
        <v>11575.16</v>
      </c>
      <c r="BK113" s="2">
        <v>12643.73</v>
      </c>
      <c r="BL113" s="2">
        <v>9951.4</v>
      </c>
      <c r="BM113" s="2">
        <v>10688.51</v>
      </c>
      <c r="BN113" s="2">
        <v>9217.89</v>
      </c>
      <c r="BO113" s="2">
        <v>9293.7000000000007</v>
      </c>
      <c r="BR113" s="1" t="s">
        <v>27</v>
      </c>
      <c r="BS113" s="2">
        <v>8.3800000000000008</v>
      </c>
      <c r="BT113" s="2">
        <v>6.24</v>
      </c>
      <c r="BU113" s="2">
        <v>3.37</v>
      </c>
      <c r="BV113" s="2">
        <v>4.4800000000000004</v>
      </c>
      <c r="BW113" s="2">
        <v>2.4</v>
      </c>
      <c r="BX113" s="2">
        <v>2.75</v>
      </c>
      <c r="BY113" s="2">
        <v>3.68</v>
      </c>
      <c r="BZ113" s="2">
        <v>7.68</v>
      </c>
      <c r="CA113" s="2">
        <v>4.24</v>
      </c>
      <c r="CB113" s="2">
        <v>12.51</v>
      </c>
      <c r="CC113" s="2">
        <v>8.23</v>
      </c>
      <c r="CD113" s="2">
        <v>17.28</v>
      </c>
      <c r="CE113" s="2">
        <v>6.56</v>
      </c>
      <c r="CF113" s="2">
        <v>10.59</v>
      </c>
      <c r="CG113" s="2">
        <v>9.42</v>
      </c>
      <c r="CH113" s="2">
        <v>10.6</v>
      </c>
      <c r="CI113" s="2">
        <v>7.21</v>
      </c>
      <c r="CJ113" s="2">
        <v>7.28</v>
      </c>
      <c r="CK113" s="2">
        <v>8.76</v>
      </c>
      <c r="CL113" s="2">
        <v>8.4600000000000009</v>
      </c>
    </row>
    <row r="114" spans="2:90" x14ac:dyDescent="0.3">
      <c r="B114" s="1" t="s">
        <v>28</v>
      </c>
      <c r="C114" s="2">
        <v>3.4311935419091277E-2</v>
      </c>
      <c r="D114" s="2">
        <v>8.5190437553203976E-2</v>
      </c>
      <c r="E114" s="2">
        <v>4.0950645969260544E-3</v>
      </c>
      <c r="F114" s="2">
        <v>1.006449538888108E-2</v>
      </c>
      <c r="G114" s="2">
        <v>3.9441315559465848E-3</v>
      </c>
      <c r="H114" s="2">
        <v>1.7045137804932439E-2</v>
      </c>
      <c r="I114" s="2">
        <v>6.518138590586098E-3</v>
      </c>
      <c r="J114" s="2">
        <v>0.10560718278484291</v>
      </c>
      <c r="K114" s="2">
        <v>4.9806000059036327E-2</v>
      </c>
      <c r="L114" s="2">
        <v>9.1592410027811252E-2</v>
      </c>
      <c r="M114" s="2">
        <v>6.1011455164586462E-2</v>
      </c>
      <c r="N114" s="2">
        <v>0.1119093119075045</v>
      </c>
      <c r="O114" s="2">
        <v>6.0224009572442887E-2</v>
      </c>
      <c r="P114" s="2">
        <v>0.101335519801813</v>
      </c>
      <c r="Q114" s="2">
        <v>6.0763606181845412E-2</v>
      </c>
      <c r="R114" s="2">
        <v>9.1385235377401827E-2</v>
      </c>
      <c r="S114" s="2">
        <v>9.3155541988676219E-2</v>
      </c>
      <c r="T114" s="2">
        <v>9.413839897761242E-2</v>
      </c>
      <c r="U114" s="2">
        <v>0.1038511883092104</v>
      </c>
      <c r="V114" s="2">
        <v>0.1036714750801465</v>
      </c>
      <c r="X114" s="1" t="s">
        <v>28</v>
      </c>
      <c r="Y114" s="2">
        <v>1668.47</v>
      </c>
      <c r="Z114" s="2">
        <v>2175.81</v>
      </c>
      <c r="AA114" s="2">
        <v>394.73</v>
      </c>
      <c r="AB114" s="2">
        <v>418.81</v>
      </c>
      <c r="AC114" s="2">
        <v>252.23</v>
      </c>
      <c r="AD114" s="2">
        <v>1321.37</v>
      </c>
      <c r="AE114" s="2">
        <v>281.58</v>
      </c>
      <c r="AF114" s="2">
        <v>2193.29</v>
      </c>
      <c r="AG114" s="2">
        <v>1378.08</v>
      </c>
      <c r="AH114" s="2">
        <v>2140.64</v>
      </c>
      <c r="AI114" s="2">
        <v>1360.66</v>
      </c>
      <c r="AJ114" s="2">
        <v>2141.44</v>
      </c>
      <c r="AK114" s="2">
        <v>1328.05</v>
      </c>
      <c r="AL114" s="2">
        <v>1857.63</v>
      </c>
      <c r="AM114" s="2">
        <v>1281.22</v>
      </c>
      <c r="AN114" s="2">
        <v>1429.07</v>
      </c>
      <c r="AO114" s="2">
        <v>1220.8900000000001</v>
      </c>
      <c r="AP114" s="2">
        <v>1235.69</v>
      </c>
      <c r="AQ114" s="2">
        <v>1221.9000000000001</v>
      </c>
      <c r="AR114" s="2">
        <v>1256.72</v>
      </c>
      <c r="AU114" s="1" t="s">
        <v>28</v>
      </c>
      <c r="AV114" s="2">
        <v>6512.53</v>
      </c>
      <c r="AW114" s="2">
        <v>8504.19</v>
      </c>
      <c r="AX114" s="2">
        <v>7499.77</v>
      </c>
      <c r="AY114" s="2">
        <v>7957.34</v>
      </c>
      <c r="AZ114" s="2">
        <v>4792.2700000000004</v>
      </c>
      <c r="BA114" s="2">
        <v>7342.63</v>
      </c>
      <c r="BB114" s="2">
        <v>5350.02</v>
      </c>
      <c r="BC114" s="2">
        <v>7937.71</v>
      </c>
      <c r="BD114" s="2">
        <v>5377.92</v>
      </c>
      <c r="BE114" s="2">
        <v>8383.36</v>
      </c>
      <c r="BF114" s="2">
        <v>5308.34</v>
      </c>
      <c r="BG114" s="2">
        <v>8412.56</v>
      </c>
      <c r="BH114" s="2">
        <v>5178.95</v>
      </c>
      <c r="BI114" s="2">
        <v>7268.37</v>
      </c>
      <c r="BJ114" s="2">
        <v>4994.78</v>
      </c>
      <c r="BK114" s="2">
        <v>5578.93</v>
      </c>
      <c r="BL114" s="2">
        <v>4623.1099999999997</v>
      </c>
      <c r="BM114" s="2">
        <v>4818.3100000000004</v>
      </c>
      <c r="BN114" s="2">
        <v>4766.1000000000004</v>
      </c>
      <c r="BO114" s="2">
        <v>4905.28</v>
      </c>
      <c r="BR114" s="1" t="s">
        <v>28</v>
      </c>
      <c r="BS114" s="2">
        <v>1.89</v>
      </c>
      <c r="BT114" s="2">
        <v>2.2599999999999998</v>
      </c>
      <c r="BU114" s="2">
        <v>0.78</v>
      </c>
      <c r="BV114" s="2">
        <v>0.78</v>
      </c>
      <c r="BW114" s="2">
        <v>0.3</v>
      </c>
      <c r="BX114" s="2">
        <v>0.51</v>
      </c>
      <c r="BY114" s="2">
        <v>0.96</v>
      </c>
      <c r="BZ114" s="2">
        <v>4.01</v>
      </c>
      <c r="CA114" s="2">
        <v>2.93</v>
      </c>
      <c r="CB114" s="2">
        <v>4.97</v>
      </c>
      <c r="CC114" s="2">
        <v>7.14</v>
      </c>
      <c r="CD114" s="2">
        <v>8.3800000000000008</v>
      </c>
      <c r="CE114" s="2">
        <v>6.17</v>
      </c>
      <c r="CF114" s="2">
        <v>5.55</v>
      </c>
      <c r="CG114" s="2">
        <v>7.42</v>
      </c>
      <c r="CH114" s="2">
        <v>6.67</v>
      </c>
      <c r="CI114" s="2">
        <v>6.17</v>
      </c>
      <c r="CJ114" s="2">
        <v>5.29</v>
      </c>
      <c r="CK114" s="2">
        <v>7.15</v>
      </c>
      <c r="CL114" s="2">
        <v>5.77</v>
      </c>
    </row>
    <row r="117" spans="2:90" x14ac:dyDescent="0.3">
      <c r="X117" t="s">
        <v>57</v>
      </c>
      <c r="AU117" t="s">
        <v>58</v>
      </c>
      <c r="BR117" t="s">
        <v>59</v>
      </c>
    </row>
    <row r="118" spans="2:90" x14ac:dyDescent="0.3">
      <c r="X118" s="1" t="s">
        <v>16</v>
      </c>
      <c r="Y118" s="13" t="s">
        <v>17</v>
      </c>
      <c r="Z118" s="13"/>
      <c r="AA118" s="13"/>
      <c r="AB118" s="13"/>
      <c r="AC118" s="13"/>
      <c r="AD118" s="13"/>
      <c r="AE118" s="13"/>
      <c r="AF118" s="13"/>
      <c r="AG118" s="13"/>
      <c r="AH118" s="13"/>
      <c r="AI118" s="13" t="s">
        <v>18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U118" s="1" t="s">
        <v>16</v>
      </c>
      <c r="AV118" s="13" t="s">
        <v>17</v>
      </c>
      <c r="AW118" s="13"/>
      <c r="AX118" s="13"/>
      <c r="AY118" s="13"/>
      <c r="AZ118" s="13"/>
      <c r="BA118" s="13"/>
      <c r="BB118" s="13"/>
      <c r="BC118" s="13"/>
      <c r="BD118" s="13"/>
      <c r="BE118" s="13"/>
      <c r="BF118" s="13" t="s">
        <v>18</v>
      </c>
      <c r="BG118" s="13"/>
      <c r="BH118" s="13"/>
      <c r="BI118" s="13"/>
      <c r="BJ118" s="13"/>
      <c r="BK118" s="13"/>
      <c r="BL118" s="13"/>
      <c r="BM118" s="13"/>
      <c r="BN118" s="13"/>
      <c r="BO118" s="13"/>
      <c r="BR118" s="1" t="s">
        <v>16</v>
      </c>
      <c r="BS118" s="1" t="s">
        <v>17</v>
      </c>
      <c r="BT118" s="1" t="s">
        <v>18</v>
      </c>
      <c r="BU118" s="1" t="s">
        <v>17</v>
      </c>
      <c r="BV118" s="1" t="s">
        <v>18</v>
      </c>
      <c r="BW118" s="1" t="s">
        <v>17</v>
      </c>
      <c r="BX118" s="1" t="s">
        <v>18</v>
      </c>
      <c r="BY118" s="1" t="s">
        <v>17</v>
      </c>
      <c r="BZ118" s="1" t="s">
        <v>18</v>
      </c>
      <c r="CA118" s="1" t="s">
        <v>17</v>
      </c>
      <c r="CB118" s="1" t="s">
        <v>18</v>
      </c>
      <c r="CC118" s="1" t="s">
        <v>17</v>
      </c>
      <c r="CD118" s="1" t="s">
        <v>18</v>
      </c>
      <c r="CE118" s="1" t="s">
        <v>17</v>
      </c>
      <c r="CF118" s="1" t="s">
        <v>18</v>
      </c>
      <c r="CG118" s="1" t="s">
        <v>17</v>
      </c>
      <c r="CH118" s="1" t="s">
        <v>18</v>
      </c>
      <c r="CI118" s="1" t="s">
        <v>17</v>
      </c>
      <c r="CJ118" s="1" t="s">
        <v>18</v>
      </c>
      <c r="CK118" s="1" t="s">
        <v>17</v>
      </c>
      <c r="CL118" s="1" t="s">
        <v>18</v>
      </c>
    </row>
    <row r="119" spans="2:90" x14ac:dyDescent="0.3">
      <c r="X119" s="1" t="s">
        <v>19</v>
      </c>
      <c r="Y119" s="1" t="s">
        <v>1</v>
      </c>
      <c r="Z119" s="1" t="s">
        <v>10</v>
      </c>
      <c r="AA119" s="1" t="s">
        <v>2</v>
      </c>
      <c r="AB119" s="1" t="s">
        <v>3</v>
      </c>
      <c r="AC119" s="1" t="s">
        <v>4</v>
      </c>
      <c r="AD119" s="1" t="s">
        <v>5</v>
      </c>
      <c r="AE119" s="1" t="s">
        <v>6</v>
      </c>
      <c r="AF119" s="1" t="s">
        <v>7</v>
      </c>
      <c r="AG119" s="1" t="s">
        <v>8</v>
      </c>
      <c r="AH119" s="1" t="s">
        <v>9</v>
      </c>
      <c r="AI119" s="1" t="s">
        <v>1</v>
      </c>
      <c r="AJ119" s="1" t="s">
        <v>10</v>
      </c>
      <c r="AK119" s="1" t="s">
        <v>2</v>
      </c>
      <c r="AL119" s="1" t="s">
        <v>3</v>
      </c>
      <c r="AM119" s="1" t="s">
        <v>4</v>
      </c>
      <c r="AN119" s="1" t="s">
        <v>5</v>
      </c>
      <c r="AO119" s="1" t="s">
        <v>6</v>
      </c>
      <c r="AP119" s="1" t="s">
        <v>7</v>
      </c>
      <c r="AQ119" s="1" t="s">
        <v>8</v>
      </c>
      <c r="AR119" s="1" t="s">
        <v>9</v>
      </c>
      <c r="AU119" s="1" t="s">
        <v>19</v>
      </c>
      <c r="AV119" s="1" t="s">
        <v>1</v>
      </c>
      <c r="AW119" s="1" t="s">
        <v>10</v>
      </c>
      <c r="AX119" s="1" t="s">
        <v>2</v>
      </c>
      <c r="AY119" s="1" t="s">
        <v>3</v>
      </c>
      <c r="AZ119" s="1" t="s">
        <v>4</v>
      </c>
      <c r="BA119" s="1" t="s">
        <v>5</v>
      </c>
      <c r="BB119" s="1" t="s">
        <v>6</v>
      </c>
      <c r="BC119" s="1" t="s">
        <v>7</v>
      </c>
      <c r="BD119" s="1" t="s">
        <v>8</v>
      </c>
      <c r="BE119" s="1" t="s">
        <v>9</v>
      </c>
      <c r="BF119" s="1" t="s">
        <v>1</v>
      </c>
      <c r="BG119" s="1" t="s">
        <v>10</v>
      </c>
      <c r="BH119" s="1" t="s">
        <v>2</v>
      </c>
      <c r="BI119" s="1" t="s">
        <v>3</v>
      </c>
      <c r="BJ119" s="1" t="s">
        <v>4</v>
      </c>
      <c r="BK119" s="1" t="s">
        <v>5</v>
      </c>
      <c r="BL119" s="1" t="s">
        <v>6</v>
      </c>
      <c r="BM119" s="1" t="s">
        <v>7</v>
      </c>
      <c r="BN119" s="1" t="s">
        <v>8</v>
      </c>
      <c r="BO119" s="1" t="s">
        <v>9</v>
      </c>
      <c r="BR119" s="1" t="s">
        <v>19</v>
      </c>
      <c r="BS119" s="1" t="s">
        <v>1</v>
      </c>
      <c r="BT119" s="1" t="s">
        <v>1</v>
      </c>
      <c r="BU119" s="1" t="s">
        <v>2</v>
      </c>
      <c r="BV119" s="1" t="s">
        <v>2</v>
      </c>
      <c r="BW119" s="1" t="s">
        <v>3</v>
      </c>
      <c r="BX119" s="1" t="s">
        <v>3</v>
      </c>
      <c r="BY119" s="1" t="s">
        <v>4</v>
      </c>
      <c r="BZ119" s="1" t="s">
        <v>4</v>
      </c>
      <c r="CA119" s="1" t="s">
        <v>5</v>
      </c>
      <c r="CB119" s="1" t="s">
        <v>5</v>
      </c>
      <c r="CC119" s="1" t="s">
        <v>6</v>
      </c>
      <c r="CD119" s="1" t="s">
        <v>6</v>
      </c>
      <c r="CE119" s="1" t="s">
        <v>7</v>
      </c>
      <c r="CF119" s="1" t="s">
        <v>7</v>
      </c>
      <c r="CG119" s="1" t="s">
        <v>8</v>
      </c>
      <c r="CH119" s="1" t="s">
        <v>8</v>
      </c>
      <c r="CI119" s="1" t="s">
        <v>9</v>
      </c>
      <c r="CJ119" s="1" t="s">
        <v>9</v>
      </c>
      <c r="CK119" s="1" t="s">
        <v>10</v>
      </c>
      <c r="CL119" s="1" t="s">
        <v>10</v>
      </c>
    </row>
    <row r="120" spans="2:90" x14ac:dyDescent="0.3">
      <c r="X120" s="1" t="s">
        <v>20</v>
      </c>
      <c r="AU120" s="1" t="s">
        <v>20</v>
      </c>
      <c r="BR120" s="1" t="s">
        <v>20</v>
      </c>
    </row>
    <row r="121" spans="2:90" x14ac:dyDescent="0.3">
      <c r="X121" s="1" t="s">
        <v>21</v>
      </c>
      <c r="Y121" s="2">
        <v>15.99</v>
      </c>
      <c r="Z121" s="2">
        <v>113.4</v>
      </c>
      <c r="AA121" s="2">
        <v>10.92</v>
      </c>
      <c r="AB121" s="2">
        <v>4.55</v>
      </c>
      <c r="AC121" s="2">
        <v>16.489999999999998</v>
      </c>
      <c r="AD121" s="2">
        <v>51.8</v>
      </c>
      <c r="AE121" s="2">
        <v>88.2</v>
      </c>
      <c r="AF121" s="2">
        <v>83.23</v>
      </c>
      <c r="AG121" s="2">
        <v>85.12</v>
      </c>
      <c r="AH121" s="2">
        <v>85.68</v>
      </c>
      <c r="AI121" s="2">
        <v>16.86</v>
      </c>
      <c r="AJ121" s="2">
        <v>100.8</v>
      </c>
      <c r="AK121" s="2">
        <v>10.92</v>
      </c>
      <c r="AL121" s="2">
        <v>6.82</v>
      </c>
      <c r="AM121" s="2">
        <v>50.4</v>
      </c>
      <c r="AN121" s="2">
        <v>47.6</v>
      </c>
      <c r="AO121" s="2">
        <v>88.2</v>
      </c>
      <c r="AP121" s="2">
        <v>64.959999999999994</v>
      </c>
      <c r="AQ121" s="2">
        <v>82.46</v>
      </c>
      <c r="AR121" s="2">
        <v>69.02</v>
      </c>
      <c r="AU121" s="1" t="s">
        <v>21</v>
      </c>
      <c r="AV121" s="2">
        <v>15.99</v>
      </c>
      <c r="AW121" s="2">
        <v>113.4</v>
      </c>
      <c r="AX121" s="2">
        <v>10.92</v>
      </c>
      <c r="AY121" s="2">
        <v>4.55</v>
      </c>
      <c r="AZ121" s="2">
        <v>16.489999999999998</v>
      </c>
      <c r="BA121" s="2">
        <v>51.8</v>
      </c>
      <c r="BB121" s="2">
        <v>88.2</v>
      </c>
      <c r="BC121" s="2">
        <v>83.23</v>
      </c>
      <c r="BD121" s="2">
        <v>85.12</v>
      </c>
      <c r="BE121" s="2">
        <v>85.68</v>
      </c>
      <c r="BF121" s="2">
        <v>16.86</v>
      </c>
      <c r="BG121" s="2">
        <v>100.8</v>
      </c>
      <c r="BH121" s="2">
        <v>10.92</v>
      </c>
      <c r="BI121" s="2">
        <v>6.82</v>
      </c>
      <c r="BJ121" s="2">
        <v>50.4</v>
      </c>
      <c r="BK121" s="2">
        <v>47.6</v>
      </c>
      <c r="BL121" s="2">
        <v>88.2</v>
      </c>
      <c r="BM121" s="2">
        <v>64.959999999999994</v>
      </c>
      <c r="BN121" s="2">
        <v>82.46</v>
      </c>
      <c r="BO121" s="2">
        <v>69.02</v>
      </c>
      <c r="BR121" s="1" t="s">
        <v>21</v>
      </c>
      <c r="BS121" s="2">
        <v>131.79</v>
      </c>
      <c r="BT121" s="2">
        <v>131.79</v>
      </c>
      <c r="BU121" s="2">
        <v>131.79</v>
      </c>
      <c r="BV121" s="2">
        <v>131.79</v>
      </c>
      <c r="BW121" s="2">
        <v>131.79</v>
      </c>
      <c r="BX121" s="2">
        <v>131.79</v>
      </c>
      <c r="BY121" s="2">
        <v>181.71</v>
      </c>
      <c r="BZ121" s="2">
        <v>280.67</v>
      </c>
      <c r="CA121" s="2">
        <v>1270.6099999999999</v>
      </c>
      <c r="CB121" s="2">
        <v>799.11</v>
      </c>
      <c r="CC121" s="2">
        <v>430.42</v>
      </c>
      <c r="CD121" s="2">
        <v>899.64</v>
      </c>
      <c r="CE121" s="2">
        <v>423.19</v>
      </c>
      <c r="CF121" s="2">
        <v>1131.22</v>
      </c>
      <c r="CG121" s="2">
        <v>681.07</v>
      </c>
      <c r="CH121" s="2">
        <v>1013.08</v>
      </c>
      <c r="CI121" s="2">
        <v>1191.33</v>
      </c>
      <c r="CJ121" s="2">
        <v>5621.88</v>
      </c>
      <c r="CK121" s="2">
        <v>1135.1500000000001</v>
      </c>
      <c r="CL121" s="2">
        <v>4413.6099999999997</v>
      </c>
    </row>
    <row r="122" spans="2:90" x14ac:dyDescent="0.3">
      <c r="X122" s="1" t="s">
        <v>22</v>
      </c>
      <c r="Y122" s="2">
        <v>30.75</v>
      </c>
      <c r="Z122" s="2">
        <v>103.46</v>
      </c>
      <c r="AA122" s="2">
        <v>16.46</v>
      </c>
      <c r="AB122" s="2">
        <v>6.95</v>
      </c>
      <c r="AC122" s="2">
        <v>32.17</v>
      </c>
      <c r="AD122" s="2">
        <v>41.51</v>
      </c>
      <c r="AE122" s="2">
        <v>74.930000000000007</v>
      </c>
      <c r="AF122" s="2">
        <v>62.99</v>
      </c>
      <c r="AG122" s="2">
        <v>77.400000000000006</v>
      </c>
      <c r="AH122" s="2">
        <v>59.22</v>
      </c>
      <c r="AI122" s="2">
        <v>24.3</v>
      </c>
      <c r="AJ122" s="2">
        <v>82.48</v>
      </c>
      <c r="AK122" s="2">
        <v>18.239999999999998</v>
      </c>
      <c r="AL122" s="2">
        <v>12.03</v>
      </c>
      <c r="AM122" s="2">
        <v>45</v>
      </c>
      <c r="AN122" s="2">
        <v>53.18</v>
      </c>
      <c r="AO122" s="2">
        <v>105.64</v>
      </c>
      <c r="AP122" s="2">
        <v>69.81</v>
      </c>
      <c r="AQ122" s="2">
        <v>74.900000000000006</v>
      </c>
      <c r="AR122" s="2">
        <v>66.25</v>
      </c>
      <c r="AU122" s="1" t="s">
        <v>22</v>
      </c>
      <c r="AV122" s="2">
        <v>30.75</v>
      </c>
      <c r="AW122" s="2">
        <v>103.46</v>
      </c>
      <c r="AX122" s="2">
        <v>16.46</v>
      </c>
      <c r="AY122" s="2">
        <v>6.95</v>
      </c>
      <c r="AZ122" s="2">
        <v>32.17</v>
      </c>
      <c r="BA122" s="2">
        <v>41.51</v>
      </c>
      <c r="BB122" s="2">
        <v>74.930000000000007</v>
      </c>
      <c r="BC122" s="2">
        <v>62.99</v>
      </c>
      <c r="BD122" s="2">
        <v>77.400000000000006</v>
      </c>
      <c r="BE122" s="2">
        <v>59.22</v>
      </c>
      <c r="BF122" s="2">
        <v>24.3</v>
      </c>
      <c r="BG122" s="2">
        <v>82.48</v>
      </c>
      <c r="BH122" s="2">
        <v>18.239999999999998</v>
      </c>
      <c r="BI122" s="2">
        <v>12.03</v>
      </c>
      <c r="BJ122" s="2">
        <v>45</v>
      </c>
      <c r="BK122" s="2">
        <v>53.18</v>
      </c>
      <c r="BL122" s="2">
        <v>105.64</v>
      </c>
      <c r="BM122" s="2">
        <v>69.81</v>
      </c>
      <c r="BN122" s="2">
        <v>74.900000000000006</v>
      </c>
      <c r="BO122" s="2">
        <v>66.25</v>
      </c>
      <c r="BR122" s="1" t="s">
        <v>22</v>
      </c>
      <c r="BS122" s="2">
        <v>249.53</v>
      </c>
      <c r="BT122" s="2">
        <v>215.59</v>
      </c>
      <c r="BU122" s="2">
        <v>217.7</v>
      </c>
      <c r="BV122" s="2">
        <v>178.72</v>
      </c>
      <c r="BW122" s="2">
        <v>278.33999999999997</v>
      </c>
      <c r="BX122" s="2">
        <v>210.25</v>
      </c>
      <c r="BY122" s="2">
        <v>287.06</v>
      </c>
      <c r="BZ122" s="2">
        <v>378.54</v>
      </c>
      <c r="CA122" s="2">
        <v>905.96</v>
      </c>
      <c r="CB122" s="2">
        <v>1853.69</v>
      </c>
      <c r="CC122" s="2">
        <v>714.11</v>
      </c>
      <c r="CD122" s="2">
        <v>1720.9</v>
      </c>
      <c r="CE122" s="2">
        <v>819.8</v>
      </c>
      <c r="CF122" s="2">
        <v>1333.73</v>
      </c>
      <c r="CG122" s="2">
        <v>993.74</v>
      </c>
      <c r="CH122" s="2">
        <v>2181.02</v>
      </c>
      <c r="CI122" s="2">
        <v>1100.22</v>
      </c>
      <c r="CJ122" s="2">
        <v>3618.2</v>
      </c>
      <c r="CK122" s="2">
        <v>1451.25</v>
      </c>
      <c r="CL122" s="2">
        <v>11091.02</v>
      </c>
    </row>
    <row r="123" spans="2:90" x14ac:dyDescent="0.3">
      <c r="X123" s="1" t="s">
        <v>23</v>
      </c>
      <c r="Y123" s="2">
        <v>177.92</v>
      </c>
      <c r="Z123" s="2">
        <v>344.42</v>
      </c>
      <c r="AA123" s="2">
        <v>134.31</v>
      </c>
      <c r="AB123" s="2">
        <v>54.11</v>
      </c>
      <c r="AC123" s="2">
        <v>183.71</v>
      </c>
      <c r="AD123" s="2">
        <v>285.2</v>
      </c>
      <c r="AE123" s="2">
        <v>569.63</v>
      </c>
      <c r="AF123" s="2">
        <v>630.79</v>
      </c>
      <c r="AG123" s="2">
        <v>661.85</v>
      </c>
      <c r="AH123" s="2">
        <v>312.27</v>
      </c>
      <c r="AI123" s="2">
        <v>60.38</v>
      </c>
      <c r="AJ123" s="2">
        <v>320.06</v>
      </c>
      <c r="AK123" s="2">
        <v>14.82</v>
      </c>
      <c r="AL123" s="2">
        <v>132.46</v>
      </c>
      <c r="AM123" s="2">
        <v>179.44</v>
      </c>
      <c r="AN123" s="2">
        <v>226.24</v>
      </c>
      <c r="AO123" s="2">
        <v>424.03</v>
      </c>
      <c r="AP123" s="2">
        <v>299.77999999999997</v>
      </c>
      <c r="AQ123" s="2">
        <v>344.57</v>
      </c>
      <c r="AR123" s="2">
        <v>335.3</v>
      </c>
      <c r="AU123" s="1" t="s">
        <v>23</v>
      </c>
      <c r="AV123" s="2">
        <v>177.92</v>
      </c>
      <c r="AW123" s="2">
        <v>344.42</v>
      </c>
      <c r="AX123" s="2">
        <v>134.31</v>
      </c>
      <c r="AY123" s="2">
        <v>54.11</v>
      </c>
      <c r="AZ123" s="2">
        <v>183.71</v>
      </c>
      <c r="BA123" s="2">
        <v>285.2</v>
      </c>
      <c r="BB123" s="2">
        <v>569.63</v>
      </c>
      <c r="BC123" s="2">
        <v>630.79</v>
      </c>
      <c r="BD123" s="2">
        <v>661.85</v>
      </c>
      <c r="BE123" s="2">
        <v>312.27</v>
      </c>
      <c r="BF123" s="2">
        <v>60.38</v>
      </c>
      <c r="BG123" s="2">
        <v>320.06</v>
      </c>
      <c r="BH123" s="2">
        <v>14.82</v>
      </c>
      <c r="BI123" s="2">
        <v>132.46</v>
      </c>
      <c r="BJ123" s="2">
        <v>179.44</v>
      </c>
      <c r="BK123" s="2">
        <v>226.24</v>
      </c>
      <c r="BL123" s="2">
        <v>424.03</v>
      </c>
      <c r="BM123" s="2">
        <v>299.77999999999997</v>
      </c>
      <c r="BN123" s="2">
        <v>344.57</v>
      </c>
      <c r="BO123" s="2">
        <v>335.3</v>
      </c>
      <c r="BR123" s="1" t="s">
        <v>23</v>
      </c>
      <c r="BS123" s="2">
        <v>177.24</v>
      </c>
      <c r="BT123" s="2">
        <v>327.23</v>
      </c>
      <c r="BU123" s="2">
        <v>167.38</v>
      </c>
      <c r="BV123" s="2">
        <v>131.44999999999999</v>
      </c>
      <c r="BW123" s="2">
        <v>241.39</v>
      </c>
      <c r="BX123" s="2">
        <v>131.65</v>
      </c>
      <c r="BY123" s="2">
        <v>277.02</v>
      </c>
      <c r="BZ123" s="2">
        <v>508.13</v>
      </c>
      <c r="CA123" s="2">
        <v>272.32</v>
      </c>
      <c r="CB123" s="2">
        <v>1485.01</v>
      </c>
      <c r="CC123" s="2">
        <v>215.05</v>
      </c>
      <c r="CD123" s="2">
        <v>1479.66</v>
      </c>
      <c r="CE123" s="2">
        <v>152.55000000000001</v>
      </c>
      <c r="CF123" s="2">
        <v>1447.36</v>
      </c>
      <c r="CG123" s="2">
        <v>191.11</v>
      </c>
      <c r="CH123" s="2">
        <v>1739.2</v>
      </c>
      <c r="CI123" s="2">
        <v>1092.92</v>
      </c>
      <c r="CJ123" s="2">
        <v>2922.38</v>
      </c>
      <c r="CK123" s="2">
        <v>3409.12</v>
      </c>
      <c r="CL123" s="2">
        <v>5603.2</v>
      </c>
    </row>
    <row r="124" spans="2:90" x14ac:dyDescent="0.3">
      <c r="X124" s="1" t="s">
        <v>24</v>
      </c>
      <c r="Y124" s="2">
        <v>55.01</v>
      </c>
      <c r="Z124" s="2">
        <v>114.38</v>
      </c>
      <c r="AA124" s="2">
        <v>37.65</v>
      </c>
      <c r="AB124" s="2">
        <v>17.739999999999998</v>
      </c>
      <c r="AC124" s="2">
        <v>64.97</v>
      </c>
      <c r="AD124" s="2">
        <v>77.56</v>
      </c>
      <c r="AE124" s="2">
        <v>149.85</v>
      </c>
      <c r="AF124" s="2">
        <v>125.39</v>
      </c>
      <c r="AG124" s="2">
        <v>140.53</v>
      </c>
      <c r="AH124" s="2">
        <v>95.32</v>
      </c>
      <c r="AI124" s="2">
        <v>21.51</v>
      </c>
      <c r="AJ124" s="2">
        <v>97.45</v>
      </c>
      <c r="AK124" s="2">
        <v>19.440000000000001</v>
      </c>
      <c r="AL124" s="2">
        <v>20.9</v>
      </c>
      <c r="AM124" s="2">
        <v>45.56</v>
      </c>
      <c r="AN124" s="2">
        <v>66.09</v>
      </c>
      <c r="AO124" s="2">
        <v>121.22</v>
      </c>
      <c r="AP124" s="2">
        <v>81.88</v>
      </c>
      <c r="AQ124" s="2">
        <v>110.3</v>
      </c>
      <c r="AR124" s="2">
        <v>82.56</v>
      </c>
      <c r="AU124" s="1" t="s">
        <v>24</v>
      </c>
      <c r="AV124" s="2">
        <v>55.01</v>
      </c>
      <c r="AW124" s="2">
        <v>114.38</v>
      </c>
      <c r="AX124" s="2">
        <v>37.65</v>
      </c>
      <c r="AY124" s="2">
        <v>17.739999999999998</v>
      </c>
      <c r="AZ124" s="2">
        <v>64.97</v>
      </c>
      <c r="BA124" s="2">
        <v>77.56</v>
      </c>
      <c r="BB124" s="2">
        <v>149.85</v>
      </c>
      <c r="BC124" s="2">
        <v>125.39</v>
      </c>
      <c r="BD124" s="2">
        <v>140.53</v>
      </c>
      <c r="BE124" s="2">
        <v>95.32</v>
      </c>
      <c r="BF124" s="2">
        <v>21.51</v>
      </c>
      <c r="BG124" s="2">
        <v>97.45</v>
      </c>
      <c r="BH124" s="2">
        <v>19.440000000000001</v>
      </c>
      <c r="BI124" s="2">
        <v>20.9</v>
      </c>
      <c r="BJ124" s="2">
        <v>45.56</v>
      </c>
      <c r="BK124" s="2">
        <v>66.09</v>
      </c>
      <c r="BL124" s="2">
        <v>121.22</v>
      </c>
      <c r="BM124" s="2">
        <v>81.88</v>
      </c>
      <c r="BN124" s="2">
        <v>110.3</v>
      </c>
      <c r="BO124" s="2">
        <v>82.56</v>
      </c>
      <c r="BR124" s="1" t="s">
        <v>24</v>
      </c>
      <c r="BS124" s="2">
        <v>149.82</v>
      </c>
      <c r="BT124" s="2">
        <v>299.14999999999998</v>
      </c>
      <c r="BU124" s="2">
        <v>159.30000000000001</v>
      </c>
      <c r="BV124" s="2">
        <v>217.69</v>
      </c>
      <c r="BW124" s="2">
        <v>158.6</v>
      </c>
      <c r="BX124" s="2">
        <v>153.35</v>
      </c>
      <c r="BY124" s="2">
        <v>238.32</v>
      </c>
      <c r="BZ124" s="2">
        <v>340.38</v>
      </c>
      <c r="CA124" s="2">
        <v>260.23</v>
      </c>
      <c r="CB124" s="2">
        <v>857.74</v>
      </c>
      <c r="CC124" s="2">
        <v>243.01</v>
      </c>
      <c r="CD124" s="2">
        <v>971.27</v>
      </c>
      <c r="CE124" s="2">
        <v>244.17</v>
      </c>
      <c r="CF124" s="2">
        <v>982.73</v>
      </c>
      <c r="CG124" s="2">
        <v>450.02</v>
      </c>
      <c r="CH124" s="2">
        <v>1229.5999999999999</v>
      </c>
      <c r="CI124" s="2">
        <v>1201.57</v>
      </c>
      <c r="CJ124" s="2">
        <v>1622.67</v>
      </c>
      <c r="CK124" s="2">
        <v>1813.37</v>
      </c>
      <c r="CL124" s="2">
        <v>2324.2600000000002</v>
      </c>
    </row>
    <row r="125" spans="2:90" x14ac:dyDescent="0.3">
      <c r="X125" s="1" t="s">
        <v>25</v>
      </c>
      <c r="Y125" s="2">
        <v>143.28</v>
      </c>
      <c r="Z125" s="2">
        <v>516.59</v>
      </c>
      <c r="AA125" s="2">
        <v>155.47</v>
      </c>
      <c r="AB125" s="2">
        <v>48.92</v>
      </c>
      <c r="AC125" s="2">
        <v>241.19</v>
      </c>
      <c r="AD125" s="2">
        <v>339.45</v>
      </c>
      <c r="AE125" s="2">
        <v>570.4</v>
      </c>
      <c r="AF125" s="2">
        <v>431.75</v>
      </c>
      <c r="AG125" s="2">
        <v>525.01</v>
      </c>
      <c r="AH125" s="2">
        <v>459.18</v>
      </c>
      <c r="AI125" s="2">
        <v>149.80000000000001</v>
      </c>
      <c r="AJ125" s="2">
        <v>500.64</v>
      </c>
      <c r="AK125" s="2">
        <v>167.34</v>
      </c>
      <c r="AL125" s="2">
        <v>59.67</v>
      </c>
      <c r="AM125" s="2">
        <v>239.81</v>
      </c>
      <c r="AN125" s="2">
        <v>304.58</v>
      </c>
      <c r="AO125" s="2">
        <v>499.76</v>
      </c>
      <c r="AP125" s="2">
        <v>373.54</v>
      </c>
      <c r="AQ125" s="2">
        <v>467.2</v>
      </c>
      <c r="AR125" s="2">
        <v>323.02999999999997</v>
      </c>
      <c r="AU125" s="1" t="s">
        <v>25</v>
      </c>
      <c r="AV125" s="2">
        <v>143.28</v>
      </c>
      <c r="AW125" s="2">
        <v>516.59</v>
      </c>
      <c r="AX125" s="2">
        <v>155.47</v>
      </c>
      <c r="AY125" s="2">
        <v>48.92</v>
      </c>
      <c r="AZ125" s="2">
        <v>241.19</v>
      </c>
      <c r="BA125" s="2">
        <v>339.45</v>
      </c>
      <c r="BB125" s="2">
        <v>570.4</v>
      </c>
      <c r="BC125" s="2">
        <v>431.75</v>
      </c>
      <c r="BD125" s="2">
        <v>525.01</v>
      </c>
      <c r="BE125" s="2">
        <v>459.18</v>
      </c>
      <c r="BF125" s="2">
        <v>149.80000000000001</v>
      </c>
      <c r="BG125" s="2">
        <v>500.64</v>
      </c>
      <c r="BH125" s="2">
        <v>167.34</v>
      </c>
      <c r="BI125" s="2">
        <v>59.67</v>
      </c>
      <c r="BJ125" s="2">
        <v>239.81</v>
      </c>
      <c r="BK125" s="2">
        <v>304.58</v>
      </c>
      <c r="BL125" s="2">
        <v>499.76</v>
      </c>
      <c r="BM125" s="2">
        <v>373.54</v>
      </c>
      <c r="BN125" s="2">
        <v>467.2</v>
      </c>
      <c r="BO125" s="2">
        <v>323.02999999999997</v>
      </c>
      <c r="BR125" s="1" t="s">
        <v>25</v>
      </c>
      <c r="BS125" s="2">
        <v>185.52</v>
      </c>
      <c r="BT125" s="2">
        <v>248.44</v>
      </c>
      <c r="BU125" s="2">
        <v>234.4</v>
      </c>
      <c r="BV125" s="2">
        <v>225</v>
      </c>
      <c r="BW125" s="2">
        <v>252.12</v>
      </c>
      <c r="BX125" s="2">
        <v>175.96</v>
      </c>
      <c r="BY125" s="2">
        <v>322.25</v>
      </c>
      <c r="BZ125" s="2">
        <v>287.32</v>
      </c>
      <c r="CA125" s="2">
        <v>478.76</v>
      </c>
      <c r="CB125" s="2">
        <v>404.33</v>
      </c>
      <c r="CC125" s="2">
        <v>617.74</v>
      </c>
      <c r="CD125" s="2">
        <v>739.9</v>
      </c>
      <c r="CE125" s="2">
        <v>811.22</v>
      </c>
      <c r="CF125" s="2">
        <v>898.96</v>
      </c>
      <c r="CG125" s="2">
        <v>1016.27</v>
      </c>
      <c r="CH125" s="2">
        <v>1206.8399999999999</v>
      </c>
      <c r="CI125" s="2">
        <v>1249.01</v>
      </c>
      <c r="CJ125" s="2">
        <v>1913.7</v>
      </c>
      <c r="CK125" s="2">
        <v>1813.87</v>
      </c>
      <c r="CL125" s="2">
        <v>2920.17</v>
      </c>
    </row>
    <row r="126" spans="2:90" x14ac:dyDescent="0.3">
      <c r="X126" s="1" t="s">
        <v>26</v>
      </c>
      <c r="Y126" s="2">
        <v>30.77</v>
      </c>
      <c r="Z126" s="2">
        <v>109.31</v>
      </c>
      <c r="AA126" s="2">
        <v>29.88</v>
      </c>
      <c r="AB126" s="2">
        <v>11.72</v>
      </c>
      <c r="AC126" s="2">
        <v>44.23</v>
      </c>
      <c r="AD126" s="2">
        <v>51.93</v>
      </c>
      <c r="AE126" s="2">
        <v>109.62</v>
      </c>
      <c r="AF126" s="2">
        <v>80.97</v>
      </c>
      <c r="AG126" s="2">
        <v>107.42</v>
      </c>
      <c r="AH126" s="2">
        <v>98.42</v>
      </c>
      <c r="AI126" s="2">
        <v>29.83</v>
      </c>
      <c r="AJ126" s="2">
        <v>90.95</v>
      </c>
      <c r="AK126" s="2">
        <v>40.090000000000003</v>
      </c>
      <c r="AL126" s="2">
        <v>9.9600000000000009</v>
      </c>
      <c r="AM126" s="2">
        <v>32.630000000000003</v>
      </c>
      <c r="AN126" s="2">
        <v>68.13</v>
      </c>
      <c r="AO126" s="2">
        <v>113.08</v>
      </c>
      <c r="AP126" s="2">
        <v>73.41</v>
      </c>
      <c r="AQ126" s="2">
        <v>114.81</v>
      </c>
      <c r="AR126" s="2">
        <v>76.47</v>
      </c>
      <c r="AU126" s="1" t="s">
        <v>26</v>
      </c>
      <c r="AV126" s="2">
        <v>30.77</v>
      </c>
      <c r="AW126" s="2">
        <v>109.31</v>
      </c>
      <c r="AX126" s="2">
        <v>29.88</v>
      </c>
      <c r="AY126" s="2">
        <v>11.72</v>
      </c>
      <c r="AZ126" s="2">
        <v>44.23</v>
      </c>
      <c r="BA126" s="2">
        <v>51.93</v>
      </c>
      <c r="BB126" s="2">
        <v>109.62</v>
      </c>
      <c r="BC126" s="2">
        <v>80.97</v>
      </c>
      <c r="BD126" s="2">
        <v>107.42</v>
      </c>
      <c r="BE126" s="2">
        <v>98.42</v>
      </c>
      <c r="BF126" s="2">
        <v>29.83</v>
      </c>
      <c r="BG126" s="2">
        <v>90.95</v>
      </c>
      <c r="BH126" s="2">
        <v>40.090000000000003</v>
      </c>
      <c r="BI126" s="2">
        <v>9.9600000000000009</v>
      </c>
      <c r="BJ126" s="2">
        <v>32.630000000000003</v>
      </c>
      <c r="BK126" s="2">
        <v>68.13</v>
      </c>
      <c r="BL126" s="2">
        <v>113.08</v>
      </c>
      <c r="BM126" s="2">
        <v>73.41</v>
      </c>
      <c r="BN126" s="2">
        <v>114.81</v>
      </c>
      <c r="BO126" s="2">
        <v>76.47</v>
      </c>
      <c r="BR126" s="1" t="s">
        <v>26</v>
      </c>
      <c r="BS126" s="2">
        <v>158.69999999999999</v>
      </c>
      <c r="BT126" s="2">
        <v>158.07</v>
      </c>
      <c r="BU126" s="2">
        <v>186.4</v>
      </c>
      <c r="BV126" s="2">
        <v>151.41999999999999</v>
      </c>
      <c r="BW126" s="2">
        <v>167.37</v>
      </c>
      <c r="BX126" s="2">
        <v>161.80000000000001</v>
      </c>
      <c r="BY126" s="2">
        <v>286.75</v>
      </c>
      <c r="BZ126" s="2">
        <v>189.55</v>
      </c>
      <c r="CA126" s="2">
        <v>1016.49</v>
      </c>
      <c r="CB126" s="2">
        <v>191.1</v>
      </c>
      <c r="CC126" s="2">
        <v>740.85</v>
      </c>
      <c r="CD126" s="2">
        <v>270.06</v>
      </c>
      <c r="CE126" s="2">
        <v>795.09</v>
      </c>
      <c r="CF126" s="2">
        <v>379.93</v>
      </c>
      <c r="CG126" s="2">
        <v>817.75</v>
      </c>
      <c r="CH126" s="2">
        <v>382.68</v>
      </c>
      <c r="CI126" s="2">
        <v>937.97</v>
      </c>
      <c r="CJ126" s="2">
        <v>458.18</v>
      </c>
      <c r="CK126" s="2">
        <v>1401.52</v>
      </c>
      <c r="CL126" s="2">
        <v>1933.06</v>
      </c>
    </row>
    <row r="127" spans="2:90" x14ac:dyDescent="0.3">
      <c r="X127" s="1" t="s">
        <v>27</v>
      </c>
      <c r="Y127" s="2">
        <v>86.4</v>
      </c>
      <c r="Z127" s="2">
        <v>237.96</v>
      </c>
      <c r="AA127" s="2">
        <v>70.239999999999995</v>
      </c>
      <c r="AB127" s="2">
        <v>31.05</v>
      </c>
      <c r="AC127" s="2">
        <v>109.46</v>
      </c>
      <c r="AD127" s="2">
        <v>132.99</v>
      </c>
      <c r="AE127" s="2">
        <v>245.89</v>
      </c>
      <c r="AF127" s="2">
        <v>177.41</v>
      </c>
      <c r="AG127" s="2">
        <v>248.65</v>
      </c>
      <c r="AH127" s="2">
        <v>215.62</v>
      </c>
      <c r="AI127" s="2">
        <v>122.46</v>
      </c>
      <c r="AJ127" s="2">
        <v>230.26</v>
      </c>
      <c r="AK127" s="2">
        <v>80.42</v>
      </c>
      <c r="AL127" s="2">
        <v>31.59</v>
      </c>
      <c r="AM127" s="2">
        <v>151.72999999999999</v>
      </c>
      <c r="AN127" s="2">
        <v>187.49</v>
      </c>
      <c r="AO127" s="2">
        <v>294.87</v>
      </c>
      <c r="AP127" s="2">
        <v>191.35</v>
      </c>
      <c r="AQ127" s="2">
        <v>270.43</v>
      </c>
      <c r="AR127" s="2">
        <v>166.4</v>
      </c>
      <c r="AU127" s="1" t="s">
        <v>27</v>
      </c>
      <c r="AV127" s="2">
        <v>86.4</v>
      </c>
      <c r="AW127" s="2">
        <v>237.96</v>
      </c>
      <c r="AX127" s="2">
        <v>70.239999999999995</v>
      </c>
      <c r="AY127" s="2">
        <v>31.05</v>
      </c>
      <c r="AZ127" s="2">
        <v>109.46</v>
      </c>
      <c r="BA127" s="2">
        <v>132.99</v>
      </c>
      <c r="BB127" s="2">
        <v>245.89</v>
      </c>
      <c r="BC127" s="2">
        <v>177.41</v>
      </c>
      <c r="BD127" s="2">
        <v>248.65</v>
      </c>
      <c r="BE127" s="2">
        <v>215.62</v>
      </c>
      <c r="BF127" s="2">
        <v>122.46</v>
      </c>
      <c r="BG127" s="2">
        <v>230.26</v>
      </c>
      <c r="BH127" s="2">
        <v>80.42</v>
      </c>
      <c r="BI127" s="2">
        <v>31.59</v>
      </c>
      <c r="BJ127" s="2">
        <v>151.72999999999999</v>
      </c>
      <c r="BK127" s="2">
        <v>187.49</v>
      </c>
      <c r="BL127" s="2">
        <v>294.87</v>
      </c>
      <c r="BM127" s="2">
        <v>191.35</v>
      </c>
      <c r="BN127" s="2">
        <v>270.43</v>
      </c>
      <c r="BO127" s="2">
        <v>166.4</v>
      </c>
      <c r="BR127" s="1" t="s">
        <v>27</v>
      </c>
      <c r="BS127" s="2">
        <v>174.01</v>
      </c>
      <c r="BT127" s="2">
        <v>155.44</v>
      </c>
      <c r="BU127" s="2">
        <v>273.92</v>
      </c>
      <c r="BV127" s="2">
        <v>210.25</v>
      </c>
      <c r="BW127" s="2">
        <v>223.8</v>
      </c>
      <c r="BX127" s="2">
        <v>182.73</v>
      </c>
      <c r="BY127" s="2">
        <v>390.28</v>
      </c>
      <c r="BZ127" s="2">
        <v>161.41999999999999</v>
      </c>
      <c r="CA127" s="2">
        <v>1057.9000000000001</v>
      </c>
      <c r="CB127" s="2">
        <v>183.82</v>
      </c>
      <c r="CC127" s="2">
        <v>898</v>
      </c>
      <c r="CD127" s="2">
        <v>231.97</v>
      </c>
      <c r="CE127" s="2">
        <v>924.17</v>
      </c>
      <c r="CF127" s="2">
        <v>327.27999999999997</v>
      </c>
      <c r="CG127" s="2">
        <v>753.86</v>
      </c>
      <c r="CH127" s="2">
        <v>553.30999999999995</v>
      </c>
      <c r="CI127" s="2">
        <v>1267.49</v>
      </c>
      <c r="CJ127" s="2">
        <v>1153.68</v>
      </c>
      <c r="CK127" s="2">
        <v>1803.84</v>
      </c>
      <c r="CL127" s="2">
        <v>1955.14</v>
      </c>
    </row>
    <row r="128" spans="2:90" x14ac:dyDescent="0.3">
      <c r="X128" s="1" t="s">
        <v>28</v>
      </c>
      <c r="Y128" s="2">
        <v>40.58</v>
      </c>
      <c r="Z128" s="2">
        <v>90.97</v>
      </c>
      <c r="AA128" s="2">
        <v>4.08</v>
      </c>
      <c r="AB128" s="2">
        <v>1.85</v>
      </c>
      <c r="AC128" s="2">
        <v>6.61</v>
      </c>
      <c r="AD128" s="2">
        <v>47.75</v>
      </c>
      <c r="AE128" s="2">
        <v>61.74</v>
      </c>
      <c r="AF128" s="2">
        <v>53.3</v>
      </c>
      <c r="AG128" s="2">
        <v>55.89</v>
      </c>
      <c r="AH128" s="2">
        <v>72.489999999999995</v>
      </c>
      <c r="AI128" s="2">
        <v>31</v>
      </c>
      <c r="AJ128" s="2">
        <v>71.63</v>
      </c>
      <c r="AK128" s="2">
        <v>4.82</v>
      </c>
      <c r="AL128" s="2">
        <v>6.35</v>
      </c>
      <c r="AM128" s="2">
        <v>33.28</v>
      </c>
      <c r="AN128" s="2">
        <v>30.54</v>
      </c>
      <c r="AO128" s="2">
        <v>61.47</v>
      </c>
      <c r="AP128" s="2">
        <v>60.27</v>
      </c>
      <c r="AQ128" s="2">
        <v>65.14</v>
      </c>
      <c r="AR128" s="2">
        <v>49.99</v>
      </c>
      <c r="AU128" s="1" t="s">
        <v>28</v>
      </c>
      <c r="AV128" s="2">
        <v>40.58</v>
      </c>
      <c r="AW128" s="2">
        <v>90.97</v>
      </c>
      <c r="AX128" s="2">
        <v>4.08</v>
      </c>
      <c r="AY128" s="2">
        <v>1.85</v>
      </c>
      <c r="AZ128" s="2">
        <v>6.61</v>
      </c>
      <c r="BA128" s="2">
        <v>47.75</v>
      </c>
      <c r="BB128" s="2">
        <v>61.74</v>
      </c>
      <c r="BC128" s="2">
        <v>53.3</v>
      </c>
      <c r="BD128" s="2">
        <v>55.89</v>
      </c>
      <c r="BE128" s="2">
        <v>72.489999999999995</v>
      </c>
      <c r="BF128" s="2">
        <v>31</v>
      </c>
      <c r="BG128" s="2">
        <v>71.63</v>
      </c>
      <c r="BH128" s="2">
        <v>4.82</v>
      </c>
      <c r="BI128" s="2">
        <v>6.35</v>
      </c>
      <c r="BJ128" s="2">
        <v>33.28</v>
      </c>
      <c r="BK128" s="2">
        <v>30.54</v>
      </c>
      <c r="BL128" s="2">
        <v>61.47</v>
      </c>
      <c r="BM128" s="2">
        <v>60.27</v>
      </c>
      <c r="BN128" s="2">
        <v>65.14</v>
      </c>
      <c r="BO128" s="2">
        <v>49.99</v>
      </c>
      <c r="BR128" s="1" t="s">
        <v>28</v>
      </c>
      <c r="BS128" s="2">
        <v>283.26</v>
      </c>
      <c r="BT128" s="2">
        <v>276.94</v>
      </c>
      <c r="BU128" s="2">
        <v>131.28</v>
      </c>
      <c r="BV128" s="2">
        <v>130.94</v>
      </c>
      <c r="BW128" s="2">
        <v>131.79</v>
      </c>
      <c r="BX128" s="2">
        <v>220.75</v>
      </c>
      <c r="BY128" s="2">
        <v>181.44</v>
      </c>
      <c r="BZ128" s="2">
        <v>294.27</v>
      </c>
      <c r="CA128" s="2">
        <v>2255.5700000000002</v>
      </c>
      <c r="CB128" s="2">
        <v>435.63</v>
      </c>
      <c r="CC128" s="2">
        <v>1018.82</v>
      </c>
      <c r="CD128" s="2">
        <v>484.89</v>
      </c>
      <c r="CE128" s="2">
        <v>869.05</v>
      </c>
      <c r="CF128" s="2">
        <v>808.71</v>
      </c>
      <c r="CG128" s="2">
        <v>1128.32</v>
      </c>
      <c r="CH128" s="2">
        <v>1339.21</v>
      </c>
      <c r="CI128" s="2">
        <v>1366.34</v>
      </c>
      <c r="CJ128" s="2">
        <v>2237.06</v>
      </c>
      <c r="CK128" s="2">
        <v>2077.0300000000002</v>
      </c>
      <c r="CL128" s="2">
        <v>3761.73</v>
      </c>
    </row>
    <row r="131" spans="24:67" x14ac:dyDescent="0.3">
      <c r="X131" t="s">
        <v>60</v>
      </c>
      <c r="AU131" t="s">
        <v>61</v>
      </c>
    </row>
    <row r="132" spans="24:67" x14ac:dyDescent="0.3">
      <c r="X132" s="1" t="s">
        <v>16</v>
      </c>
      <c r="Y132" s="1" t="s">
        <v>17</v>
      </c>
      <c r="Z132" s="1" t="s">
        <v>18</v>
      </c>
      <c r="AA132" s="1" t="s">
        <v>17</v>
      </c>
      <c r="AB132" s="1" t="s">
        <v>18</v>
      </c>
      <c r="AC132" s="1" t="s">
        <v>17</v>
      </c>
      <c r="AD132" s="1" t="s">
        <v>18</v>
      </c>
      <c r="AE132" s="1" t="s">
        <v>17</v>
      </c>
      <c r="AF132" s="1" t="s">
        <v>18</v>
      </c>
      <c r="AG132" s="1" t="s">
        <v>17</v>
      </c>
      <c r="AH132" s="1" t="s">
        <v>18</v>
      </c>
      <c r="AI132" s="1" t="s">
        <v>17</v>
      </c>
      <c r="AJ132" s="1" t="s">
        <v>18</v>
      </c>
      <c r="AK132" s="1" t="s">
        <v>17</v>
      </c>
      <c r="AL132" s="1" t="s">
        <v>18</v>
      </c>
      <c r="AM132" s="1" t="s">
        <v>17</v>
      </c>
      <c r="AN132" s="1" t="s">
        <v>18</v>
      </c>
      <c r="AO132" s="1" t="s">
        <v>17</v>
      </c>
      <c r="AP132" s="1" t="s">
        <v>18</v>
      </c>
      <c r="AQ132" s="1" t="s">
        <v>17</v>
      </c>
      <c r="AR132" s="1" t="s">
        <v>18</v>
      </c>
      <c r="AU132" s="1" t="s">
        <v>16</v>
      </c>
      <c r="AV132" s="1" t="s">
        <v>17</v>
      </c>
      <c r="AW132" s="1" t="s">
        <v>18</v>
      </c>
      <c r="AX132" s="1" t="s">
        <v>17</v>
      </c>
      <c r="AY132" s="1" t="s">
        <v>18</v>
      </c>
      <c r="AZ132" s="1" t="s">
        <v>17</v>
      </c>
      <c r="BA132" s="1" t="s">
        <v>18</v>
      </c>
      <c r="BB132" s="1" t="s">
        <v>17</v>
      </c>
      <c r="BC132" s="1" t="s">
        <v>18</v>
      </c>
      <c r="BD132" s="1" t="s">
        <v>17</v>
      </c>
      <c r="BE132" s="1" t="s">
        <v>18</v>
      </c>
      <c r="BF132" s="1" t="s">
        <v>17</v>
      </c>
      <c r="BG132" s="1" t="s">
        <v>18</v>
      </c>
      <c r="BH132" s="1" t="s">
        <v>17</v>
      </c>
      <c r="BI132" s="1" t="s">
        <v>18</v>
      </c>
      <c r="BJ132" s="1" t="s">
        <v>17</v>
      </c>
      <c r="BK132" s="1" t="s">
        <v>18</v>
      </c>
      <c r="BL132" s="1" t="s">
        <v>17</v>
      </c>
      <c r="BM132" s="1" t="s">
        <v>18</v>
      </c>
      <c r="BN132" s="1" t="s">
        <v>17</v>
      </c>
      <c r="BO132" s="1" t="s">
        <v>18</v>
      </c>
    </row>
    <row r="133" spans="24:67" x14ac:dyDescent="0.3">
      <c r="X133" s="1" t="s">
        <v>19</v>
      </c>
      <c r="Y133" s="1" t="s">
        <v>1</v>
      </c>
      <c r="Z133" s="1" t="s">
        <v>1</v>
      </c>
      <c r="AA133" s="1" t="s">
        <v>2</v>
      </c>
      <c r="AB133" s="1" t="s">
        <v>2</v>
      </c>
      <c r="AC133" s="1" t="s">
        <v>3</v>
      </c>
      <c r="AD133" s="1" t="s">
        <v>3</v>
      </c>
      <c r="AE133" s="1" t="s">
        <v>4</v>
      </c>
      <c r="AF133" s="1" t="s">
        <v>4</v>
      </c>
      <c r="AG133" s="1" t="s">
        <v>5</v>
      </c>
      <c r="AH133" s="1" t="s">
        <v>5</v>
      </c>
      <c r="AI133" s="1" t="s">
        <v>6</v>
      </c>
      <c r="AJ133" s="1" t="s">
        <v>6</v>
      </c>
      <c r="AK133" s="1" t="s">
        <v>7</v>
      </c>
      <c r="AL133" s="1" t="s">
        <v>7</v>
      </c>
      <c r="AM133" s="1" t="s">
        <v>8</v>
      </c>
      <c r="AN133" s="1" t="s">
        <v>8</v>
      </c>
      <c r="AO133" s="1" t="s">
        <v>9</v>
      </c>
      <c r="AP133" s="1" t="s">
        <v>9</v>
      </c>
      <c r="AQ133" s="1" t="s">
        <v>10</v>
      </c>
      <c r="AR133" s="1" t="s">
        <v>10</v>
      </c>
      <c r="AU133" s="1" t="s">
        <v>19</v>
      </c>
      <c r="AV133" s="1" t="s">
        <v>1</v>
      </c>
      <c r="AW133" s="1" t="s">
        <v>1</v>
      </c>
      <c r="AX133" s="1" t="s">
        <v>2</v>
      </c>
      <c r="AY133" s="1" t="s">
        <v>2</v>
      </c>
      <c r="AZ133" s="1" t="s">
        <v>3</v>
      </c>
      <c r="BA133" s="1" t="s">
        <v>3</v>
      </c>
      <c r="BB133" s="1" t="s">
        <v>4</v>
      </c>
      <c r="BC133" s="1" t="s">
        <v>4</v>
      </c>
      <c r="BD133" s="1" t="s">
        <v>5</v>
      </c>
      <c r="BE133" s="1" t="s">
        <v>5</v>
      </c>
      <c r="BF133" s="1" t="s">
        <v>6</v>
      </c>
      <c r="BG133" s="1" t="s">
        <v>6</v>
      </c>
      <c r="BH133" s="1" t="s">
        <v>7</v>
      </c>
      <c r="BI133" s="1" t="s">
        <v>7</v>
      </c>
      <c r="BJ133" s="1" t="s">
        <v>8</v>
      </c>
      <c r="BK133" s="1" t="s">
        <v>8</v>
      </c>
      <c r="BL133" s="1" t="s">
        <v>9</v>
      </c>
      <c r="BM133" s="1" t="s">
        <v>9</v>
      </c>
      <c r="BN133" s="1" t="s">
        <v>10</v>
      </c>
      <c r="BO133" s="1" t="s">
        <v>10</v>
      </c>
    </row>
    <row r="134" spans="24:67" x14ac:dyDescent="0.3">
      <c r="X134" s="1" t="s">
        <v>20</v>
      </c>
      <c r="AU134" s="1" t="s">
        <v>20</v>
      </c>
    </row>
    <row r="135" spans="24:67" x14ac:dyDescent="0.3">
      <c r="X135" s="1" t="s">
        <v>21</v>
      </c>
      <c r="Y135" s="2">
        <v>12.3</v>
      </c>
      <c r="Z135" s="2">
        <v>12.97</v>
      </c>
      <c r="AA135" s="2">
        <v>8.4</v>
      </c>
      <c r="AB135" s="2">
        <v>8.4</v>
      </c>
      <c r="AC135" s="2">
        <v>9.1</v>
      </c>
      <c r="AD135" s="2">
        <v>13.63</v>
      </c>
      <c r="AE135" s="2">
        <v>10.31</v>
      </c>
      <c r="AF135" s="2">
        <v>31.5</v>
      </c>
      <c r="AG135" s="2">
        <v>25.9</v>
      </c>
      <c r="AH135" s="2">
        <v>23.8</v>
      </c>
      <c r="AI135" s="2">
        <v>24.5</v>
      </c>
      <c r="AJ135" s="2">
        <v>24.5</v>
      </c>
      <c r="AK135" s="2">
        <v>28.7</v>
      </c>
      <c r="AL135" s="2">
        <v>22.4</v>
      </c>
      <c r="AM135" s="2">
        <v>22.4</v>
      </c>
      <c r="AN135" s="2">
        <v>21.7</v>
      </c>
      <c r="AO135" s="2">
        <v>25.2</v>
      </c>
      <c r="AP135" s="2">
        <v>20.3</v>
      </c>
      <c r="AQ135" s="2">
        <v>25.2</v>
      </c>
      <c r="AR135" s="2">
        <v>22.4</v>
      </c>
      <c r="AU135" s="1" t="s">
        <v>21</v>
      </c>
      <c r="AV135" s="2">
        <v>233.75</v>
      </c>
      <c r="AW135" s="2">
        <v>246.38</v>
      </c>
      <c r="AX135" s="2">
        <v>159.6</v>
      </c>
      <c r="AY135" s="2">
        <v>159.6</v>
      </c>
      <c r="AZ135" s="2">
        <v>172.9</v>
      </c>
      <c r="BA135" s="2">
        <v>259.02</v>
      </c>
      <c r="BB135" s="2">
        <v>195.84</v>
      </c>
      <c r="BC135" s="2">
        <v>283.5</v>
      </c>
      <c r="BD135" s="2">
        <v>233.1</v>
      </c>
      <c r="BE135" s="2">
        <v>214.2</v>
      </c>
      <c r="BF135" s="2">
        <v>220.5</v>
      </c>
      <c r="BG135" s="2">
        <v>220.5</v>
      </c>
      <c r="BH135" s="2">
        <v>258.3</v>
      </c>
      <c r="BI135" s="2">
        <v>201.6</v>
      </c>
      <c r="BJ135" s="2">
        <v>201.6</v>
      </c>
      <c r="BK135" s="2">
        <v>195.3</v>
      </c>
      <c r="BL135" s="2">
        <v>226.8</v>
      </c>
      <c r="BM135" s="2">
        <v>182.7</v>
      </c>
      <c r="BN135" s="2">
        <v>226.8</v>
      </c>
      <c r="BO135" s="2">
        <v>201.6</v>
      </c>
    </row>
    <row r="136" spans="24:67" x14ac:dyDescent="0.3">
      <c r="X136" s="1" t="s">
        <v>22</v>
      </c>
      <c r="Y136" s="2">
        <v>23.66</v>
      </c>
      <c r="Z136" s="2">
        <v>18.690000000000001</v>
      </c>
      <c r="AA136" s="2">
        <v>12.66</v>
      </c>
      <c r="AB136" s="2">
        <v>14.03</v>
      </c>
      <c r="AC136" s="2">
        <v>13.9</v>
      </c>
      <c r="AD136" s="2">
        <v>24.07</v>
      </c>
      <c r="AE136" s="2">
        <v>20.100000000000001</v>
      </c>
      <c r="AF136" s="2">
        <v>28.12</v>
      </c>
      <c r="AG136" s="2">
        <v>20.76</v>
      </c>
      <c r="AH136" s="2">
        <v>26.59</v>
      </c>
      <c r="AI136" s="2">
        <v>20.82</v>
      </c>
      <c r="AJ136" s="2">
        <v>29.34</v>
      </c>
      <c r="AK136" s="2">
        <v>21.72</v>
      </c>
      <c r="AL136" s="2">
        <v>24.07</v>
      </c>
      <c r="AM136" s="2">
        <v>20.37</v>
      </c>
      <c r="AN136" s="2">
        <v>19.71</v>
      </c>
      <c r="AO136" s="2">
        <v>17.420000000000002</v>
      </c>
      <c r="AP136" s="2">
        <v>19.48</v>
      </c>
      <c r="AQ136" s="2">
        <v>22.99</v>
      </c>
      <c r="AR136" s="2">
        <v>18.329999999999998</v>
      </c>
      <c r="AU136" s="1" t="s">
        <v>22</v>
      </c>
      <c r="AV136" s="2">
        <v>119.79</v>
      </c>
      <c r="AW136" s="2">
        <v>94.36</v>
      </c>
      <c r="AX136" s="2">
        <v>59.54</v>
      </c>
      <c r="AY136" s="2">
        <v>65.77</v>
      </c>
      <c r="AZ136" s="2">
        <v>65.099999999999994</v>
      </c>
      <c r="BA136" s="2">
        <v>112.73</v>
      </c>
      <c r="BB136" s="2">
        <v>94.85</v>
      </c>
      <c r="BC136" s="2">
        <v>131.88</v>
      </c>
      <c r="BD136" s="2">
        <v>105.59</v>
      </c>
      <c r="BE136" s="2">
        <v>134.41</v>
      </c>
      <c r="BF136" s="2">
        <v>106.48</v>
      </c>
      <c r="BG136" s="2">
        <v>148.66</v>
      </c>
      <c r="BH136" s="2">
        <v>110.28</v>
      </c>
      <c r="BI136" s="2">
        <v>121.93</v>
      </c>
      <c r="BJ136" s="2">
        <v>103.51</v>
      </c>
      <c r="BK136" s="2">
        <v>99.99</v>
      </c>
      <c r="BL136" s="2">
        <v>88.39</v>
      </c>
      <c r="BM136" s="2">
        <v>98.5</v>
      </c>
      <c r="BN136" s="2">
        <v>117.61</v>
      </c>
      <c r="BO136" s="2">
        <v>92.82</v>
      </c>
    </row>
    <row r="137" spans="24:67" x14ac:dyDescent="0.3">
      <c r="X137" s="1" t="s">
        <v>23</v>
      </c>
      <c r="Y137" s="2">
        <v>136.86000000000001</v>
      </c>
      <c r="Z137" s="2">
        <v>46.44</v>
      </c>
      <c r="AA137" s="2">
        <v>103.31</v>
      </c>
      <c r="AB137" s="2">
        <v>11.4</v>
      </c>
      <c r="AC137" s="2">
        <v>108.22</v>
      </c>
      <c r="AD137" s="2">
        <v>264.91000000000003</v>
      </c>
      <c r="AE137" s="2">
        <v>114.82</v>
      </c>
      <c r="AF137" s="2">
        <v>112.15</v>
      </c>
      <c r="AG137" s="2">
        <v>142.6</v>
      </c>
      <c r="AH137" s="2">
        <v>113.12</v>
      </c>
      <c r="AI137" s="2">
        <v>158.22999999999999</v>
      </c>
      <c r="AJ137" s="2">
        <v>117.79</v>
      </c>
      <c r="AK137" s="2">
        <v>217.51</v>
      </c>
      <c r="AL137" s="2">
        <v>103.37</v>
      </c>
      <c r="AM137" s="2">
        <v>174.17</v>
      </c>
      <c r="AN137" s="2">
        <v>90.68</v>
      </c>
      <c r="AO137" s="2">
        <v>91.84</v>
      </c>
      <c r="AP137" s="2">
        <v>98.62</v>
      </c>
      <c r="AQ137" s="2">
        <v>76.540000000000006</v>
      </c>
      <c r="AR137" s="2">
        <v>71.13</v>
      </c>
      <c r="AU137" s="1" t="s">
        <v>23</v>
      </c>
      <c r="AV137" s="2">
        <v>537.24</v>
      </c>
      <c r="AW137" s="2">
        <v>272.76</v>
      </c>
      <c r="AX137" s="2">
        <v>498.34</v>
      </c>
      <c r="AY137" s="2">
        <v>216.6</v>
      </c>
      <c r="AZ137" s="2">
        <v>433.58</v>
      </c>
      <c r="BA137" s="2">
        <v>828.14</v>
      </c>
      <c r="BB137" s="2">
        <v>545.54999999999995</v>
      </c>
      <c r="BC137" s="2">
        <v>527.38</v>
      </c>
      <c r="BD137" s="2">
        <v>674.8</v>
      </c>
      <c r="BE137" s="2">
        <v>572.75</v>
      </c>
      <c r="BF137" s="2">
        <v>661.44</v>
      </c>
      <c r="BG137" s="2">
        <v>598.07000000000005</v>
      </c>
      <c r="BH137" s="2">
        <v>707.81</v>
      </c>
      <c r="BI137" s="2">
        <v>523.96</v>
      </c>
      <c r="BJ137" s="2">
        <v>629.08000000000004</v>
      </c>
      <c r="BK137" s="2">
        <v>460.51</v>
      </c>
      <c r="BL137" s="2">
        <v>467.24</v>
      </c>
      <c r="BM137" s="2">
        <v>499.1</v>
      </c>
      <c r="BN137" s="2">
        <v>387.99</v>
      </c>
      <c r="BO137" s="2">
        <v>359.93</v>
      </c>
    </row>
    <row r="138" spans="24:67" x14ac:dyDescent="0.3">
      <c r="X138" s="1" t="s">
        <v>24</v>
      </c>
      <c r="Y138" s="2">
        <v>42.32</v>
      </c>
      <c r="Z138" s="2">
        <v>16.55</v>
      </c>
      <c r="AA138" s="2">
        <v>28.96</v>
      </c>
      <c r="AB138" s="2">
        <v>14.95</v>
      </c>
      <c r="AC138" s="2">
        <v>35.49</v>
      </c>
      <c r="AD138" s="2">
        <v>41.8</v>
      </c>
      <c r="AE138" s="2">
        <v>40.61</v>
      </c>
      <c r="AF138" s="2">
        <v>28.48</v>
      </c>
      <c r="AG138" s="2">
        <v>38.78</v>
      </c>
      <c r="AH138" s="2">
        <v>33.049999999999997</v>
      </c>
      <c r="AI138" s="2">
        <v>41.63</v>
      </c>
      <c r="AJ138" s="2">
        <v>33.67</v>
      </c>
      <c r="AK138" s="2">
        <v>43.24</v>
      </c>
      <c r="AL138" s="2">
        <v>28.23</v>
      </c>
      <c r="AM138" s="2">
        <v>36.979999999999997</v>
      </c>
      <c r="AN138" s="2">
        <v>29.03</v>
      </c>
      <c r="AO138" s="2">
        <v>28.04</v>
      </c>
      <c r="AP138" s="2">
        <v>24.28</v>
      </c>
      <c r="AQ138" s="2">
        <v>25.42</v>
      </c>
      <c r="AR138" s="2">
        <v>21.66</v>
      </c>
      <c r="AU138" s="1" t="s">
        <v>24</v>
      </c>
      <c r="AV138" s="2">
        <v>191.98</v>
      </c>
      <c r="AW138" s="2">
        <v>83.44</v>
      </c>
      <c r="AX138" s="2">
        <v>136.87</v>
      </c>
      <c r="AY138" s="2">
        <v>83.85</v>
      </c>
      <c r="AZ138" s="2">
        <v>149.78</v>
      </c>
      <c r="BA138" s="2">
        <v>191.2</v>
      </c>
      <c r="BB138" s="2">
        <v>191.37</v>
      </c>
      <c r="BC138" s="2">
        <v>133.6</v>
      </c>
      <c r="BD138" s="2">
        <v>197.2</v>
      </c>
      <c r="BE138" s="2">
        <v>167.02</v>
      </c>
      <c r="BF138" s="2">
        <v>213.41</v>
      </c>
      <c r="BG138" s="2">
        <v>170.37</v>
      </c>
      <c r="BH138" s="2">
        <v>220.72</v>
      </c>
      <c r="BI138" s="2">
        <v>142.72</v>
      </c>
      <c r="BJ138" s="2">
        <v>188.01</v>
      </c>
      <c r="BK138" s="2">
        <v>146.84</v>
      </c>
      <c r="BL138" s="2">
        <v>141.85</v>
      </c>
      <c r="BM138" s="2">
        <v>122.6</v>
      </c>
      <c r="BN138" s="2">
        <v>128.49</v>
      </c>
      <c r="BO138" s="2">
        <v>109.38</v>
      </c>
    </row>
    <row r="139" spans="24:67" x14ac:dyDescent="0.3">
      <c r="X139" s="1" t="s">
        <v>25</v>
      </c>
      <c r="Y139" s="2">
        <v>110.21</v>
      </c>
      <c r="Z139" s="2">
        <v>115.23</v>
      </c>
      <c r="AA139" s="2">
        <v>119.59</v>
      </c>
      <c r="AB139" s="2">
        <v>128.72</v>
      </c>
      <c r="AC139" s="2">
        <v>97.83</v>
      </c>
      <c r="AD139" s="2">
        <v>119.34</v>
      </c>
      <c r="AE139" s="2">
        <v>150.74</v>
      </c>
      <c r="AF139" s="2">
        <v>149.88</v>
      </c>
      <c r="AG139" s="2">
        <v>169.73</v>
      </c>
      <c r="AH139" s="2">
        <v>152.29</v>
      </c>
      <c r="AI139" s="2">
        <v>158.44</v>
      </c>
      <c r="AJ139" s="2">
        <v>138.82</v>
      </c>
      <c r="AK139" s="2">
        <v>148.88</v>
      </c>
      <c r="AL139" s="2">
        <v>128.81</v>
      </c>
      <c r="AM139" s="2">
        <v>138.16</v>
      </c>
      <c r="AN139" s="2">
        <v>122.95</v>
      </c>
      <c r="AO139" s="2">
        <v>135.05000000000001</v>
      </c>
      <c r="AP139" s="2">
        <v>95.01</v>
      </c>
      <c r="AQ139" s="2">
        <v>114.8</v>
      </c>
      <c r="AR139" s="2">
        <v>111.25</v>
      </c>
      <c r="AU139" s="1" t="s">
        <v>25</v>
      </c>
      <c r="AV139" s="2">
        <v>549.79</v>
      </c>
      <c r="AW139" s="2">
        <v>574.77</v>
      </c>
      <c r="AX139" s="2">
        <v>555.41</v>
      </c>
      <c r="AY139" s="2">
        <v>598.03</v>
      </c>
      <c r="AZ139" s="2">
        <v>452.17</v>
      </c>
      <c r="BA139" s="2">
        <v>552.67999999999995</v>
      </c>
      <c r="BB139" s="2">
        <v>699.51</v>
      </c>
      <c r="BC139" s="2">
        <v>695.12</v>
      </c>
      <c r="BD139" s="2">
        <v>849.92</v>
      </c>
      <c r="BE139" s="2">
        <v>762.71</v>
      </c>
      <c r="BF139" s="2">
        <v>795.41</v>
      </c>
      <c r="BG139" s="2">
        <v>697.18</v>
      </c>
      <c r="BH139" s="2">
        <v>745.15</v>
      </c>
      <c r="BI139" s="2">
        <v>645.44000000000005</v>
      </c>
      <c r="BJ139" s="2">
        <v>691.7</v>
      </c>
      <c r="BK139" s="2">
        <v>615.34</v>
      </c>
      <c r="BL139" s="2">
        <v>674.95</v>
      </c>
      <c r="BM139" s="2">
        <v>474.99</v>
      </c>
      <c r="BN139" s="2">
        <v>573.95000000000005</v>
      </c>
      <c r="BO139" s="2">
        <v>558.5</v>
      </c>
    </row>
    <row r="140" spans="24:67" x14ac:dyDescent="0.3">
      <c r="X140" s="1" t="s">
        <v>26</v>
      </c>
      <c r="Y140" s="2">
        <v>23.67</v>
      </c>
      <c r="Z140" s="2">
        <v>22.95</v>
      </c>
      <c r="AA140" s="2">
        <v>22.99</v>
      </c>
      <c r="AB140" s="2">
        <v>30.84</v>
      </c>
      <c r="AC140" s="2">
        <v>23.44</v>
      </c>
      <c r="AD140" s="2">
        <v>19.920000000000002</v>
      </c>
      <c r="AE140" s="2">
        <v>27.65</v>
      </c>
      <c r="AF140" s="2">
        <v>20.399999999999999</v>
      </c>
      <c r="AG140" s="2">
        <v>25.97</v>
      </c>
      <c r="AH140" s="2">
        <v>34.07</v>
      </c>
      <c r="AI140" s="2">
        <v>30.45</v>
      </c>
      <c r="AJ140" s="2">
        <v>31.41</v>
      </c>
      <c r="AK140" s="2">
        <v>27.92</v>
      </c>
      <c r="AL140" s="2">
        <v>25.31</v>
      </c>
      <c r="AM140" s="2">
        <v>28.27</v>
      </c>
      <c r="AN140" s="2">
        <v>30.21</v>
      </c>
      <c r="AO140" s="2">
        <v>28.95</v>
      </c>
      <c r="AP140" s="2">
        <v>22.49</v>
      </c>
      <c r="AQ140" s="2">
        <v>24.29</v>
      </c>
      <c r="AR140" s="2">
        <v>20.21</v>
      </c>
      <c r="AU140" s="1" t="s">
        <v>26</v>
      </c>
      <c r="AV140" s="2">
        <v>93.09</v>
      </c>
      <c r="AW140" s="2">
        <v>90.37</v>
      </c>
      <c r="AX140" s="2">
        <v>84.02</v>
      </c>
      <c r="AY140" s="2">
        <v>114.16</v>
      </c>
      <c r="AZ140" s="2">
        <v>84.8</v>
      </c>
      <c r="BA140" s="2">
        <v>72.14</v>
      </c>
      <c r="BB140" s="2">
        <v>100.31</v>
      </c>
      <c r="BC140" s="2">
        <v>74.22</v>
      </c>
      <c r="BD140" s="2">
        <v>101.97</v>
      </c>
      <c r="BE140" s="2">
        <v>136.28</v>
      </c>
      <c r="BF140" s="2">
        <v>120.47</v>
      </c>
      <c r="BG140" s="2">
        <v>126.67</v>
      </c>
      <c r="BH140" s="2">
        <v>110.1</v>
      </c>
      <c r="BI140" s="2">
        <v>100.72</v>
      </c>
      <c r="BJ140" s="2">
        <v>111.78</v>
      </c>
      <c r="BK140" s="2">
        <v>120.79</v>
      </c>
      <c r="BL140" s="2">
        <v>114.09</v>
      </c>
      <c r="BM140" s="2">
        <v>89.52</v>
      </c>
      <c r="BN140" s="2">
        <v>95.72</v>
      </c>
      <c r="BO140" s="2">
        <v>79.73</v>
      </c>
    </row>
    <row r="141" spans="24:67" x14ac:dyDescent="0.3">
      <c r="X141" s="1" t="s">
        <v>27</v>
      </c>
      <c r="Y141" s="2">
        <v>66.459999999999994</v>
      </c>
      <c r="Z141" s="2">
        <v>94.2</v>
      </c>
      <c r="AA141" s="2">
        <v>54.03</v>
      </c>
      <c r="AB141" s="2">
        <v>61.86</v>
      </c>
      <c r="AC141" s="2">
        <v>62.11</v>
      </c>
      <c r="AD141" s="2">
        <v>63.17</v>
      </c>
      <c r="AE141" s="2">
        <v>68.41</v>
      </c>
      <c r="AF141" s="2">
        <v>94.83</v>
      </c>
      <c r="AG141" s="2">
        <v>66.5</v>
      </c>
      <c r="AH141" s="2">
        <v>93.74</v>
      </c>
      <c r="AI141" s="2">
        <v>68.3</v>
      </c>
      <c r="AJ141" s="2">
        <v>81.91</v>
      </c>
      <c r="AK141" s="2">
        <v>61.18</v>
      </c>
      <c r="AL141" s="2">
        <v>65.98</v>
      </c>
      <c r="AM141" s="2">
        <v>65.430000000000007</v>
      </c>
      <c r="AN141" s="2">
        <v>71.17</v>
      </c>
      <c r="AO141" s="2">
        <v>63.42</v>
      </c>
      <c r="AP141" s="2">
        <v>48.94</v>
      </c>
      <c r="AQ141" s="2">
        <v>52.88</v>
      </c>
      <c r="AR141" s="2">
        <v>51.17</v>
      </c>
      <c r="AU141" s="1" t="s">
        <v>27</v>
      </c>
      <c r="AV141" s="2">
        <v>264.29000000000002</v>
      </c>
      <c r="AW141" s="2">
        <v>302.7</v>
      </c>
      <c r="AX141" s="2">
        <v>197.97</v>
      </c>
      <c r="AY141" s="2">
        <v>229.44</v>
      </c>
      <c r="AZ141" s="2">
        <v>215.09</v>
      </c>
      <c r="BA141" s="2">
        <v>229.78</v>
      </c>
      <c r="BB141" s="2">
        <v>249.74</v>
      </c>
      <c r="BC141" s="2">
        <v>251.21</v>
      </c>
      <c r="BD141" s="2">
        <v>262.44</v>
      </c>
      <c r="BE141" s="2">
        <v>384.61</v>
      </c>
      <c r="BF141" s="2">
        <v>272.54000000000002</v>
      </c>
      <c r="BG141" s="2">
        <v>334.65</v>
      </c>
      <c r="BH141" s="2">
        <v>242.85</v>
      </c>
      <c r="BI141" s="2">
        <v>267</v>
      </c>
      <c r="BJ141" s="2">
        <v>261.56</v>
      </c>
      <c r="BK141" s="2">
        <v>286.33999999999997</v>
      </c>
      <c r="BL141" s="2">
        <v>251.13</v>
      </c>
      <c r="BM141" s="2">
        <v>194.24</v>
      </c>
      <c r="BN141" s="2">
        <v>209.62</v>
      </c>
      <c r="BO141" s="2">
        <v>202.94</v>
      </c>
    </row>
    <row r="142" spans="24:67" x14ac:dyDescent="0.3">
      <c r="X142" s="1" t="s">
        <v>28</v>
      </c>
      <c r="Y142" s="2">
        <v>31.21</v>
      </c>
      <c r="Z142" s="2">
        <v>23.85</v>
      </c>
      <c r="AA142" s="2">
        <v>3.14</v>
      </c>
      <c r="AB142" s="2">
        <v>3.71</v>
      </c>
      <c r="AC142" s="2">
        <v>3.71</v>
      </c>
      <c r="AD142" s="2">
        <v>12.71</v>
      </c>
      <c r="AE142" s="2">
        <v>4.13</v>
      </c>
      <c r="AF142" s="2">
        <v>20.8</v>
      </c>
      <c r="AG142" s="2">
        <v>23.87</v>
      </c>
      <c r="AH142" s="2">
        <v>15.27</v>
      </c>
      <c r="AI142" s="2">
        <v>17.149999999999999</v>
      </c>
      <c r="AJ142" s="2">
        <v>17.07</v>
      </c>
      <c r="AK142" s="2">
        <v>18.38</v>
      </c>
      <c r="AL142" s="2">
        <v>20.78</v>
      </c>
      <c r="AM142" s="2">
        <v>14.71</v>
      </c>
      <c r="AN142" s="2">
        <v>17.14</v>
      </c>
      <c r="AO142" s="2">
        <v>21.32</v>
      </c>
      <c r="AP142" s="2">
        <v>14.7</v>
      </c>
      <c r="AQ142" s="2">
        <v>20.21</v>
      </c>
      <c r="AR142" s="2">
        <v>15.92</v>
      </c>
      <c r="AU142" s="1" t="s">
        <v>28</v>
      </c>
      <c r="AV142" s="2">
        <v>121.79</v>
      </c>
      <c r="AW142" s="2">
        <v>93.15</v>
      </c>
      <c r="AX142" s="2">
        <v>59.56</v>
      </c>
      <c r="AY142" s="2">
        <v>70.39</v>
      </c>
      <c r="AZ142" s="2">
        <v>70.39</v>
      </c>
      <c r="BA142" s="2">
        <v>67.09</v>
      </c>
      <c r="BB142" s="2">
        <v>78.52</v>
      </c>
      <c r="BC142" s="2">
        <v>75.2</v>
      </c>
      <c r="BD142" s="2">
        <v>93.13</v>
      </c>
      <c r="BE142" s="2">
        <v>59.73</v>
      </c>
      <c r="BF142" s="2">
        <v>66.849999999999994</v>
      </c>
      <c r="BG142" s="2">
        <v>66.930000000000007</v>
      </c>
      <c r="BH142" s="2">
        <v>71.62</v>
      </c>
      <c r="BI142" s="2">
        <v>81.22</v>
      </c>
      <c r="BJ142" s="2">
        <v>57.29</v>
      </c>
      <c r="BK142" s="2">
        <v>66.86</v>
      </c>
      <c r="BL142" s="2">
        <v>80.680000000000007</v>
      </c>
      <c r="BM142" s="2">
        <v>57.3</v>
      </c>
      <c r="BN142" s="2">
        <v>78.790000000000006</v>
      </c>
      <c r="BO142" s="2">
        <v>62.08</v>
      </c>
    </row>
    <row r="145" spans="24:67" x14ac:dyDescent="0.3">
      <c r="X145" t="s">
        <v>62</v>
      </c>
      <c r="AU145" t="s">
        <v>63</v>
      </c>
    </row>
    <row r="146" spans="24:67" x14ac:dyDescent="0.3">
      <c r="X146" s="1" t="s">
        <v>16</v>
      </c>
      <c r="Y146" s="13" t="s">
        <v>17</v>
      </c>
      <c r="Z146" s="13"/>
      <c r="AA146" s="13"/>
      <c r="AB146" s="13"/>
      <c r="AC146" s="13"/>
      <c r="AD146" s="13"/>
      <c r="AE146" s="13"/>
      <c r="AF146" s="13"/>
      <c r="AG146" s="13"/>
      <c r="AH146" s="13"/>
      <c r="AI146" s="13" t="s">
        <v>18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U146" s="1" t="s">
        <v>16</v>
      </c>
      <c r="AV146" s="13" t="s">
        <v>17</v>
      </c>
      <c r="AW146" s="13"/>
      <c r="AX146" s="13"/>
      <c r="AY146" s="13"/>
      <c r="AZ146" s="13"/>
      <c r="BA146" s="13"/>
      <c r="BB146" s="13"/>
      <c r="BC146" s="13"/>
      <c r="BD146" s="13"/>
      <c r="BE146" s="13"/>
      <c r="BF146" s="13" t="s">
        <v>18</v>
      </c>
      <c r="BG146" s="13"/>
      <c r="BH146" s="13"/>
      <c r="BI146" s="13"/>
      <c r="BJ146" s="13"/>
      <c r="BK146" s="13"/>
      <c r="BL146" s="13"/>
      <c r="BM146" s="13"/>
      <c r="BN146" s="13"/>
      <c r="BO146" s="13"/>
    </row>
    <row r="147" spans="24:67" x14ac:dyDescent="0.3">
      <c r="X147" s="1" t="s">
        <v>19</v>
      </c>
      <c r="Y147" s="1" t="s">
        <v>1</v>
      </c>
      <c r="Z147" s="1" t="s">
        <v>10</v>
      </c>
      <c r="AA147" s="1" t="s">
        <v>2</v>
      </c>
      <c r="AB147" s="1" t="s">
        <v>3</v>
      </c>
      <c r="AC147" s="1" t="s">
        <v>4</v>
      </c>
      <c r="AD147" s="1" t="s">
        <v>5</v>
      </c>
      <c r="AE147" s="1" t="s">
        <v>6</v>
      </c>
      <c r="AF147" s="1" t="s">
        <v>7</v>
      </c>
      <c r="AG147" s="1" t="s">
        <v>8</v>
      </c>
      <c r="AH147" s="1" t="s">
        <v>9</v>
      </c>
      <c r="AI147" s="1" t="s">
        <v>1</v>
      </c>
      <c r="AJ147" s="1" t="s">
        <v>10</v>
      </c>
      <c r="AK147" s="1" t="s">
        <v>2</v>
      </c>
      <c r="AL147" s="1" t="s">
        <v>3</v>
      </c>
      <c r="AM147" s="1" t="s">
        <v>4</v>
      </c>
      <c r="AN147" s="1" t="s">
        <v>5</v>
      </c>
      <c r="AO147" s="1" t="s">
        <v>6</v>
      </c>
      <c r="AP147" s="1" t="s">
        <v>7</v>
      </c>
      <c r="AQ147" s="1" t="s">
        <v>8</v>
      </c>
      <c r="AR147" s="1" t="s">
        <v>9</v>
      </c>
      <c r="AU147" s="1" t="s">
        <v>19</v>
      </c>
      <c r="AV147" s="1" t="s">
        <v>1</v>
      </c>
      <c r="AW147" s="1" t="s">
        <v>10</v>
      </c>
      <c r="AX147" s="1" t="s">
        <v>2</v>
      </c>
      <c r="AY147" s="1" t="s">
        <v>3</v>
      </c>
      <c r="AZ147" s="1" t="s">
        <v>4</v>
      </c>
      <c r="BA147" s="1" t="s">
        <v>5</v>
      </c>
      <c r="BB147" s="1" t="s">
        <v>6</v>
      </c>
      <c r="BC147" s="1" t="s">
        <v>7</v>
      </c>
      <c r="BD147" s="1" t="s">
        <v>8</v>
      </c>
      <c r="BE147" s="1" t="s">
        <v>9</v>
      </c>
      <c r="BF147" s="1" t="s">
        <v>1</v>
      </c>
      <c r="BG147" s="1" t="s">
        <v>10</v>
      </c>
      <c r="BH147" s="1" t="s">
        <v>2</v>
      </c>
      <c r="BI147" s="1" t="s">
        <v>3</v>
      </c>
      <c r="BJ147" s="1" t="s">
        <v>4</v>
      </c>
      <c r="BK147" s="1" t="s">
        <v>5</v>
      </c>
      <c r="BL147" s="1" t="s">
        <v>6</v>
      </c>
      <c r="BM147" s="1" t="s">
        <v>7</v>
      </c>
      <c r="BN147" s="1" t="s">
        <v>8</v>
      </c>
      <c r="BO147" s="1" t="s">
        <v>9</v>
      </c>
    </row>
    <row r="148" spans="24:67" x14ac:dyDescent="0.3">
      <c r="X148" s="1" t="s">
        <v>20</v>
      </c>
      <c r="AU148" s="1" t="s">
        <v>20</v>
      </c>
    </row>
    <row r="149" spans="24:67" x14ac:dyDescent="0.3">
      <c r="X149" s="1" t="s">
        <v>21</v>
      </c>
      <c r="Y149" s="2">
        <v>4.32</v>
      </c>
      <c r="Z149" s="2">
        <v>9.4499999999999993</v>
      </c>
      <c r="AA149" s="2">
        <v>3.19</v>
      </c>
      <c r="AB149" s="2">
        <v>1.05</v>
      </c>
      <c r="AC149" s="2">
        <v>10.11</v>
      </c>
      <c r="AD149" s="2">
        <v>22.4</v>
      </c>
      <c r="AE149" s="2">
        <v>22.68</v>
      </c>
      <c r="AF149" s="2">
        <v>20.3</v>
      </c>
      <c r="AG149" s="2">
        <v>15.96</v>
      </c>
      <c r="AH149" s="2">
        <v>9.52</v>
      </c>
      <c r="AI149" s="2">
        <v>6.92</v>
      </c>
      <c r="AJ149" s="2">
        <v>12.6</v>
      </c>
      <c r="AK149" s="2">
        <v>3.19</v>
      </c>
      <c r="AL149" s="2">
        <v>2.16</v>
      </c>
      <c r="AM149" s="2">
        <v>10.08</v>
      </c>
      <c r="AN149" s="2">
        <v>29.4</v>
      </c>
      <c r="AO149" s="2">
        <v>32.76</v>
      </c>
      <c r="AP149" s="2">
        <v>22.33</v>
      </c>
      <c r="AQ149" s="2">
        <v>15.96</v>
      </c>
      <c r="AR149" s="2">
        <v>16.66</v>
      </c>
      <c r="AU149" s="1" t="s">
        <v>21</v>
      </c>
      <c r="AV149" s="2">
        <v>4.32</v>
      </c>
      <c r="AW149" s="2">
        <v>9.4499999999999993</v>
      </c>
      <c r="AX149" s="2">
        <v>3.19</v>
      </c>
      <c r="AY149" s="2">
        <v>1.05</v>
      </c>
      <c r="AZ149" s="2">
        <v>10.11</v>
      </c>
      <c r="BA149" s="2">
        <v>22.4</v>
      </c>
      <c r="BB149" s="2">
        <v>22.68</v>
      </c>
      <c r="BC149" s="2">
        <v>20.3</v>
      </c>
      <c r="BD149" s="2">
        <v>15.96</v>
      </c>
      <c r="BE149" s="2">
        <v>9.52</v>
      </c>
      <c r="BF149" s="2">
        <v>6.92</v>
      </c>
      <c r="BG149" s="2">
        <v>12.6</v>
      </c>
      <c r="BH149" s="2">
        <v>3.19</v>
      </c>
      <c r="BI149" s="2">
        <v>2.16</v>
      </c>
      <c r="BJ149" s="2">
        <v>10.08</v>
      </c>
      <c r="BK149" s="2">
        <v>29.4</v>
      </c>
      <c r="BL149" s="2">
        <v>32.76</v>
      </c>
      <c r="BM149" s="2">
        <v>22.33</v>
      </c>
      <c r="BN149" s="2">
        <v>15.96</v>
      </c>
      <c r="BO149" s="2">
        <v>16.66</v>
      </c>
    </row>
    <row r="150" spans="24:67" x14ac:dyDescent="0.3">
      <c r="X150" s="1" t="s">
        <v>22</v>
      </c>
      <c r="Y150" s="2">
        <v>16.09</v>
      </c>
      <c r="Z150" s="2">
        <v>32.159999999999997</v>
      </c>
      <c r="AA150" s="2">
        <v>11.04</v>
      </c>
      <c r="AB150" s="2">
        <v>2.73</v>
      </c>
      <c r="AC150" s="2">
        <v>15.42</v>
      </c>
      <c r="AD150" s="2">
        <v>17.79</v>
      </c>
      <c r="AE150" s="2">
        <v>25.17</v>
      </c>
      <c r="AF150" s="2">
        <v>21.95</v>
      </c>
      <c r="AG150" s="2">
        <v>29.49</v>
      </c>
      <c r="AH150" s="2">
        <v>21.39</v>
      </c>
      <c r="AI150" s="2">
        <v>10.82</v>
      </c>
      <c r="AJ150" s="2">
        <v>34.549999999999997</v>
      </c>
      <c r="AK150" s="2">
        <v>8.25</v>
      </c>
      <c r="AL150" s="2">
        <v>5.85</v>
      </c>
      <c r="AM150" s="2">
        <v>21.09</v>
      </c>
      <c r="AN150" s="2">
        <v>24.11</v>
      </c>
      <c r="AO150" s="2">
        <v>32.65</v>
      </c>
      <c r="AP150" s="2">
        <v>25.34</v>
      </c>
      <c r="AQ150" s="2">
        <v>26.75</v>
      </c>
      <c r="AR150" s="2">
        <v>27.51</v>
      </c>
      <c r="AU150" s="1" t="s">
        <v>22</v>
      </c>
      <c r="AV150" s="2">
        <v>16.09</v>
      </c>
      <c r="AW150" s="2">
        <v>32.159999999999997</v>
      </c>
      <c r="AX150" s="2">
        <v>11.04</v>
      </c>
      <c r="AY150" s="2">
        <v>2.73</v>
      </c>
      <c r="AZ150" s="2">
        <v>15.42</v>
      </c>
      <c r="BA150" s="2">
        <v>17.79</v>
      </c>
      <c r="BB150" s="2">
        <v>25.17</v>
      </c>
      <c r="BC150" s="2">
        <v>21.95</v>
      </c>
      <c r="BD150" s="2">
        <v>29.49</v>
      </c>
      <c r="BE150" s="2">
        <v>21.39</v>
      </c>
      <c r="BF150" s="2">
        <v>10.82</v>
      </c>
      <c r="BG150" s="2">
        <v>34.549999999999997</v>
      </c>
      <c r="BH150" s="2">
        <v>8.25</v>
      </c>
      <c r="BI150" s="2">
        <v>5.85</v>
      </c>
      <c r="BJ150" s="2">
        <v>21.09</v>
      </c>
      <c r="BK150" s="2">
        <v>24.11</v>
      </c>
      <c r="BL150" s="2">
        <v>32.65</v>
      </c>
      <c r="BM150" s="2">
        <v>25.34</v>
      </c>
      <c r="BN150" s="2">
        <v>26.75</v>
      </c>
      <c r="BO150" s="2">
        <v>27.51</v>
      </c>
    </row>
    <row r="151" spans="24:67" x14ac:dyDescent="0.3">
      <c r="X151" s="1" t="s">
        <v>23</v>
      </c>
      <c r="Y151" s="2">
        <v>44.07</v>
      </c>
      <c r="Z151" s="2">
        <v>102.9</v>
      </c>
      <c r="AA151" s="2">
        <v>34.47</v>
      </c>
      <c r="AB151" s="2">
        <v>10.07</v>
      </c>
      <c r="AC151" s="2">
        <v>61.81</v>
      </c>
      <c r="AD151" s="2">
        <v>75.239999999999995</v>
      </c>
      <c r="AE151" s="2">
        <v>147.69</v>
      </c>
      <c r="AF151" s="2">
        <v>171.72</v>
      </c>
      <c r="AG151" s="2">
        <v>186.98</v>
      </c>
      <c r="AH151" s="2">
        <v>78.930000000000007</v>
      </c>
      <c r="AI151" s="2">
        <v>20.95</v>
      </c>
      <c r="AJ151" s="2">
        <v>96.26</v>
      </c>
      <c r="AK151" s="2">
        <v>4.26</v>
      </c>
      <c r="AL151" s="2">
        <v>37.409999999999997</v>
      </c>
      <c r="AM151" s="2">
        <v>67.41</v>
      </c>
      <c r="AN151" s="2">
        <v>69.47</v>
      </c>
      <c r="AO151" s="2">
        <v>112.29</v>
      </c>
      <c r="AP151" s="2">
        <v>91.82</v>
      </c>
      <c r="AQ151" s="2">
        <v>105.47</v>
      </c>
      <c r="AR151" s="2">
        <v>96.06</v>
      </c>
      <c r="AU151" s="1" t="s">
        <v>23</v>
      </c>
      <c r="AV151" s="2">
        <v>44.07</v>
      </c>
      <c r="AW151" s="2">
        <v>102.9</v>
      </c>
      <c r="AX151" s="2">
        <v>34.47</v>
      </c>
      <c r="AY151" s="2">
        <v>10.07</v>
      </c>
      <c r="AZ151" s="2">
        <v>61.81</v>
      </c>
      <c r="BA151" s="2">
        <v>75.239999999999995</v>
      </c>
      <c r="BB151" s="2">
        <v>147.69</v>
      </c>
      <c r="BC151" s="2">
        <v>171.72</v>
      </c>
      <c r="BD151" s="2">
        <v>186.98</v>
      </c>
      <c r="BE151" s="2">
        <v>78.930000000000007</v>
      </c>
      <c r="BF151" s="2">
        <v>20.95</v>
      </c>
      <c r="BG151" s="2">
        <v>96.26</v>
      </c>
      <c r="BH151" s="2">
        <v>4.26</v>
      </c>
      <c r="BI151" s="2">
        <v>37.409999999999997</v>
      </c>
      <c r="BJ151" s="2">
        <v>67.41</v>
      </c>
      <c r="BK151" s="2">
        <v>69.47</v>
      </c>
      <c r="BL151" s="2">
        <v>112.29</v>
      </c>
      <c r="BM151" s="2">
        <v>91.82</v>
      </c>
      <c r="BN151" s="2">
        <v>105.47</v>
      </c>
      <c r="BO151" s="2">
        <v>96.06</v>
      </c>
    </row>
    <row r="152" spans="24:67" x14ac:dyDescent="0.3">
      <c r="X152" s="1" t="s">
        <v>24</v>
      </c>
      <c r="Y152" s="2">
        <v>15.27</v>
      </c>
      <c r="Z152" s="2">
        <v>45.31</v>
      </c>
      <c r="AA152" s="2">
        <v>13.14</v>
      </c>
      <c r="AB152" s="2">
        <v>4.49</v>
      </c>
      <c r="AC152" s="2">
        <v>27.45</v>
      </c>
      <c r="AD152" s="2">
        <v>36.159999999999997</v>
      </c>
      <c r="AE152" s="2">
        <v>60.56</v>
      </c>
      <c r="AF152" s="2">
        <v>52.74</v>
      </c>
      <c r="AG152" s="2">
        <v>63.72</v>
      </c>
      <c r="AH152" s="2">
        <v>43.18</v>
      </c>
      <c r="AI152" s="2">
        <v>8.39</v>
      </c>
      <c r="AJ152" s="2">
        <v>42.41</v>
      </c>
      <c r="AK152" s="2">
        <v>5.84</v>
      </c>
      <c r="AL152" s="2">
        <v>6.69</v>
      </c>
      <c r="AM152" s="2">
        <v>20.25</v>
      </c>
      <c r="AN152" s="2">
        <v>22.14</v>
      </c>
      <c r="AO152" s="2">
        <v>33.28</v>
      </c>
      <c r="AP152" s="2">
        <v>27.78</v>
      </c>
      <c r="AQ152" s="2">
        <v>45.13</v>
      </c>
      <c r="AR152" s="2">
        <v>29.77</v>
      </c>
      <c r="AU152" s="1" t="s">
        <v>24</v>
      </c>
      <c r="AV152" s="2">
        <v>15.27</v>
      </c>
      <c r="AW152" s="2">
        <v>45.31</v>
      </c>
      <c r="AX152" s="2">
        <v>13.14</v>
      </c>
      <c r="AY152" s="2">
        <v>4.49</v>
      </c>
      <c r="AZ152" s="2">
        <v>27.45</v>
      </c>
      <c r="BA152" s="2">
        <v>36.159999999999997</v>
      </c>
      <c r="BB152" s="2">
        <v>60.56</v>
      </c>
      <c r="BC152" s="2">
        <v>52.74</v>
      </c>
      <c r="BD152" s="2">
        <v>63.72</v>
      </c>
      <c r="BE152" s="2">
        <v>43.18</v>
      </c>
      <c r="BF152" s="2">
        <v>8.39</v>
      </c>
      <c r="BG152" s="2">
        <v>42.41</v>
      </c>
      <c r="BH152" s="2">
        <v>5.84</v>
      </c>
      <c r="BI152" s="2">
        <v>6.69</v>
      </c>
      <c r="BJ152" s="2">
        <v>20.25</v>
      </c>
      <c r="BK152" s="2">
        <v>22.14</v>
      </c>
      <c r="BL152" s="2">
        <v>33.28</v>
      </c>
      <c r="BM152" s="2">
        <v>27.78</v>
      </c>
      <c r="BN152" s="2">
        <v>45.13</v>
      </c>
      <c r="BO152" s="2">
        <v>29.77</v>
      </c>
    </row>
    <row r="153" spans="24:67" x14ac:dyDescent="0.3">
      <c r="X153" s="1" t="s">
        <v>25</v>
      </c>
      <c r="Y153" s="2">
        <v>39.08</v>
      </c>
      <c r="Z153" s="2">
        <v>181.72</v>
      </c>
      <c r="AA153" s="2">
        <v>38.01</v>
      </c>
      <c r="AB153" s="2">
        <v>12.45</v>
      </c>
      <c r="AC153" s="2">
        <v>90.28</v>
      </c>
      <c r="AD153" s="2">
        <v>114.26</v>
      </c>
      <c r="AE153" s="2">
        <v>161.36000000000001</v>
      </c>
      <c r="AF153" s="2">
        <v>137.71</v>
      </c>
      <c r="AG153" s="2">
        <v>183.47</v>
      </c>
      <c r="AH153" s="2">
        <v>164.42</v>
      </c>
      <c r="AI153" s="2">
        <v>46.68</v>
      </c>
      <c r="AJ153" s="2">
        <v>174</v>
      </c>
      <c r="AK153" s="2">
        <v>30.63</v>
      </c>
      <c r="AL153" s="2">
        <v>22.27</v>
      </c>
      <c r="AM153" s="2">
        <v>82.31</v>
      </c>
      <c r="AN153" s="2">
        <v>109.86</v>
      </c>
      <c r="AO153" s="2">
        <v>156.19999999999999</v>
      </c>
      <c r="AP153" s="2">
        <v>135.22</v>
      </c>
      <c r="AQ153" s="2">
        <v>171.83</v>
      </c>
      <c r="AR153" s="2">
        <v>131.91999999999999</v>
      </c>
      <c r="AU153" s="1" t="s">
        <v>25</v>
      </c>
      <c r="AV153" s="2">
        <v>39.08</v>
      </c>
      <c r="AW153" s="2">
        <v>181.72</v>
      </c>
      <c r="AX153" s="2">
        <v>38.01</v>
      </c>
      <c r="AY153" s="2">
        <v>12.45</v>
      </c>
      <c r="AZ153" s="2">
        <v>90.28</v>
      </c>
      <c r="BA153" s="2">
        <v>114.26</v>
      </c>
      <c r="BB153" s="2">
        <v>161.36000000000001</v>
      </c>
      <c r="BC153" s="2">
        <v>137.71</v>
      </c>
      <c r="BD153" s="2">
        <v>183.47</v>
      </c>
      <c r="BE153" s="2">
        <v>164.42</v>
      </c>
      <c r="BF153" s="2">
        <v>46.68</v>
      </c>
      <c r="BG153" s="2">
        <v>174</v>
      </c>
      <c r="BH153" s="2">
        <v>30.63</v>
      </c>
      <c r="BI153" s="2">
        <v>22.27</v>
      </c>
      <c r="BJ153" s="2">
        <v>82.31</v>
      </c>
      <c r="BK153" s="2">
        <v>109.86</v>
      </c>
      <c r="BL153" s="2">
        <v>156.19999999999999</v>
      </c>
      <c r="BM153" s="2">
        <v>135.22</v>
      </c>
      <c r="BN153" s="2">
        <v>171.83</v>
      </c>
      <c r="BO153" s="2">
        <v>131.91999999999999</v>
      </c>
    </row>
    <row r="154" spans="24:67" x14ac:dyDescent="0.3">
      <c r="X154" s="1" t="s">
        <v>26</v>
      </c>
      <c r="Y154" s="2">
        <v>10.35</v>
      </c>
      <c r="Z154" s="2">
        <v>30.06</v>
      </c>
      <c r="AA154" s="2">
        <v>9.2200000000000006</v>
      </c>
      <c r="AB154" s="2">
        <v>2.93</v>
      </c>
      <c r="AC154" s="2">
        <v>10.37</v>
      </c>
      <c r="AD154" s="2">
        <v>11.77</v>
      </c>
      <c r="AE154" s="2">
        <v>24.69</v>
      </c>
      <c r="AF154" s="2">
        <v>22.3</v>
      </c>
      <c r="AG154" s="2">
        <v>28.39</v>
      </c>
      <c r="AH154" s="2">
        <v>28.91</v>
      </c>
      <c r="AI154" s="2">
        <v>4.03</v>
      </c>
      <c r="AJ154" s="2">
        <v>22.74</v>
      </c>
      <c r="AK154" s="2">
        <v>3.87</v>
      </c>
      <c r="AL154" s="2">
        <v>2.3199999999999998</v>
      </c>
      <c r="AM154" s="2">
        <v>7.56</v>
      </c>
      <c r="AN154" s="2">
        <v>15.51</v>
      </c>
      <c r="AO154" s="2">
        <v>22.19</v>
      </c>
      <c r="AP154" s="2">
        <v>16.32</v>
      </c>
      <c r="AQ154" s="2">
        <v>27.38</v>
      </c>
      <c r="AR154" s="2">
        <v>14.34</v>
      </c>
      <c r="AU154" s="1" t="s">
        <v>26</v>
      </c>
      <c r="AV154" s="2">
        <v>10.35</v>
      </c>
      <c r="AW154" s="2">
        <v>30.06</v>
      </c>
      <c r="AX154" s="2">
        <v>9.2200000000000006</v>
      </c>
      <c r="AY154" s="2">
        <v>2.93</v>
      </c>
      <c r="AZ154" s="2">
        <v>10.37</v>
      </c>
      <c r="BA154" s="2">
        <v>11.77</v>
      </c>
      <c r="BB154" s="2">
        <v>24.69</v>
      </c>
      <c r="BC154" s="2">
        <v>22.3</v>
      </c>
      <c r="BD154" s="2">
        <v>28.39</v>
      </c>
      <c r="BE154" s="2">
        <v>28.91</v>
      </c>
      <c r="BF154" s="2">
        <v>4.03</v>
      </c>
      <c r="BG154" s="2">
        <v>22.74</v>
      </c>
      <c r="BH154" s="2">
        <v>3.87</v>
      </c>
      <c r="BI154" s="2">
        <v>2.3199999999999998</v>
      </c>
      <c r="BJ154" s="2">
        <v>7.56</v>
      </c>
      <c r="BK154" s="2">
        <v>15.51</v>
      </c>
      <c r="BL154" s="2">
        <v>22.19</v>
      </c>
      <c r="BM154" s="2">
        <v>16.32</v>
      </c>
      <c r="BN154" s="2">
        <v>27.38</v>
      </c>
      <c r="BO154" s="2">
        <v>14.34</v>
      </c>
    </row>
    <row r="155" spans="24:67" x14ac:dyDescent="0.3">
      <c r="X155" s="1" t="s">
        <v>27</v>
      </c>
      <c r="Y155" s="2">
        <v>18.93</v>
      </c>
      <c r="Z155" s="2">
        <v>57.45</v>
      </c>
      <c r="AA155" s="2">
        <v>14.05</v>
      </c>
      <c r="AB155" s="2">
        <v>6.71</v>
      </c>
      <c r="AC155" s="2">
        <v>27.1</v>
      </c>
      <c r="AD155" s="2">
        <v>33.25</v>
      </c>
      <c r="AE155" s="2">
        <v>50.51</v>
      </c>
      <c r="AF155" s="2">
        <v>39.43</v>
      </c>
      <c r="AG155" s="2">
        <v>63.95</v>
      </c>
      <c r="AH155" s="2">
        <v>53.91</v>
      </c>
      <c r="AI155" s="2">
        <v>23.33</v>
      </c>
      <c r="AJ155" s="2">
        <v>43.87</v>
      </c>
      <c r="AK155" s="2">
        <v>16.579999999999998</v>
      </c>
      <c r="AL155" s="2">
        <v>8.49</v>
      </c>
      <c r="AM155" s="2">
        <v>29.85</v>
      </c>
      <c r="AN155" s="2">
        <v>35.79</v>
      </c>
      <c r="AO155" s="2">
        <v>57.3</v>
      </c>
      <c r="AP155" s="2">
        <v>46.56</v>
      </c>
      <c r="AQ155" s="2">
        <v>61.9</v>
      </c>
      <c r="AR155" s="2">
        <v>39.04</v>
      </c>
      <c r="AU155" s="1" t="s">
        <v>27</v>
      </c>
      <c r="AV155" s="2">
        <v>18.93</v>
      </c>
      <c r="AW155" s="2">
        <v>57.45</v>
      </c>
      <c r="AX155" s="2">
        <v>14.05</v>
      </c>
      <c r="AY155" s="2">
        <v>6.71</v>
      </c>
      <c r="AZ155" s="2">
        <v>27.1</v>
      </c>
      <c r="BA155" s="2">
        <v>33.25</v>
      </c>
      <c r="BB155" s="2">
        <v>50.51</v>
      </c>
      <c r="BC155" s="2">
        <v>39.43</v>
      </c>
      <c r="BD155" s="2">
        <v>63.95</v>
      </c>
      <c r="BE155" s="2">
        <v>53.91</v>
      </c>
      <c r="BF155" s="2">
        <v>23.33</v>
      </c>
      <c r="BG155" s="2">
        <v>43.87</v>
      </c>
      <c r="BH155" s="2">
        <v>16.579999999999998</v>
      </c>
      <c r="BI155" s="2">
        <v>8.49</v>
      </c>
      <c r="BJ155" s="2">
        <v>29.85</v>
      </c>
      <c r="BK155" s="2">
        <v>35.79</v>
      </c>
      <c r="BL155" s="2">
        <v>57.3</v>
      </c>
      <c r="BM155" s="2">
        <v>46.56</v>
      </c>
      <c r="BN155" s="2">
        <v>61.9</v>
      </c>
      <c r="BO155" s="2">
        <v>39.04</v>
      </c>
    </row>
    <row r="156" spans="24:67" x14ac:dyDescent="0.3">
      <c r="X156" s="1" t="s">
        <v>28</v>
      </c>
      <c r="Y156" s="2">
        <v>3.98</v>
      </c>
      <c r="Z156" s="2">
        <v>11.03</v>
      </c>
      <c r="AA156" s="2">
        <v>0.56000000000000005</v>
      </c>
      <c r="AB156" s="2">
        <v>0.21</v>
      </c>
      <c r="AC156" s="2">
        <v>2.0499999999999998</v>
      </c>
      <c r="AD156" s="2">
        <v>7.35</v>
      </c>
      <c r="AE156" s="2">
        <v>15.44</v>
      </c>
      <c r="AF156" s="2">
        <v>12.44</v>
      </c>
      <c r="AG156" s="2">
        <v>9.32</v>
      </c>
      <c r="AH156" s="2">
        <v>4.26</v>
      </c>
      <c r="AI156" s="2">
        <v>7.15</v>
      </c>
      <c r="AJ156" s="2">
        <v>13.77</v>
      </c>
      <c r="AK156" s="2">
        <v>0.74</v>
      </c>
      <c r="AL156" s="2">
        <v>0.91</v>
      </c>
      <c r="AM156" s="2">
        <v>5.2</v>
      </c>
      <c r="AN156" s="2">
        <v>11</v>
      </c>
      <c r="AO156" s="2">
        <v>13.17</v>
      </c>
      <c r="AP156" s="2">
        <v>7.09</v>
      </c>
      <c r="AQ156" s="2">
        <v>4.6500000000000004</v>
      </c>
      <c r="AR156" s="2">
        <v>4.17</v>
      </c>
      <c r="AU156" s="1" t="s">
        <v>28</v>
      </c>
      <c r="AV156" s="2">
        <v>3.98</v>
      </c>
      <c r="AW156" s="2">
        <v>11.03</v>
      </c>
      <c r="AX156" s="2">
        <v>0.56000000000000005</v>
      </c>
      <c r="AY156" s="2">
        <v>0.21</v>
      </c>
      <c r="AZ156" s="2">
        <v>2.0499999999999998</v>
      </c>
      <c r="BA156" s="2">
        <v>7.35</v>
      </c>
      <c r="BB156" s="2">
        <v>15.44</v>
      </c>
      <c r="BC156" s="2">
        <v>12.44</v>
      </c>
      <c r="BD156" s="2">
        <v>9.32</v>
      </c>
      <c r="BE156" s="2">
        <v>4.26</v>
      </c>
      <c r="BF156" s="2">
        <v>7.15</v>
      </c>
      <c r="BG156" s="2">
        <v>13.77</v>
      </c>
      <c r="BH156" s="2">
        <v>0.74</v>
      </c>
      <c r="BI156" s="2">
        <v>0.91</v>
      </c>
      <c r="BJ156" s="2">
        <v>5.2</v>
      </c>
      <c r="BK156" s="2">
        <v>11</v>
      </c>
      <c r="BL156" s="2">
        <v>13.17</v>
      </c>
      <c r="BM156" s="2">
        <v>7.09</v>
      </c>
      <c r="BN156" s="2">
        <v>4.6500000000000004</v>
      </c>
      <c r="BO156" s="2">
        <v>4.17</v>
      </c>
    </row>
    <row r="159" spans="24:67" x14ac:dyDescent="0.3">
      <c r="X159" t="s">
        <v>64</v>
      </c>
      <c r="AU159" t="s">
        <v>65</v>
      </c>
    </row>
    <row r="160" spans="24:67" x14ac:dyDescent="0.3">
      <c r="X160" s="1" t="s">
        <v>16</v>
      </c>
      <c r="Y160" s="1" t="s">
        <v>17</v>
      </c>
      <c r="Z160" s="1" t="s">
        <v>18</v>
      </c>
      <c r="AA160" s="1" t="s">
        <v>17</v>
      </c>
      <c r="AB160" s="1" t="s">
        <v>18</v>
      </c>
      <c r="AC160" s="1" t="s">
        <v>17</v>
      </c>
      <c r="AD160" s="1" t="s">
        <v>18</v>
      </c>
      <c r="AE160" s="1" t="s">
        <v>17</v>
      </c>
      <c r="AF160" s="1" t="s">
        <v>18</v>
      </c>
      <c r="AG160" s="1" t="s">
        <v>17</v>
      </c>
      <c r="AH160" s="1" t="s">
        <v>18</v>
      </c>
      <c r="AI160" s="1" t="s">
        <v>17</v>
      </c>
      <c r="AJ160" s="1" t="s">
        <v>18</v>
      </c>
      <c r="AK160" s="1" t="s">
        <v>17</v>
      </c>
      <c r="AL160" s="1" t="s">
        <v>18</v>
      </c>
      <c r="AM160" s="1" t="s">
        <v>17</v>
      </c>
      <c r="AN160" s="1" t="s">
        <v>18</v>
      </c>
      <c r="AO160" s="1" t="s">
        <v>17</v>
      </c>
      <c r="AP160" s="1" t="s">
        <v>18</v>
      </c>
      <c r="AQ160" s="1" t="s">
        <v>17</v>
      </c>
      <c r="AR160" s="1" t="s">
        <v>18</v>
      </c>
      <c r="AU160" s="1" t="s">
        <v>16</v>
      </c>
      <c r="AV160" s="1" t="s">
        <v>17</v>
      </c>
      <c r="AW160" s="1" t="s">
        <v>18</v>
      </c>
      <c r="AX160" s="1" t="s">
        <v>17</v>
      </c>
      <c r="AY160" s="1" t="s">
        <v>18</v>
      </c>
      <c r="AZ160" s="1" t="s">
        <v>17</v>
      </c>
      <c r="BA160" s="1" t="s">
        <v>18</v>
      </c>
      <c r="BB160" s="1" t="s">
        <v>17</v>
      </c>
      <c r="BC160" s="1" t="s">
        <v>18</v>
      </c>
      <c r="BD160" s="1" t="s">
        <v>17</v>
      </c>
      <c r="BE160" s="1" t="s">
        <v>18</v>
      </c>
      <c r="BF160" s="1" t="s">
        <v>17</v>
      </c>
      <c r="BG160" s="1" t="s">
        <v>18</v>
      </c>
      <c r="BH160" s="1" t="s">
        <v>17</v>
      </c>
      <c r="BI160" s="1" t="s">
        <v>18</v>
      </c>
      <c r="BJ160" s="1" t="s">
        <v>17</v>
      </c>
      <c r="BK160" s="1" t="s">
        <v>18</v>
      </c>
      <c r="BL160" s="1" t="s">
        <v>17</v>
      </c>
      <c r="BM160" s="1" t="s">
        <v>18</v>
      </c>
      <c r="BN160" s="1" t="s">
        <v>17</v>
      </c>
      <c r="BO160" s="1" t="s">
        <v>18</v>
      </c>
    </row>
    <row r="161" spans="24:67" x14ac:dyDescent="0.3">
      <c r="X161" s="1" t="s">
        <v>19</v>
      </c>
      <c r="Y161" s="1" t="s">
        <v>1</v>
      </c>
      <c r="Z161" s="1" t="s">
        <v>1</v>
      </c>
      <c r="AA161" s="1" t="s">
        <v>2</v>
      </c>
      <c r="AB161" s="1" t="s">
        <v>2</v>
      </c>
      <c r="AC161" s="1" t="s">
        <v>3</v>
      </c>
      <c r="AD161" s="1" t="s">
        <v>3</v>
      </c>
      <c r="AE161" s="1" t="s">
        <v>4</v>
      </c>
      <c r="AF161" s="1" t="s">
        <v>4</v>
      </c>
      <c r="AG161" s="1" t="s">
        <v>5</v>
      </c>
      <c r="AH161" s="1" t="s">
        <v>5</v>
      </c>
      <c r="AI161" s="1" t="s">
        <v>6</v>
      </c>
      <c r="AJ161" s="1" t="s">
        <v>6</v>
      </c>
      <c r="AK161" s="1" t="s">
        <v>7</v>
      </c>
      <c r="AL161" s="1" t="s">
        <v>7</v>
      </c>
      <c r="AM161" s="1" t="s">
        <v>8</v>
      </c>
      <c r="AN161" s="1" t="s">
        <v>8</v>
      </c>
      <c r="AO161" s="1" t="s">
        <v>9</v>
      </c>
      <c r="AP161" s="1" t="s">
        <v>9</v>
      </c>
      <c r="AQ161" s="1" t="s">
        <v>10</v>
      </c>
      <c r="AR161" s="1" t="s">
        <v>10</v>
      </c>
      <c r="AU161" s="1" t="s">
        <v>19</v>
      </c>
      <c r="AV161" s="1" t="s">
        <v>1</v>
      </c>
      <c r="AW161" s="1" t="s">
        <v>1</v>
      </c>
      <c r="AX161" s="1" t="s">
        <v>2</v>
      </c>
      <c r="AY161" s="1" t="s">
        <v>2</v>
      </c>
      <c r="AZ161" s="1" t="s">
        <v>3</v>
      </c>
      <c r="BA161" s="1" t="s">
        <v>3</v>
      </c>
      <c r="BB161" s="1" t="s">
        <v>4</v>
      </c>
      <c r="BC161" s="1" t="s">
        <v>4</v>
      </c>
      <c r="BD161" s="1" t="s">
        <v>5</v>
      </c>
      <c r="BE161" s="1" t="s">
        <v>5</v>
      </c>
      <c r="BF161" s="1" t="s">
        <v>6</v>
      </c>
      <c r="BG161" s="1" t="s">
        <v>6</v>
      </c>
      <c r="BH161" s="1" t="s">
        <v>7</v>
      </c>
      <c r="BI161" s="1" t="s">
        <v>7</v>
      </c>
      <c r="BJ161" s="1" t="s">
        <v>8</v>
      </c>
      <c r="BK161" s="1" t="s">
        <v>8</v>
      </c>
      <c r="BL161" s="1" t="s">
        <v>9</v>
      </c>
      <c r="BM161" s="1" t="s">
        <v>9</v>
      </c>
      <c r="BN161" s="1" t="s">
        <v>10</v>
      </c>
      <c r="BO161" s="1" t="s">
        <v>10</v>
      </c>
    </row>
    <row r="162" spans="24:67" x14ac:dyDescent="0.3">
      <c r="X162" s="1" t="s">
        <v>20</v>
      </c>
      <c r="AU162" s="1" t="s">
        <v>20</v>
      </c>
    </row>
    <row r="163" spans="24:67" x14ac:dyDescent="0.3">
      <c r="X163" s="1" t="s">
        <v>21</v>
      </c>
      <c r="Y163" s="2">
        <v>3.33</v>
      </c>
      <c r="Z163" s="2">
        <v>5.32</v>
      </c>
      <c r="AA163" s="2">
        <v>2.4500000000000002</v>
      </c>
      <c r="AB163" s="2">
        <v>2.4500000000000002</v>
      </c>
      <c r="AC163" s="2">
        <v>2.1</v>
      </c>
      <c r="AD163" s="2">
        <v>4.32</v>
      </c>
      <c r="AE163" s="2">
        <v>6.32</v>
      </c>
      <c r="AF163" s="2">
        <v>6.3</v>
      </c>
      <c r="AG163" s="2">
        <v>11.2</v>
      </c>
      <c r="AH163" s="2">
        <v>14.7</v>
      </c>
      <c r="AI163" s="2">
        <v>6.3</v>
      </c>
      <c r="AJ163" s="2">
        <v>9.1</v>
      </c>
      <c r="AK163" s="2">
        <v>7</v>
      </c>
      <c r="AL163" s="2">
        <v>7.7</v>
      </c>
      <c r="AM163" s="2">
        <v>4.2</v>
      </c>
      <c r="AN163" s="2">
        <v>4.2</v>
      </c>
      <c r="AO163" s="2">
        <v>2.8</v>
      </c>
      <c r="AP163" s="2">
        <v>4.9000000000000004</v>
      </c>
      <c r="AQ163" s="2">
        <v>2.1</v>
      </c>
      <c r="AR163" s="2">
        <v>2.8</v>
      </c>
      <c r="AU163" s="1" t="s">
        <v>21</v>
      </c>
      <c r="AV163" s="2">
        <v>3.33</v>
      </c>
      <c r="AW163" s="2">
        <v>5.32</v>
      </c>
      <c r="AX163" s="2">
        <v>2.4500000000000002</v>
      </c>
      <c r="AY163" s="2">
        <v>2.4500000000000002</v>
      </c>
      <c r="AZ163" s="2">
        <v>2.1</v>
      </c>
      <c r="BA163" s="2">
        <v>4.32</v>
      </c>
      <c r="BB163" s="2">
        <v>6.32</v>
      </c>
      <c r="BC163" s="2">
        <v>6.3</v>
      </c>
      <c r="BD163" s="2">
        <v>11.2</v>
      </c>
      <c r="BE163" s="2">
        <v>14.7</v>
      </c>
      <c r="BF163" s="2">
        <v>6.3</v>
      </c>
      <c r="BG163" s="2">
        <v>9.1</v>
      </c>
      <c r="BH163" s="2">
        <v>7</v>
      </c>
      <c r="BI163" s="2">
        <v>7.7</v>
      </c>
      <c r="BJ163" s="2">
        <v>4.2</v>
      </c>
      <c r="BK163" s="2">
        <v>4.2</v>
      </c>
      <c r="BL163" s="2">
        <v>2.8</v>
      </c>
      <c r="BM163" s="2">
        <v>4.9000000000000004</v>
      </c>
      <c r="BN163" s="2">
        <v>2.1</v>
      </c>
      <c r="BO163" s="2">
        <v>2.8</v>
      </c>
    </row>
    <row r="164" spans="24:67" x14ac:dyDescent="0.3">
      <c r="X164" s="1" t="s">
        <v>22</v>
      </c>
      <c r="Y164" s="2">
        <v>12.38</v>
      </c>
      <c r="Z164" s="2">
        <v>8.33</v>
      </c>
      <c r="AA164" s="2">
        <v>8.5</v>
      </c>
      <c r="AB164" s="2">
        <v>6.35</v>
      </c>
      <c r="AC164" s="2">
        <v>5.46</v>
      </c>
      <c r="AD164" s="2">
        <v>11.7</v>
      </c>
      <c r="AE164" s="2">
        <v>9.64</v>
      </c>
      <c r="AF164" s="2">
        <v>13.18</v>
      </c>
      <c r="AG164" s="2">
        <v>8.9</v>
      </c>
      <c r="AH164" s="2">
        <v>12.06</v>
      </c>
      <c r="AI164" s="2">
        <v>6.99</v>
      </c>
      <c r="AJ164" s="2">
        <v>9.07</v>
      </c>
      <c r="AK164" s="2">
        <v>7.57</v>
      </c>
      <c r="AL164" s="2">
        <v>8.74</v>
      </c>
      <c r="AM164" s="2">
        <v>7.76</v>
      </c>
      <c r="AN164" s="2">
        <v>7.04</v>
      </c>
      <c r="AO164" s="2">
        <v>6.29</v>
      </c>
      <c r="AP164" s="2">
        <v>8.09</v>
      </c>
      <c r="AQ164" s="2">
        <v>7.15</v>
      </c>
      <c r="AR164" s="2">
        <v>7.68</v>
      </c>
      <c r="AU164" s="1" t="s">
        <v>22</v>
      </c>
      <c r="AV164" s="2">
        <v>12.38</v>
      </c>
      <c r="AW164" s="2">
        <v>8.33</v>
      </c>
      <c r="AX164" s="2">
        <v>8.5</v>
      </c>
      <c r="AY164" s="2">
        <v>6.35</v>
      </c>
      <c r="AZ164" s="2">
        <v>5.46</v>
      </c>
      <c r="BA164" s="2">
        <v>11.7</v>
      </c>
      <c r="BB164" s="2">
        <v>9.64</v>
      </c>
      <c r="BC164" s="2">
        <v>13.18</v>
      </c>
      <c r="BD164" s="2">
        <v>8.9</v>
      </c>
      <c r="BE164" s="2">
        <v>12.06</v>
      </c>
      <c r="BF164" s="2">
        <v>6.99</v>
      </c>
      <c r="BG164" s="2">
        <v>9.07</v>
      </c>
      <c r="BH164" s="2">
        <v>7.57</v>
      </c>
      <c r="BI164" s="2">
        <v>8.74</v>
      </c>
      <c r="BJ164" s="2">
        <v>7.76</v>
      </c>
      <c r="BK164" s="2">
        <v>7.04</v>
      </c>
      <c r="BL164" s="2">
        <v>6.29</v>
      </c>
      <c r="BM164" s="2">
        <v>8.09</v>
      </c>
      <c r="BN164" s="2">
        <v>7.15</v>
      </c>
      <c r="BO164" s="2">
        <v>7.68</v>
      </c>
    </row>
    <row r="165" spans="24:67" x14ac:dyDescent="0.3">
      <c r="X165" s="1" t="s">
        <v>23</v>
      </c>
      <c r="Y165" s="2">
        <v>33.9</v>
      </c>
      <c r="Z165" s="2">
        <v>16.11</v>
      </c>
      <c r="AA165" s="2">
        <v>26.52</v>
      </c>
      <c r="AB165" s="2">
        <v>3.28</v>
      </c>
      <c r="AC165" s="2">
        <v>20.14</v>
      </c>
      <c r="AD165" s="2">
        <v>74.819999999999993</v>
      </c>
      <c r="AE165" s="2">
        <v>38.630000000000003</v>
      </c>
      <c r="AF165" s="2">
        <v>42.13</v>
      </c>
      <c r="AG165" s="2">
        <v>37.619999999999997</v>
      </c>
      <c r="AH165" s="2">
        <v>34.74</v>
      </c>
      <c r="AI165" s="2">
        <v>41.03</v>
      </c>
      <c r="AJ165" s="2">
        <v>31.19</v>
      </c>
      <c r="AK165" s="2">
        <v>59.22</v>
      </c>
      <c r="AL165" s="2">
        <v>31.66</v>
      </c>
      <c r="AM165" s="2">
        <v>49.2</v>
      </c>
      <c r="AN165" s="2">
        <v>27.76</v>
      </c>
      <c r="AO165" s="2">
        <v>23.22</v>
      </c>
      <c r="AP165" s="2">
        <v>28.25</v>
      </c>
      <c r="AQ165" s="2">
        <v>22.87</v>
      </c>
      <c r="AR165" s="2">
        <v>21.39</v>
      </c>
      <c r="AU165" s="1" t="s">
        <v>23</v>
      </c>
      <c r="AV165" s="2">
        <v>33.9</v>
      </c>
      <c r="AW165" s="2">
        <v>16.11</v>
      </c>
      <c r="AX165" s="2">
        <v>26.52</v>
      </c>
      <c r="AY165" s="2">
        <v>3.28</v>
      </c>
      <c r="AZ165" s="2">
        <v>20.14</v>
      </c>
      <c r="BA165" s="2">
        <v>74.819999999999993</v>
      </c>
      <c r="BB165" s="2">
        <v>38.630000000000003</v>
      </c>
      <c r="BC165" s="2">
        <v>42.13</v>
      </c>
      <c r="BD165" s="2">
        <v>37.619999999999997</v>
      </c>
      <c r="BE165" s="2">
        <v>34.74</v>
      </c>
      <c r="BF165" s="2">
        <v>41.03</v>
      </c>
      <c r="BG165" s="2">
        <v>31.19</v>
      </c>
      <c r="BH165" s="2">
        <v>59.22</v>
      </c>
      <c r="BI165" s="2">
        <v>31.66</v>
      </c>
      <c r="BJ165" s="2">
        <v>49.2</v>
      </c>
      <c r="BK165" s="2">
        <v>27.76</v>
      </c>
      <c r="BL165" s="2">
        <v>23.22</v>
      </c>
      <c r="BM165" s="2">
        <v>28.25</v>
      </c>
      <c r="BN165" s="2">
        <v>22.87</v>
      </c>
      <c r="BO165" s="2">
        <v>21.39</v>
      </c>
    </row>
    <row r="166" spans="24:67" x14ac:dyDescent="0.3">
      <c r="X166" s="1" t="s">
        <v>24</v>
      </c>
      <c r="Y166" s="2">
        <v>11.75</v>
      </c>
      <c r="Z166" s="2">
        <v>6.45</v>
      </c>
      <c r="AA166" s="2">
        <v>10.1</v>
      </c>
      <c r="AB166" s="2">
        <v>4.49</v>
      </c>
      <c r="AC166" s="2">
        <v>8.9700000000000006</v>
      </c>
      <c r="AD166" s="2">
        <v>13.38</v>
      </c>
      <c r="AE166" s="2">
        <v>17.16</v>
      </c>
      <c r="AF166" s="2">
        <v>12.66</v>
      </c>
      <c r="AG166" s="2">
        <v>18.079999999999998</v>
      </c>
      <c r="AH166" s="2">
        <v>11.07</v>
      </c>
      <c r="AI166" s="2">
        <v>16.82</v>
      </c>
      <c r="AJ166" s="2">
        <v>9.25</v>
      </c>
      <c r="AK166" s="2">
        <v>18.190000000000001</v>
      </c>
      <c r="AL166" s="2">
        <v>9.58</v>
      </c>
      <c r="AM166" s="2">
        <v>16.77</v>
      </c>
      <c r="AN166" s="2">
        <v>11.88</v>
      </c>
      <c r="AO166" s="2">
        <v>12.7</v>
      </c>
      <c r="AP166" s="2">
        <v>8.76</v>
      </c>
      <c r="AQ166" s="2">
        <v>10.07</v>
      </c>
      <c r="AR166" s="2">
        <v>9.42</v>
      </c>
      <c r="AU166" s="1" t="s">
        <v>24</v>
      </c>
      <c r="AV166" s="2">
        <v>11.75</v>
      </c>
      <c r="AW166" s="2">
        <v>6.45</v>
      </c>
      <c r="AX166" s="2">
        <v>10.1</v>
      </c>
      <c r="AY166" s="2">
        <v>4.49</v>
      </c>
      <c r="AZ166" s="2">
        <v>8.9700000000000006</v>
      </c>
      <c r="BA166" s="2">
        <v>13.38</v>
      </c>
      <c r="BB166" s="2">
        <v>17.16</v>
      </c>
      <c r="BC166" s="2">
        <v>12.66</v>
      </c>
      <c r="BD166" s="2">
        <v>18.079999999999998</v>
      </c>
      <c r="BE166" s="2">
        <v>11.07</v>
      </c>
      <c r="BF166" s="2">
        <v>16.82</v>
      </c>
      <c r="BG166" s="2">
        <v>9.25</v>
      </c>
      <c r="BH166" s="2">
        <v>18.190000000000001</v>
      </c>
      <c r="BI166" s="2">
        <v>9.58</v>
      </c>
      <c r="BJ166" s="2">
        <v>16.77</v>
      </c>
      <c r="BK166" s="2">
        <v>11.88</v>
      </c>
      <c r="BL166" s="2">
        <v>12.7</v>
      </c>
      <c r="BM166" s="2">
        <v>8.76</v>
      </c>
      <c r="BN166" s="2">
        <v>10.07</v>
      </c>
      <c r="BO166" s="2">
        <v>9.42</v>
      </c>
    </row>
    <row r="167" spans="24:67" x14ac:dyDescent="0.3">
      <c r="X167" s="1" t="s">
        <v>25</v>
      </c>
      <c r="Y167" s="2">
        <v>30.06</v>
      </c>
      <c r="Z167" s="2">
        <v>35.909999999999997</v>
      </c>
      <c r="AA167" s="2">
        <v>29.24</v>
      </c>
      <c r="AB167" s="2">
        <v>23.56</v>
      </c>
      <c r="AC167" s="2">
        <v>24.9</v>
      </c>
      <c r="AD167" s="2">
        <v>44.54</v>
      </c>
      <c r="AE167" s="2">
        <v>56.43</v>
      </c>
      <c r="AF167" s="2">
        <v>51.45</v>
      </c>
      <c r="AG167" s="2">
        <v>57.13</v>
      </c>
      <c r="AH167" s="2">
        <v>54.93</v>
      </c>
      <c r="AI167" s="2">
        <v>44.82</v>
      </c>
      <c r="AJ167" s="2">
        <v>43.39</v>
      </c>
      <c r="AK167" s="2">
        <v>47.49</v>
      </c>
      <c r="AL167" s="2">
        <v>46.63</v>
      </c>
      <c r="AM167" s="2">
        <v>48.28</v>
      </c>
      <c r="AN167" s="2">
        <v>45.22</v>
      </c>
      <c r="AO167" s="2">
        <v>48.36</v>
      </c>
      <c r="AP167" s="2">
        <v>38.799999999999997</v>
      </c>
      <c r="AQ167" s="2">
        <v>40.380000000000003</v>
      </c>
      <c r="AR167" s="2">
        <v>38.67</v>
      </c>
      <c r="AU167" s="1" t="s">
        <v>25</v>
      </c>
      <c r="AV167" s="2">
        <v>30.06</v>
      </c>
      <c r="AW167" s="2">
        <v>35.909999999999997</v>
      </c>
      <c r="AX167" s="2">
        <v>29.24</v>
      </c>
      <c r="AY167" s="2">
        <v>23.56</v>
      </c>
      <c r="AZ167" s="2">
        <v>24.9</v>
      </c>
      <c r="BA167" s="2">
        <v>44.54</v>
      </c>
      <c r="BB167" s="2">
        <v>56.43</v>
      </c>
      <c r="BC167" s="2">
        <v>51.45</v>
      </c>
      <c r="BD167" s="2">
        <v>57.13</v>
      </c>
      <c r="BE167" s="2">
        <v>54.93</v>
      </c>
      <c r="BF167" s="2">
        <v>44.82</v>
      </c>
      <c r="BG167" s="2">
        <v>43.39</v>
      </c>
      <c r="BH167" s="2">
        <v>47.49</v>
      </c>
      <c r="BI167" s="2">
        <v>46.63</v>
      </c>
      <c r="BJ167" s="2">
        <v>48.28</v>
      </c>
      <c r="BK167" s="2">
        <v>45.22</v>
      </c>
      <c r="BL167" s="2">
        <v>48.36</v>
      </c>
      <c r="BM167" s="2">
        <v>38.799999999999997</v>
      </c>
      <c r="BN167" s="2">
        <v>40.380000000000003</v>
      </c>
      <c r="BO167" s="2">
        <v>38.67</v>
      </c>
    </row>
    <row r="168" spans="24:67" x14ac:dyDescent="0.3">
      <c r="X168" s="1" t="s">
        <v>26</v>
      </c>
      <c r="Y168" s="2">
        <v>7.96</v>
      </c>
      <c r="Z168" s="2">
        <v>3.1</v>
      </c>
      <c r="AA168" s="2">
        <v>7.09</v>
      </c>
      <c r="AB168" s="2">
        <v>2.98</v>
      </c>
      <c r="AC168" s="2">
        <v>5.86</v>
      </c>
      <c r="AD168" s="2">
        <v>4.6500000000000004</v>
      </c>
      <c r="AE168" s="2">
        <v>6.48</v>
      </c>
      <c r="AF168" s="2">
        <v>4.72</v>
      </c>
      <c r="AG168" s="2">
        <v>5.88</v>
      </c>
      <c r="AH168" s="2">
        <v>7.75</v>
      </c>
      <c r="AI168" s="2">
        <v>6.86</v>
      </c>
      <c r="AJ168" s="2">
        <v>6.17</v>
      </c>
      <c r="AK168" s="2">
        <v>7.69</v>
      </c>
      <c r="AL168" s="2">
        <v>5.63</v>
      </c>
      <c r="AM168" s="2">
        <v>7.47</v>
      </c>
      <c r="AN168" s="2">
        <v>7.21</v>
      </c>
      <c r="AO168" s="2">
        <v>8.5</v>
      </c>
      <c r="AP168" s="2">
        <v>4.22</v>
      </c>
      <c r="AQ168" s="2">
        <v>6.68</v>
      </c>
      <c r="AR168" s="2">
        <v>5.05</v>
      </c>
      <c r="AU168" s="1" t="s">
        <v>26</v>
      </c>
      <c r="AV168" s="2">
        <v>7.96</v>
      </c>
      <c r="AW168" s="2">
        <v>3.1</v>
      </c>
      <c r="AX168" s="2">
        <v>7.09</v>
      </c>
      <c r="AY168" s="2">
        <v>2.98</v>
      </c>
      <c r="AZ168" s="2">
        <v>5.86</v>
      </c>
      <c r="BA168" s="2">
        <v>4.6500000000000004</v>
      </c>
      <c r="BB168" s="2">
        <v>6.48</v>
      </c>
      <c r="BC168" s="2">
        <v>4.72</v>
      </c>
      <c r="BD168" s="2">
        <v>5.88</v>
      </c>
      <c r="BE168" s="2">
        <v>7.75</v>
      </c>
      <c r="BF168" s="2">
        <v>6.86</v>
      </c>
      <c r="BG168" s="2">
        <v>6.17</v>
      </c>
      <c r="BH168" s="2">
        <v>7.69</v>
      </c>
      <c r="BI168" s="2">
        <v>5.63</v>
      </c>
      <c r="BJ168" s="2">
        <v>7.47</v>
      </c>
      <c r="BK168" s="2">
        <v>7.21</v>
      </c>
      <c r="BL168" s="2">
        <v>8.5</v>
      </c>
      <c r="BM168" s="2">
        <v>4.22</v>
      </c>
      <c r="BN168" s="2">
        <v>6.68</v>
      </c>
      <c r="BO168" s="2">
        <v>5.05</v>
      </c>
    </row>
    <row r="169" spans="24:67" x14ac:dyDescent="0.3">
      <c r="X169" s="1" t="s">
        <v>27</v>
      </c>
      <c r="Y169" s="2">
        <v>14.56</v>
      </c>
      <c r="Z169" s="2">
        <v>17.940000000000001</v>
      </c>
      <c r="AA169" s="2">
        <v>10.81</v>
      </c>
      <c r="AB169" s="2">
        <v>12.76</v>
      </c>
      <c r="AC169" s="2">
        <v>13.41</v>
      </c>
      <c r="AD169" s="2">
        <v>16.98</v>
      </c>
      <c r="AE169" s="2">
        <v>16.940000000000001</v>
      </c>
      <c r="AF169" s="2">
        <v>18.66</v>
      </c>
      <c r="AG169" s="2">
        <v>16.63</v>
      </c>
      <c r="AH169" s="2">
        <v>17.89</v>
      </c>
      <c r="AI169" s="2">
        <v>14.03</v>
      </c>
      <c r="AJ169" s="2">
        <v>15.92</v>
      </c>
      <c r="AK169" s="2">
        <v>13.6</v>
      </c>
      <c r="AL169" s="2">
        <v>16.05</v>
      </c>
      <c r="AM169" s="2">
        <v>16.829999999999998</v>
      </c>
      <c r="AN169" s="2">
        <v>16.29</v>
      </c>
      <c r="AO169" s="2">
        <v>15.86</v>
      </c>
      <c r="AP169" s="2">
        <v>11.48</v>
      </c>
      <c r="AQ169" s="2">
        <v>12.77</v>
      </c>
      <c r="AR169" s="2">
        <v>9.75</v>
      </c>
      <c r="AU169" s="1" t="s">
        <v>27</v>
      </c>
      <c r="AV169" s="2">
        <v>14.56</v>
      </c>
      <c r="AW169" s="2">
        <v>17.940000000000001</v>
      </c>
      <c r="AX169" s="2">
        <v>10.81</v>
      </c>
      <c r="AY169" s="2">
        <v>12.76</v>
      </c>
      <c r="AZ169" s="2">
        <v>13.41</v>
      </c>
      <c r="BA169" s="2">
        <v>16.98</v>
      </c>
      <c r="BB169" s="2">
        <v>16.940000000000001</v>
      </c>
      <c r="BC169" s="2">
        <v>18.66</v>
      </c>
      <c r="BD169" s="2">
        <v>16.63</v>
      </c>
      <c r="BE169" s="2">
        <v>17.89</v>
      </c>
      <c r="BF169" s="2">
        <v>14.03</v>
      </c>
      <c r="BG169" s="2">
        <v>15.92</v>
      </c>
      <c r="BH169" s="2">
        <v>13.6</v>
      </c>
      <c r="BI169" s="2">
        <v>16.05</v>
      </c>
      <c r="BJ169" s="2">
        <v>16.829999999999998</v>
      </c>
      <c r="BK169" s="2">
        <v>16.29</v>
      </c>
      <c r="BL169" s="2">
        <v>15.86</v>
      </c>
      <c r="BM169" s="2">
        <v>11.48</v>
      </c>
      <c r="BN169" s="2">
        <v>12.77</v>
      </c>
      <c r="BO169" s="2">
        <v>9.75</v>
      </c>
    </row>
    <row r="170" spans="24:67" x14ac:dyDescent="0.3">
      <c r="X170" s="1" t="s">
        <v>28</v>
      </c>
      <c r="Y170" s="2">
        <v>3.06</v>
      </c>
      <c r="Z170" s="2">
        <v>5.5</v>
      </c>
      <c r="AA170" s="2">
        <v>0.43</v>
      </c>
      <c r="AB170" s="2">
        <v>0.56999999999999995</v>
      </c>
      <c r="AC170" s="2">
        <v>0.43</v>
      </c>
      <c r="AD170" s="2">
        <v>1.83</v>
      </c>
      <c r="AE170" s="2">
        <v>1.28</v>
      </c>
      <c r="AF170" s="2">
        <v>3.25</v>
      </c>
      <c r="AG170" s="2">
        <v>3.67</v>
      </c>
      <c r="AH170" s="2">
        <v>5.5</v>
      </c>
      <c r="AI170" s="2">
        <v>4.29</v>
      </c>
      <c r="AJ170" s="2">
        <v>3.66</v>
      </c>
      <c r="AK170" s="2">
        <v>4.29</v>
      </c>
      <c r="AL170" s="2">
        <v>2.4500000000000002</v>
      </c>
      <c r="AM170" s="2">
        <v>2.4500000000000002</v>
      </c>
      <c r="AN170" s="2">
        <v>1.22</v>
      </c>
      <c r="AO170" s="2">
        <v>1.25</v>
      </c>
      <c r="AP170" s="2">
        <v>1.23</v>
      </c>
      <c r="AQ170" s="2">
        <v>2.4500000000000002</v>
      </c>
      <c r="AR170" s="2">
        <v>3.06</v>
      </c>
      <c r="AU170" s="1" t="s">
        <v>28</v>
      </c>
      <c r="AV170" s="2">
        <v>3.06</v>
      </c>
      <c r="AW170" s="2">
        <v>5.5</v>
      </c>
      <c r="AX170" s="2">
        <v>0.43</v>
      </c>
      <c r="AY170" s="2">
        <v>0.56999999999999995</v>
      </c>
      <c r="AZ170" s="2">
        <v>0.43</v>
      </c>
      <c r="BA170" s="2">
        <v>1.83</v>
      </c>
      <c r="BB170" s="2">
        <v>1.28</v>
      </c>
      <c r="BC170" s="2">
        <v>3.25</v>
      </c>
      <c r="BD170" s="2">
        <v>3.67</v>
      </c>
      <c r="BE170" s="2">
        <v>5.5</v>
      </c>
      <c r="BF170" s="2">
        <v>4.29</v>
      </c>
      <c r="BG170" s="2">
        <v>3.66</v>
      </c>
      <c r="BH170" s="2">
        <v>4.29</v>
      </c>
      <c r="BI170" s="2">
        <v>2.4500000000000002</v>
      </c>
      <c r="BJ170" s="2">
        <v>2.4500000000000002</v>
      </c>
      <c r="BK170" s="2">
        <v>1.22</v>
      </c>
      <c r="BL170" s="2">
        <v>1.25</v>
      </c>
      <c r="BM170" s="2">
        <v>1.23</v>
      </c>
      <c r="BN170" s="2">
        <v>2.4500000000000002</v>
      </c>
      <c r="BO170" s="2">
        <v>3.06</v>
      </c>
    </row>
    <row r="173" spans="24:67" x14ac:dyDescent="0.3">
      <c r="X173" t="s">
        <v>66</v>
      </c>
      <c r="AU173" t="s">
        <v>67</v>
      </c>
    </row>
    <row r="174" spans="24:67" x14ac:dyDescent="0.3">
      <c r="X174" s="1" t="s">
        <v>16</v>
      </c>
      <c r="Y174" s="13" t="s">
        <v>17</v>
      </c>
      <c r="Z174" s="13"/>
      <c r="AA174" s="13"/>
      <c r="AB174" s="13"/>
      <c r="AC174" s="13"/>
      <c r="AD174" s="13"/>
      <c r="AE174" s="13"/>
      <c r="AF174" s="13"/>
      <c r="AG174" s="13"/>
      <c r="AH174" s="13"/>
      <c r="AI174" s="13" t="s">
        <v>18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U174" s="1" t="s">
        <v>16</v>
      </c>
      <c r="AV174" s="13" t="s">
        <v>17</v>
      </c>
      <c r="AW174" s="13"/>
      <c r="AX174" s="13"/>
      <c r="AY174" s="13"/>
      <c r="AZ174" s="13"/>
      <c r="BA174" s="13"/>
      <c r="BB174" s="13"/>
      <c r="BC174" s="13"/>
      <c r="BD174" s="13"/>
      <c r="BE174" s="13"/>
      <c r="BF174" s="13" t="s">
        <v>18</v>
      </c>
      <c r="BG174" s="13"/>
      <c r="BH174" s="13"/>
      <c r="BI174" s="13"/>
      <c r="BJ174" s="13"/>
      <c r="BK174" s="13"/>
      <c r="BL174" s="13"/>
      <c r="BM174" s="13"/>
      <c r="BN174" s="13"/>
      <c r="BO174" s="13"/>
    </row>
    <row r="175" spans="24:67" x14ac:dyDescent="0.3">
      <c r="X175" s="1" t="s">
        <v>19</v>
      </c>
      <c r="Y175" s="1" t="s">
        <v>1</v>
      </c>
      <c r="Z175" s="1" t="s">
        <v>10</v>
      </c>
      <c r="AA175" s="1" t="s">
        <v>2</v>
      </c>
      <c r="AB175" s="1" t="s">
        <v>3</v>
      </c>
      <c r="AC175" s="1" t="s">
        <v>4</v>
      </c>
      <c r="AD175" s="1" t="s">
        <v>5</v>
      </c>
      <c r="AE175" s="1" t="s">
        <v>6</v>
      </c>
      <c r="AF175" s="1" t="s">
        <v>7</v>
      </c>
      <c r="AG175" s="1" t="s">
        <v>8</v>
      </c>
      <c r="AH175" s="1" t="s">
        <v>9</v>
      </c>
      <c r="AI175" s="1" t="s">
        <v>1</v>
      </c>
      <c r="AJ175" s="1" t="s">
        <v>10</v>
      </c>
      <c r="AK175" s="1" t="s">
        <v>2</v>
      </c>
      <c r="AL175" s="1" t="s">
        <v>3</v>
      </c>
      <c r="AM175" s="1" t="s">
        <v>4</v>
      </c>
      <c r="AN175" s="1" t="s">
        <v>5</v>
      </c>
      <c r="AO175" s="1" t="s">
        <v>6</v>
      </c>
      <c r="AP175" s="1" t="s">
        <v>7</v>
      </c>
      <c r="AQ175" s="1" t="s">
        <v>8</v>
      </c>
      <c r="AR175" s="1" t="s">
        <v>9</v>
      </c>
      <c r="AU175" s="1" t="s">
        <v>19</v>
      </c>
      <c r="AV175" s="1" t="s">
        <v>1</v>
      </c>
      <c r="AW175" s="1" t="s">
        <v>10</v>
      </c>
      <c r="AX175" s="1" t="s">
        <v>2</v>
      </c>
      <c r="AY175" s="1" t="s">
        <v>3</v>
      </c>
      <c r="AZ175" s="1" t="s">
        <v>4</v>
      </c>
      <c r="BA175" s="1" t="s">
        <v>5</v>
      </c>
      <c r="BB175" s="1" t="s">
        <v>6</v>
      </c>
      <c r="BC175" s="1" t="s">
        <v>7</v>
      </c>
      <c r="BD175" s="1" t="s">
        <v>8</v>
      </c>
      <c r="BE175" s="1" t="s">
        <v>9</v>
      </c>
      <c r="BF175" s="1" t="s">
        <v>1</v>
      </c>
      <c r="BG175" s="1" t="s">
        <v>10</v>
      </c>
      <c r="BH175" s="1" t="s">
        <v>2</v>
      </c>
      <c r="BI175" s="1" t="s">
        <v>3</v>
      </c>
      <c r="BJ175" s="1" t="s">
        <v>4</v>
      </c>
      <c r="BK175" s="1" t="s">
        <v>5</v>
      </c>
      <c r="BL175" s="1" t="s">
        <v>6</v>
      </c>
      <c r="BM175" s="1" t="s">
        <v>7</v>
      </c>
      <c r="BN175" s="1" t="s">
        <v>8</v>
      </c>
      <c r="BO175" s="1" t="s">
        <v>9</v>
      </c>
    </row>
    <row r="176" spans="24:67" x14ac:dyDescent="0.3">
      <c r="X176" s="1" t="s">
        <v>20</v>
      </c>
      <c r="AU176" s="1" t="s">
        <v>20</v>
      </c>
    </row>
    <row r="177" spans="24:67" x14ac:dyDescent="0.3">
      <c r="X177" s="1" t="s">
        <v>21</v>
      </c>
      <c r="Y177" s="2">
        <v>107.2</v>
      </c>
      <c r="Z177" s="2">
        <v>693</v>
      </c>
      <c r="AA177" s="2">
        <v>50.05</v>
      </c>
      <c r="AB177" s="2">
        <v>30.1</v>
      </c>
      <c r="AC177" s="2">
        <v>108.53</v>
      </c>
      <c r="AD177" s="2">
        <v>299.60000000000002</v>
      </c>
      <c r="AE177" s="2">
        <v>549.36</v>
      </c>
      <c r="AF177" s="2">
        <v>430.36</v>
      </c>
      <c r="AG177" s="2">
        <v>577.22</v>
      </c>
      <c r="AH177" s="2">
        <v>440.3</v>
      </c>
      <c r="AI177" s="2">
        <v>108.06</v>
      </c>
      <c r="AJ177" s="2">
        <v>705.6</v>
      </c>
      <c r="AK177" s="2">
        <v>51.42</v>
      </c>
      <c r="AL177" s="2">
        <v>30.92</v>
      </c>
      <c r="AM177" s="2">
        <v>231.84</v>
      </c>
      <c r="AN177" s="2">
        <v>289.8</v>
      </c>
      <c r="AO177" s="2">
        <v>519.12</v>
      </c>
      <c r="AP177" s="2">
        <v>438.48</v>
      </c>
      <c r="AQ177" s="2">
        <v>561.26</v>
      </c>
      <c r="AR177" s="2">
        <v>461.72</v>
      </c>
      <c r="AU177" s="1" t="s">
        <v>21</v>
      </c>
      <c r="AV177" s="2">
        <v>107.2</v>
      </c>
      <c r="AW177" s="2">
        <v>693</v>
      </c>
      <c r="AX177" s="2">
        <v>50.05</v>
      </c>
      <c r="AY177" s="2">
        <v>30.1</v>
      </c>
      <c r="AZ177" s="2">
        <v>108.53</v>
      </c>
      <c r="BA177" s="2">
        <v>299.60000000000002</v>
      </c>
      <c r="BB177" s="2">
        <v>549.36</v>
      </c>
      <c r="BC177" s="2">
        <v>430.36</v>
      </c>
      <c r="BD177" s="2">
        <v>577.22</v>
      </c>
      <c r="BE177" s="2">
        <v>440.3</v>
      </c>
      <c r="BF177" s="2">
        <v>108.06</v>
      </c>
      <c r="BG177" s="2">
        <v>705.6</v>
      </c>
      <c r="BH177" s="2">
        <v>51.42</v>
      </c>
      <c r="BI177" s="2">
        <v>30.92</v>
      </c>
      <c r="BJ177" s="2">
        <v>231.84</v>
      </c>
      <c r="BK177" s="2">
        <v>289.8</v>
      </c>
      <c r="BL177" s="2">
        <v>519.12</v>
      </c>
      <c r="BM177" s="2">
        <v>438.48</v>
      </c>
      <c r="BN177" s="2">
        <v>561.26</v>
      </c>
      <c r="BO177" s="2">
        <v>461.72</v>
      </c>
    </row>
    <row r="178" spans="24:67" x14ac:dyDescent="0.3">
      <c r="X178" s="1" t="s">
        <v>22</v>
      </c>
      <c r="Y178" s="2">
        <v>14.92</v>
      </c>
      <c r="Z178" s="2">
        <v>65.3</v>
      </c>
      <c r="AA178" s="2">
        <v>7.84</v>
      </c>
      <c r="AB178" s="2">
        <v>4.03</v>
      </c>
      <c r="AC178" s="2">
        <v>13.91</v>
      </c>
      <c r="AD178" s="2">
        <v>18.13</v>
      </c>
      <c r="AE178" s="2">
        <v>31.83</v>
      </c>
      <c r="AF178" s="2">
        <v>29.99</v>
      </c>
      <c r="AG178" s="2">
        <v>40.39</v>
      </c>
      <c r="AH178" s="2">
        <v>35.380000000000003</v>
      </c>
      <c r="AI178" s="2">
        <v>15.56</v>
      </c>
      <c r="AJ178" s="2">
        <v>57.06</v>
      </c>
      <c r="AK178" s="2">
        <v>9.51</v>
      </c>
      <c r="AL178" s="2">
        <v>4.6100000000000003</v>
      </c>
      <c r="AM178" s="2">
        <v>18.72</v>
      </c>
      <c r="AN178" s="2">
        <v>20.87</v>
      </c>
      <c r="AO178" s="2">
        <v>40.950000000000003</v>
      </c>
      <c r="AP178" s="2">
        <v>32.44</v>
      </c>
      <c r="AQ178" s="2">
        <v>39.700000000000003</v>
      </c>
      <c r="AR178" s="2">
        <v>39.47</v>
      </c>
      <c r="AU178" s="1" t="s">
        <v>22</v>
      </c>
      <c r="AV178" s="2">
        <v>14.92</v>
      </c>
      <c r="AW178" s="2">
        <v>65.3</v>
      </c>
      <c r="AX178" s="2">
        <v>7.84</v>
      </c>
      <c r="AY178" s="2">
        <v>4.03</v>
      </c>
      <c r="AZ178" s="2">
        <v>13.91</v>
      </c>
      <c r="BA178" s="2">
        <v>18.13</v>
      </c>
      <c r="BB178" s="2">
        <v>31.83</v>
      </c>
      <c r="BC178" s="2">
        <v>29.99</v>
      </c>
      <c r="BD178" s="2">
        <v>40.39</v>
      </c>
      <c r="BE178" s="2">
        <v>35.380000000000003</v>
      </c>
      <c r="BF178" s="2">
        <v>15.56</v>
      </c>
      <c r="BG178" s="2">
        <v>57.06</v>
      </c>
      <c r="BH178" s="2">
        <v>9.51</v>
      </c>
      <c r="BI178" s="2">
        <v>4.6100000000000003</v>
      </c>
      <c r="BJ178" s="2">
        <v>18.72</v>
      </c>
      <c r="BK178" s="2">
        <v>20.87</v>
      </c>
      <c r="BL178" s="2">
        <v>40.950000000000003</v>
      </c>
      <c r="BM178" s="2">
        <v>32.44</v>
      </c>
      <c r="BN178" s="2">
        <v>39.700000000000003</v>
      </c>
      <c r="BO178" s="2">
        <v>39.47</v>
      </c>
    </row>
    <row r="179" spans="24:67" x14ac:dyDescent="0.3">
      <c r="X179" s="1" t="s">
        <v>23</v>
      </c>
      <c r="Y179" s="2">
        <v>110.91</v>
      </c>
      <c r="Z179" s="2">
        <v>204.79</v>
      </c>
      <c r="AA179" s="2">
        <v>44.64</v>
      </c>
      <c r="AB179" s="2">
        <v>32.159999999999997</v>
      </c>
      <c r="AC179" s="2">
        <v>90.29</v>
      </c>
      <c r="AD179" s="2">
        <v>122.83</v>
      </c>
      <c r="AE179" s="2">
        <v>274.04000000000002</v>
      </c>
      <c r="AF179" s="2">
        <v>352.19</v>
      </c>
      <c r="AG179" s="2">
        <v>370.39</v>
      </c>
      <c r="AH179" s="2">
        <v>167.64</v>
      </c>
      <c r="AI179" s="2">
        <v>45.8</v>
      </c>
      <c r="AJ179" s="2">
        <v>200.83</v>
      </c>
      <c r="AK179" s="2">
        <v>21.67</v>
      </c>
      <c r="AL179" s="2">
        <v>50.37</v>
      </c>
      <c r="AM179" s="2">
        <v>80.95</v>
      </c>
      <c r="AN179" s="2">
        <v>96.71</v>
      </c>
      <c r="AO179" s="2">
        <v>182.7</v>
      </c>
      <c r="AP179" s="2">
        <v>154.65</v>
      </c>
      <c r="AQ179" s="2">
        <v>181.28</v>
      </c>
      <c r="AR179" s="2">
        <v>172.32</v>
      </c>
      <c r="AU179" s="1" t="s">
        <v>23</v>
      </c>
      <c r="AV179" s="2">
        <v>110.91</v>
      </c>
      <c r="AW179" s="2">
        <v>204.79</v>
      </c>
      <c r="AX179" s="2">
        <v>44.64</v>
      </c>
      <c r="AY179" s="2">
        <v>32.159999999999997</v>
      </c>
      <c r="AZ179" s="2">
        <v>90.29</v>
      </c>
      <c r="BA179" s="2">
        <v>122.83</v>
      </c>
      <c r="BB179" s="2">
        <v>274.04000000000002</v>
      </c>
      <c r="BC179" s="2">
        <v>352.19</v>
      </c>
      <c r="BD179" s="2">
        <v>370.39</v>
      </c>
      <c r="BE179" s="2">
        <v>167.64</v>
      </c>
      <c r="BF179" s="2">
        <v>45.8</v>
      </c>
      <c r="BG179" s="2">
        <v>200.83</v>
      </c>
      <c r="BH179" s="2">
        <v>21.67</v>
      </c>
      <c r="BI179" s="2">
        <v>50.37</v>
      </c>
      <c r="BJ179" s="2">
        <v>80.95</v>
      </c>
      <c r="BK179" s="2">
        <v>96.71</v>
      </c>
      <c r="BL179" s="2">
        <v>182.7</v>
      </c>
      <c r="BM179" s="2">
        <v>154.65</v>
      </c>
      <c r="BN179" s="2">
        <v>181.28</v>
      </c>
      <c r="BO179" s="2">
        <v>172.32</v>
      </c>
    </row>
    <row r="180" spans="24:67" x14ac:dyDescent="0.3">
      <c r="X180" s="1" t="s">
        <v>24</v>
      </c>
      <c r="Y180" s="2">
        <v>42.63</v>
      </c>
      <c r="Z180" s="2">
        <v>86.24</v>
      </c>
      <c r="AA180" s="2">
        <v>18.61</v>
      </c>
      <c r="AB180" s="2">
        <v>13.67</v>
      </c>
      <c r="AC180" s="2">
        <v>35.200000000000003</v>
      </c>
      <c r="AD180" s="2">
        <v>45.68</v>
      </c>
      <c r="AE180" s="2">
        <v>84.61</v>
      </c>
      <c r="AF180" s="2">
        <v>72.5</v>
      </c>
      <c r="AG180" s="2">
        <v>81.08</v>
      </c>
      <c r="AH180" s="2">
        <v>60.04</v>
      </c>
      <c r="AI180" s="2">
        <v>21.69</v>
      </c>
      <c r="AJ180" s="2">
        <v>86.74</v>
      </c>
      <c r="AK180" s="2">
        <v>11.67</v>
      </c>
      <c r="AL180" s="2">
        <v>13.96</v>
      </c>
      <c r="AM180" s="2">
        <v>35.06</v>
      </c>
      <c r="AN180" s="2">
        <v>39.68</v>
      </c>
      <c r="AO180" s="2">
        <v>74.63</v>
      </c>
      <c r="AP180" s="2">
        <v>61.59</v>
      </c>
      <c r="AQ180" s="2">
        <v>72.63</v>
      </c>
      <c r="AR180" s="2">
        <v>72.17</v>
      </c>
      <c r="AU180" s="1" t="s">
        <v>24</v>
      </c>
      <c r="AV180" s="2">
        <v>42.63</v>
      </c>
      <c r="AW180" s="2">
        <v>86.24</v>
      </c>
      <c r="AX180" s="2">
        <v>18.61</v>
      </c>
      <c r="AY180" s="2">
        <v>13.67</v>
      </c>
      <c r="AZ180" s="2">
        <v>35.200000000000003</v>
      </c>
      <c r="BA180" s="2">
        <v>45.68</v>
      </c>
      <c r="BB180" s="2">
        <v>84.61</v>
      </c>
      <c r="BC180" s="2">
        <v>72.5</v>
      </c>
      <c r="BD180" s="2">
        <v>81.08</v>
      </c>
      <c r="BE180" s="2">
        <v>60.04</v>
      </c>
      <c r="BF180" s="2">
        <v>21.69</v>
      </c>
      <c r="BG180" s="2">
        <v>86.74</v>
      </c>
      <c r="BH180" s="2">
        <v>11.67</v>
      </c>
      <c r="BI180" s="2">
        <v>13.96</v>
      </c>
      <c r="BJ180" s="2">
        <v>35.06</v>
      </c>
      <c r="BK180" s="2">
        <v>39.68</v>
      </c>
      <c r="BL180" s="2">
        <v>74.63</v>
      </c>
      <c r="BM180" s="2">
        <v>61.59</v>
      </c>
      <c r="BN180" s="2">
        <v>72.63</v>
      </c>
      <c r="BO180" s="2">
        <v>72.17</v>
      </c>
    </row>
    <row r="181" spans="24:67" x14ac:dyDescent="0.3">
      <c r="X181" s="1" t="s">
        <v>25</v>
      </c>
      <c r="Y181" s="2">
        <v>116.09</v>
      </c>
      <c r="Z181" s="2">
        <v>388.79</v>
      </c>
      <c r="AA181" s="2">
        <v>62.4</v>
      </c>
      <c r="AB181" s="2">
        <v>34.630000000000003</v>
      </c>
      <c r="AC181" s="2">
        <v>120.46</v>
      </c>
      <c r="AD181" s="2">
        <v>166.81</v>
      </c>
      <c r="AE181" s="2">
        <v>291</v>
      </c>
      <c r="AF181" s="2">
        <v>234.49</v>
      </c>
      <c r="AG181" s="2">
        <v>311.61</v>
      </c>
      <c r="AH181" s="2">
        <v>278.05</v>
      </c>
      <c r="AI181" s="2">
        <v>128.91999999999999</v>
      </c>
      <c r="AJ181" s="2">
        <v>415.92</v>
      </c>
      <c r="AK181" s="2">
        <v>64.22</v>
      </c>
      <c r="AL181" s="2">
        <v>40.82</v>
      </c>
      <c r="AM181" s="2">
        <v>136.4</v>
      </c>
      <c r="AN181" s="2">
        <v>176.25</v>
      </c>
      <c r="AO181" s="2">
        <v>294.14999999999998</v>
      </c>
      <c r="AP181" s="2">
        <v>235.03</v>
      </c>
      <c r="AQ181" s="2">
        <v>290.10000000000002</v>
      </c>
      <c r="AR181" s="2">
        <v>259.60000000000002</v>
      </c>
      <c r="AU181" s="1" t="s">
        <v>25</v>
      </c>
      <c r="AV181" s="2">
        <v>116.09</v>
      </c>
      <c r="AW181" s="2">
        <v>388.79</v>
      </c>
      <c r="AX181" s="2">
        <v>62.4</v>
      </c>
      <c r="AY181" s="2">
        <v>34.630000000000003</v>
      </c>
      <c r="AZ181" s="2">
        <v>120.46</v>
      </c>
      <c r="BA181" s="2">
        <v>166.81</v>
      </c>
      <c r="BB181" s="2">
        <v>291</v>
      </c>
      <c r="BC181" s="2">
        <v>234.49</v>
      </c>
      <c r="BD181" s="2">
        <v>311.61</v>
      </c>
      <c r="BE181" s="2">
        <v>278.05</v>
      </c>
      <c r="BF181" s="2">
        <v>128.91999999999999</v>
      </c>
      <c r="BG181" s="2">
        <v>415.92</v>
      </c>
      <c r="BH181" s="2">
        <v>64.22</v>
      </c>
      <c r="BI181" s="2">
        <v>40.82</v>
      </c>
      <c r="BJ181" s="2">
        <v>136.4</v>
      </c>
      <c r="BK181" s="2">
        <v>176.25</v>
      </c>
      <c r="BL181" s="2">
        <v>294.14999999999998</v>
      </c>
      <c r="BM181" s="2">
        <v>235.03</v>
      </c>
      <c r="BN181" s="2">
        <v>290.10000000000002</v>
      </c>
      <c r="BO181" s="2">
        <v>259.60000000000002</v>
      </c>
    </row>
    <row r="182" spans="24:67" x14ac:dyDescent="0.3">
      <c r="X182" s="1" t="s">
        <v>26</v>
      </c>
      <c r="Y182" s="2">
        <v>26.08</v>
      </c>
      <c r="Z182" s="2">
        <v>66.63</v>
      </c>
      <c r="AA182" s="2">
        <v>12.55</v>
      </c>
      <c r="AB182" s="2">
        <v>7.75</v>
      </c>
      <c r="AC182" s="2">
        <v>17.350000000000001</v>
      </c>
      <c r="AD182" s="2">
        <v>22.27</v>
      </c>
      <c r="AE182" s="2">
        <v>45.66</v>
      </c>
      <c r="AF182" s="2">
        <v>36.94</v>
      </c>
      <c r="AG182" s="2">
        <v>49.67</v>
      </c>
      <c r="AH182" s="2">
        <v>48.59</v>
      </c>
      <c r="AI182" s="2">
        <v>24.2</v>
      </c>
      <c r="AJ182" s="2">
        <v>43.12</v>
      </c>
      <c r="AK182" s="2">
        <v>9.42</v>
      </c>
      <c r="AL182" s="2">
        <v>7.49</v>
      </c>
      <c r="AM182" s="2">
        <v>21.8</v>
      </c>
      <c r="AN182" s="2">
        <v>35.67</v>
      </c>
      <c r="AO182" s="2">
        <v>49.26</v>
      </c>
      <c r="AP182" s="2">
        <v>34.49</v>
      </c>
      <c r="AQ182" s="2">
        <v>50.9</v>
      </c>
      <c r="AR182" s="2">
        <v>39.159999999999997</v>
      </c>
      <c r="AU182" s="1" t="s">
        <v>26</v>
      </c>
      <c r="AV182" s="2">
        <v>26.08</v>
      </c>
      <c r="AW182" s="2">
        <v>66.63</v>
      </c>
      <c r="AX182" s="2">
        <v>12.55</v>
      </c>
      <c r="AY182" s="2">
        <v>7.75</v>
      </c>
      <c r="AZ182" s="2">
        <v>17.350000000000001</v>
      </c>
      <c r="BA182" s="2">
        <v>22.27</v>
      </c>
      <c r="BB182" s="2">
        <v>45.66</v>
      </c>
      <c r="BC182" s="2">
        <v>36.94</v>
      </c>
      <c r="BD182" s="2">
        <v>49.67</v>
      </c>
      <c r="BE182" s="2">
        <v>48.59</v>
      </c>
      <c r="BF182" s="2">
        <v>24.2</v>
      </c>
      <c r="BG182" s="2">
        <v>43.12</v>
      </c>
      <c r="BH182" s="2">
        <v>9.42</v>
      </c>
      <c r="BI182" s="2">
        <v>7.49</v>
      </c>
      <c r="BJ182" s="2">
        <v>21.8</v>
      </c>
      <c r="BK182" s="2">
        <v>35.67</v>
      </c>
      <c r="BL182" s="2">
        <v>49.26</v>
      </c>
      <c r="BM182" s="2">
        <v>34.49</v>
      </c>
      <c r="BN182" s="2">
        <v>50.9</v>
      </c>
      <c r="BO182" s="2">
        <v>39.159999999999997</v>
      </c>
    </row>
    <row r="183" spans="24:67" x14ac:dyDescent="0.3">
      <c r="X183" s="1" t="s">
        <v>27</v>
      </c>
      <c r="Y183" s="2">
        <v>79.099999999999994</v>
      </c>
      <c r="Z183" s="2">
        <v>217.61</v>
      </c>
      <c r="AA183" s="2">
        <v>35.01</v>
      </c>
      <c r="AB183" s="2">
        <v>22.38</v>
      </c>
      <c r="AC183" s="2">
        <v>64.77</v>
      </c>
      <c r="AD183" s="2">
        <v>78.73</v>
      </c>
      <c r="AE183" s="2">
        <v>150.36000000000001</v>
      </c>
      <c r="AF183" s="2">
        <v>124.74</v>
      </c>
      <c r="AG183" s="2">
        <v>185.77</v>
      </c>
      <c r="AH183" s="2">
        <v>167.39</v>
      </c>
      <c r="AI183" s="2">
        <v>111.97</v>
      </c>
      <c r="AJ183" s="2">
        <v>193.86</v>
      </c>
      <c r="AK183" s="2">
        <v>36.5</v>
      </c>
      <c r="AL183" s="2">
        <v>28.59</v>
      </c>
      <c r="AM183" s="2">
        <v>122.12</v>
      </c>
      <c r="AN183" s="2">
        <v>127.8</v>
      </c>
      <c r="AO183" s="2">
        <v>200.8</v>
      </c>
      <c r="AP183" s="2">
        <v>150.47</v>
      </c>
      <c r="AQ183" s="2">
        <v>186.14</v>
      </c>
      <c r="AR183" s="2">
        <v>149.19999999999999</v>
      </c>
      <c r="AU183" s="1" t="s">
        <v>27</v>
      </c>
      <c r="AV183" s="2">
        <v>79.099999999999994</v>
      </c>
      <c r="AW183" s="2">
        <v>217.61</v>
      </c>
      <c r="AX183" s="2">
        <v>35.01</v>
      </c>
      <c r="AY183" s="2">
        <v>22.38</v>
      </c>
      <c r="AZ183" s="2">
        <v>64.77</v>
      </c>
      <c r="BA183" s="2">
        <v>78.73</v>
      </c>
      <c r="BB183" s="2">
        <v>150.36000000000001</v>
      </c>
      <c r="BC183" s="2">
        <v>124.74</v>
      </c>
      <c r="BD183" s="2">
        <v>185.77</v>
      </c>
      <c r="BE183" s="2">
        <v>167.39</v>
      </c>
      <c r="BF183" s="2">
        <v>111.97</v>
      </c>
      <c r="BG183" s="2">
        <v>193.86</v>
      </c>
      <c r="BH183" s="2">
        <v>36.5</v>
      </c>
      <c r="BI183" s="2">
        <v>28.59</v>
      </c>
      <c r="BJ183" s="2">
        <v>122.12</v>
      </c>
      <c r="BK183" s="2">
        <v>127.8</v>
      </c>
      <c r="BL183" s="2">
        <v>200.8</v>
      </c>
      <c r="BM183" s="2">
        <v>150.47</v>
      </c>
      <c r="BN183" s="2">
        <v>186.14</v>
      </c>
      <c r="BO183" s="2">
        <v>149.19999999999999</v>
      </c>
    </row>
    <row r="184" spans="24:67" x14ac:dyDescent="0.3">
      <c r="X184" s="1" t="s">
        <v>28</v>
      </c>
      <c r="Y184" s="2">
        <v>48.58</v>
      </c>
      <c r="Z184" s="2">
        <v>151.65</v>
      </c>
      <c r="AA184" s="2">
        <v>20.190000000000001</v>
      </c>
      <c r="AB184" s="2">
        <v>12.68</v>
      </c>
      <c r="AC184" s="2">
        <v>48.56</v>
      </c>
      <c r="AD184" s="2">
        <v>64.3</v>
      </c>
      <c r="AE184" s="2">
        <v>117.76</v>
      </c>
      <c r="AF184" s="2">
        <v>95.29</v>
      </c>
      <c r="AG184" s="2">
        <v>123.81</v>
      </c>
      <c r="AH184" s="2">
        <v>113.77</v>
      </c>
      <c r="AI184" s="2">
        <v>52.06</v>
      </c>
      <c r="AJ184" s="2">
        <v>175.76</v>
      </c>
      <c r="AK184" s="2">
        <v>21.67</v>
      </c>
      <c r="AL184" s="2">
        <v>14.18</v>
      </c>
      <c r="AM184" s="2">
        <v>54.48</v>
      </c>
      <c r="AN184" s="2">
        <v>66.27</v>
      </c>
      <c r="AO184" s="2">
        <v>122.33</v>
      </c>
      <c r="AP184" s="2">
        <v>98.14</v>
      </c>
      <c r="AQ184" s="2">
        <v>124.31</v>
      </c>
      <c r="AR184" s="2">
        <v>107.44</v>
      </c>
      <c r="AU184" s="1" t="s">
        <v>28</v>
      </c>
      <c r="AV184" s="2">
        <v>48.58</v>
      </c>
      <c r="AW184" s="2">
        <v>151.65</v>
      </c>
      <c r="AX184" s="2">
        <v>20.190000000000001</v>
      </c>
      <c r="AY184" s="2">
        <v>12.68</v>
      </c>
      <c r="AZ184" s="2">
        <v>48.56</v>
      </c>
      <c r="BA184" s="2">
        <v>64.3</v>
      </c>
      <c r="BB184" s="2">
        <v>117.76</v>
      </c>
      <c r="BC184" s="2">
        <v>95.29</v>
      </c>
      <c r="BD184" s="2">
        <v>123.81</v>
      </c>
      <c r="BE184" s="2">
        <v>113.77</v>
      </c>
      <c r="BF184" s="2">
        <v>52.06</v>
      </c>
      <c r="BG184" s="2">
        <v>175.76</v>
      </c>
      <c r="BH184" s="2">
        <v>21.67</v>
      </c>
      <c r="BI184" s="2">
        <v>14.18</v>
      </c>
      <c r="BJ184" s="2">
        <v>54.48</v>
      </c>
      <c r="BK184" s="2">
        <v>66.27</v>
      </c>
      <c r="BL184" s="2">
        <v>122.33</v>
      </c>
      <c r="BM184" s="2">
        <v>98.14</v>
      </c>
      <c r="BN184" s="2">
        <v>124.31</v>
      </c>
      <c r="BO184" s="2">
        <v>107.44</v>
      </c>
    </row>
    <row r="187" spans="24:67" x14ac:dyDescent="0.3">
      <c r="X187" t="s">
        <v>68</v>
      </c>
      <c r="AU187" t="s">
        <v>69</v>
      </c>
    </row>
    <row r="188" spans="24:67" x14ac:dyDescent="0.3">
      <c r="X188" s="1" t="s">
        <v>16</v>
      </c>
      <c r="Y188" s="1" t="s">
        <v>17</v>
      </c>
      <c r="Z188" s="1" t="s">
        <v>18</v>
      </c>
      <c r="AA188" s="1" t="s">
        <v>17</v>
      </c>
      <c r="AB188" s="1" t="s">
        <v>18</v>
      </c>
      <c r="AC188" s="1" t="s">
        <v>17</v>
      </c>
      <c r="AD188" s="1" t="s">
        <v>18</v>
      </c>
      <c r="AE188" s="1" t="s">
        <v>17</v>
      </c>
      <c r="AF188" s="1" t="s">
        <v>18</v>
      </c>
      <c r="AG188" s="1" t="s">
        <v>17</v>
      </c>
      <c r="AH188" s="1" t="s">
        <v>18</v>
      </c>
      <c r="AI188" s="1" t="s">
        <v>17</v>
      </c>
      <c r="AJ188" s="1" t="s">
        <v>18</v>
      </c>
      <c r="AK188" s="1" t="s">
        <v>17</v>
      </c>
      <c r="AL188" s="1" t="s">
        <v>18</v>
      </c>
      <c r="AM188" s="1" t="s">
        <v>17</v>
      </c>
      <c r="AN188" s="1" t="s">
        <v>18</v>
      </c>
      <c r="AO188" s="1" t="s">
        <v>17</v>
      </c>
      <c r="AP188" s="1" t="s">
        <v>18</v>
      </c>
      <c r="AQ188" s="1" t="s">
        <v>17</v>
      </c>
      <c r="AR188" s="1" t="s">
        <v>18</v>
      </c>
      <c r="AU188" s="1" t="s">
        <v>16</v>
      </c>
      <c r="AV188" s="1" t="s">
        <v>17</v>
      </c>
      <c r="AW188" s="1" t="s">
        <v>18</v>
      </c>
      <c r="AX188" s="1" t="s">
        <v>17</v>
      </c>
      <c r="AY188" s="1" t="s">
        <v>18</v>
      </c>
      <c r="AZ188" s="1" t="s">
        <v>17</v>
      </c>
      <c r="BA188" s="1" t="s">
        <v>18</v>
      </c>
      <c r="BB188" s="1" t="s">
        <v>17</v>
      </c>
      <c r="BC188" s="1" t="s">
        <v>18</v>
      </c>
      <c r="BD188" s="1" t="s">
        <v>17</v>
      </c>
      <c r="BE188" s="1" t="s">
        <v>18</v>
      </c>
      <c r="BF188" s="1" t="s">
        <v>17</v>
      </c>
      <c r="BG188" s="1" t="s">
        <v>18</v>
      </c>
      <c r="BH188" s="1" t="s">
        <v>17</v>
      </c>
      <c r="BI188" s="1" t="s">
        <v>18</v>
      </c>
      <c r="BJ188" s="1" t="s">
        <v>17</v>
      </c>
      <c r="BK188" s="1" t="s">
        <v>18</v>
      </c>
      <c r="BL188" s="1" t="s">
        <v>17</v>
      </c>
      <c r="BM188" s="1" t="s">
        <v>18</v>
      </c>
      <c r="BN188" s="1" t="s">
        <v>17</v>
      </c>
      <c r="BO188" s="1" t="s">
        <v>18</v>
      </c>
    </row>
    <row r="189" spans="24:67" x14ac:dyDescent="0.3">
      <c r="X189" s="1" t="s">
        <v>19</v>
      </c>
      <c r="Y189" s="1" t="s">
        <v>1</v>
      </c>
      <c r="Z189" s="1" t="s">
        <v>1</v>
      </c>
      <c r="AA189" s="1" t="s">
        <v>2</v>
      </c>
      <c r="AB189" s="1" t="s">
        <v>2</v>
      </c>
      <c r="AC189" s="1" t="s">
        <v>3</v>
      </c>
      <c r="AD189" s="1" t="s">
        <v>3</v>
      </c>
      <c r="AE189" s="1" t="s">
        <v>4</v>
      </c>
      <c r="AF189" s="1" t="s">
        <v>4</v>
      </c>
      <c r="AG189" s="1" t="s">
        <v>5</v>
      </c>
      <c r="AH189" s="1" t="s">
        <v>5</v>
      </c>
      <c r="AI189" s="1" t="s">
        <v>6</v>
      </c>
      <c r="AJ189" s="1" t="s">
        <v>6</v>
      </c>
      <c r="AK189" s="1" t="s">
        <v>7</v>
      </c>
      <c r="AL189" s="1" t="s">
        <v>7</v>
      </c>
      <c r="AM189" s="1" t="s">
        <v>8</v>
      </c>
      <c r="AN189" s="1" t="s">
        <v>8</v>
      </c>
      <c r="AO189" s="1" t="s">
        <v>9</v>
      </c>
      <c r="AP189" s="1" t="s">
        <v>9</v>
      </c>
      <c r="AQ189" s="1" t="s">
        <v>10</v>
      </c>
      <c r="AR189" s="1" t="s">
        <v>10</v>
      </c>
      <c r="AU189" s="1" t="s">
        <v>19</v>
      </c>
      <c r="AV189" s="1" t="s">
        <v>1</v>
      </c>
      <c r="AW189" s="1" t="s">
        <v>1</v>
      </c>
      <c r="AX189" s="1" t="s">
        <v>2</v>
      </c>
      <c r="AY189" s="1" t="s">
        <v>2</v>
      </c>
      <c r="AZ189" s="1" t="s">
        <v>3</v>
      </c>
      <c r="BA189" s="1" t="s">
        <v>3</v>
      </c>
      <c r="BB189" s="1" t="s">
        <v>4</v>
      </c>
      <c r="BC189" s="1" t="s">
        <v>4</v>
      </c>
      <c r="BD189" s="1" t="s">
        <v>5</v>
      </c>
      <c r="BE189" s="1" t="s">
        <v>5</v>
      </c>
      <c r="BF189" s="1" t="s">
        <v>6</v>
      </c>
      <c r="BG189" s="1" t="s">
        <v>6</v>
      </c>
      <c r="BH189" s="1" t="s">
        <v>7</v>
      </c>
      <c r="BI189" s="1" t="s">
        <v>7</v>
      </c>
      <c r="BJ189" s="1" t="s">
        <v>8</v>
      </c>
      <c r="BK189" s="1" t="s">
        <v>8</v>
      </c>
      <c r="BL189" s="1" t="s">
        <v>9</v>
      </c>
      <c r="BM189" s="1" t="s">
        <v>9</v>
      </c>
      <c r="BN189" s="1" t="s">
        <v>10</v>
      </c>
      <c r="BO189" s="1" t="s">
        <v>10</v>
      </c>
    </row>
    <row r="190" spans="24:67" x14ac:dyDescent="0.3">
      <c r="X190" s="1" t="s">
        <v>20</v>
      </c>
      <c r="AU190" s="1" t="s">
        <v>20</v>
      </c>
    </row>
    <row r="191" spans="24:67" x14ac:dyDescent="0.3">
      <c r="X191" s="1" t="s">
        <v>21</v>
      </c>
      <c r="Y191" s="2">
        <v>82.46</v>
      </c>
      <c r="Z191" s="2">
        <v>83.13</v>
      </c>
      <c r="AA191" s="2">
        <v>38.5</v>
      </c>
      <c r="AB191" s="2">
        <v>39.549999999999997</v>
      </c>
      <c r="AC191" s="2">
        <v>60.2</v>
      </c>
      <c r="AD191" s="2">
        <v>61.85</v>
      </c>
      <c r="AE191" s="2">
        <v>67.83</v>
      </c>
      <c r="AF191" s="2">
        <v>144.9</v>
      </c>
      <c r="AG191" s="2">
        <v>149.80000000000001</v>
      </c>
      <c r="AH191" s="2">
        <v>144.9</v>
      </c>
      <c r="AI191" s="2">
        <v>152.6</v>
      </c>
      <c r="AJ191" s="2">
        <v>144.19999999999999</v>
      </c>
      <c r="AK191" s="2">
        <v>148.4</v>
      </c>
      <c r="AL191" s="2">
        <v>151.19999999999999</v>
      </c>
      <c r="AM191" s="2">
        <v>151.9</v>
      </c>
      <c r="AN191" s="2">
        <v>147.69999999999999</v>
      </c>
      <c r="AO191" s="2">
        <v>129.5</v>
      </c>
      <c r="AP191" s="2">
        <v>135.80000000000001</v>
      </c>
      <c r="AQ191" s="2">
        <v>154</v>
      </c>
      <c r="AR191" s="2">
        <v>156.80000000000001</v>
      </c>
      <c r="AU191" s="1" t="s">
        <v>21</v>
      </c>
      <c r="AV191" s="2">
        <v>82.46</v>
      </c>
      <c r="AW191" s="2">
        <v>83.13</v>
      </c>
      <c r="AX191" s="2">
        <v>38.5</v>
      </c>
      <c r="AY191" s="2">
        <v>39.549999999999997</v>
      </c>
      <c r="AZ191" s="2">
        <v>60.2</v>
      </c>
      <c r="BA191" s="2">
        <v>61.85</v>
      </c>
      <c r="BB191" s="2">
        <v>67.83</v>
      </c>
      <c r="BC191" s="2">
        <v>144.9</v>
      </c>
      <c r="BD191" s="2">
        <v>149.80000000000001</v>
      </c>
      <c r="BE191" s="2">
        <v>144.9</v>
      </c>
      <c r="BF191" s="2">
        <v>152.6</v>
      </c>
      <c r="BG191" s="2">
        <v>144.19999999999999</v>
      </c>
      <c r="BH191" s="2">
        <v>148.4</v>
      </c>
      <c r="BI191" s="2">
        <v>151.19999999999999</v>
      </c>
      <c r="BJ191" s="2">
        <v>151.9</v>
      </c>
      <c r="BK191" s="2">
        <v>147.69999999999999</v>
      </c>
      <c r="BL191" s="2">
        <v>129.5</v>
      </c>
      <c r="BM191" s="2">
        <v>135.80000000000001</v>
      </c>
      <c r="BN191" s="2">
        <v>154</v>
      </c>
      <c r="BO191" s="2">
        <v>156.80000000000001</v>
      </c>
    </row>
    <row r="192" spans="24:67" x14ac:dyDescent="0.3">
      <c r="X192" s="1" t="s">
        <v>22</v>
      </c>
      <c r="Y192" s="2">
        <v>11.48</v>
      </c>
      <c r="Z192" s="2">
        <v>11.97</v>
      </c>
      <c r="AA192" s="2">
        <v>6.03</v>
      </c>
      <c r="AB192" s="2">
        <v>7.32</v>
      </c>
      <c r="AC192" s="2">
        <v>8.0500000000000007</v>
      </c>
      <c r="AD192" s="2">
        <v>9.2200000000000006</v>
      </c>
      <c r="AE192" s="2">
        <v>8.69</v>
      </c>
      <c r="AF192" s="2">
        <v>11.7</v>
      </c>
      <c r="AG192" s="2">
        <v>9.06</v>
      </c>
      <c r="AH192" s="2">
        <v>10.43</v>
      </c>
      <c r="AI192" s="2">
        <v>8.84</v>
      </c>
      <c r="AJ192" s="2">
        <v>11.37</v>
      </c>
      <c r="AK192" s="2">
        <v>10.34</v>
      </c>
      <c r="AL192" s="2">
        <v>11.19</v>
      </c>
      <c r="AM192" s="2">
        <v>10.63</v>
      </c>
      <c r="AN192" s="2">
        <v>10.45</v>
      </c>
      <c r="AO192" s="2">
        <v>10.41</v>
      </c>
      <c r="AP192" s="2">
        <v>11.61</v>
      </c>
      <c r="AQ192" s="2">
        <v>14.51</v>
      </c>
      <c r="AR192" s="2">
        <v>12.68</v>
      </c>
      <c r="AU192" s="1" t="s">
        <v>22</v>
      </c>
      <c r="AV192" s="2">
        <v>11.48</v>
      </c>
      <c r="AW192" s="2">
        <v>11.97</v>
      </c>
      <c r="AX192" s="2">
        <v>6.03</v>
      </c>
      <c r="AY192" s="2">
        <v>7.32</v>
      </c>
      <c r="AZ192" s="2">
        <v>8.0500000000000007</v>
      </c>
      <c r="BA192" s="2">
        <v>9.2200000000000006</v>
      </c>
      <c r="BB192" s="2">
        <v>8.69</v>
      </c>
      <c r="BC192" s="2">
        <v>11.7</v>
      </c>
      <c r="BD192" s="2">
        <v>9.06</v>
      </c>
      <c r="BE192" s="2">
        <v>10.43</v>
      </c>
      <c r="BF192" s="2">
        <v>8.84</v>
      </c>
      <c r="BG192" s="2">
        <v>11.37</v>
      </c>
      <c r="BH192" s="2">
        <v>10.34</v>
      </c>
      <c r="BI192" s="2">
        <v>11.19</v>
      </c>
      <c r="BJ192" s="2">
        <v>10.63</v>
      </c>
      <c r="BK192" s="2">
        <v>10.45</v>
      </c>
      <c r="BL192" s="2">
        <v>10.41</v>
      </c>
      <c r="BM192" s="2">
        <v>11.61</v>
      </c>
      <c r="BN192" s="2">
        <v>14.51</v>
      </c>
      <c r="BO192" s="2">
        <v>12.68</v>
      </c>
    </row>
    <row r="193" spans="24:67" x14ac:dyDescent="0.3">
      <c r="X193" s="1" t="s">
        <v>23</v>
      </c>
      <c r="Y193" s="2">
        <v>85.31</v>
      </c>
      <c r="Z193" s="2">
        <v>35.229999999999997</v>
      </c>
      <c r="AA193" s="2">
        <v>34.340000000000003</v>
      </c>
      <c r="AB193" s="2">
        <v>16.670000000000002</v>
      </c>
      <c r="AC193" s="2">
        <v>64.33</v>
      </c>
      <c r="AD193" s="2">
        <v>100.75</v>
      </c>
      <c r="AE193" s="2">
        <v>56.43</v>
      </c>
      <c r="AF193" s="2">
        <v>50.59</v>
      </c>
      <c r="AG193" s="2">
        <v>61.42</v>
      </c>
      <c r="AH193" s="2">
        <v>48.35</v>
      </c>
      <c r="AI193" s="2">
        <v>76.12</v>
      </c>
      <c r="AJ193" s="2">
        <v>50.75</v>
      </c>
      <c r="AK193" s="2">
        <v>121.45</v>
      </c>
      <c r="AL193" s="2">
        <v>53.33</v>
      </c>
      <c r="AM193" s="2">
        <v>97.47</v>
      </c>
      <c r="AN193" s="2">
        <v>47.71</v>
      </c>
      <c r="AO193" s="2">
        <v>49.3</v>
      </c>
      <c r="AP193" s="2">
        <v>50.68</v>
      </c>
      <c r="AQ193" s="2">
        <v>45.51</v>
      </c>
      <c r="AR193" s="2">
        <v>44.63</v>
      </c>
      <c r="AU193" s="1" t="s">
        <v>23</v>
      </c>
      <c r="AV193" s="2">
        <v>85.31</v>
      </c>
      <c r="AW193" s="2">
        <v>35.229999999999997</v>
      </c>
      <c r="AX193" s="2">
        <v>34.340000000000003</v>
      </c>
      <c r="AY193" s="2">
        <v>16.670000000000002</v>
      </c>
      <c r="AZ193" s="2">
        <v>64.33</v>
      </c>
      <c r="BA193" s="2">
        <v>100.75</v>
      </c>
      <c r="BB193" s="2">
        <v>56.43</v>
      </c>
      <c r="BC193" s="2">
        <v>50.59</v>
      </c>
      <c r="BD193" s="2">
        <v>61.42</v>
      </c>
      <c r="BE193" s="2">
        <v>48.35</v>
      </c>
      <c r="BF193" s="2">
        <v>76.12</v>
      </c>
      <c r="BG193" s="2">
        <v>50.75</v>
      </c>
      <c r="BH193" s="2">
        <v>121.45</v>
      </c>
      <c r="BI193" s="2">
        <v>53.33</v>
      </c>
      <c r="BJ193" s="2">
        <v>97.47</v>
      </c>
      <c r="BK193" s="2">
        <v>47.71</v>
      </c>
      <c r="BL193" s="2">
        <v>49.3</v>
      </c>
      <c r="BM193" s="2">
        <v>50.68</v>
      </c>
      <c r="BN193" s="2">
        <v>45.51</v>
      </c>
      <c r="BO193" s="2">
        <v>44.63</v>
      </c>
    </row>
    <row r="194" spans="24:67" x14ac:dyDescent="0.3">
      <c r="X194" s="1" t="s">
        <v>24</v>
      </c>
      <c r="Y194" s="2">
        <v>32.799999999999997</v>
      </c>
      <c r="Z194" s="2">
        <v>16.68</v>
      </c>
      <c r="AA194" s="2">
        <v>14.32</v>
      </c>
      <c r="AB194" s="2">
        <v>8.98</v>
      </c>
      <c r="AC194" s="2">
        <v>27.35</v>
      </c>
      <c r="AD194" s="2">
        <v>27.92</v>
      </c>
      <c r="AE194" s="2">
        <v>22</v>
      </c>
      <c r="AF194" s="2">
        <v>21.91</v>
      </c>
      <c r="AG194" s="2">
        <v>22.84</v>
      </c>
      <c r="AH194" s="2">
        <v>19.84</v>
      </c>
      <c r="AI194" s="2">
        <v>23.5</v>
      </c>
      <c r="AJ194" s="2">
        <v>20.73</v>
      </c>
      <c r="AK194" s="2">
        <v>25</v>
      </c>
      <c r="AL194" s="2">
        <v>21.24</v>
      </c>
      <c r="AM194" s="2">
        <v>21.34</v>
      </c>
      <c r="AN194" s="2">
        <v>19.11</v>
      </c>
      <c r="AO194" s="2">
        <v>17.66</v>
      </c>
      <c r="AP194" s="2">
        <v>21.23</v>
      </c>
      <c r="AQ194" s="2">
        <v>19.16</v>
      </c>
      <c r="AR194" s="2">
        <v>19.28</v>
      </c>
      <c r="AU194" s="1" t="s">
        <v>24</v>
      </c>
      <c r="AV194" s="2">
        <v>32.799999999999997</v>
      </c>
      <c r="AW194" s="2">
        <v>16.68</v>
      </c>
      <c r="AX194" s="2">
        <v>14.32</v>
      </c>
      <c r="AY194" s="2">
        <v>8.98</v>
      </c>
      <c r="AZ194" s="2">
        <v>27.35</v>
      </c>
      <c r="BA194" s="2">
        <v>27.92</v>
      </c>
      <c r="BB194" s="2">
        <v>22</v>
      </c>
      <c r="BC194" s="2">
        <v>21.91</v>
      </c>
      <c r="BD194" s="2">
        <v>22.84</v>
      </c>
      <c r="BE194" s="2">
        <v>19.84</v>
      </c>
      <c r="BF194" s="2">
        <v>23.5</v>
      </c>
      <c r="BG194" s="2">
        <v>20.73</v>
      </c>
      <c r="BH194" s="2">
        <v>25</v>
      </c>
      <c r="BI194" s="2">
        <v>21.24</v>
      </c>
      <c r="BJ194" s="2">
        <v>21.34</v>
      </c>
      <c r="BK194" s="2">
        <v>19.11</v>
      </c>
      <c r="BL194" s="2">
        <v>17.66</v>
      </c>
      <c r="BM194" s="2">
        <v>21.23</v>
      </c>
      <c r="BN194" s="2">
        <v>19.16</v>
      </c>
      <c r="BO194" s="2">
        <v>19.28</v>
      </c>
    </row>
    <row r="195" spans="24:67" x14ac:dyDescent="0.3">
      <c r="X195" s="1" t="s">
        <v>25</v>
      </c>
      <c r="Y195" s="2">
        <v>89.3</v>
      </c>
      <c r="Z195" s="2">
        <v>99.17</v>
      </c>
      <c r="AA195" s="2">
        <v>48</v>
      </c>
      <c r="AB195" s="2">
        <v>49.4</v>
      </c>
      <c r="AC195" s="2">
        <v>69.260000000000005</v>
      </c>
      <c r="AD195" s="2">
        <v>81.64</v>
      </c>
      <c r="AE195" s="2">
        <v>75.290000000000006</v>
      </c>
      <c r="AF195" s="2">
        <v>85.25</v>
      </c>
      <c r="AG195" s="2">
        <v>83.41</v>
      </c>
      <c r="AH195" s="2">
        <v>88.13</v>
      </c>
      <c r="AI195" s="2">
        <v>80.83</v>
      </c>
      <c r="AJ195" s="2">
        <v>81.709999999999994</v>
      </c>
      <c r="AK195" s="2">
        <v>80.86</v>
      </c>
      <c r="AL195" s="2">
        <v>81.040000000000006</v>
      </c>
      <c r="AM195" s="2">
        <v>82</v>
      </c>
      <c r="AN195" s="2">
        <v>76.34</v>
      </c>
      <c r="AO195" s="2">
        <v>81.78</v>
      </c>
      <c r="AP195" s="2">
        <v>76.349999999999994</v>
      </c>
      <c r="AQ195" s="2">
        <v>86.4</v>
      </c>
      <c r="AR195" s="2">
        <v>92.43</v>
      </c>
      <c r="AU195" s="1" t="s">
        <v>25</v>
      </c>
      <c r="AV195" s="2">
        <v>89.3</v>
      </c>
      <c r="AW195" s="2">
        <v>99.17</v>
      </c>
      <c r="AX195" s="2">
        <v>48</v>
      </c>
      <c r="AY195" s="2">
        <v>49.4</v>
      </c>
      <c r="AZ195" s="2">
        <v>69.260000000000005</v>
      </c>
      <c r="BA195" s="2">
        <v>81.64</v>
      </c>
      <c r="BB195" s="2">
        <v>75.290000000000006</v>
      </c>
      <c r="BC195" s="2">
        <v>85.25</v>
      </c>
      <c r="BD195" s="2">
        <v>83.41</v>
      </c>
      <c r="BE195" s="2">
        <v>88.13</v>
      </c>
      <c r="BF195" s="2">
        <v>80.83</v>
      </c>
      <c r="BG195" s="2">
        <v>81.709999999999994</v>
      </c>
      <c r="BH195" s="2">
        <v>80.86</v>
      </c>
      <c r="BI195" s="2">
        <v>81.040000000000006</v>
      </c>
      <c r="BJ195" s="2">
        <v>82</v>
      </c>
      <c r="BK195" s="2">
        <v>76.34</v>
      </c>
      <c r="BL195" s="2">
        <v>81.78</v>
      </c>
      <c r="BM195" s="2">
        <v>76.349999999999994</v>
      </c>
      <c r="BN195" s="2">
        <v>86.4</v>
      </c>
      <c r="BO195" s="2">
        <v>92.43</v>
      </c>
    </row>
    <row r="196" spans="24:67" x14ac:dyDescent="0.3">
      <c r="X196" s="1" t="s">
        <v>26</v>
      </c>
      <c r="Y196" s="2">
        <v>20.059999999999999</v>
      </c>
      <c r="Z196" s="2">
        <v>18.62</v>
      </c>
      <c r="AA196" s="2">
        <v>9.65</v>
      </c>
      <c r="AB196" s="2">
        <v>7.25</v>
      </c>
      <c r="AC196" s="2">
        <v>15.51</v>
      </c>
      <c r="AD196" s="2">
        <v>14.99</v>
      </c>
      <c r="AE196" s="2">
        <v>10.85</v>
      </c>
      <c r="AF196" s="2">
        <v>13.62</v>
      </c>
      <c r="AG196" s="2">
        <v>11.13</v>
      </c>
      <c r="AH196" s="2">
        <v>17.829999999999998</v>
      </c>
      <c r="AI196" s="2">
        <v>12.68</v>
      </c>
      <c r="AJ196" s="2">
        <v>13.68</v>
      </c>
      <c r="AK196" s="2">
        <v>12.74</v>
      </c>
      <c r="AL196" s="2">
        <v>11.89</v>
      </c>
      <c r="AM196" s="2">
        <v>13.07</v>
      </c>
      <c r="AN196" s="2">
        <v>13.4</v>
      </c>
      <c r="AO196" s="2">
        <v>14.29</v>
      </c>
      <c r="AP196" s="2">
        <v>11.52</v>
      </c>
      <c r="AQ196" s="2">
        <v>14.81</v>
      </c>
      <c r="AR196" s="2">
        <v>9.58</v>
      </c>
      <c r="AU196" s="1" t="s">
        <v>26</v>
      </c>
      <c r="AV196" s="2">
        <v>20.059999999999999</v>
      </c>
      <c r="AW196" s="2">
        <v>18.62</v>
      </c>
      <c r="AX196" s="2">
        <v>9.65</v>
      </c>
      <c r="AY196" s="2">
        <v>7.25</v>
      </c>
      <c r="AZ196" s="2">
        <v>15.51</v>
      </c>
      <c r="BA196" s="2">
        <v>14.99</v>
      </c>
      <c r="BB196" s="2">
        <v>10.85</v>
      </c>
      <c r="BC196" s="2">
        <v>13.62</v>
      </c>
      <c r="BD196" s="2">
        <v>11.13</v>
      </c>
      <c r="BE196" s="2">
        <v>17.829999999999998</v>
      </c>
      <c r="BF196" s="2">
        <v>12.68</v>
      </c>
      <c r="BG196" s="2">
        <v>13.68</v>
      </c>
      <c r="BH196" s="2">
        <v>12.74</v>
      </c>
      <c r="BI196" s="2">
        <v>11.89</v>
      </c>
      <c r="BJ196" s="2">
        <v>13.07</v>
      </c>
      <c r="BK196" s="2">
        <v>13.4</v>
      </c>
      <c r="BL196" s="2">
        <v>14.29</v>
      </c>
      <c r="BM196" s="2">
        <v>11.52</v>
      </c>
      <c r="BN196" s="2">
        <v>14.81</v>
      </c>
      <c r="BO196" s="2">
        <v>9.58</v>
      </c>
    </row>
    <row r="197" spans="24:67" x14ac:dyDescent="0.3">
      <c r="X197" s="1" t="s">
        <v>27</v>
      </c>
      <c r="Y197" s="2">
        <v>60.85</v>
      </c>
      <c r="Z197" s="2">
        <v>86.13</v>
      </c>
      <c r="AA197" s="2">
        <v>26.93</v>
      </c>
      <c r="AB197" s="2">
        <v>28.08</v>
      </c>
      <c r="AC197" s="2">
        <v>44.76</v>
      </c>
      <c r="AD197" s="2">
        <v>57.17</v>
      </c>
      <c r="AE197" s="2">
        <v>40.479999999999997</v>
      </c>
      <c r="AF197" s="2">
        <v>76.319999999999993</v>
      </c>
      <c r="AG197" s="2">
        <v>39.369999999999997</v>
      </c>
      <c r="AH197" s="2">
        <v>63.9</v>
      </c>
      <c r="AI197" s="2">
        <v>41.77</v>
      </c>
      <c r="AJ197" s="2">
        <v>55.78</v>
      </c>
      <c r="AK197" s="2">
        <v>43.01</v>
      </c>
      <c r="AL197" s="2">
        <v>51.89</v>
      </c>
      <c r="AM197" s="2">
        <v>48.89</v>
      </c>
      <c r="AN197" s="2">
        <v>48.98</v>
      </c>
      <c r="AO197" s="2">
        <v>49.23</v>
      </c>
      <c r="AP197" s="2">
        <v>43.88</v>
      </c>
      <c r="AQ197" s="2">
        <v>48.36</v>
      </c>
      <c r="AR197" s="2">
        <v>43.08</v>
      </c>
      <c r="AU197" s="1" t="s">
        <v>27</v>
      </c>
      <c r="AV197" s="2">
        <v>60.85</v>
      </c>
      <c r="AW197" s="2">
        <v>86.13</v>
      </c>
      <c r="AX197" s="2">
        <v>26.93</v>
      </c>
      <c r="AY197" s="2">
        <v>28.08</v>
      </c>
      <c r="AZ197" s="2">
        <v>44.76</v>
      </c>
      <c r="BA197" s="2">
        <v>57.17</v>
      </c>
      <c r="BB197" s="2">
        <v>40.479999999999997</v>
      </c>
      <c r="BC197" s="2">
        <v>76.319999999999993</v>
      </c>
      <c r="BD197" s="2">
        <v>39.369999999999997</v>
      </c>
      <c r="BE197" s="2">
        <v>63.9</v>
      </c>
      <c r="BF197" s="2">
        <v>41.77</v>
      </c>
      <c r="BG197" s="2">
        <v>55.78</v>
      </c>
      <c r="BH197" s="2">
        <v>43.01</v>
      </c>
      <c r="BI197" s="2">
        <v>51.89</v>
      </c>
      <c r="BJ197" s="2">
        <v>48.89</v>
      </c>
      <c r="BK197" s="2">
        <v>48.98</v>
      </c>
      <c r="BL197" s="2">
        <v>49.23</v>
      </c>
      <c r="BM197" s="2">
        <v>43.88</v>
      </c>
      <c r="BN197" s="2">
        <v>48.36</v>
      </c>
      <c r="BO197" s="2">
        <v>43.08</v>
      </c>
    </row>
    <row r="198" spans="24:67" x14ac:dyDescent="0.3">
      <c r="X198" s="1" t="s">
        <v>28</v>
      </c>
      <c r="Y198" s="2">
        <v>37.369999999999997</v>
      </c>
      <c r="Z198" s="2">
        <v>40.04</v>
      </c>
      <c r="AA198" s="2">
        <v>15.53</v>
      </c>
      <c r="AB198" s="2">
        <v>16.670000000000002</v>
      </c>
      <c r="AC198" s="2">
        <v>25.37</v>
      </c>
      <c r="AD198" s="2">
        <v>28.36</v>
      </c>
      <c r="AE198" s="2">
        <v>30.35</v>
      </c>
      <c r="AF198" s="2">
        <v>34.049999999999997</v>
      </c>
      <c r="AG198" s="2">
        <v>32.15</v>
      </c>
      <c r="AH198" s="2">
        <v>33.14</v>
      </c>
      <c r="AI198" s="2">
        <v>32.71</v>
      </c>
      <c r="AJ198" s="2">
        <v>33.979999999999997</v>
      </c>
      <c r="AK198" s="2">
        <v>32.86</v>
      </c>
      <c r="AL198" s="2">
        <v>33.840000000000003</v>
      </c>
      <c r="AM198" s="2">
        <v>32.58</v>
      </c>
      <c r="AN198" s="2">
        <v>32.71</v>
      </c>
      <c r="AO198" s="2">
        <v>33.46</v>
      </c>
      <c r="AP198" s="2">
        <v>31.6</v>
      </c>
      <c r="AQ198" s="2">
        <v>33.700000000000003</v>
      </c>
      <c r="AR198" s="2">
        <v>39.06</v>
      </c>
      <c r="AU198" s="1" t="s">
        <v>28</v>
      </c>
      <c r="AV198" s="2">
        <v>37.369999999999997</v>
      </c>
      <c r="AW198" s="2">
        <v>40.04</v>
      </c>
      <c r="AX198" s="2">
        <v>15.53</v>
      </c>
      <c r="AY198" s="2">
        <v>16.670000000000002</v>
      </c>
      <c r="AZ198" s="2">
        <v>25.37</v>
      </c>
      <c r="BA198" s="2">
        <v>28.36</v>
      </c>
      <c r="BB198" s="2">
        <v>30.35</v>
      </c>
      <c r="BC198" s="2">
        <v>34.049999999999997</v>
      </c>
      <c r="BD198" s="2">
        <v>32.15</v>
      </c>
      <c r="BE198" s="2">
        <v>33.14</v>
      </c>
      <c r="BF198" s="2">
        <v>32.71</v>
      </c>
      <c r="BG198" s="2">
        <v>33.979999999999997</v>
      </c>
      <c r="BH198" s="2">
        <v>32.86</v>
      </c>
      <c r="BI198" s="2">
        <v>33.840000000000003</v>
      </c>
      <c r="BJ198" s="2">
        <v>32.58</v>
      </c>
      <c r="BK198" s="2">
        <v>32.71</v>
      </c>
      <c r="BL198" s="2">
        <v>33.46</v>
      </c>
      <c r="BM198" s="2">
        <v>31.6</v>
      </c>
      <c r="BN198" s="2">
        <v>33.700000000000003</v>
      </c>
      <c r="BO198" s="2">
        <v>39.06</v>
      </c>
    </row>
    <row r="201" spans="24:67" x14ac:dyDescent="0.3">
      <c r="X201" t="s">
        <v>70</v>
      </c>
      <c r="AU201" t="s">
        <v>71</v>
      </c>
    </row>
    <row r="202" spans="24:67" x14ac:dyDescent="0.3">
      <c r="X202" s="1" t="s">
        <v>16</v>
      </c>
      <c r="Y202" s="1" t="s">
        <v>17</v>
      </c>
      <c r="Z202" s="1" t="s">
        <v>18</v>
      </c>
      <c r="AA202" s="1" t="s">
        <v>17</v>
      </c>
      <c r="AB202" s="1" t="s">
        <v>18</v>
      </c>
      <c r="AC202" s="1" t="s">
        <v>17</v>
      </c>
      <c r="AD202" s="1" t="s">
        <v>18</v>
      </c>
      <c r="AE202" s="1" t="s">
        <v>17</v>
      </c>
      <c r="AF202" s="1" t="s">
        <v>18</v>
      </c>
      <c r="AG202" s="1" t="s">
        <v>17</v>
      </c>
      <c r="AH202" s="1" t="s">
        <v>18</v>
      </c>
      <c r="AI202" s="1" t="s">
        <v>17</v>
      </c>
      <c r="AJ202" s="1" t="s">
        <v>18</v>
      </c>
      <c r="AK202" s="1" t="s">
        <v>17</v>
      </c>
      <c r="AL202" s="1" t="s">
        <v>18</v>
      </c>
      <c r="AM202" s="1" t="s">
        <v>17</v>
      </c>
      <c r="AN202" s="1" t="s">
        <v>18</v>
      </c>
      <c r="AO202" s="1" t="s">
        <v>17</v>
      </c>
      <c r="AP202" s="1" t="s">
        <v>18</v>
      </c>
      <c r="AQ202" s="1" t="s">
        <v>17</v>
      </c>
      <c r="AR202" s="1" t="s">
        <v>18</v>
      </c>
      <c r="AU202" s="1" t="s">
        <v>16</v>
      </c>
      <c r="AV202" s="13" t="s">
        <v>17</v>
      </c>
      <c r="AW202" s="13"/>
      <c r="AX202" s="13"/>
      <c r="AY202" s="13"/>
      <c r="AZ202" s="13"/>
      <c r="BA202" s="13"/>
      <c r="BB202" s="13"/>
      <c r="BC202" s="13"/>
      <c r="BD202" s="13"/>
      <c r="BE202" s="13"/>
      <c r="BF202" s="13" t="s">
        <v>18</v>
      </c>
      <c r="BG202" s="13"/>
      <c r="BH202" s="13"/>
      <c r="BI202" s="13"/>
      <c r="BJ202" s="13"/>
      <c r="BK202" s="13"/>
      <c r="BL202" s="13"/>
      <c r="BM202" s="13"/>
      <c r="BN202" s="13"/>
      <c r="BO202" s="13"/>
    </row>
    <row r="203" spans="24:67" x14ac:dyDescent="0.3">
      <c r="X203" s="1" t="s">
        <v>19</v>
      </c>
      <c r="Y203" s="1" t="s">
        <v>1</v>
      </c>
      <c r="Z203" s="1" t="s">
        <v>1</v>
      </c>
      <c r="AA203" s="1" t="s">
        <v>2</v>
      </c>
      <c r="AB203" s="1" t="s">
        <v>2</v>
      </c>
      <c r="AC203" s="1" t="s">
        <v>3</v>
      </c>
      <c r="AD203" s="1" t="s">
        <v>3</v>
      </c>
      <c r="AE203" s="1" t="s">
        <v>4</v>
      </c>
      <c r="AF203" s="1" t="s">
        <v>4</v>
      </c>
      <c r="AG203" s="1" t="s">
        <v>5</v>
      </c>
      <c r="AH203" s="1" t="s">
        <v>5</v>
      </c>
      <c r="AI203" s="1" t="s">
        <v>6</v>
      </c>
      <c r="AJ203" s="1" t="s">
        <v>6</v>
      </c>
      <c r="AK203" s="1" t="s">
        <v>7</v>
      </c>
      <c r="AL203" s="1" t="s">
        <v>7</v>
      </c>
      <c r="AM203" s="1" t="s">
        <v>8</v>
      </c>
      <c r="AN203" s="1" t="s">
        <v>8</v>
      </c>
      <c r="AO203" s="1" t="s">
        <v>9</v>
      </c>
      <c r="AP203" s="1" t="s">
        <v>9</v>
      </c>
      <c r="AQ203" s="1" t="s">
        <v>10</v>
      </c>
      <c r="AR203" s="1" t="s">
        <v>10</v>
      </c>
      <c r="AU203" s="1" t="s">
        <v>19</v>
      </c>
      <c r="AV203" s="1" t="s">
        <v>1</v>
      </c>
      <c r="AW203" s="1" t="s">
        <v>10</v>
      </c>
      <c r="AX203" s="1" t="s">
        <v>2</v>
      </c>
      <c r="AY203" s="1" t="s">
        <v>3</v>
      </c>
      <c r="AZ203" s="1" t="s">
        <v>4</v>
      </c>
      <c r="BA203" s="1" t="s">
        <v>5</v>
      </c>
      <c r="BB203" s="1" t="s">
        <v>6</v>
      </c>
      <c r="BC203" s="1" t="s">
        <v>7</v>
      </c>
      <c r="BD203" s="1" t="s">
        <v>8</v>
      </c>
      <c r="BE203" s="1" t="s">
        <v>9</v>
      </c>
      <c r="BF203" s="1" t="s">
        <v>1</v>
      </c>
      <c r="BG203" s="1" t="s">
        <v>10</v>
      </c>
      <c r="BH203" s="1" t="s">
        <v>2</v>
      </c>
      <c r="BI203" s="1" t="s">
        <v>3</v>
      </c>
      <c r="BJ203" s="1" t="s">
        <v>4</v>
      </c>
      <c r="BK203" s="1" t="s">
        <v>5</v>
      </c>
      <c r="BL203" s="1" t="s">
        <v>6</v>
      </c>
      <c r="BM203" s="1" t="s">
        <v>7</v>
      </c>
      <c r="BN203" s="1" t="s">
        <v>8</v>
      </c>
      <c r="BO203" s="1" t="s">
        <v>9</v>
      </c>
    </row>
    <row r="204" spans="24:67" x14ac:dyDescent="0.3">
      <c r="X204" s="1" t="s">
        <v>20</v>
      </c>
      <c r="AU204" s="1" t="s">
        <v>20</v>
      </c>
    </row>
    <row r="205" spans="24:67" x14ac:dyDescent="0.3">
      <c r="X205" s="1" t="s">
        <v>21</v>
      </c>
      <c r="Y205" s="2">
        <v>1</v>
      </c>
      <c r="Z205" s="2">
        <v>1</v>
      </c>
      <c r="AA205" s="2">
        <v>1</v>
      </c>
      <c r="AB205" s="2">
        <v>1</v>
      </c>
      <c r="AC205" s="2">
        <v>1</v>
      </c>
      <c r="AD205" s="2">
        <v>1</v>
      </c>
      <c r="AE205" s="2">
        <v>1</v>
      </c>
      <c r="AF205" s="2">
        <v>0.11</v>
      </c>
      <c r="AG205" s="2">
        <v>0.03</v>
      </c>
      <c r="AH205" s="2">
        <v>0.04</v>
      </c>
      <c r="AI205" s="2">
        <v>0.06</v>
      </c>
      <c r="AJ205" s="2">
        <v>0.04</v>
      </c>
      <c r="AK205" s="2">
        <v>0.06</v>
      </c>
      <c r="AL205" s="2">
        <v>0.03</v>
      </c>
      <c r="AM205" s="2">
        <v>0.04</v>
      </c>
      <c r="AN205" s="2">
        <v>0.03</v>
      </c>
      <c r="AO205" s="2">
        <v>0.03</v>
      </c>
      <c r="AP205" s="2">
        <v>0.01</v>
      </c>
      <c r="AQ205" s="2">
        <v>0.03</v>
      </c>
      <c r="AR205" s="2">
        <v>0.01</v>
      </c>
      <c r="AU205" s="1" t="s">
        <v>21</v>
      </c>
      <c r="AV205" s="2">
        <v>107.2</v>
      </c>
      <c r="AW205" s="2">
        <v>693</v>
      </c>
      <c r="AX205" s="2">
        <v>50.05</v>
      </c>
      <c r="AY205" s="2">
        <v>30.1</v>
      </c>
      <c r="AZ205" s="2">
        <v>108.53</v>
      </c>
      <c r="BA205" s="2">
        <v>299.60000000000002</v>
      </c>
      <c r="BB205" s="2">
        <v>549.36</v>
      </c>
      <c r="BC205" s="2">
        <v>430.36</v>
      </c>
      <c r="BD205" s="2">
        <v>577.22</v>
      </c>
      <c r="BE205" s="2">
        <v>440.3</v>
      </c>
      <c r="BF205" s="2">
        <v>108.06</v>
      </c>
      <c r="BG205" s="2">
        <v>705.6</v>
      </c>
      <c r="BH205" s="2">
        <v>51.42</v>
      </c>
      <c r="BI205" s="2">
        <v>30.92</v>
      </c>
      <c r="BJ205" s="2">
        <v>231.84</v>
      </c>
      <c r="BK205" s="2">
        <v>289.8</v>
      </c>
      <c r="BL205" s="2">
        <v>519.12</v>
      </c>
      <c r="BM205" s="2">
        <v>438.48</v>
      </c>
      <c r="BN205" s="2">
        <v>561.26</v>
      </c>
      <c r="BO205" s="2">
        <v>461.72</v>
      </c>
    </row>
    <row r="206" spans="24:67" x14ac:dyDescent="0.3">
      <c r="X206" s="1" t="s">
        <v>22</v>
      </c>
      <c r="Y206" s="2">
        <v>0.21</v>
      </c>
      <c r="Z206" s="2">
        <v>0.24</v>
      </c>
      <c r="AA206" s="2">
        <v>0.24</v>
      </c>
      <c r="AB206" s="2">
        <v>0.28999999999999998</v>
      </c>
      <c r="AC206" s="2">
        <v>0.19</v>
      </c>
      <c r="AD206" s="2">
        <v>0.25</v>
      </c>
      <c r="AE206" s="2">
        <v>0.18</v>
      </c>
      <c r="AF206" s="2">
        <v>0.14000000000000001</v>
      </c>
      <c r="AG206" s="2">
        <v>0.06</v>
      </c>
      <c r="AH206" s="2">
        <v>0.03</v>
      </c>
      <c r="AI206" s="2">
        <v>7.0000000000000007E-2</v>
      </c>
      <c r="AJ206" s="2">
        <v>0.03</v>
      </c>
      <c r="AK206" s="2">
        <v>0.06</v>
      </c>
      <c r="AL206" s="2">
        <v>0.04</v>
      </c>
      <c r="AM206" s="2">
        <v>0.05</v>
      </c>
      <c r="AN206" s="2">
        <v>0.02</v>
      </c>
      <c r="AO206" s="2">
        <v>0.05</v>
      </c>
      <c r="AP206" s="2">
        <v>0.01</v>
      </c>
      <c r="AQ206" s="2">
        <v>0.04</v>
      </c>
      <c r="AR206" s="2">
        <v>0</v>
      </c>
      <c r="AU206" s="1" t="s">
        <v>22</v>
      </c>
      <c r="AV206" s="2">
        <v>14.92</v>
      </c>
      <c r="AW206" s="2">
        <v>65.3</v>
      </c>
      <c r="AX206" s="2">
        <v>7.84</v>
      </c>
      <c r="AY206" s="2">
        <v>4.03</v>
      </c>
      <c r="AZ206" s="2">
        <v>13.91</v>
      </c>
      <c r="BA206" s="2">
        <v>18.13</v>
      </c>
      <c r="BB206" s="2">
        <v>31.83</v>
      </c>
      <c r="BC206" s="2">
        <v>29.99</v>
      </c>
      <c r="BD206" s="2">
        <v>40.39</v>
      </c>
      <c r="BE206" s="2">
        <v>35.380000000000003</v>
      </c>
      <c r="BF206" s="2">
        <v>15.56</v>
      </c>
      <c r="BG206" s="2">
        <v>57.06</v>
      </c>
      <c r="BH206" s="2">
        <v>9.51</v>
      </c>
      <c r="BI206" s="2">
        <v>4.6100000000000003</v>
      </c>
      <c r="BJ206" s="2">
        <v>18.72</v>
      </c>
      <c r="BK206" s="2">
        <v>20.87</v>
      </c>
      <c r="BL206" s="2">
        <v>40.950000000000003</v>
      </c>
      <c r="BM206" s="2">
        <v>32.44</v>
      </c>
      <c r="BN206" s="2">
        <v>39.700000000000003</v>
      </c>
      <c r="BO206" s="2">
        <v>39.47</v>
      </c>
    </row>
    <row r="207" spans="24:67" x14ac:dyDescent="0.3">
      <c r="X207" s="1" t="s">
        <v>23</v>
      </c>
      <c r="Y207" s="2">
        <v>0.27</v>
      </c>
      <c r="Z207" s="2">
        <v>0.17</v>
      </c>
      <c r="AA207" s="2">
        <v>0.32</v>
      </c>
      <c r="AB207" s="2">
        <v>1</v>
      </c>
      <c r="AC207" s="2">
        <v>0.2</v>
      </c>
      <c r="AD207" s="2">
        <v>0.34</v>
      </c>
      <c r="AE207" s="2">
        <v>0.19</v>
      </c>
      <c r="AF207" s="2">
        <v>0.1</v>
      </c>
      <c r="AG207" s="2">
        <v>0.19</v>
      </c>
      <c r="AH207" s="2">
        <v>0.04</v>
      </c>
      <c r="AI207" s="2">
        <v>0.23</v>
      </c>
      <c r="AJ207" s="2">
        <v>0.04</v>
      </c>
      <c r="AK207" s="2">
        <v>0.28999999999999998</v>
      </c>
      <c r="AL207" s="2">
        <v>0.04</v>
      </c>
      <c r="AM207" s="2">
        <v>0.24</v>
      </c>
      <c r="AN207" s="2">
        <v>0.03</v>
      </c>
      <c r="AO207" s="2">
        <v>0.05</v>
      </c>
      <c r="AP207" s="2">
        <v>0.02</v>
      </c>
      <c r="AQ207" s="2">
        <v>0.02</v>
      </c>
      <c r="AR207" s="2">
        <v>0.01</v>
      </c>
      <c r="AU207" s="1" t="s">
        <v>23</v>
      </c>
      <c r="AV207" s="2">
        <v>110.91</v>
      </c>
      <c r="AW207" s="2">
        <v>204.79</v>
      </c>
      <c r="AX207" s="2">
        <v>44.64</v>
      </c>
      <c r="AY207" s="2">
        <v>32.159999999999997</v>
      </c>
      <c r="AZ207" s="2">
        <v>90.29</v>
      </c>
      <c r="BA207" s="2">
        <v>122.83</v>
      </c>
      <c r="BB207" s="2">
        <v>274.04000000000002</v>
      </c>
      <c r="BC207" s="2">
        <v>352.19</v>
      </c>
      <c r="BD207" s="2">
        <v>370.39</v>
      </c>
      <c r="BE207" s="2">
        <v>167.64</v>
      </c>
      <c r="BF207" s="2">
        <v>45.8</v>
      </c>
      <c r="BG207" s="2">
        <v>200.83</v>
      </c>
      <c r="BH207" s="2">
        <v>21.67</v>
      </c>
      <c r="BI207" s="2">
        <v>50.37</v>
      </c>
      <c r="BJ207" s="2">
        <v>80.95</v>
      </c>
      <c r="BK207" s="2">
        <v>96.71</v>
      </c>
      <c r="BL207" s="2">
        <v>182.7</v>
      </c>
      <c r="BM207" s="2">
        <v>154.65</v>
      </c>
      <c r="BN207" s="2">
        <v>181.28</v>
      </c>
      <c r="BO207" s="2">
        <v>172.32</v>
      </c>
    </row>
    <row r="208" spans="24:67" x14ac:dyDescent="0.3">
      <c r="X208" s="1" t="s">
        <v>24</v>
      </c>
      <c r="Y208" s="2">
        <v>0.33</v>
      </c>
      <c r="Z208" s="2">
        <v>0.17</v>
      </c>
      <c r="AA208" s="2">
        <v>0.33</v>
      </c>
      <c r="AB208" s="2">
        <v>0.26</v>
      </c>
      <c r="AC208" s="2">
        <v>0.32</v>
      </c>
      <c r="AD208" s="2">
        <v>0.34</v>
      </c>
      <c r="AE208" s="2">
        <v>0.22</v>
      </c>
      <c r="AF208" s="2">
        <v>0.15</v>
      </c>
      <c r="AG208" s="2">
        <v>0.2</v>
      </c>
      <c r="AH208" s="2">
        <v>0.06</v>
      </c>
      <c r="AI208" s="2">
        <v>0.22</v>
      </c>
      <c r="AJ208" s="2">
        <v>0.05</v>
      </c>
      <c r="AK208" s="2">
        <v>0.22</v>
      </c>
      <c r="AL208" s="2">
        <v>0.05</v>
      </c>
      <c r="AM208" s="2">
        <v>0.12</v>
      </c>
      <c r="AN208" s="2">
        <v>0.04</v>
      </c>
      <c r="AO208" s="2">
        <v>0.04</v>
      </c>
      <c r="AP208" s="2">
        <v>0.03</v>
      </c>
      <c r="AQ208" s="2">
        <v>0.03</v>
      </c>
      <c r="AR208" s="2">
        <v>0.02</v>
      </c>
      <c r="AU208" s="1" t="s">
        <v>24</v>
      </c>
      <c r="AV208" s="2">
        <v>42.63</v>
      </c>
      <c r="AW208" s="2">
        <v>86.24</v>
      </c>
      <c r="AX208" s="2">
        <v>18.61</v>
      </c>
      <c r="AY208" s="2">
        <v>13.67</v>
      </c>
      <c r="AZ208" s="2">
        <v>35.200000000000003</v>
      </c>
      <c r="BA208" s="2">
        <v>45.68</v>
      </c>
      <c r="BB208" s="2">
        <v>84.61</v>
      </c>
      <c r="BC208" s="2">
        <v>72.5</v>
      </c>
      <c r="BD208" s="2">
        <v>81.08</v>
      </c>
      <c r="BE208" s="2">
        <v>60.04</v>
      </c>
      <c r="BF208" s="2">
        <v>21.69</v>
      </c>
      <c r="BG208" s="2">
        <v>86.74</v>
      </c>
      <c r="BH208" s="2">
        <v>11.67</v>
      </c>
      <c r="BI208" s="2">
        <v>13.96</v>
      </c>
      <c r="BJ208" s="2">
        <v>35.06</v>
      </c>
      <c r="BK208" s="2">
        <v>39.68</v>
      </c>
      <c r="BL208" s="2">
        <v>74.63</v>
      </c>
      <c r="BM208" s="2">
        <v>61.59</v>
      </c>
      <c r="BN208" s="2">
        <v>72.63</v>
      </c>
      <c r="BO208" s="2">
        <v>72.17</v>
      </c>
    </row>
    <row r="209" spans="24:67" x14ac:dyDescent="0.3">
      <c r="X209" s="1" t="s">
        <v>25</v>
      </c>
      <c r="Y209" s="2">
        <v>0.28000000000000003</v>
      </c>
      <c r="Z209" s="2">
        <v>0.21</v>
      </c>
      <c r="AA209" s="2">
        <v>0.22</v>
      </c>
      <c r="AB209" s="2">
        <v>0.23</v>
      </c>
      <c r="AC209" s="2">
        <v>0.21</v>
      </c>
      <c r="AD209" s="2">
        <v>0.3</v>
      </c>
      <c r="AE209" s="2">
        <v>0.16</v>
      </c>
      <c r="AF209" s="2">
        <v>0.18</v>
      </c>
      <c r="AG209" s="2">
        <v>0.11</v>
      </c>
      <c r="AH209" s="2">
        <v>0.13</v>
      </c>
      <c r="AI209" s="2">
        <v>0.08</v>
      </c>
      <c r="AJ209" s="2">
        <v>7.0000000000000007E-2</v>
      </c>
      <c r="AK209" s="2">
        <v>0.06</v>
      </c>
      <c r="AL209" s="2">
        <v>0.06</v>
      </c>
      <c r="AM209" s="2">
        <v>0.05</v>
      </c>
      <c r="AN209" s="2">
        <v>0.04</v>
      </c>
      <c r="AO209" s="2">
        <v>0.04</v>
      </c>
      <c r="AP209" s="2">
        <v>0.03</v>
      </c>
      <c r="AQ209" s="2">
        <v>0.03</v>
      </c>
      <c r="AR209" s="2">
        <v>0.02</v>
      </c>
      <c r="AU209" s="1" t="s">
        <v>25</v>
      </c>
      <c r="AV209" s="2">
        <v>116.09</v>
      </c>
      <c r="AW209" s="2">
        <v>388.79</v>
      </c>
      <c r="AX209" s="2">
        <v>62.4</v>
      </c>
      <c r="AY209" s="2">
        <v>34.630000000000003</v>
      </c>
      <c r="AZ209" s="2">
        <v>120.46</v>
      </c>
      <c r="BA209" s="2">
        <v>166.81</v>
      </c>
      <c r="BB209" s="2">
        <v>291</v>
      </c>
      <c r="BC209" s="2">
        <v>234.49</v>
      </c>
      <c r="BD209" s="2">
        <v>311.61</v>
      </c>
      <c r="BE209" s="2">
        <v>278.05</v>
      </c>
      <c r="BF209" s="2">
        <v>128.91999999999999</v>
      </c>
      <c r="BG209" s="2">
        <v>415.92</v>
      </c>
      <c r="BH209" s="2">
        <v>64.22</v>
      </c>
      <c r="BI209" s="2">
        <v>40.82</v>
      </c>
      <c r="BJ209" s="2">
        <v>136.4</v>
      </c>
      <c r="BK209" s="2">
        <v>176.25</v>
      </c>
      <c r="BL209" s="2">
        <v>294.14999999999998</v>
      </c>
      <c r="BM209" s="2">
        <v>235.03</v>
      </c>
      <c r="BN209" s="2">
        <v>290.10000000000002</v>
      </c>
      <c r="BO209" s="2">
        <v>259.60000000000002</v>
      </c>
    </row>
    <row r="210" spans="24:67" x14ac:dyDescent="0.3">
      <c r="X210" s="1" t="s">
        <v>26</v>
      </c>
      <c r="Y210" s="2">
        <v>0.31</v>
      </c>
      <c r="Z210" s="2">
        <v>0.32</v>
      </c>
      <c r="AA210" s="2">
        <v>0.27</v>
      </c>
      <c r="AB210" s="2">
        <v>0.33</v>
      </c>
      <c r="AC210" s="2">
        <v>0.3</v>
      </c>
      <c r="AD210" s="2">
        <v>0.31</v>
      </c>
      <c r="AE210" s="2">
        <v>0.17</v>
      </c>
      <c r="AF210" s="2">
        <v>0.26</v>
      </c>
      <c r="AG210" s="2">
        <v>0.05</v>
      </c>
      <c r="AH210" s="2">
        <v>0.26</v>
      </c>
      <c r="AI210" s="2">
        <v>7.0000000000000007E-2</v>
      </c>
      <c r="AJ210" s="2">
        <v>0.19</v>
      </c>
      <c r="AK210" s="2">
        <v>0.06</v>
      </c>
      <c r="AL210" s="2">
        <v>0.13</v>
      </c>
      <c r="AM210" s="2">
        <v>0.06</v>
      </c>
      <c r="AN210" s="2">
        <v>0.13</v>
      </c>
      <c r="AO210" s="2">
        <v>0.05</v>
      </c>
      <c r="AP210" s="2">
        <v>0.11</v>
      </c>
      <c r="AQ210" s="2">
        <v>0.04</v>
      </c>
      <c r="AR210" s="2">
        <v>0.03</v>
      </c>
      <c r="AU210" s="1" t="s">
        <v>26</v>
      </c>
      <c r="AV210" s="2">
        <v>26.08</v>
      </c>
      <c r="AW210" s="2">
        <v>66.63</v>
      </c>
      <c r="AX210" s="2">
        <v>12.55</v>
      </c>
      <c r="AY210" s="2">
        <v>7.75</v>
      </c>
      <c r="AZ210" s="2">
        <v>17.350000000000001</v>
      </c>
      <c r="BA210" s="2">
        <v>22.27</v>
      </c>
      <c r="BB210" s="2">
        <v>45.66</v>
      </c>
      <c r="BC210" s="2">
        <v>36.94</v>
      </c>
      <c r="BD210" s="2">
        <v>49.67</v>
      </c>
      <c r="BE210" s="2">
        <v>48.59</v>
      </c>
      <c r="BF210" s="2">
        <v>24.2</v>
      </c>
      <c r="BG210" s="2">
        <v>43.12</v>
      </c>
      <c r="BH210" s="2">
        <v>9.42</v>
      </c>
      <c r="BI210" s="2">
        <v>7.49</v>
      </c>
      <c r="BJ210" s="2">
        <v>21.8</v>
      </c>
      <c r="BK210" s="2">
        <v>35.67</v>
      </c>
      <c r="BL210" s="2">
        <v>49.26</v>
      </c>
      <c r="BM210" s="2">
        <v>34.49</v>
      </c>
      <c r="BN210" s="2">
        <v>50.9</v>
      </c>
      <c r="BO210" s="2">
        <v>39.159999999999997</v>
      </c>
    </row>
    <row r="211" spans="24:67" x14ac:dyDescent="0.3">
      <c r="X211" s="1" t="s">
        <v>27</v>
      </c>
      <c r="Y211" s="2">
        <v>0.28999999999999998</v>
      </c>
      <c r="Z211" s="2">
        <v>0.3</v>
      </c>
      <c r="AA211" s="2">
        <v>0.18</v>
      </c>
      <c r="AB211" s="2">
        <v>0.24</v>
      </c>
      <c r="AC211" s="2">
        <v>0.22</v>
      </c>
      <c r="AD211" s="2">
        <v>0.27</v>
      </c>
      <c r="AE211" s="2">
        <v>0.13</v>
      </c>
      <c r="AF211" s="2">
        <v>0.28000000000000003</v>
      </c>
      <c r="AG211" s="2">
        <v>0.05</v>
      </c>
      <c r="AH211" s="2">
        <v>0.28000000000000003</v>
      </c>
      <c r="AI211" s="2">
        <v>0.06</v>
      </c>
      <c r="AJ211" s="2">
        <v>0.22</v>
      </c>
      <c r="AK211" s="2">
        <v>0.05</v>
      </c>
      <c r="AL211" s="2">
        <v>0.15</v>
      </c>
      <c r="AM211" s="2">
        <v>7.0000000000000007E-2</v>
      </c>
      <c r="AN211" s="2">
        <v>0.09</v>
      </c>
      <c r="AO211" s="2">
        <v>0.04</v>
      </c>
      <c r="AP211" s="2">
        <v>0.04</v>
      </c>
      <c r="AQ211" s="2">
        <v>0.03</v>
      </c>
      <c r="AR211" s="2">
        <v>0.03</v>
      </c>
      <c r="AU211" s="1" t="s">
        <v>27</v>
      </c>
      <c r="AV211" s="2">
        <v>79.099999999999994</v>
      </c>
      <c r="AW211" s="2">
        <v>217.61</v>
      </c>
      <c r="AX211" s="2">
        <v>35.01</v>
      </c>
      <c r="AY211" s="2">
        <v>22.38</v>
      </c>
      <c r="AZ211" s="2">
        <v>64.77</v>
      </c>
      <c r="BA211" s="2">
        <v>78.73</v>
      </c>
      <c r="BB211" s="2">
        <v>150.36000000000001</v>
      </c>
      <c r="BC211" s="2">
        <v>124.74</v>
      </c>
      <c r="BD211" s="2">
        <v>185.77</v>
      </c>
      <c r="BE211" s="2">
        <v>167.39</v>
      </c>
      <c r="BF211" s="2">
        <v>111.97</v>
      </c>
      <c r="BG211" s="2">
        <v>193.86</v>
      </c>
      <c r="BH211" s="2">
        <v>36.5</v>
      </c>
      <c r="BI211" s="2">
        <v>28.59</v>
      </c>
      <c r="BJ211" s="2">
        <v>122.12</v>
      </c>
      <c r="BK211" s="2">
        <v>127.8</v>
      </c>
      <c r="BL211" s="2">
        <v>200.8</v>
      </c>
      <c r="BM211" s="2">
        <v>150.47</v>
      </c>
      <c r="BN211" s="2">
        <v>186.14</v>
      </c>
      <c r="BO211" s="2">
        <v>149.19999999999999</v>
      </c>
    </row>
    <row r="212" spans="24:67" x14ac:dyDescent="0.3">
      <c r="X212" s="1" t="s">
        <v>28</v>
      </c>
      <c r="Y212" s="2">
        <v>0.18</v>
      </c>
      <c r="Z212" s="2">
        <v>0.18</v>
      </c>
      <c r="AA212" s="2">
        <v>1</v>
      </c>
      <c r="AB212" s="2">
        <v>0.99</v>
      </c>
      <c r="AC212" s="2">
        <v>1</v>
      </c>
      <c r="AD212" s="2">
        <v>0.26</v>
      </c>
      <c r="AE212" s="2">
        <v>1</v>
      </c>
      <c r="AF212" s="2">
        <v>0.17</v>
      </c>
      <c r="AG212" s="2">
        <v>0.02</v>
      </c>
      <c r="AH212" s="2">
        <v>0.11</v>
      </c>
      <c r="AI212" s="2">
        <v>0.05</v>
      </c>
      <c r="AJ212" s="2">
        <v>0.1</v>
      </c>
      <c r="AK212" s="2">
        <v>0.06</v>
      </c>
      <c r="AL212" s="2">
        <v>0.06</v>
      </c>
      <c r="AM212" s="2">
        <v>0.04</v>
      </c>
      <c r="AN212" s="2">
        <v>0.04</v>
      </c>
      <c r="AO212" s="2">
        <v>0.04</v>
      </c>
      <c r="AP212" s="2">
        <v>0.02</v>
      </c>
      <c r="AQ212" s="2">
        <v>0.02</v>
      </c>
      <c r="AR212" s="2">
        <v>0.01</v>
      </c>
      <c r="AU212" s="1" t="s">
        <v>28</v>
      </c>
      <c r="AV212" s="2">
        <v>48.58</v>
      </c>
      <c r="AW212" s="2">
        <v>151.65</v>
      </c>
      <c r="AX212" s="2">
        <v>20.190000000000001</v>
      </c>
      <c r="AY212" s="2">
        <v>12.68</v>
      </c>
      <c r="AZ212" s="2">
        <v>48.56</v>
      </c>
      <c r="BA212" s="2">
        <v>64.3</v>
      </c>
      <c r="BB212" s="2">
        <v>117.76</v>
      </c>
      <c r="BC212" s="2">
        <v>95.29</v>
      </c>
      <c r="BD212" s="2">
        <v>123.81</v>
      </c>
      <c r="BE212" s="2">
        <v>113.77</v>
      </c>
      <c r="BF212" s="2">
        <v>52.06</v>
      </c>
      <c r="BG212" s="2">
        <v>175.76</v>
      </c>
      <c r="BH212" s="2">
        <v>21.67</v>
      </c>
      <c r="BI212" s="2">
        <v>14.18</v>
      </c>
      <c r="BJ212" s="2">
        <v>54.48</v>
      </c>
      <c r="BK212" s="2">
        <v>66.27</v>
      </c>
      <c r="BL212" s="2">
        <v>122.33</v>
      </c>
      <c r="BM212" s="2">
        <v>98.14</v>
      </c>
      <c r="BN212" s="2">
        <v>124.31</v>
      </c>
      <c r="BO212" s="2">
        <v>107.44</v>
      </c>
    </row>
    <row r="215" spans="24:67" x14ac:dyDescent="0.3">
      <c r="X215" t="s">
        <v>72</v>
      </c>
      <c r="AU215" t="s">
        <v>73</v>
      </c>
    </row>
    <row r="216" spans="24:67" x14ac:dyDescent="0.3">
      <c r="X216" s="1" t="s">
        <v>16</v>
      </c>
      <c r="Y216" s="1" t="s">
        <v>17</v>
      </c>
      <c r="Z216" s="1" t="s">
        <v>18</v>
      </c>
      <c r="AA216" s="1" t="s">
        <v>17</v>
      </c>
      <c r="AB216" s="1" t="s">
        <v>18</v>
      </c>
      <c r="AC216" s="1" t="s">
        <v>17</v>
      </c>
      <c r="AD216" s="1" t="s">
        <v>18</v>
      </c>
      <c r="AE216" s="1" t="s">
        <v>17</v>
      </c>
      <c r="AF216" s="1" t="s">
        <v>18</v>
      </c>
      <c r="AG216" s="1" t="s">
        <v>17</v>
      </c>
      <c r="AH216" s="1" t="s">
        <v>18</v>
      </c>
      <c r="AI216" s="1" t="s">
        <v>17</v>
      </c>
      <c r="AJ216" s="1" t="s">
        <v>18</v>
      </c>
      <c r="AK216" s="1" t="s">
        <v>17</v>
      </c>
      <c r="AL216" s="1" t="s">
        <v>18</v>
      </c>
      <c r="AM216" s="1" t="s">
        <v>17</v>
      </c>
      <c r="AN216" s="1" t="s">
        <v>18</v>
      </c>
      <c r="AO216" s="1" t="s">
        <v>17</v>
      </c>
      <c r="AP216" s="1" t="s">
        <v>18</v>
      </c>
      <c r="AQ216" s="1" t="s">
        <v>17</v>
      </c>
      <c r="AR216" s="1" t="s">
        <v>18</v>
      </c>
      <c r="AU216" s="1" t="s">
        <v>16</v>
      </c>
      <c r="AV216" s="1" t="s">
        <v>17</v>
      </c>
      <c r="AW216" s="1" t="s">
        <v>18</v>
      </c>
      <c r="AX216" s="1" t="s">
        <v>17</v>
      </c>
      <c r="AY216" s="1" t="s">
        <v>18</v>
      </c>
      <c r="AZ216" s="1" t="s">
        <v>17</v>
      </c>
      <c r="BA216" s="1" t="s">
        <v>18</v>
      </c>
      <c r="BB216" s="1" t="s">
        <v>17</v>
      </c>
      <c r="BC216" s="1" t="s">
        <v>18</v>
      </c>
      <c r="BD216" s="1" t="s">
        <v>17</v>
      </c>
      <c r="BE216" s="1" t="s">
        <v>18</v>
      </c>
      <c r="BF216" s="1" t="s">
        <v>17</v>
      </c>
      <c r="BG216" s="1" t="s">
        <v>18</v>
      </c>
      <c r="BH216" s="1" t="s">
        <v>17</v>
      </c>
      <c r="BI216" s="1" t="s">
        <v>18</v>
      </c>
      <c r="BJ216" s="1" t="s">
        <v>17</v>
      </c>
      <c r="BK216" s="1" t="s">
        <v>18</v>
      </c>
      <c r="BL216" s="1" t="s">
        <v>17</v>
      </c>
      <c r="BM216" s="1" t="s">
        <v>18</v>
      </c>
      <c r="BN216" s="1" t="s">
        <v>17</v>
      </c>
      <c r="BO216" s="1" t="s">
        <v>18</v>
      </c>
    </row>
    <row r="217" spans="24:67" x14ac:dyDescent="0.3">
      <c r="X217" s="1" t="s">
        <v>19</v>
      </c>
      <c r="Y217" s="1" t="s">
        <v>1</v>
      </c>
      <c r="Z217" s="1" t="s">
        <v>1</v>
      </c>
      <c r="AA217" s="1" t="s">
        <v>2</v>
      </c>
      <c r="AB217" s="1" t="s">
        <v>2</v>
      </c>
      <c r="AC217" s="1" t="s">
        <v>3</v>
      </c>
      <c r="AD217" s="1" t="s">
        <v>3</v>
      </c>
      <c r="AE217" s="1" t="s">
        <v>4</v>
      </c>
      <c r="AF217" s="1" t="s">
        <v>4</v>
      </c>
      <c r="AG217" s="1" t="s">
        <v>5</v>
      </c>
      <c r="AH217" s="1" t="s">
        <v>5</v>
      </c>
      <c r="AI217" s="1" t="s">
        <v>6</v>
      </c>
      <c r="AJ217" s="1" t="s">
        <v>6</v>
      </c>
      <c r="AK217" s="1" t="s">
        <v>7</v>
      </c>
      <c r="AL217" s="1" t="s">
        <v>7</v>
      </c>
      <c r="AM217" s="1" t="s">
        <v>8</v>
      </c>
      <c r="AN217" s="1" t="s">
        <v>8</v>
      </c>
      <c r="AO217" s="1" t="s">
        <v>9</v>
      </c>
      <c r="AP217" s="1" t="s">
        <v>9</v>
      </c>
      <c r="AQ217" s="1" t="s">
        <v>10</v>
      </c>
      <c r="AR217" s="1" t="s">
        <v>10</v>
      </c>
      <c r="AU217" s="1" t="s">
        <v>19</v>
      </c>
      <c r="AV217" s="1" t="s">
        <v>1</v>
      </c>
      <c r="AW217" s="1" t="s">
        <v>1</v>
      </c>
      <c r="AX217" s="1" t="s">
        <v>2</v>
      </c>
      <c r="AY217" s="1" t="s">
        <v>2</v>
      </c>
      <c r="AZ217" s="1" t="s">
        <v>3</v>
      </c>
      <c r="BA217" s="1" t="s">
        <v>3</v>
      </c>
      <c r="BB217" s="1" t="s">
        <v>4</v>
      </c>
      <c r="BC217" s="1" t="s">
        <v>4</v>
      </c>
      <c r="BD217" s="1" t="s">
        <v>5</v>
      </c>
      <c r="BE217" s="1" t="s">
        <v>5</v>
      </c>
      <c r="BF217" s="1" t="s">
        <v>6</v>
      </c>
      <c r="BG217" s="1" t="s">
        <v>6</v>
      </c>
      <c r="BH217" s="1" t="s">
        <v>7</v>
      </c>
      <c r="BI217" s="1" t="s">
        <v>7</v>
      </c>
      <c r="BJ217" s="1" t="s">
        <v>8</v>
      </c>
      <c r="BK217" s="1" t="s">
        <v>8</v>
      </c>
      <c r="BL217" s="1" t="s">
        <v>9</v>
      </c>
      <c r="BM217" s="1" t="s">
        <v>9</v>
      </c>
      <c r="BN217" s="1" t="s">
        <v>10</v>
      </c>
      <c r="BO217" s="1" t="s">
        <v>10</v>
      </c>
    </row>
    <row r="218" spans="24:67" x14ac:dyDescent="0.3">
      <c r="X218" s="1" t="s">
        <v>20</v>
      </c>
      <c r="AU218" s="1" t="s">
        <v>20</v>
      </c>
    </row>
    <row r="219" spans="24:67" x14ac:dyDescent="0.3">
      <c r="X219" s="1" t="s">
        <v>21</v>
      </c>
      <c r="Y219" s="2">
        <v>0</v>
      </c>
      <c r="Z219" s="2">
        <v>0</v>
      </c>
      <c r="AA219" s="2">
        <v>0</v>
      </c>
      <c r="AB219" s="2">
        <v>0</v>
      </c>
      <c r="AC219" s="2">
        <v>0</v>
      </c>
      <c r="AD219" s="2">
        <v>0</v>
      </c>
      <c r="AE219" s="2">
        <v>0</v>
      </c>
      <c r="AF219" s="2">
        <v>0.03</v>
      </c>
      <c r="AG219" s="2">
        <v>0.02</v>
      </c>
      <c r="AH219" s="2">
        <v>0.03</v>
      </c>
      <c r="AI219" s="2">
        <v>0.04</v>
      </c>
      <c r="AJ219" s="2">
        <v>0.03</v>
      </c>
      <c r="AK219" s="2">
        <v>0.04</v>
      </c>
      <c r="AL219" s="2">
        <v>0.02</v>
      </c>
      <c r="AM219" s="2">
        <v>0.03</v>
      </c>
      <c r="AN219" s="2">
        <v>0.02</v>
      </c>
      <c r="AO219" s="2">
        <v>0.02</v>
      </c>
      <c r="AP219" s="2">
        <v>0.01</v>
      </c>
      <c r="AQ219" s="2">
        <v>0.02</v>
      </c>
      <c r="AR219" s="2">
        <v>0.01</v>
      </c>
      <c r="AU219" s="1" t="s">
        <v>21</v>
      </c>
      <c r="AV219" s="2">
        <v>82.46</v>
      </c>
      <c r="AW219" s="2">
        <v>83.13</v>
      </c>
      <c r="AX219" s="2">
        <v>38.5</v>
      </c>
      <c r="AY219" s="2">
        <v>39.549999999999997</v>
      </c>
      <c r="AZ219" s="2">
        <v>60.2</v>
      </c>
      <c r="BA219" s="2">
        <v>61.85</v>
      </c>
      <c r="BB219" s="2">
        <v>67.83</v>
      </c>
      <c r="BC219" s="2">
        <v>144.9</v>
      </c>
      <c r="BD219" s="2">
        <v>149.80000000000001</v>
      </c>
      <c r="BE219" s="2">
        <v>144.9</v>
      </c>
      <c r="BF219" s="2">
        <v>152.6</v>
      </c>
      <c r="BG219" s="2">
        <v>144.19999999999999</v>
      </c>
      <c r="BH219" s="2">
        <v>148.4</v>
      </c>
      <c r="BI219" s="2">
        <v>151.19999999999999</v>
      </c>
      <c r="BJ219" s="2">
        <v>151.9</v>
      </c>
      <c r="BK219" s="2">
        <v>147.69999999999999</v>
      </c>
      <c r="BL219" s="2">
        <v>129.5</v>
      </c>
      <c r="BM219" s="2">
        <v>135.80000000000001</v>
      </c>
      <c r="BN219" s="2">
        <v>154</v>
      </c>
      <c r="BO219" s="2">
        <v>156.80000000000001</v>
      </c>
    </row>
    <row r="220" spans="24:67" x14ac:dyDescent="0.3">
      <c r="X220" s="1" t="s">
        <v>22</v>
      </c>
      <c r="Y220" s="2">
        <v>0.03</v>
      </c>
      <c r="Z220" s="2">
        <v>0</v>
      </c>
      <c r="AA220" s="2">
        <v>0.02</v>
      </c>
      <c r="AB220" s="2">
        <v>0</v>
      </c>
      <c r="AC220" s="2">
        <v>0.01</v>
      </c>
      <c r="AD220" s="2">
        <v>0.01</v>
      </c>
      <c r="AE220" s="2">
        <v>0.03</v>
      </c>
      <c r="AF220" s="2">
        <v>0.03</v>
      </c>
      <c r="AG220" s="2">
        <v>0.04</v>
      </c>
      <c r="AH220" s="2">
        <v>0.02</v>
      </c>
      <c r="AI220" s="2">
        <v>0.05</v>
      </c>
      <c r="AJ220" s="2">
        <v>0.02</v>
      </c>
      <c r="AK220" s="2">
        <v>0.04</v>
      </c>
      <c r="AL220" s="2">
        <v>0.03</v>
      </c>
      <c r="AM220" s="2">
        <v>0.04</v>
      </c>
      <c r="AN220" s="2">
        <v>0.02</v>
      </c>
      <c r="AO220" s="2">
        <v>0.03</v>
      </c>
      <c r="AP220" s="2">
        <v>0.01</v>
      </c>
      <c r="AQ220" s="2">
        <v>0.03</v>
      </c>
      <c r="AR220" s="2">
        <v>0</v>
      </c>
      <c r="AU220" s="1" t="s">
        <v>22</v>
      </c>
      <c r="AV220" s="2">
        <v>11.48</v>
      </c>
      <c r="AW220" s="2">
        <v>11.97</v>
      </c>
      <c r="AX220" s="2">
        <v>6.03</v>
      </c>
      <c r="AY220" s="2">
        <v>7.32</v>
      </c>
      <c r="AZ220" s="2">
        <v>8.0500000000000007</v>
      </c>
      <c r="BA220" s="2">
        <v>9.2200000000000006</v>
      </c>
      <c r="BB220" s="2">
        <v>8.69</v>
      </c>
      <c r="BC220" s="2">
        <v>11.7</v>
      </c>
      <c r="BD220" s="2">
        <v>9.06</v>
      </c>
      <c r="BE220" s="2">
        <v>10.43</v>
      </c>
      <c r="BF220" s="2">
        <v>8.84</v>
      </c>
      <c r="BG220" s="2">
        <v>11.37</v>
      </c>
      <c r="BH220" s="2">
        <v>10.34</v>
      </c>
      <c r="BI220" s="2">
        <v>11.19</v>
      </c>
      <c r="BJ220" s="2">
        <v>10.63</v>
      </c>
      <c r="BK220" s="2">
        <v>10.45</v>
      </c>
      <c r="BL220" s="2">
        <v>10.41</v>
      </c>
      <c r="BM220" s="2">
        <v>11.61</v>
      </c>
      <c r="BN220" s="2">
        <v>14.51</v>
      </c>
      <c r="BO220" s="2">
        <v>12.68</v>
      </c>
    </row>
    <row r="221" spans="24:67" x14ac:dyDescent="0.3">
      <c r="X221" s="1" t="s">
        <v>23</v>
      </c>
      <c r="Y221" s="2">
        <v>0.16</v>
      </c>
      <c r="Z221" s="2">
        <v>0</v>
      </c>
      <c r="AA221" s="2">
        <v>0.2</v>
      </c>
      <c r="AB221" s="2">
        <v>0</v>
      </c>
      <c r="AC221" s="2">
        <v>0.11</v>
      </c>
      <c r="AD221" s="2">
        <v>0.22</v>
      </c>
      <c r="AE221" s="2">
        <v>0.11</v>
      </c>
      <c r="AF221" s="2">
        <v>0.03</v>
      </c>
      <c r="AG221" s="2">
        <v>0.13</v>
      </c>
      <c r="AH221" s="2">
        <v>0.02</v>
      </c>
      <c r="AI221" s="2">
        <v>0.16</v>
      </c>
      <c r="AJ221" s="2">
        <v>0.02</v>
      </c>
      <c r="AK221" s="2">
        <v>0.21</v>
      </c>
      <c r="AL221" s="2">
        <v>0.03</v>
      </c>
      <c r="AM221" s="2">
        <v>0.17</v>
      </c>
      <c r="AN221" s="2">
        <v>0.02</v>
      </c>
      <c r="AO221" s="2">
        <v>0.03</v>
      </c>
      <c r="AP221" s="2">
        <v>0.01</v>
      </c>
      <c r="AQ221" s="2">
        <v>0.01</v>
      </c>
      <c r="AR221" s="2">
        <v>0.01</v>
      </c>
      <c r="AU221" s="1" t="s">
        <v>23</v>
      </c>
      <c r="AV221" s="2">
        <v>85.31</v>
      </c>
      <c r="AW221" s="2">
        <v>35.229999999999997</v>
      </c>
      <c r="AX221" s="2">
        <v>34.340000000000003</v>
      </c>
      <c r="AY221" s="2">
        <v>16.670000000000002</v>
      </c>
      <c r="AZ221" s="2">
        <v>64.33</v>
      </c>
      <c r="BA221" s="2">
        <v>100.75</v>
      </c>
      <c r="BB221" s="2">
        <v>56.43</v>
      </c>
      <c r="BC221" s="2">
        <v>50.59</v>
      </c>
      <c r="BD221" s="2">
        <v>61.42</v>
      </c>
      <c r="BE221" s="2">
        <v>48.35</v>
      </c>
      <c r="BF221" s="2">
        <v>76.12</v>
      </c>
      <c r="BG221" s="2">
        <v>50.75</v>
      </c>
      <c r="BH221" s="2">
        <v>121.45</v>
      </c>
      <c r="BI221" s="2">
        <v>53.33</v>
      </c>
      <c r="BJ221" s="2">
        <v>97.47</v>
      </c>
      <c r="BK221" s="2">
        <v>47.71</v>
      </c>
      <c r="BL221" s="2">
        <v>49.3</v>
      </c>
      <c r="BM221" s="2">
        <v>50.68</v>
      </c>
      <c r="BN221" s="2">
        <v>45.51</v>
      </c>
      <c r="BO221" s="2">
        <v>44.63</v>
      </c>
    </row>
    <row r="222" spans="24:67" x14ac:dyDescent="0.3">
      <c r="X222" s="1" t="s">
        <v>24</v>
      </c>
      <c r="Y222" s="2">
        <v>0.2</v>
      </c>
      <c r="Z222" s="2">
        <v>0.01</v>
      </c>
      <c r="AA222" s="2">
        <v>0.2</v>
      </c>
      <c r="AB222" s="2">
        <v>0</v>
      </c>
      <c r="AC222" s="2">
        <v>0.19</v>
      </c>
      <c r="AD222" s="2">
        <v>0.2</v>
      </c>
      <c r="AE222" s="2">
        <v>0.11</v>
      </c>
      <c r="AF222" s="2">
        <v>0.05</v>
      </c>
      <c r="AG222" s="2">
        <v>0.14000000000000001</v>
      </c>
      <c r="AH222" s="2">
        <v>0.04</v>
      </c>
      <c r="AI222" s="2">
        <v>0.15</v>
      </c>
      <c r="AJ222" s="2">
        <v>0.04</v>
      </c>
      <c r="AK222" s="2">
        <v>0.15</v>
      </c>
      <c r="AL222" s="2">
        <v>0.04</v>
      </c>
      <c r="AM222" s="2">
        <v>0.08</v>
      </c>
      <c r="AN222" s="2">
        <v>0.03</v>
      </c>
      <c r="AO222" s="2">
        <v>0.03</v>
      </c>
      <c r="AP222" s="2">
        <v>0.02</v>
      </c>
      <c r="AQ222" s="2">
        <v>0.02</v>
      </c>
      <c r="AR222" s="2">
        <v>0.02</v>
      </c>
      <c r="AU222" s="1" t="s">
        <v>24</v>
      </c>
      <c r="AV222" s="2">
        <v>32.799999999999997</v>
      </c>
      <c r="AW222" s="2">
        <v>16.68</v>
      </c>
      <c r="AX222" s="2">
        <v>14.32</v>
      </c>
      <c r="AY222" s="2">
        <v>8.98</v>
      </c>
      <c r="AZ222" s="2">
        <v>27.35</v>
      </c>
      <c r="BA222" s="2">
        <v>27.92</v>
      </c>
      <c r="BB222" s="2">
        <v>22</v>
      </c>
      <c r="BC222" s="2">
        <v>21.91</v>
      </c>
      <c r="BD222" s="2">
        <v>22.84</v>
      </c>
      <c r="BE222" s="2">
        <v>19.84</v>
      </c>
      <c r="BF222" s="2">
        <v>23.5</v>
      </c>
      <c r="BG222" s="2">
        <v>20.73</v>
      </c>
      <c r="BH222" s="2">
        <v>25</v>
      </c>
      <c r="BI222" s="2">
        <v>21.24</v>
      </c>
      <c r="BJ222" s="2">
        <v>21.34</v>
      </c>
      <c r="BK222" s="2">
        <v>19.11</v>
      </c>
      <c r="BL222" s="2">
        <v>17.66</v>
      </c>
      <c r="BM222" s="2">
        <v>21.23</v>
      </c>
      <c r="BN222" s="2">
        <v>19.16</v>
      </c>
      <c r="BO222" s="2">
        <v>19.28</v>
      </c>
    </row>
    <row r="223" spans="24:67" x14ac:dyDescent="0.3">
      <c r="X223" s="1" t="s">
        <v>25</v>
      </c>
      <c r="Y223" s="2">
        <v>0.16</v>
      </c>
      <c r="Z223" s="2">
        <v>0.09</v>
      </c>
      <c r="AA223" s="2">
        <v>0.09</v>
      </c>
      <c r="AB223" s="2">
        <v>0.02</v>
      </c>
      <c r="AC223" s="2">
        <v>0.09</v>
      </c>
      <c r="AD223" s="2">
        <v>0.17</v>
      </c>
      <c r="AE223" s="2">
        <v>0.02</v>
      </c>
      <c r="AF223" s="2">
        <v>0.08</v>
      </c>
      <c r="AG223" s="2">
        <v>0.08</v>
      </c>
      <c r="AH223" s="2">
        <v>0.09</v>
      </c>
      <c r="AI223" s="2">
        <v>0.06</v>
      </c>
      <c r="AJ223" s="2">
        <v>0.05</v>
      </c>
      <c r="AK223" s="2">
        <v>0.04</v>
      </c>
      <c r="AL223" s="2">
        <v>0.04</v>
      </c>
      <c r="AM223" s="2">
        <v>0.04</v>
      </c>
      <c r="AN223" s="2">
        <v>0.03</v>
      </c>
      <c r="AO223" s="2">
        <v>0.03</v>
      </c>
      <c r="AP223" s="2">
        <v>0.02</v>
      </c>
      <c r="AQ223" s="2">
        <v>0.02</v>
      </c>
      <c r="AR223" s="2">
        <v>0.01</v>
      </c>
      <c r="AU223" s="1" t="s">
        <v>25</v>
      </c>
      <c r="AV223" s="2">
        <v>89.3</v>
      </c>
      <c r="AW223" s="2">
        <v>99.17</v>
      </c>
      <c r="AX223" s="2">
        <v>48</v>
      </c>
      <c r="AY223" s="2">
        <v>49.4</v>
      </c>
      <c r="AZ223" s="2">
        <v>69.260000000000005</v>
      </c>
      <c r="BA223" s="2">
        <v>81.64</v>
      </c>
      <c r="BB223" s="2">
        <v>75.290000000000006</v>
      </c>
      <c r="BC223" s="2">
        <v>85.25</v>
      </c>
      <c r="BD223" s="2">
        <v>83.41</v>
      </c>
      <c r="BE223" s="2">
        <v>88.13</v>
      </c>
      <c r="BF223" s="2">
        <v>80.83</v>
      </c>
      <c r="BG223" s="2">
        <v>81.709999999999994</v>
      </c>
      <c r="BH223" s="2">
        <v>80.86</v>
      </c>
      <c r="BI223" s="2">
        <v>81.040000000000006</v>
      </c>
      <c r="BJ223" s="2">
        <v>82</v>
      </c>
      <c r="BK223" s="2">
        <v>76.34</v>
      </c>
      <c r="BL223" s="2">
        <v>81.78</v>
      </c>
      <c r="BM223" s="2">
        <v>76.349999999999994</v>
      </c>
      <c r="BN223" s="2">
        <v>86.4</v>
      </c>
      <c r="BO223" s="2">
        <v>92.43</v>
      </c>
    </row>
    <row r="224" spans="24:67" x14ac:dyDescent="0.3">
      <c r="X224" s="1" t="s">
        <v>26</v>
      </c>
      <c r="Y224" s="2">
        <v>0.19</v>
      </c>
      <c r="Z224" s="2">
        <v>0.19</v>
      </c>
      <c r="AA224" s="2">
        <v>0.11</v>
      </c>
      <c r="AB224" s="2">
        <v>0.18</v>
      </c>
      <c r="AC224" s="2">
        <v>0.17</v>
      </c>
      <c r="AD224" s="2">
        <v>0.18</v>
      </c>
      <c r="AE224" s="2">
        <v>0.03</v>
      </c>
      <c r="AF224" s="2">
        <v>0.16</v>
      </c>
      <c r="AG224" s="2">
        <v>0.03</v>
      </c>
      <c r="AH224" s="2">
        <v>0.19</v>
      </c>
      <c r="AI224" s="2">
        <v>0.05</v>
      </c>
      <c r="AJ224" s="2">
        <v>0.13</v>
      </c>
      <c r="AK224" s="2">
        <v>0.04</v>
      </c>
      <c r="AL224" s="2">
        <v>0.09</v>
      </c>
      <c r="AM224" s="2">
        <v>0.04</v>
      </c>
      <c r="AN224" s="2">
        <v>0.09</v>
      </c>
      <c r="AO224" s="2">
        <v>0.04</v>
      </c>
      <c r="AP224" s="2">
        <v>0.08</v>
      </c>
      <c r="AQ224" s="2">
        <v>0.03</v>
      </c>
      <c r="AR224" s="2">
        <v>0.02</v>
      </c>
      <c r="AU224" s="1" t="s">
        <v>26</v>
      </c>
      <c r="AV224" s="2">
        <v>20.059999999999999</v>
      </c>
      <c r="AW224" s="2">
        <v>18.62</v>
      </c>
      <c r="AX224" s="2">
        <v>9.65</v>
      </c>
      <c r="AY224" s="2">
        <v>7.25</v>
      </c>
      <c r="AZ224" s="2">
        <v>15.51</v>
      </c>
      <c r="BA224" s="2">
        <v>14.99</v>
      </c>
      <c r="BB224" s="2">
        <v>10.85</v>
      </c>
      <c r="BC224" s="2">
        <v>13.62</v>
      </c>
      <c r="BD224" s="2">
        <v>11.13</v>
      </c>
      <c r="BE224" s="2">
        <v>17.829999999999998</v>
      </c>
      <c r="BF224" s="2">
        <v>12.68</v>
      </c>
      <c r="BG224" s="2">
        <v>13.68</v>
      </c>
      <c r="BH224" s="2">
        <v>12.74</v>
      </c>
      <c r="BI224" s="2">
        <v>11.89</v>
      </c>
      <c r="BJ224" s="2">
        <v>13.07</v>
      </c>
      <c r="BK224" s="2">
        <v>13.4</v>
      </c>
      <c r="BL224" s="2">
        <v>14.29</v>
      </c>
      <c r="BM224" s="2">
        <v>11.52</v>
      </c>
      <c r="BN224" s="2">
        <v>14.81</v>
      </c>
      <c r="BO224" s="2">
        <v>9.58</v>
      </c>
    </row>
    <row r="225" spans="24:67" x14ac:dyDescent="0.3">
      <c r="X225" s="1" t="s">
        <v>27</v>
      </c>
      <c r="Y225" s="2">
        <v>0.18</v>
      </c>
      <c r="Z225" s="2">
        <v>0.18</v>
      </c>
      <c r="AA225" s="2">
        <v>7.0000000000000007E-2</v>
      </c>
      <c r="AB225" s="2">
        <v>0.13</v>
      </c>
      <c r="AC225" s="2">
        <v>0.12</v>
      </c>
      <c r="AD225" s="2">
        <v>0.16</v>
      </c>
      <c r="AE225" s="2">
        <v>0.04</v>
      </c>
      <c r="AF225" s="2">
        <v>0.18</v>
      </c>
      <c r="AG225" s="2">
        <v>0.03</v>
      </c>
      <c r="AH225" s="2">
        <v>0.2</v>
      </c>
      <c r="AI225" s="2">
        <v>0.04</v>
      </c>
      <c r="AJ225" s="2">
        <v>0.15</v>
      </c>
      <c r="AK225" s="2">
        <v>0.04</v>
      </c>
      <c r="AL225" s="2">
        <v>0.11</v>
      </c>
      <c r="AM225" s="2">
        <v>0.05</v>
      </c>
      <c r="AN225" s="2">
        <v>0.06</v>
      </c>
      <c r="AO225" s="2">
        <v>0.03</v>
      </c>
      <c r="AP225" s="2">
        <v>0.03</v>
      </c>
      <c r="AQ225" s="2">
        <v>0.02</v>
      </c>
      <c r="AR225" s="2">
        <v>0.02</v>
      </c>
      <c r="AU225" s="1" t="s">
        <v>27</v>
      </c>
      <c r="AV225" s="2">
        <v>60.85</v>
      </c>
      <c r="AW225" s="2">
        <v>86.13</v>
      </c>
      <c r="AX225" s="2">
        <v>26.93</v>
      </c>
      <c r="AY225" s="2">
        <v>28.08</v>
      </c>
      <c r="AZ225" s="2">
        <v>44.76</v>
      </c>
      <c r="BA225" s="2">
        <v>57.17</v>
      </c>
      <c r="BB225" s="2">
        <v>40.479999999999997</v>
      </c>
      <c r="BC225" s="2">
        <v>76.319999999999993</v>
      </c>
      <c r="BD225" s="2">
        <v>39.369999999999997</v>
      </c>
      <c r="BE225" s="2">
        <v>63.9</v>
      </c>
      <c r="BF225" s="2">
        <v>41.77</v>
      </c>
      <c r="BG225" s="2">
        <v>55.78</v>
      </c>
      <c r="BH225" s="2">
        <v>43.01</v>
      </c>
      <c r="BI225" s="2">
        <v>51.89</v>
      </c>
      <c r="BJ225" s="2">
        <v>48.89</v>
      </c>
      <c r="BK225" s="2">
        <v>48.98</v>
      </c>
      <c r="BL225" s="2">
        <v>49.23</v>
      </c>
      <c r="BM225" s="2">
        <v>43.88</v>
      </c>
      <c r="BN225" s="2">
        <v>48.36</v>
      </c>
      <c r="BO225" s="2">
        <v>43.08</v>
      </c>
    </row>
    <row r="226" spans="24:67" x14ac:dyDescent="0.3">
      <c r="X226" s="1" t="s">
        <v>28</v>
      </c>
      <c r="Y226" s="2">
        <v>0.01</v>
      </c>
      <c r="Z226" s="2">
        <v>0.03</v>
      </c>
      <c r="AA226" s="2">
        <v>0</v>
      </c>
      <c r="AB226" s="2">
        <v>0.01</v>
      </c>
      <c r="AC226" s="2">
        <v>0</v>
      </c>
      <c r="AD226" s="2">
        <v>0</v>
      </c>
      <c r="AE226" s="2">
        <v>0</v>
      </c>
      <c r="AF226" s="2">
        <v>7.0000000000000007E-2</v>
      </c>
      <c r="AG226" s="2">
        <v>0.02</v>
      </c>
      <c r="AH226" s="2">
        <v>0.08</v>
      </c>
      <c r="AI226" s="2">
        <v>0.03</v>
      </c>
      <c r="AJ226" s="2">
        <v>7.0000000000000007E-2</v>
      </c>
      <c r="AK226" s="2">
        <v>0.04</v>
      </c>
      <c r="AL226" s="2">
        <v>0.04</v>
      </c>
      <c r="AM226" s="2">
        <v>0.03</v>
      </c>
      <c r="AN226" s="2">
        <v>0.03</v>
      </c>
      <c r="AO226" s="2">
        <v>0.03</v>
      </c>
      <c r="AP226" s="2">
        <v>0.02</v>
      </c>
      <c r="AQ226" s="2">
        <v>0.02</v>
      </c>
      <c r="AR226" s="2">
        <v>0.01</v>
      </c>
      <c r="AU226" s="1" t="s">
        <v>28</v>
      </c>
      <c r="AV226" s="2">
        <v>37.369999999999997</v>
      </c>
      <c r="AW226" s="2">
        <v>40.04</v>
      </c>
      <c r="AX226" s="2">
        <v>15.53</v>
      </c>
      <c r="AY226" s="2">
        <v>16.670000000000002</v>
      </c>
      <c r="AZ226" s="2">
        <v>25.37</v>
      </c>
      <c r="BA226" s="2">
        <v>28.36</v>
      </c>
      <c r="BB226" s="2">
        <v>30.35</v>
      </c>
      <c r="BC226" s="2">
        <v>34.049999999999997</v>
      </c>
      <c r="BD226" s="2">
        <v>32.15</v>
      </c>
      <c r="BE226" s="2">
        <v>33.14</v>
      </c>
      <c r="BF226" s="2">
        <v>32.71</v>
      </c>
      <c r="BG226" s="2">
        <v>33.979999999999997</v>
      </c>
      <c r="BH226" s="2">
        <v>32.86</v>
      </c>
      <c r="BI226" s="2">
        <v>33.840000000000003</v>
      </c>
      <c r="BJ226" s="2">
        <v>32.58</v>
      </c>
      <c r="BK226" s="2">
        <v>32.71</v>
      </c>
      <c r="BL226" s="2">
        <v>33.46</v>
      </c>
      <c r="BM226" s="2">
        <v>31.6</v>
      </c>
      <c r="BN226" s="2">
        <v>33.700000000000003</v>
      </c>
      <c r="BO226" s="2">
        <v>39.06</v>
      </c>
    </row>
    <row r="229" spans="24:67" x14ac:dyDescent="0.3">
      <c r="X229" t="s">
        <v>74</v>
      </c>
    </row>
    <row r="230" spans="24:67" x14ac:dyDescent="0.3">
      <c r="X230" s="1" t="s">
        <v>16</v>
      </c>
      <c r="Y230" s="1" t="s">
        <v>17</v>
      </c>
      <c r="Z230" s="1" t="s">
        <v>18</v>
      </c>
      <c r="AA230" s="1" t="s">
        <v>17</v>
      </c>
      <c r="AB230" s="1" t="s">
        <v>18</v>
      </c>
      <c r="AC230" s="1" t="s">
        <v>17</v>
      </c>
      <c r="AD230" s="1" t="s">
        <v>18</v>
      </c>
      <c r="AE230" s="1" t="s">
        <v>17</v>
      </c>
      <c r="AF230" s="1" t="s">
        <v>18</v>
      </c>
      <c r="AG230" s="1" t="s">
        <v>17</v>
      </c>
      <c r="AH230" s="1" t="s">
        <v>18</v>
      </c>
      <c r="AI230" s="1" t="s">
        <v>17</v>
      </c>
      <c r="AJ230" s="1" t="s">
        <v>18</v>
      </c>
      <c r="AK230" s="1" t="s">
        <v>17</v>
      </c>
      <c r="AL230" s="1" t="s">
        <v>18</v>
      </c>
      <c r="AM230" s="1" t="s">
        <v>17</v>
      </c>
      <c r="AN230" s="1" t="s">
        <v>18</v>
      </c>
      <c r="AO230" s="1" t="s">
        <v>17</v>
      </c>
      <c r="AP230" s="1" t="s">
        <v>18</v>
      </c>
      <c r="AQ230" s="1" t="s">
        <v>17</v>
      </c>
      <c r="AR230" s="1" t="s">
        <v>18</v>
      </c>
    </row>
    <row r="231" spans="24:67" x14ac:dyDescent="0.3">
      <c r="X231" s="1" t="s">
        <v>19</v>
      </c>
      <c r="Y231" s="1" t="s">
        <v>1</v>
      </c>
      <c r="Z231" s="1" t="s">
        <v>1</v>
      </c>
      <c r="AA231" s="1" t="s">
        <v>2</v>
      </c>
      <c r="AB231" s="1" t="s">
        <v>2</v>
      </c>
      <c r="AC231" s="1" t="s">
        <v>3</v>
      </c>
      <c r="AD231" s="1" t="s">
        <v>3</v>
      </c>
      <c r="AE231" s="1" t="s">
        <v>4</v>
      </c>
      <c r="AF231" s="1" t="s">
        <v>4</v>
      </c>
      <c r="AG231" s="1" t="s">
        <v>5</v>
      </c>
      <c r="AH231" s="1" t="s">
        <v>5</v>
      </c>
      <c r="AI231" s="1" t="s">
        <v>6</v>
      </c>
      <c r="AJ231" s="1" t="s">
        <v>6</v>
      </c>
      <c r="AK231" s="1" t="s">
        <v>7</v>
      </c>
      <c r="AL231" s="1" t="s">
        <v>7</v>
      </c>
      <c r="AM231" s="1" t="s">
        <v>8</v>
      </c>
      <c r="AN231" s="1" t="s">
        <v>8</v>
      </c>
      <c r="AO231" s="1" t="s">
        <v>9</v>
      </c>
      <c r="AP231" s="1" t="s">
        <v>9</v>
      </c>
      <c r="AQ231" s="1" t="s">
        <v>10</v>
      </c>
      <c r="AR231" s="1" t="s">
        <v>10</v>
      </c>
    </row>
    <row r="232" spans="24:67" x14ac:dyDescent="0.3">
      <c r="X232" s="1" t="s">
        <v>20</v>
      </c>
    </row>
    <row r="233" spans="24:67" x14ac:dyDescent="0.3">
      <c r="X233" s="1" t="s">
        <v>21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D233" s="2">
        <v>0</v>
      </c>
      <c r="AE233" s="2">
        <v>0</v>
      </c>
      <c r="AF233" s="2">
        <v>0.87</v>
      </c>
      <c r="AG233" s="2">
        <v>0.95</v>
      </c>
      <c r="AH233" s="2">
        <v>0.93</v>
      </c>
      <c r="AI233" s="2">
        <v>0.89</v>
      </c>
      <c r="AJ233" s="2">
        <v>0.94</v>
      </c>
      <c r="AK233" s="2">
        <v>0.89</v>
      </c>
      <c r="AL233" s="2">
        <v>0.95</v>
      </c>
      <c r="AM233" s="2">
        <v>0.92</v>
      </c>
      <c r="AN233" s="2">
        <v>0.94</v>
      </c>
      <c r="AO233" s="2">
        <v>0.95</v>
      </c>
      <c r="AP233" s="2">
        <v>0.99</v>
      </c>
      <c r="AQ233" s="2">
        <v>0.95</v>
      </c>
      <c r="AR233" s="2">
        <v>0.98</v>
      </c>
    </row>
    <row r="234" spans="24:67" x14ac:dyDescent="0.3">
      <c r="X234" s="1" t="s">
        <v>22</v>
      </c>
      <c r="Y234" s="2">
        <v>0.76</v>
      </c>
      <c r="Z234" s="2">
        <v>0.75</v>
      </c>
      <c r="AA234" s="2">
        <v>0.74</v>
      </c>
      <c r="AB234" s="2">
        <v>0.7</v>
      </c>
      <c r="AC234" s="2">
        <v>0.8</v>
      </c>
      <c r="AD234" s="2">
        <v>0.74</v>
      </c>
      <c r="AE234" s="2">
        <v>0.79</v>
      </c>
      <c r="AF234" s="2">
        <v>0.83</v>
      </c>
      <c r="AG234" s="2">
        <v>0.9</v>
      </c>
      <c r="AH234" s="2">
        <v>0.95</v>
      </c>
      <c r="AI234" s="2">
        <v>0.87</v>
      </c>
      <c r="AJ234" s="2">
        <v>0.95</v>
      </c>
      <c r="AK234" s="2">
        <v>0.89</v>
      </c>
      <c r="AL234" s="2">
        <v>0.93</v>
      </c>
      <c r="AM234" s="2">
        <v>0.91</v>
      </c>
      <c r="AN234" s="2">
        <v>0.96</v>
      </c>
      <c r="AO234" s="2">
        <v>0.92</v>
      </c>
      <c r="AP234" s="2">
        <v>0.98</v>
      </c>
      <c r="AQ234" s="2">
        <v>0.94</v>
      </c>
      <c r="AR234" s="2">
        <v>0.99</v>
      </c>
    </row>
    <row r="235" spans="24:67" x14ac:dyDescent="0.3">
      <c r="X235" s="1" t="s">
        <v>23</v>
      </c>
      <c r="Y235" s="2">
        <v>0.57999999999999996</v>
      </c>
      <c r="Z235" s="2">
        <v>0.83</v>
      </c>
      <c r="AA235" s="2">
        <v>0.48</v>
      </c>
      <c r="AB235" s="2">
        <v>0</v>
      </c>
      <c r="AC235" s="2">
        <v>0.69</v>
      </c>
      <c r="AD235" s="2">
        <v>0.45</v>
      </c>
      <c r="AE235" s="2">
        <v>0.7</v>
      </c>
      <c r="AF235" s="2">
        <v>0.87</v>
      </c>
      <c r="AG235" s="2">
        <v>0.68</v>
      </c>
      <c r="AH235" s="2">
        <v>0.94</v>
      </c>
      <c r="AI235" s="2">
        <v>0.62</v>
      </c>
      <c r="AJ235" s="2">
        <v>0.94</v>
      </c>
      <c r="AK235" s="2">
        <v>0.51</v>
      </c>
      <c r="AL235" s="2">
        <v>0.94</v>
      </c>
      <c r="AM235" s="2">
        <v>0.59</v>
      </c>
      <c r="AN235" s="2">
        <v>0.95</v>
      </c>
      <c r="AO235" s="2">
        <v>0.92</v>
      </c>
      <c r="AP235" s="2">
        <v>0.97</v>
      </c>
      <c r="AQ235" s="2">
        <v>0.97</v>
      </c>
      <c r="AR235" s="2">
        <v>0.98</v>
      </c>
    </row>
    <row r="236" spans="24:67" x14ac:dyDescent="0.3">
      <c r="X236" s="1" t="s">
        <v>24</v>
      </c>
      <c r="Y236" s="2">
        <v>0.46</v>
      </c>
      <c r="Z236" s="2">
        <v>0.82</v>
      </c>
      <c r="AA236" s="2">
        <v>0.47</v>
      </c>
      <c r="AB236" s="2">
        <v>0.74</v>
      </c>
      <c r="AC236" s="2">
        <v>0.49</v>
      </c>
      <c r="AD236" s="2">
        <v>0.46</v>
      </c>
      <c r="AE236" s="2">
        <v>0.67</v>
      </c>
      <c r="AF236" s="2">
        <v>0.8</v>
      </c>
      <c r="AG236" s="2">
        <v>0.66</v>
      </c>
      <c r="AH236" s="2">
        <v>0.9</v>
      </c>
      <c r="AI236" s="2">
        <v>0.63</v>
      </c>
      <c r="AJ236" s="2">
        <v>0.91</v>
      </c>
      <c r="AK236" s="2">
        <v>0.63</v>
      </c>
      <c r="AL236" s="2">
        <v>0.91</v>
      </c>
      <c r="AM236" s="2">
        <v>0.8</v>
      </c>
      <c r="AN236" s="2">
        <v>0.93</v>
      </c>
      <c r="AO236" s="2">
        <v>0.93</v>
      </c>
      <c r="AP236" s="2">
        <v>0.95</v>
      </c>
      <c r="AQ236" s="2">
        <v>0.95</v>
      </c>
      <c r="AR236" s="2">
        <v>0.96</v>
      </c>
    </row>
    <row r="237" spans="24:67" x14ac:dyDescent="0.3">
      <c r="X237" s="1" t="s">
        <v>25</v>
      </c>
      <c r="Y237" s="2">
        <v>0.56000000000000005</v>
      </c>
      <c r="Z237" s="2">
        <v>0.7</v>
      </c>
      <c r="AA237" s="2">
        <v>0.69</v>
      </c>
      <c r="AB237" s="2">
        <v>0.75</v>
      </c>
      <c r="AC237" s="2">
        <v>0.7</v>
      </c>
      <c r="AD237" s="2">
        <v>0.53</v>
      </c>
      <c r="AE237" s="2">
        <v>0.82</v>
      </c>
      <c r="AF237" s="2">
        <v>0.74</v>
      </c>
      <c r="AG237" s="2">
        <v>0.82</v>
      </c>
      <c r="AH237" s="2">
        <v>0.78</v>
      </c>
      <c r="AI237" s="2">
        <v>0.86</v>
      </c>
      <c r="AJ237" s="2">
        <v>0.88</v>
      </c>
      <c r="AK237" s="2">
        <v>0.89</v>
      </c>
      <c r="AL237" s="2">
        <v>0.9</v>
      </c>
      <c r="AM237" s="2">
        <v>0.91</v>
      </c>
      <c r="AN237" s="2">
        <v>0.93</v>
      </c>
      <c r="AO237" s="2">
        <v>0.93</v>
      </c>
      <c r="AP237" s="2">
        <v>0.95</v>
      </c>
      <c r="AQ237" s="2">
        <v>0.95</v>
      </c>
      <c r="AR237" s="2">
        <v>0.97</v>
      </c>
    </row>
    <row r="238" spans="24:67" x14ac:dyDescent="0.3">
      <c r="X238" s="1" t="s">
        <v>26</v>
      </c>
      <c r="Y238" s="2">
        <v>0.5</v>
      </c>
      <c r="Z238" s="2">
        <v>0.5</v>
      </c>
      <c r="AA238" s="2">
        <v>0.62</v>
      </c>
      <c r="AB238" s="2">
        <v>0.48</v>
      </c>
      <c r="AC238" s="2">
        <v>0.53</v>
      </c>
      <c r="AD238" s="2">
        <v>0.51</v>
      </c>
      <c r="AE238" s="2">
        <v>0.8</v>
      </c>
      <c r="AF238" s="2">
        <v>0.57999999999999996</v>
      </c>
      <c r="AG238" s="2">
        <v>0.92</v>
      </c>
      <c r="AH238" s="2">
        <v>0.55000000000000004</v>
      </c>
      <c r="AI238" s="2">
        <v>0.88</v>
      </c>
      <c r="AJ238" s="2">
        <v>0.68</v>
      </c>
      <c r="AK238" s="2">
        <v>0.89</v>
      </c>
      <c r="AL238" s="2">
        <v>0.77</v>
      </c>
      <c r="AM238" s="2">
        <v>0.9</v>
      </c>
      <c r="AN238" s="2">
        <v>0.78</v>
      </c>
      <c r="AO238" s="2">
        <v>0.91</v>
      </c>
      <c r="AP238" s="2">
        <v>0.81</v>
      </c>
      <c r="AQ238" s="2">
        <v>0.94</v>
      </c>
      <c r="AR238" s="2">
        <v>0.96</v>
      </c>
    </row>
    <row r="239" spans="24:67" x14ac:dyDescent="0.3">
      <c r="X239" s="1" t="s">
        <v>27</v>
      </c>
      <c r="Y239" s="2">
        <v>0.53</v>
      </c>
      <c r="Z239" s="2">
        <v>0.52</v>
      </c>
      <c r="AA239" s="2">
        <v>0.75</v>
      </c>
      <c r="AB239" s="2">
        <v>0.64</v>
      </c>
      <c r="AC239" s="2">
        <v>0.66</v>
      </c>
      <c r="AD239" s="2">
        <v>0.56000000000000005</v>
      </c>
      <c r="AE239" s="2">
        <v>0.83</v>
      </c>
      <c r="AF239" s="2">
        <v>0.55000000000000004</v>
      </c>
      <c r="AG239" s="2">
        <v>0.92</v>
      </c>
      <c r="AH239" s="2">
        <v>0.53</v>
      </c>
      <c r="AI239" s="2">
        <v>0.9</v>
      </c>
      <c r="AJ239" s="2">
        <v>0.63</v>
      </c>
      <c r="AK239" s="2">
        <v>0.91</v>
      </c>
      <c r="AL239" s="2">
        <v>0.74</v>
      </c>
      <c r="AM239" s="2">
        <v>0.89</v>
      </c>
      <c r="AN239" s="2">
        <v>0.84</v>
      </c>
      <c r="AO239" s="2">
        <v>0.93</v>
      </c>
      <c r="AP239" s="2">
        <v>0.93</v>
      </c>
      <c r="AQ239" s="2">
        <v>0.95</v>
      </c>
      <c r="AR239" s="2">
        <v>0.96</v>
      </c>
    </row>
    <row r="240" spans="24:67" x14ac:dyDescent="0.3">
      <c r="X240" s="1" t="s">
        <v>28</v>
      </c>
      <c r="Y240" s="2">
        <v>0.81</v>
      </c>
      <c r="Z240" s="2">
        <v>0.79</v>
      </c>
      <c r="AA240" s="2">
        <v>0</v>
      </c>
      <c r="AB240" s="2">
        <v>0</v>
      </c>
      <c r="AC240" s="2">
        <v>0</v>
      </c>
      <c r="AD240" s="2">
        <v>0.74</v>
      </c>
      <c r="AE240" s="2">
        <v>0</v>
      </c>
      <c r="AF240" s="2">
        <v>0.76</v>
      </c>
      <c r="AG240" s="2">
        <v>0.96</v>
      </c>
      <c r="AH240" s="2">
        <v>0.81</v>
      </c>
      <c r="AI240" s="2">
        <v>0.92</v>
      </c>
      <c r="AJ240" s="2">
        <v>0.82</v>
      </c>
      <c r="AK240" s="2">
        <v>0.9</v>
      </c>
      <c r="AL240" s="2">
        <v>0.9</v>
      </c>
      <c r="AM240" s="2">
        <v>0.92</v>
      </c>
      <c r="AN240" s="2">
        <v>0.94</v>
      </c>
      <c r="AO240" s="2">
        <v>0.94</v>
      </c>
      <c r="AP240" s="2">
        <v>0.96</v>
      </c>
      <c r="AQ240" s="2">
        <v>0.96</v>
      </c>
      <c r="AR240" s="2">
        <v>0.98</v>
      </c>
    </row>
  </sheetData>
  <mergeCells count="18">
    <mergeCell ref="Y90:AH90"/>
    <mergeCell ref="AI90:AR90"/>
    <mergeCell ref="AV90:BE90"/>
    <mergeCell ref="BF90:BO90"/>
    <mergeCell ref="Y118:AH118"/>
    <mergeCell ref="AI118:AR118"/>
    <mergeCell ref="AV118:BE118"/>
    <mergeCell ref="BF118:BO118"/>
    <mergeCell ref="AV202:BE202"/>
    <mergeCell ref="BF202:BO202"/>
    <mergeCell ref="Y146:AH146"/>
    <mergeCell ref="AI146:AR146"/>
    <mergeCell ref="AV146:BE146"/>
    <mergeCell ref="BF146:BO146"/>
    <mergeCell ref="Y174:AH174"/>
    <mergeCell ref="AI174:AR174"/>
    <mergeCell ref="AV174:BE174"/>
    <mergeCell ref="BF174:BO174"/>
  </mergeCells>
  <conditionalFormatting sqref="C9:V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G266"/>
  <sheetViews>
    <sheetView topLeftCell="K11" zoomScale="85" workbookViewId="0">
      <selection activeCell="Y65" sqref="Y65:AC68"/>
    </sheetView>
  </sheetViews>
  <sheetFormatPr defaultRowHeight="14.4" x14ac:dyDescent="0.3"/>
  <sheetData>
    <row r="1" spans="2:90" x14ac:dyDescent="0.3">
      <c r="B1" t="s">
        <v>0</v>
      </c>
    </row>
    <row r="2" spans="2:90" x14ac:dyDescent="0.3"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</row>
    <row r="3" spans="2:90" x14ac:dyDescent="0.3">
      <c r="B3" s="1" t="s">
        <v>11</v>
      </c>
      <c r="C3">
        <v>1.3</v>
      </c>
      <c r="D3">
        <v>1.3</v>
      </c>
      <c r="E3">
        <v>0.5</v>
      </c>
      <c r="F3">
        <v>1.6</v>
      </c>
      <c r="G3">
        <v>2</v>
      </c>
      <c r="H3">
        <v>3.6</v>
      </c>
      <c r="I3">
        <v>2.9</v>
      </c>
      <c r="J3">
        <v>3.8</v>
      </c>
      <c r="K3">
        <v>3.4</v>
      </c>
      <c r="L3">
        <v>4.5</v>
      </c>
    </row>
    <row r="5" spans="2:90" x14ac:dyDescent="0.3">
      <c r="B5" t="s">
        <v>12</v>
      </c>
      <c r="X5" t="s">
        <v>13</v>
      </c>
      <c r="AU5" t="s">
        <v>14</v>
      </c>
      <c r="BR5" t="s">
        <v>15</v>
      </c>
    </row>
    <row r="6" spans="2:90" x14ac:dyDescent="0.3">
      <c r="B6" s="1" t="s">
        <v>16</v>
      </c>
      <c r="C6" s="1" t="s">
        <v>17</v>
      </c>
      <c r="D6" s="1" t="s">
        <v>18</v>
      </c>
      <c r="E6" s="1" t="s">
        <v>17</v>
      </c>
      <c r="F6" s="1" t="s">
        <v>18</v>
      </c>
      <c r="G6" s="1" t="s">
        <v>17</v>
      </c>
      <c r="H6" s="1" t="s">
        <v>18</v>
      </c>
      <c r="I6" s="1" t="s">
        <v>17</v>
      </c>
      <c r="J6" s="1" t="s">
        <v>18</v>
      </c>
      <c r="K6" s="1" t="s">
        <v>17</v>
      </c>
      <c r="L6" s="1" t="s">
        <v>18</v>
      </c>
      <c r="M6" s="1" t="s">
        <v>17</v>
      </c>
      <c r="N6" s="1" t="s">
        <v>18</v>
      </c>
      <c r="O6" s="1" t="s">
        <v>17</v>
      </c>
      <c r="P6" s="1" t="s">
        <v>18</v>
      </c>
      <c r="Q6" s="1" t="s">
        <v>17</v>
      </c>
      <c r="R6" s="1" t="s">
        <v>18</v>
      </c>
      <c r="S6" s="1" t="s">
        <v>17</v>
      </c>
      <c r="T6" s="1" t="s">
        <v>18</v>
      </c>
      <c r="U6" s="1" t="s">
        <v>17</v>
      </c>
      <c r="V6" s="1" t="s">
        <v>18</v>
      </c>
      <c r="X6" s="1" t="s">
        <v>16</v>
      </c>
      <c r="Y6" s="1" t="s">
        <v>17</v>
      </c>
      <c r="Z6" s="1" t="s">
        <v>18</v>
      </c>
      <c r="AA6" s="1" t="s">
        <v>17</v>
      </c>
      <c r="AB6" s="1" t="s">
        <v>18</v>
      </c>
      <c r="AC6" s="1" t="s">
        <v>17</v>
      </c>
      <c r="AD6" s="1" t="s">
        <v>18</v>
      </c>
      <c r="AE6" s="1" t="s">
        <v>17</v>
      </c>
      <c r="AF6" s="1" t="s">
        <v>18</v>
      </c>
      <c r="AG6" s="1" t="s">
        <v>17</v>
      </c>
      <c r="AH6" s="1" t="s">
        <v>18</v>
      </c>
      <c r="AI6" s="1" t="s">
        <v>17</v>
      </c>
      <c r="AJ6" s="1" t="s">
        <v>18</v>
      </c>
      <c r="AK6" s="1" t="s">
        <v>17</v>
      </c>
      <c r="AL6" s="1" t="s">
        <v>18</v>
      </c>
      <c r="AM6" s="1" t="s">
        <v>17</v>
      </c>
      <c r="AN6" s="1" t="s">
        <v>18</v>
      </c>
      <c r="AO6" s="1" t="s">
        <v>17</v>
      </c>
      <c r="AP6" s="1" t="s">
        <v>18</v>
      </c>
      <c r="AQ6" s="1" t="s">
        <v>17</v>
      </c>
      <c r="AR6" s="1" t="s">
        <v>18</v>
      </c>
      <c r="AU6" s="1" t="s">
        <v>16</v>
      </c>
      <c r="AV6" s="1" t="s">
        <v>17</v>
      </c>
      <c r="AW6" s="1" t="s">
        <v>18</v>
      </c>
      <c r="AX6" s="1" t="s">
        <v>17</v>
      </c>
      <c r="AY6" s="1" t="s">
        <v>18</v>
      </c>
      <c r="AZ6" s="1" t="s">
        <v>17</v>
      </c>
      <c r="BA6" s="1" t="s">
        <v>18</v>
      </c>
      <c r="BB6" s="1" t="s">
        <v>17</v>
      </c>
      <c r="BC6" s="1" t="s">
        <v>18</v>
      </c>
      <c r="BD6" s="1" t="s">
        <v>17</v>
      </c>
      <c r="BE6" s="1" t="s">
        <v>18</v>
      </c>
      <c r="BF6" s="1" t="s">
        <v>17</v>
      </c>
      <c r="BG6" s="1" t="s">
        <v>18</v>
      </c>
      <c r="BH6" s="1" t="s">
        <v>17</v>
      </c>
      <c r="BI6" s="1" t="s">
        <v>18</v>
      </c>
      <c r="BJ6" s="1" t="s">
        <v>17</v>
      </c>
      <c r="BK6" s="1" t="s">
        <v>18</v>
      </c>
      <c r="BL6" s="1" t="s">
        <v>17</v>
      </c>
      <c r="BM6" s="1" t="s">
        <v>18</v>
      </c>
      <c r="BN6" s="1" t="s">
        <v>17</v>
      </c>
      <c r="BO6" s="1" t="s">
        <v>18</v>
      </c>
      <c r="BR6" s="1" t="s">
        <v>16</v>
      </c>
      <c r="BS6" s="1" t="s">
        <v>17</v>
      </c>
      <c r="BT6" s="1" t="s">
        <v>18</v>
      </c>
      <c r="BU6" s="1" t="s">
        <v>17</v>
      </c>
      <c r="BV6" s="1" t="s">
        <v>18</v>
      </c>
      <c r="BW6" s="1" t="s">
        <v>17</v>
      </c>
      <c r="BX6" s="1" t="s">
        <v>18</v>
      </c>
      <c r="BY6" s="1" t="s">
        <v>17</v>
      </c>
      <c r="BZ6" s="1" t="s">
        <v>18</v>
      </c>
      <c r="CA6" s="1" t="s">
        <v>17</v>
      </c>
      <c r="CB6" s="1" t="s">
        <v>18</v>
      </c>
      <c r="CC6" s="1" t="s">
        <v>17</v>
      </c>
      <c r="CD6" s="1" t="s">
        <v>18</v>
      </c>
      <c r="CE6" s="1" t="s">
        <v>17</v>
      </c>
      <c r="CF6" s="1" t="s">
        <v>18</v>
      </c>
      <c r="CG6" s="1" t="s">
        <v>17</v>
      </c>
      <c r="CH6" s="1" t="s">
        <v>18</v>
      </c>
      <c r="CI6" s="1" t="s">
        <v>17</v>
      </c>
      <c r="CJ6" s="1" t="s">
        <v>18</v>
      </c>
      <c r="CK6" s="1" t="s">
        <v>17</v>
      </c>
      <c r="CL6" s="1" t="s">
        <v>18</v>
      </c>
    </row>
    <row r="7" spans="2:90" x14ac:dyDescent="0.3">
      <c r="B7" s="1" t="s">
        <v>19</v>
      </c>
      <c r="C7" s="1" t="s">
        <v>1</v>
      </c>
      <c r="D7" s="1" t="s">
        <v>1</v>
      </c>
      <c r="E7" s="1" t="s">
        <v>2</v>
      </c>
      <c r="F7" s="1" t="s">
        <v>2</v>
      </c>
      <c r="G7" s="1" t="s">
        <v>3</v>
      </c>
      <c r="H7" s="1" t="s">
        <v>3</v>
      </c>
      <c r="I7" s="1" t="s">
        <v>4</v>
      </c>
      <c r="J7" s="1" t="s">
        <v>4</v>
      </c>
      <c r="K7" s="1" t="s">
        <v>5</v>
      </c>
      <c r="L7" s="1" t="s">
        <v>5</v>
      </c>
      <c r="M7" s="1" t="s">
        <v>6</v>
      </c>
      <c r="N7" s="1" t="s">
        <v>6</v>
      </c>
      <c r="O7" s="1" t="s">
        <v>7</v>
      </c>
      <c r="P7" s="1" t="s">
        <v>7</v>
      </c>
      <c r="Q7" s="1" t="s">
        <v>8</v>
      </c>
      <c r="R7" s="1" t="s">
        <v>8</v>
      </c>
      <c r="S7" s="1" t="s">
        <v>9</v>
      </c>
      <c r="T7" s="1" t="s">
        <v>9</v>
      </c>
      <c r="U7" s="1" t="s">
        <v>10</v>
      </c>
      <c r="V7" s="1" t="s">
        <v>10</v>
      </c>
      <c r="X7" s="1" t="s">
        <v>19</v>
      </c>
      <c r="Y7" s="1" t="s">
        <v>1</v>
      </c>
      <c r="Z7" s="1" t="s">
        <v>1</v>
      </c>
      <c r="AA7" s="1" t="s">
        <v>2</v>
      </c>
      <c r="AB7" s="1" t="s">
        <v>2</v>
      </c>
      <c r="AC7" s="1" t="s">
        <v>3</v>
      </c>
      <c r="AD7" s="1" t="s">
        <v>3</v>
      </c>
      <c r="AE7" s="1" t="s">
        <v>4</v>
      </c>
      <c r="AF7" s="1" t="s">
        <v>4</v>
      </c>
      <c r="AG7" s="1" t="s">
        <v>5</v>
      </c>
      <c r="AH7" s="1" t="s">
        <v>5</v>
      </c>
      <c r="AI7" s="1" t="s">
        <v>6</v>
      </c>
      <c r="AJ7" s="1" t="s">
        <v>6</v>
      </c>
      <c r="AK7" s="1" t="s">
        <v>7</v>
      </c>
      <c r="AL7" s="1" t="s">
        <v>7</v>
      </c>
      <c r="AM7" s="1" t="s">
        <v>8</v>
      </c>
      <c r="AN7" s="1" t="s">
        <v>8</v>
      </c>
      <c r="AO7" s="1" t="s">
        <v>9</v>
      </c>
      <c r="AP7" s="1" t="s">
        <v>9</v>
      </c>
      <c r="AQ7" s="1" t="s">
        <v>10</v>
      </c>
      <c r="AR7" s="1" t="s">
        <v>10</v>
      </c>
      <c r="AU7" s="1" t="s">
        <v>19</v>
      </c>
      <c r="AV7" s="1" t="s">
        <v>1</v>
      </c>
      <c r="AW7" s="1" t="s">
        <v>1</v>
      </c>
      <c r="AX7" s="1" t="s">
        <v>2</v>
      </c>
      <c r="AY7" s="1" t="s">
        <v>2</v>
      </c>
      <c r="AZ7" s="1" t="s">
        <v>3</v>
      </c>
      <c r="BA7" s="1" t="s">
        <v>3</v>
      </c>
      <c r="BB7" s="1" t="s">
        <v>4</v>
      </c>
      <c r="BC7" s="1" t="s">
        <v>4</v>
      </c>
      <c r="BD7" s="1" t="s">
        <v>5</v>
      </c>
      <c r="BE7" s="1" t="s">
        <v>5</v>
      </c>
      <c r="BF7" s="1" t="s">
        <v>6</v>
      </c>
      <c r="BG7" s="1" t="s">
        <v>6</v>
      </c>
      <c r="BH7" s="1" t="s">
        <v>7</v>
      </c>
      <c r="BI7" s="1" t="s">
        <v>7</v>
      </c>
      <c r="BJ7" s="1" t="s">
        <v>8</v>
      </c>
      <c r="BK7" s="1" t="s">
        <v>8</v>
      </c>
      <c r="BL7" s="1" t="s">
        <v>9</v>
      </c>
      <c r="BM7" s="1" t="s">
        <v>9</v>
      </c>
      <c r="BN7" s="1" t="s">
        <v>10</v>
      </c>
      <c r="BO7" s="1" t="s">
        <v>10</v>
      </c>
      <c r="BR7" s="1" t="s">
        <v>19</v>
      </c>
      <c r="BS7" s="1" t="s">
        <v>1</v>
      </c>
      <c r="BT7" s="1" t="s">
        <v>1</v>
      </c>
      <c r="BU7" s="1" t="s">
        <v>2</v>
      </c>
      <c r="BV7" s="1" t="s">
        <v>2</v>
      </c>
      <c r="BW7" s="1" t="s">
        <v>3</v>
      </c>
      <c r="BX7" s="1" t="s">
        <v>3</v>
      </c>
      <c r="BY7" s="1" t="s">
        <v>4</v>
      </c>
      <c r="BZ7" s="1" t="s">
        <v>4</v>
      </c>
      <c r="CA7" s="1" t="s">
        <v>5</v>
      </c>
      <c r="CB7" s="1" t="s">
        <v>5</v>
      </c>
      <c r="CC7" s="1" t="s">
        <v>6</v>
      </c>
      <c r="CD7" s="1" t="s">
        <v>6</v>
      </c>
      <c r="CE7" s="1" t="s">
        <v>7</v>
      </c>
      <c r="CF7" s="1" t="s">
        <v>7</v>
      </c>
      <c r="CG7" s="1" t="s">
        <v>8</v>
      </c>
      <c r="CH7" s="1" t="s">
        <v>8</v>
      </c>
      <c r="CI7" s="1" t="s">
        <v>9</v>
      </c>
      <c r="CJ7" s="1" t="s">
        <v>9</v>
      </c>
      <c r="CK7" s="1" t="s">
        <v>10</v>
      </c>
      <c r="CL7" s="1" t="s">
        <v>10</v>
      </c>
    </row>
    <row r="8" spans="2:90" x14ac:dyDescent="0.3">
      <c r="B8" s="1" t="s">
        <v>20</v>
      </c>
      <c r="X8" s="1" t="s">
        <v>20</v>
      </c>
      <c r="AU8" s="1" t="s">
        <v>20</v>
      </c>
      <c r="BR8" s="1" t="s">
        <v>20</v>
      </c>
    </row>
    <row r="9" spans="2:90" x14ac:dyDescent="0.3">
      <c r="B9" s="1" t="s">
        <v>21</v>
      </c>
      <c r="C9" s="2">
        <v>0.2</v>
      </c>
      <c r="D9" s="2">
        <v>0.2</v>
      </c>
      <c r="E9" s="2">
        <v>0.2</v>
      </c>
      <c r="F9" s="2">
        <v>0.2</v>
      </c>
      <c r="G9" s="2">
        <v>0.2</v>
      </c>
      <c r="H9" s="2">
        <v>0.2</v>
      </c>
      <c r="I9" s="2">
        <v>0.2</v>
      </c>
      <c r="J9" s="2">
        <v>0.54</v>
      </c>
      <c r="K9" s="2">
        <v>0.54</v>
      </c>
      <c r="L9" s="2">
        <v>0.54</v>
      </c>
      <c r="M9" s="2">
        <v>0.54</v>
      </c>
      <c r="N9" s="2">
        <v>0.54</v>
      </c>
      <c r="O9" s="2">
        <v>0.54</v>
      </c>
      <c r="P9" s="2">
        <v>0.54</v>
      </c>
      <c r="Q9" s="2">
        <v>0.54</v>
      </c>
      <c r="R9" s="2">
        <v>0.54</v>
      </c>
      <c r="S9" s="2">
        <v>0.54</v>
      </c>
      <c r="T9" s="2">
        <v>0.54</v>
      </c>
      <c r="U9" s="2">
        <v>0.54</v>
      </c>
      <c r="V9" s="2">
        <v>0.54</v>
      </c>
      <c r="X9" s="1" t="s">
        <v>21</v>
      </c>
      <c r="Y9" s="2">
        <v>1353.17</v>
      </c>
      <c r="Z9" s="2">
        <v>1346.69</v>
      </c>
      <c r="AA9" s="2">
        <v>1160.75</v>
      </c>
      <c r="AB9" s="2">
        <v>1082.19</v>
      </c>
      <c r="AC9" s="2">
        <v>397.01</v>
      </c>
      <c r="AD9" s="2">
        <v>485.61</v>
      </c>
      <c r="AE9" s="2">
        <v>1386.03</v>
      </c>
      <c r="AF9" s="2">
        <v>2769.98</v>
      </c>
      <c r="AG9" s="2">
        <v>3877.16</v>
      </c>
      <c r="AH9" s="2">
        <v>3413.62</v>
      </c>
      <c r="AI9" s="2">
        <v>7063.56</v>
      </c>
      <c r="AJ9" s="2">
        <v>6056.32</v>
      </c>
      <c r="AK9" s="2">
        <v>5557.73</v>
      </c>
      <c r="AL9" s="2">
        <v>4777.8100000000004</v>
      </c>
      <c r="AM9" s="2">
        <v>7051.13</v>
      </c>
      <c r="AN9" s="2">
        <v>6424.43</v>
      </c>
      <c r="AO9" s="2">
        <v>5521.12</v>
      </c>
      <c r="AP9" s="2">
        <v>4211.41</v>
      </c>
      <c r="AQ9" s="2">
        <v>7445.02</v>
      </c>
      <c r="AR9" s="2">
        <v>5904.67</v>
      </c>
      <c r="AU9" s="1" t="s">
        <v>21</v>
      </c>
      <c r="AV9" s="2">
        <v>23965.439999999999</v>
      </c>
      <c r="AW9" s="2">
        <v>23806.799999999999</v>
      </c>
      <c r="AX9" s="2">
        <v>18661.78</v>
      </c>
      <c r="AY9" s="2">
        <v>17464.52</v>
      </c>
      <c r="AZ9" s="2">
        <v>6780.44</v>
      </c>
      <c r="BA9" s="2">
        <v>8075.93</v>
      </c>
      <c r="BB9" s="2">
        <v>27860.14</v>
      </c>
      <c r="BC9" s="2">
        <v>26324.26</v>
      </c>
      <c r="BD9" s="2">
        <v>36860.04</v>
      </c>
      <c r="BE9" s="2">
        <v>32532.78</v>
      </c>
      <c r="BF9" s="2">
        <v>66459.960000000006</v>
      </c>
      <c r="BG9" s="2">
        <v>57493.04</v>
      </c>
      <c r="BH9" s="2">
        <v>52973.26</v>
      </c>
      <c r="BI9" s="2">
        <v>44967.34</v>
      </c>
      <c r="BJ9" s="2">
        <v>66332.95</v>
      </c>
      <c r="BK9" s="2">
        <v>60397.43</v>
      </c>
      <c r="BL9" s="2">
        <v>51710.74</v>
      </c>
      <c r="BM9" s="2">
        <v>39923.31</v>
      </c>
      <c r="BN9" s="2">
        <v>70180.429999999993</v>
      </c>
      <c r="BO9" s="2">
        <v>55608.53</v>
      </c>
      <c r="BR9" s="1" t="s">
        <v>21</v>
      </c>
      <c r="BS9" s="2">
        <v>25318.61</v>
      </c>
      <c r="BT9" s="2">
        <v>25153.49</v>
      </c>
      <c r="BU9" s="2">
        <v>19822.53</v>
      </c>
      <c r="BV9" s="2">
        <v>18546.71</v>
      </c>
      <c r="BW9" s="2">
        <v>7177.45</v>
      </c>
      <c r="BX9" s="2">
        <v>8561.5400000000009</v>
      </c>
      <c r="BY9" s="2">
        <v>29246.17</v>
      </c>
      <c r="BZ9" s="2">
        <v>29094.240000000002</v>
      </c>
      <c r="CA9" s="2">
        <v>40737.199999999997</v>
      </c>
      <c r="CB9" s="2">
        <v>35946.400000000001</v>
      </c>
      <c r="CC9" s="2">
        <v>73523.520000000004</v>
      </c>
      <c r="CD9" s="2">
        <v>63549.36</v>
      </c>
      <c r="CE9" s="2">
        <v>58530.99</v>
      </c>
      <c r="CF9" s="2">
        <v>49745.15</v>
      </c>
      <c r="CG9" s="2">
        <v>73384.08</v>
      </c>
      <c r="CH9" s="2">
        <v>66821.86</v>
      </c>
      <c r="CI9" s="2">
        <v>57231.86</v>
      </c>
      <c r="CJ9" s="2">
        <v>44134.720000000001</v>
      </c>
      <c r="CK9" s="2">
        <v>77625.45</v>
      </c>
      <c r="CL9" s="2">
        <v>61513.2</v>
      </c>
    </row>
    <row r="10" spans="2:90" x14ac:dyDescent="0.3">
      <c r="B10" s="1" t="s">
        <v>22</v>
      </c>
      <c r="C10" s="2">
        <v>0.89</v>
      </c>
      <c r="D10" s="2">
        <v>0.55000000000000004</v>
      </c>
      <c r="E10" s="2">
        <v>0.69</v>
      </c>
      <c r="F10" s="2">
        <v>0.46</v>
      </c>
      <c r="G10" s="2">
        <v>0.81</v>
      </c>
      <c r="H10" s="2">
        <v>0.57999999999999996</v>
      </c>
      <c r="I10" s="2">
        <v>0.82</v>
      </c>
      <c r="J10" s="2">
        <v>1.1299999999999999</v>
      </c>
      <c r="K10" s="2">
        <v>0.91</v>
      </c>
      <c r="L10" s="2">
        <v>0.86</v>
      </c>
      <c r="M10" s="2">
        <v>1.18</v>
      </c>
      <c r="N10" s="2">
        <v>0.89</v>
      </c>
      <c r="O10" s="2">
        <v>1.23</v>
      </c>
      <c r="P10" s="2">
        <v>0.99</v>
      </c>
      <c r="Q10" s="2">
        <v>1.1200000000000001</v>
      </c>
      <c r="R10" s="2">
        <v>0.78</v>
      </c>
      <c r="S10" s="2">
        <v>1.05</v>
      </c>
      <c r="T10" s="2">
        <v>0.71</v>
      </c>
      <c r="U10" s="2">
        <v>0.78</v>
      </c>
      <c r="V10" s="2">
        <v>0.47</v>
      </c>
      <c r="X10" s="1" t="s">
        <v>22</v>
      </c>
      <c r="Y10" s="2">
        <v>1545.55</v>
      </c>
      <c r="Z10" s="2">
        <v>952.77</v>
      </c>
      <c r="AA10" s="2">
        <v>1589.39</v>
      </c>
      <c r="AB10" s="2">
        <v>1022.77</v>
      </c>
      <c r="AC10" s="2">
        <v>401.84</v>
      </c>
      <c r="AD10" s="2">
        <v>496.88</v>
      </c>
      <c r="AE10" s="2">
        <v>2143.0700000000002</v>
      </c>
      <c r="AF10" s="2">
        <v>1481.81</v>
      </c>
      <c r="AG10" s="2">
        <v>2500.66</v>
      </c>
      <c r="AH10" s="2">
        <v>1709.98</v>
      </c>
      <c r="AI10" s="2">
        <v>4310.16</v>
      </c>
      <c r="AJ10" s="2">
        <v>3099.98</v>
      </c>
      <c r="AK10" s="2">
        <v>3048.28</v>
      </c>
      <c r="AL10" s="2">
        <v>2681.05</v>
      </c>
      <c r="AM10" s="2">
        <v>3786.73</v>
      </c>
      <c r="AN10" s="2">
        <v>3374.35</v>
      </c>
      <c r="AO10" s="2">
        <v>3287.41</v>
      </c>
      <c r="AP10" s="2">
        <v>2480.1999999999998</v>
      </c>
      <c r="AQ10" s="2">
        <v>5028.1499999999996</v>
      </c>
      <c r="AR10" s="2">
        <v>3132.01</v>
      </c>
      <c r="AU10" s="1" t="s">
        <v>22</v>
      </c>
      <c r="AV10" s="2">
        <v>8786.9500000000007</v>
      </c>
      <c r="AW10" s="2">
        <v>5759.95</v>
      </c>
      <c r="AX10" s="2">
        <v>8001.62</v>
      </c>
      <c r="AY10" s="2">
        <v>5350.07</v>
      </c>
      <c r="AZ10" s="2">
        <v>2118.86</v>
      </c>
      <c r="BA10" s="2">
        <v>2602.0700000000002</v>
      </c>
      <c r="BB10" s="2">
        <v>11102.51</v>
      </c>
      <c r="BC10" s="2">
        <v>8093.87</v>
      </c>
      <c r="BD10" s="2">
        <v>14047.01</v>
      </c>
      <c r="BE10" s="2">
        <v>10051.620000000001</v>
      </c>
      <c r="BF10" s="2">
        <v>24628.86</v>
      </c>
      <c r="BG10" s="2">
        <v>18425.86</v>
      </c>
      <c r="BH10" s="2">
        <v>17532.439999999999</v>
      </c>
      <c r="BI10" s="2">
        <v>15799.78</v>
      </c>
      <c r="BJ10" s="2">
        <v>21991.15</v>
      </c>
      <c r="BK10" s="2">
        <v>19726.759999999998</v>
      </c>
      <c r="BL10" s="2">
        <v>19073.25</v>
      </c>
      <c r="BM10" s="2">
        <v>14907.38</v>
      </c>
      <c r="BN10" s="2">
        <v>30255.99</v>
      </c>
      <c r="BO10" s="2">
        <v>19299.349999999999</v>
      </c>
      <c r="BR10" s="1" t="s">
        <v>22</v>
      </c>
      <c r="BS10" s="2">
        <v>10332.5</v>
      </c>
      <c r="BT10" s="2">
        <v>6712.72</v>
      </c>
      <c r="BU10" s="2">
        <v>9591.01</v>
      </c>
      <c r="BV10" s="2">
        <v>6372.85</v>
      </c>
      <c r="BW10" s="2">
        <v>2520.6999999999998</v>
      </c>
      <c r="BX10" s="2">
        <v>3098.95</v>
      </c>
      <c r="BY10" s="2">
        <v>13245.58</v>
      </c>
      <c r="BZ10" s="2">
        <v>9575.68</v>
      </c>
      <c r="CA10" s="2">
        <v>16547.669999999998</v>
      </c>
      <c r="CB10" s="2">
        <v>11761.6</v>
      </c>
      <c r="CC10" s="2">
        <v>28939.01</v>
      </c>
      <c r="CD10" s="2">
        <v>21525.84</v>
      </c>
      <c r="CE10" s="2">
        <v>20580.72</v>
      </c>
      <c r="CF10" s="2">
        <v>18480.830000000002</v>
      </c>
      <c r="CG10" s="2">
        <v>25777.87</v>
      </c>
      <c r="CH10" s="2">
        <v>23101.11</v>
      </c>
      <c r="CI10" s="2">
        <v>22360.66</v>
      </c>
      <c r="CJ10" s="2">
        <v>17387.59</v>
      </c>
      <c r="CK10" s="2">
        <v>35284.14</v>
      </c>
      <c r="CL10" s="2">
        <v>22431.35</v>
      </c>
    </row>
    <row r="11" spans="2:90" x14ac:dyDescent="0.3">
      <c r="B11" s="1" t="s">
        <v>23</v>
      </c>
      <c r="C11" s="2">
        <v>3.6</v>
      </c>
      <c r="D11" s="2">
        <v>0.7</v>
      </c>
      <c r="E11" s="2">
        <v>4.09</v>
      </c>
      <c r="F11" s="2">
        <v>0.52</v>
      </c>
      <c r="G11" s="2">
        <v>1.8</v>
      </c>
      <c r="H11" s="2">
        <v>1.8</v>
      </c>
      <c r="I11" s="2">
        <v>1.8</v>
      </c>
      <c r="J11" s="2">
        <v>1.79</v>
      </c>
      <c r="K11" s="2">
        <v>1.8</v>
      </c>
      <c r="L11" s="2">
        <v>1.65</v>
      </c>
      <c r="M11" s="2">
        <v>1.8</v>
      </c>
      <c r="N11" s="2">
        <v>1.68</v>
      </c>
      <c r="O11" s="2">
        <v>1.8</v>
      </c>
      <c r="P11" s="2">
        <v>1.72</v>
      </c>
      <c r="Q11" s="2">
        <v>1.8</v>
      </c>
      <c r="R11" s="2">
        <v>1.59</v>
      </c>
      <c r="S11" s="2">
        <v>1.8</v>
      </c>
      <c r="T11" s="2">
        <v>1.35</v>
      </c>
      <c r="U11" s="2">
        <v>1.3</v>
      </c>
      <c r="V11" s="2">
        <v>1.1499999999999999</v>
      </c>
      <c r="X11" s="1" t="s">
        <v>23</v>
      </c>
      <c r="Y11" s="2">
        <v>7271.69</v>
      </c>
      <c r="Z11" s="2">
        <v>2377.84</v>
      </c>
      <c r="AA11" s="2">
        <v>6835.09</v>
      </c>
      <c r="AB11" s="2">
        <v>2313.36</v>
      </c>
      <c r="AC11" s="2">
        <v>2880.54</v>
      </c>
      <c r="AD11" s="2">
        <v>2728.19</v>
      </c>
      <c r="AE11" s="2">
        <v>10537.03</v>
      </c>
      <c r="AF11" s="2">
        <v>5076.2299999999996</v>
      </c>
      <c r="AG11" s="2">
        <v>13942.63</v>
      </c>
      <c r="AH11" s="2">
        <v>5635.59</v>
      </c>
      <c r="AI11" s="2">
        <v>25655.42</v>
      </c>
      <c r="AJ11" s="2">
        <v>10012.870000000001</v>
      </c>
      <c r="AK11" s="2">
        <v>19604.900000000001</v>
      </c>
      <c r="AL11" s="2">
        <v>8130.79</v>
      </c>
      <c r="AM11" s="2">
        <v>24818.799999999999</v>
      </c>
      <c r="AN11" s="2">
        <v>10377.299999999999</v>
      </c>
      <c r="AO11" s="2">
        <v>10549.37</v>
      </c>
      <c r="AP11" s="2">
        <v>8054.62</v>
      </c>
      <c r="AQ11" s="2">
        <v>10591.49</v>
      </c>
      <c r="AR11" s="2">
        <v>9442.81</v>
      </c>
      <c r="AU11" s="1" t="s">
        <v>23</v>
      </c>
      <c r="AV11" s="2">
        <v>30333.119999999999</v>
      </c>
      <c r="AW11" s="2">
        <v>14747.05</v>
      </c>
      <c r="AX11" s="2">
        <v>29312.89</v>
      </c>
      <c r="AY11" s="2">
        <v>12168</v>
      </c>
      <c r="AZ11" s="2">
        <v>7937.5</v>
      </c>
      <c r="BA11" s="2">
        <v>9793.58</v>
      </c>
      <c r="BB11" s="2">
        <v>35697.620000000003</v>
      </c>
      <c r="BC11" s="2">
        <v>28760.65</v>
      </c>
      <c r="BD11" s="2">
        <v>46389.03</v>
      </c>
      <c r="BE11" s="2">
        <v>34752.879999999997</v>
      </c>
      <c r="BF11" s="2">
        <v>84072.58</v>
      </c>
      <c r="BG11" s="2">
        <v>62840.33</v>
      </c>
      <c r="BH11" s="2">
        <v>62406.43</v>
      </c>
      <c r="BI11" s="2">
        <v>51325.95</v>
      </c>
      <c r="BJ11" s="2">
        <v>77359.149999999994</v>
      </c>
      <c r="BK11" s="2">
        <v>64441.15</v>
      </c>
      <c r="BL11" s="2">
        <v>62798.66</v>
      </c>
      <c r="BM11" s="2">
        <v>51440.1</v>
      </c>
      <c r="BN11" s="2">
        <v>66571.289999999994</v>
      </c>
      <c r="BO11" s="2">
        <v>60226.89</v>
      </c>
      <c r="BR11" s="1" t="s">
        <v>23</v>
      </c>
      <c r="BS11" s="2">
        <v>37604.82</v>
      </c>
      <c r="BT11" s="2">
        <v>17124.88</v>
      </c>
      <c r="BU11" s="2">
        <v>36147.980000000003</v>
      </c>
      <c r="BV11" s="2">
        <v>14481.36</v>
      </c>
      <c r="BW11" s="2">
        <v>10818.04</v>
      </c>
      <c r="BX11" s="2">
        <v>12521.76</v>
      </c>
      <c r="BY11" s="2">
        <v>46234.65</v>
      </c>
      <c r="BZ11" s="2">
        <v>33836.870000000003</v>
      </c>
      <c r="CA11" s="2">
        <v>60331.66</v>
      </c>
      <c r="CB11" s="2">
        <v>40388.47</v>
      </c>
      <c r="CC11" s="2">
        <v>109728</v>
      </c>
      <c r="CD11" s="2">
        <v>72853.2</v>
      </c>
      <c r="CE11" s="2">
        <v>82011.34</v>
      </c>
      <c r="CF11" s="2">
        <v>59456.74</v>
      </c>
      <c r="CG11" s="2">
        <v>102177.96</v>
      </c>
      <c r="CH11" s="2">
        <v>74818.44</v>
      </c>
      <c r="CI11" s="2">
        <v>73348.03</v>
      </c>
      <c r="CJ11" s="2">
        <v>59494.71</v>
      </c>
      <c r="CK11" s="2">
        <v>77162.77</v>
      </c>
      <c r="CL11" s="2">
        <v>69669.7</v>
      </c>
    </row>
    <row r="12" spans="2:90" x14ac:dyDescent="0.3">
      <c r="B12" s="1" t="s">
        <v>24</v>
      </c>
      <c r="C12" s="2">
        <v>1.8</v>
      </c>
      <c r="D12" s="2">
        <v>0.84</v>
      </c>
      <c r="E12" s="2">
        <v>1.8</v>
      </c>
      <c r="F12" s="2">
        <v>0.45</v>
      </c>
      <c r="G12" s="2">
        <v>1.8</v>
      </c>
      <c r="H12" s="2">
        <v>2.8</v>
      </c>
      <c r="I12" s="2">
        <v>1.8</v>
      </c>
      <c r="J12" s="2">
        <v>1.45</v>
      </c>
      <c r="K12" s="2">
        <v>1.8</v>
      </c>
      <c r="L12" s="2">
        <v>1.24</v>
      </c>
      <c r="M12" s="2">
        <v>1.8</v>
      </c>
      <c r="N12" s="2">
        <v>1.19</v>
      </c>
      <c r="O12" s="2">
        <v>1.8</v>
      </c>
      <c r="P12" s="2">
        <v>1.21</v>
      </c>
      <c r="Q12" s="2">
        <v>1.8</v>
      </c>
      <c r="R12" s="2">
        <v>1.08</v>
      </c>
      <c r="S12" s="2">
        <v>1.06</v>
      </c>
      <c r="T12" s="2">
        <v>0.98</v>
      </c>
      <c r="U12" s="2">
        <v>0.95</v>
      </c>
      <c r="V12" s="2">
        <v>0.88</v>
      </c>
      <c r="X12" s="1" t="s">
        <v>24</v>
      </c>
      <c r="Y12" s="2">
        <v>2120.7600000000002</v>
      </c>
      <c r="Z12" s="2">
        <v>848.64</v>
      </c>
      <c r="AA12" s="2">
        <v>2123.88</v>
      </c>
      <c r="AB12" s="2">
        <v>933.9</v>
      </c>
      <c r="AC12" s="2">
        <v>704.15</v>
      </c>
      <c r="AD12" s="2">
        <v>663.57</v>
      </c>
      <c r="AE12" s="2">
        <v>2609.52</v>
      </c>
      <c r="AF12" s="2">
        <v>1698.86</v>
      </c>
      <c r="AG12" s="2">
        <v>3063.6</v>
      </c>
      <c r="AH12" s="2">
        <v>1896</v>
      </c>
      <c r="AI12" s="2">
        <v>5510.92</v>
      </c>
      <c r="AJ12" s="2">
        <v>3262.93</v>
      </c>
      <c r="AK12" s="2">
        <v>4424.8500000000004</v>
      </c>
      <c r="AL12" s="2">
        <v>2631.83</v>
      </c>
      <c r="AM12" s="2">
        <v>4402.8900000000003</v>
      </c>
      <c r="AN12" s="2">
        <v>3314.08</v>
      </c>
      <c r="AO12" s="2">
        <v>2995.22</v>
      </c>
      <c r="AP12" s="2">
        <v>2667.46</v>
      </c>
      <c r="AQ12" s="2">
        <v>3559.73</v>
      </c>
      <c r="AR12" s="2">
        <v>3330.49</v>
      </c>
      <c r="AU12" s="1" t="s">
        <v>24</v>
      </c>
      <c r="AV12" s="2">
        <v>9006.83</v>
      </c>
      <c r="AW12" s="2">
        <v>5559.13</v>
      </c>
      <c r="AX12" s="2">
        <v>8431.31</v>
      </c>
      <c r="AY12" s="2">
        <v>5059.55</v>
      </c>
      <c r="AZ12" s="2">
        <v>2765.2</v>
      </c>
      <c r="BA12" s="2">
        <v>3776.43</v>
      </c>
      <c r="BB12" s="2">
        <v>11598.48</v>
      </c>
      <c r="BC12" s="2">
        <v>10014.700000000001</v>
      </c>
      <c r="BD12" s="2">
        <v>14696.4</v>
      </c>
      <c r="BE12" s="2">
        <v>11965.93</v>
      </c>
      <c r="BF12" s="2">
        <v>26457.08</v>
      </c>
      <c r="BG12" s="2">
        <v>21034.87</v>
      </c>
      <c r="BH12" s="2">
        <v>21327.15</v>
      </c>
      <c r="BI12" s="2">
        <v>17055.78</v>
      </c>
      <c r="BJ12" s="2">
        <v>26502.69</v>
      </c>
      <c r="BK12" s="2">
        <v>21210.240000000002</v>
      </c>
      <c r="BL12" s="2">
        <v>18881.82</v>
      </c>
      <c r="BM12" s="2">
        <v>17806.330000000002</v>
      </c>
      <c r="BN12" s="2">
        <v>23220.49</v>
      </c>
      <c r="BO12" s="2">
        <v>22079.71</v>
      </c>
      <c r="BR12" s="1" t="s">
        <v>24</v>
      </c>
      <c r="BS12" s="2">
        <v>11127.59</v>
      </c>
      <c r="BT12" s="2">
        <v>6407.78</v>
      </c>
      <c r="BU12" s="2">
        <v>10555.19</v>
      </c>
      <c r="BV12" s="2">
        <v>5993.46</v>
      </c>
      <c r="BW12" s="2">
        <v>3469.34</v>
      </c>
      <c r="BX12" s="2">
        <v>4440</v>
      </c>
      <c r="BY12" s="2">
        <v>14208</v>
      </c>
      <c r="BZ12" s="2">
        <v>11713.56</v>
      </c>
      <c r="CA12" s="2">
        <v>17760</v>
      </c>
      <c r="CB12" s="2">
        <v>13861.93</v>
      </c>
      <c r="CC12" s="2">
        <v>31968</v>
      </c>
      <c r="CD12" s="2">
        <v>24297.8</v>
      </c>
      <c r="CE12" s="2">
        <v>25752</v>
      </c>
      <c r="CF12" s="2">
        <v>19687.61</v>
      </c>
      <c r="CG12" s="2">
        <v>30905.58</v>
      </c>
      <c r="CH12" s="2">
        <v>24524.32</v>
      </c>
      <c r="CI12" s="2">
        <v>21877.040000000001</v>
      </c>
      <c r="CJ12" s="2">
        <v>20473.79</v>
      </c>
      <c r="CK12" s="2">
        <v>26780.22</v>
      </c>
      <c r="CL12" s="2">
        <v>25410.19</v>
      </c>
    </row>
    <row r="13" spans="2:90" x14ac:dyDescent="0.3">
      <c r="B13" s="1" t="s">
        <v>25</v>
      </c>
      <c r="C13" s="2">
        <v>1.8</v>
      </c>
      <c r="D13" s="2">
        <v>1.8</v>
      </c>
      <c r="E13" s="2">
        <v>1.8</v>
      </c>
      <c r="F13" s="2">
        <v>0.78</v>
      </c>
      <c r="G13" s="2">
        <v>1.8</v>
      </c>
      <c r="H13" s="2">
        <v>1.8</v>
      </c>
      <c r="I13" s="2">
        <v>0.8</v>
      </c>
      <c r="J13" s="2">
        <v>1.8</v>
      </c>
      <c r="K13" s="2">
        <v>1.68</v>
      </c>
      <c r="L13" s="2">
        <v>1.8</v>
      </c>
      <c r="M13" s="2">
        <v>1.44</v>
      </c>
      <c r="N13" s="2">
        <v>1.24</v>
      </c>
      <c r="O13" s="2">
        <v>1.26</v>
      </c>
      <c r="P13" s="2">
        <v>1.1299999999999999</v>
      </c>
      <c r="Q13" s="2">
        <v>1.1299999999999999</v>
      </c>
      <c r="R13" s="2">
        <v>1.04</v>
      </c>
      <c r="S13" s="2">
        <v>1.03</v>
      </c>
      <c r="T13" s="2">
        <v>0.84</v>
      </c>
      <c r="U13" s="2">
        <v>0.9</v>
      </c>
      <c r="V13" s="2">
        <v>0.63</v>
      </c>
      <c r="X13" s="1" t="s">
        <v>25</v>
      </c>
      <c r="Y13" s="2">
        <v>7234.78</v>
      </c>
      <c r="Z13" s="2">
        <v>7725.89</v>
      </c>
      <c r="AA13" s="2">
        <v>9290.2999999999993</v>
      </c>
      <c r="AB13" s="2">
        <v>8275.6299999999992</v>
      </c>
      <c r="AC13" s="2">
        <v>2759.42</v>
      </c>
      <c r="AD13" s="2">
        <v>3031.89</v>
      </c>
      <c r="AE13" s="2">
        <v>8790.76</v>
      </c>
      <c r="AF13" s="2">
        <v>9907.3700000000008</v>
      </c>
      <c r="AG13" s="2">
        <v>11421.12</v>
      </c>
      <c r="AH13" s="2">
        <v>12271.42</v>
      </c>
      <c r="AI13" s="2">
        <v>19181.77</v>
      </c>
      <c r="AJ13" s="2">
        <v>19330.05</v>
      </c>
      <c r="AK13" s="2">
        <v>14621.34</v>
      </c>
      <c r="AL13" s="2">
        <v>15300.42</v>
      </c>
      <c r="AM13" s="2">
        <v>17991.240000000002</v>
      </c>
      <c r="AN13" s="2">
        <v>17461.48</v>
      </c>
      <c r="AO13" s="2">
        <v>14890.23</v>
      </c>
      <c r="AP13" s="2">
        <v>14543.22</v>
      </c>
      <c r="AQ13" s="2">
        <v>18781.060000000001</v>
      </c>
      <c r="AR13" s="2">
        <v>20960.650000000001</v>
      </c>
      <c r="AU13" s="1" t="s">
        <v>25</v>
      </c>
      <c r="AV13" s="2">
        <v>30613.43</v>
      </c>
      <c r="AW13" s="2">
        <v>40431.96</v>
      </c>
      <c r="AX13" s="2">
        <v>39579.08</v>
      </c>
      <c r="AY13" s="2">
        <v>42614.39</v>
      </c>
      <c r="AZ13" s="2">
        <v>11192.13</v>
      </c>
      <c r="BA13" s="2">
        <v>12524.32</v>
      </c>
      <c r="BB13" s="2">
        <v>47921.96</v>
      </c>
      <c r="BC13" s="2">
        <v>48449.43</v>
      </c>
      <c r="BD13" s="2">
        <v>67989.990000000005</v>
      </c>
      <c r="BE13" s="2">
        <v>68625.58</v>
      </c>
      <c r="BF13" s="2">
        <v>115513.02</v>
      </c>
      <c r="BG13" s="2">
        <v>116421.72</v>
      </c>
      <c r="BH13" s="2">
        <v>88162.5</v>
      </c>
      <c r="BI13" s="2">
        <v>91869.08</v>
      </c>
      <c r="BJ13" s="2">
        <v>109792.77</v>
      </c>
      <c r="BK13" s="2">
        <v>105662.86</v>
      </c>
      <c r="BL13" s="2">
        <v>91558.67</v>
      </c>
      <c r="BM13" s="2">
        <v>88668.2</v>
      </c>
      <c r="BN13" s="2">
        <v>117963.36</v>
      </c>
      <c r="BO13" s="2">
        <v>131267.82</v>
      </c>
      <c r="BR13" s="1" t="s">
        <v>25</v>
      </c>
      <c r="BS13" s="2">
        <v>37848.21</v>
      </c>
      <c r="BT13" s="2">
        <v>48157.85</v>
      </c>
      <c r="BU13" s="2">
        <v>48869.39</v>
      </c>
      <c r="BV13" s="2">
        <v>50890.03</v>
      </c>
      <c r="BW13" s="2">
        <v>13951.56</v>
      </c>
      <c r="BX13" s="2">
        <v>15556.21</v>
      </c>
      <c r="BY13" s="2">
        <v>56712.72</v>
      </c>
      <c r="BZ13" s="2">
        <v>58356.800000000003</v>
      </c>
      <c r="CA13" s="2">
        <v>79411.12</v>
      </c>
      <c r="CB13" s="2">
        <v>80897</v>
      </c>
      <c r="CC13" s="2">
        <v>134694.79</v>
      </c>
      <c r="CD13" s="2">
        <v>135751.76999999999</v>
      </c>
      <c r="CE13" s="2">
        <v>102783.84</v>
      </c>
      <c r="CF13" s="2">
        <v>107169.5</v>
      </c>
      <c r="CG13" s="2">
        <v>127784.01</v>
      </c>
      <c r="CH13" s="2">
        <v>123124.34</v>
      </c>
      <c r="CI13" s="2">
        <v>106448.9</v>
      </c>
      <c r="CJ13" s="2">
        <v>103211.42</v>
      </c>
      <c r="CK13" s="2">
        <v>136744.43</v>
      </c>
      <c r="CL13" s="2">
        <v>152228.48000000001</v>
      </c>
    </row>
    <row r="14" spans="2:90" x14ac:dyDescent="0.3">
      <c r="B14" s="1" t="s">
        <v>26</v>
      </c>
      <c r="C14" s="2">
        <v>1.8</v>
      </c>
      <c r="D14" s="2">
        <v>2.4900000000000002</v>
      </c>
      <c r="E14" s="2">
        <v>2</v>
      </c>
      <c r="F14" s="2">
        <v>1.94</v>
      </c>
      <c r="G14" s="2">
        <v>1.8</v>
      </c>
      <c r="H14" s="2">
        <v>1.8</v>
      </c>
      <c r="I14" s="2">
        <v>0.82</v>
      </c>
      <c r="J14" s="2">
        <v>1.8</v>
      </c>
      <c r="K14" s="2">
        <v>0.82</v>
      </c>
      <c r="L14" s="2">
        <v>1.96</v>
      </c>
      <c r="M14" s="2">
        <v>1</v>
      </c>
      <c r="N14" s="2">
        <v>2.0299999999999998</v>
      </c>
      <c r="O14" s="2">
        <v>0.98</v>
      </c>
      <c r="P14" s="2">
        <v>1.64</v>
      </c>
      <c r="Q14" s="2">
        <v>0.98</v>
      </c>
      <c r="R14" s="2">
        <v>1.67</v>
      </c>
      <c r="S14" s="2">
        <v>0.9</v>
      </c>
      <c r="T14" s="2">
        <v>1.35</v>
      </c>
      <c r="U14" s="2">
        <v>0.8</v>
      </c>
      <c r="V14" s="2">
        <v>0.67</v>
      </c>
      <c r="X14" s="1" t="s">
        <v>26</v>
      </c>
      <c r="Y14" s="2">
        <v>1882.09</v>
      </c>
      <c r="Z14" s="2">
        <v>1577.81</v>
      </c>
      <c r="AA14" s="2">
        <v>2238.3000000000002</v>
      </c>
      <c r="AB14" s="2">
        <v>2284.79</v>
      </c>
      <c r="AC14" s="2">
        <v>641.16</v>
      </c>
      <c r="AD14" s="2">
        <v>713.26</v>
      </c>
      <c r="AE14" s="2">
        <v>2041.98</v>
      </c>
      <c r="AF14" s="2">
        <v>1900.57</v>
      </c>
      <c r="AG14" s="2">
        <v>2388.87</v>
      </c>
      <c r="AH14" s="2">
        <v>3001.23</v>
      </c>
      <c r="AI14" s="2">
        <v>4511.1499999999996</v>
      </c>
      <c r="AJ14" s="2">
        <v>5427.09</v>
      </c>
      <c r="AK14" s="2">
        <v>3625.59</v>
      </c>
      <c r="AL14" s="2">
        <v>4306.09</v>
      </c>
      <c r="AM14" s="2">
        <v>4649.78</v>
      </c>
      <c r="AN14" s="2">
        <v>5486.89</v>
      </c>
      <c r="AO14" s="2">
        <v>3964.21</v>
      </c>
      <c r="AP14" s="2">
        <v>4788.63</v>
      </c>
      <c r="AQ14" s="2">
        <v>4776.6400000000003</v>
      </c>
      <c r="AR14" s="2">
        <v>4700.18</v>
      </c>
      <c r="AU14" s="1" t="s">
        <v>26</v>
      </c>
      <c r="AV14" s="2">
        <v>7096.76</v>
      </c>
      <c r="AW14" s="2">
        <v>7572.57</v>
      </c>
      <c r="AX14" s="2">
        <v>9305.7000000000007</v>
      </c>
      <c r="AY14" s="2">
        <v>9259.2099999999991</v>
      </c>
      <c r="AZ14" s="2">
        <v>2247.1999999999998</v>
      </c>
      <c r="BA14" s="2">
        <v>2564.73</v>
      </c>
      <c r="BB14" s="2">
        <v>8555.56</v>
      </c>
      <c r="BC14" s="2">
        <v>7011.3</v>
      </c>
      <c r="BD14" s="2">
        <v>10914.67</v>
      </c>
      <c r="BE14" s="2">
        <v>14316.76</v>
      </c>
      <c r="BF14" s="2">
        <v>21226.720000000001</v>
      </c>
      <c r="BG14" s="2">
        <v>26540.91</v>
      </c>
      <c r="BH14" s="2">
        <v>16955.669999999998</v>
      </c>
      <c r="BI14" s="2">
        <v>20263.02</v>
      </c>
      <c r="BJ14" s="2">
        <v>22090.32</v>
      </c>
      <c r="BK14" s="2">
        <v>26580.04</v>
      </c>
      <c r="BL14" s="2">
        <v>19038.3</v>
      </c>
      <c r="BM14" s="2">
        <v>22393.22</v>
      </c>
      <c r="BN14" s="2">
        <v>23425.06</v>
      </c>
      <c r="BO14" s="2">
        <v>21671.279999999999</v>
      </c>
      <c r="BR14" s="1" t="s">
        <v>26</v>
      </c>
      <c r="BS14" s="2">
        <v>8978.86</v>
      </c>
      <c r="BT14" s="2">
        <v>9150.3799999999992</v>
      </c>
      <c r="BU14" s="2">
        <v>11544</v>
      </c>
      <c r="BV14" s="2">
        <v>11544</v>
      </c>
      <c r="BW14" s="2">
        <v>2888.37</v>
      </c>
      <c r="BX14" s="2">
        <v>3277.99</v>
      </c>
      <c r="BY14" s="2">
        <v>10597.55</v>
      </c>
      <c r="BZ14" s="2">
        <v>8911.8700000000008</v>
      </c>
      <c r="CA14" s="2">
        <v>13303.53</v>
      </c>
      <c r="CB14" s="2">
        <v>17318</v>
      </c>
      <c r="CC14" s="2">
        <v>25737.86</v>
      </c>
      <c r="CD14" s="2">
        <v>31968</v>
      </c>
      <c r="CE14" s="2">
        <v>20581.259999999998</v>
      </c>
      <c r="CF14" s="2">
        <v>24569.11</v>
      </c>
      <c r="CG14" s="2">
        <v>26740.1</v>
      </c>
      <c r="CH14" s="2">
        <v>32066.92</v>
      </c>
      <c r="CI14" s="2">
        <v>23002.51</v>
      </c>
      <c r="CJ14" s="2">
        <v>27181.85</v>
      </c>
      <c r="CK14" s="2">
        <v>28201.69</v>
      </c>
      <c r="CL14" s="2">
        <v>26371.46</v>
      </c>
    </row>
    <row r="15" spans="2:90" x14ac:dyDescent="0.3">
      <c r="B15" s="1" t="s">
        <v>27</v>
      </c>
      <c r="C15" s="2">
        <v>3.6</v>
      </c>
      <c r="D15" s="2">
        <v>3.6</v>
      </c>
      <c r="E15" s="2">
        <v>2.2599999999999998</v>
      </c>
      <c r="F15" s="2">
        <v>3.6</v>
      </c>
      <c r="G15" s="2">
        <v>1.8</v>
      </c>
      <c r="H15" s="2">
        <v>3.6</v>
      </c>
      <c r="I15" s="2">
        <v>1.66</v>
      </c>
      <c r="J15" s="2">
        <v>1.8</v>
      </c>
      <c r="K15" s="2">
        <v>1.44</v>
      </c>
      <c r="L15" s="2">
        <v>3.6</v>
      </c>
      <c r="M15" s="2">
        <v>1.62</v>
      </c>
      <c r="N15" s="2">
        <v>1.8</v>
      </c>
      <c r="O15" s="2">
        <v>1.62</v>
      </c>
      <c r="P15" s="2">
        <v>1.8</v>
      </c>
      <c r="Q15" s="2">
        <v>1.8</v>
      </c>
      <c r="R15" s="2">
        <v>2.27</v>
      </c>
      <c r="S15" s="2">
        <v>1.41</v>
      </c>
      <c r="T15" s="2">
        <v>1.44</v>
      </c>
      <c r="U15" s="2">
        <v>1.27</v>
      </c>
      <c r="V15" s="2">
        <v>1.22</v>
      </c>
      <c r="X15" s="1" t="s">
        <v>27</v>
      </c>
      <c r="Y15" s="2">
        <v>7001.9</v>
      </c>
      <c r="Z15" s="2">
        <v>7314.86</v>
      </c>
      <c r="AA15" s="2">
        <v>6303.02</v>
      </c>
      <c r="AB15" s="2">
        <v>7626.07</v>
      </c>
      <c r="AC15" s="2">
        <v>2270.65</v>
      </c>
      <c r="AD15" s="2">
        <v>2709.59</v>
      </c>
      <c r="AE15" s="2">
        <v>6718.82</v>
      </c>
      <c r="AF15" s="2">
        <v>9509.27</v>
      </c>
      <c r="AG15" s="2">
        <v>7590.17</v>
      </c>
      <c r="AH15" s="2">
        <v>11078.69</v>
      </c>
      <c r="AI15" s="2">
        <v>13800.96</v>
      </c>
      <c r="AJ15" s="2">
        <v>26373.38</v>
      </c>
      <c r="AK15" s="2">
        <v>11192.45</v>
      </c>
      <c r="AL15" s="2">
        <v>18968.3</v>
      </c>
      <c r="AM15" s="2">
        <v>15182.38</v>
      </c>
      <c r="AN15" s="2">
        <v>15856.95</v>
      </c>
      <c r="AO15" s="2">
        <v>11870.1</v>
      </c>
      <c r="AP15" s="2">
        <v>12264.24</v>
      </c>
      <c r="AQ15" s="2">
        <v>14594.47</v>
      </c>
      <c r="AR15" s="2">
        <v>14521.96</v>
      </c>
      <c r="AU15" s="1" t="s">
        <v>27</v>
      </c>
      <c r="AV15" s="2">
        <v>27191.95</v>
      </c>
      <c r="AW15" s="2">
        <v>28946.45</v>
      </c>
      <c r="AX15" s="2">
        <v>26262.880000000001</v>
      </c>
      <c r="AY15" s="2">
        <v>31212.3</v>
      </c>
      <c r="AZ15" s="2">
        <v>6882.75</v>
      </c>
      <c r="BA15" s="2">
        <v>10266.1</v>
      </c>
      <c r="BB15" s="2">
        <v>29146.83</v>
      </c>
      <c r="BC15" s="2">
        <v>24500.880000000001</v>
      </c>
      <c r="BD15" s="2">
        <v>35680.239999999998</v>
      </c>
      <c r="BE15" s="2">
        <v>49881.31</v>
      </c>
      <c r="BF15" s="2">
        <v>67109.509999999995</v>
      </c>
      <c r="BG15" s="2">
        <v>83354.62</v>
      </c>
      <c r="BH15" s="2">
        <v>54115.62</v>
      </c>
      <c r="BI15" s="2">
        <v>64946.25</v>
      </c>
      <c r="BJ15" s="2">
        <v>74188.36</v>
      </c>
      <c r="BK15" s="2">
        <v>80192.14</v>
      </c>
      <c r="BL15" s="2">
        <v>58809.279999999999</v>
      </c>
      <c r="BM15" s="2">
        <v>59890.75</v>
      </c>
      <c r="BN15" s="2">
        <v>73130.39</v>
      </c>
      <c r="BO15" s="2">
        <v>71754.710000000006</v>
      </c>
      <c r="BR15" s="1" t="s">
        <v>27</v>
      </c>
      <c r="BS15" s="2">
        <v>34193.85</v>
      </c>
      <c r="BT15" s="2">
        <v>36261.300000000003</v>
      </c>
      <c r="BU15" s="2">
        <v>32565.9</v>
      </c>
      <c r="BV15" s="2">
        <v>38838.370000000003</v>
      </c>
      <c r="BW15" s="2">
        <v>9153.41</v>
      </c>
      <c r="BX15" s="2">
        <v>12975.7</v>
      </c>
      <c r="BY15" s="2">
        <v>35865.65</v>
      </c>
      <c r="BZ15" s="2">
        <v>34010.15</v>
      </c>
      <c r="CA15" s="2">
        <v>43270.41</v>
      </c>
      <c r="CB15" s="2">
        <v>60960</v>
      </c>
      <c r="CC15" s="2">
        <v>80910.47</v>
      </c>
      <c r="CD15" s="2">
        <v>109728</v>
      </c>
      <c r="CE15" s="2">
        <v>65308.07</v>
      </c>
      <c r="CF15" s="2">
        <v>83914.55</v>
      </c>
      <c r="CG15" s="2">
        <v>89370.74</v>
      </c>
      <c r="CH15" s="2">
        <v>96049.1</v>
      </c>
      <c r="CI15" s="2">
        <v>70679.38</v>
      </c>
      <c r="CJ15" s="2">
        <v>72154.98</v>
      </c>
      <c r="CK15" s="2">
        <v>87724.87</v>
      </c>
      <c r="CL15" s="2">
        <v>86276.67</v>
      </c>
    </row>
    <row r="16" spans="2:90" x14ac:dyDescent="0.3">
      <c r="B16" s="1" t="s">
        <v>28</v>
      </c>
      <c r="C16" s="2">
        <v>0.87</v>
      </c>
      <c r="D16" s="2">
        <v>1.1399999999999999</v>
      </c>
      <c r="E16" s="2">
        <v>0.27</v>
      </c>
      <c r="F16" s="2">
        <v>0.28000000000000003</v>
      </c>
      <c r="G16" s="2">
        <v>0.2</v>
      </c>
      <c r="H16" s="2">
        <v>0.33</v>
      </c>
      <c r="I16" s="2">
        <v>0.69</v>
      </c>
      <c r="J16" s="2">
        <v>1.57</v>
      </c>
      <c r="K16" s="2">
        <v>0.9</v>
      </c>
      <c r="L16" s="2">
        <v>1.54</v>
      </c>
      <c r="M16" s="2">
        <v>1.32</v>
      </c>
      <c r="N16" s="2">
        <v>1.53</v>
      </c>
      <c r="O16" s="2">
        <v>1.48</v>
      </c>
      <c r="P16" s="2">
        <v>1.35</v>
      </c>
      <c r="Q16" s="2">
        <v>1.3</v>
      </c>
      <c r="R16" s="2">
        <v>1.1399999999999999</v>
      </c>
      <c r="S16" s="2">
        <v>1.19</v>
      </c>
      <c r="T16" s="2">
        <v>0.95</v>
      </c>
      <c r="U16" s="2">
        <v>1</v>
      </c>
      <c r="V16" s="2">
        <v>0.78</v>
      </c>
      <c r="X16" s="1" t="s">
        <v>28</v>
      </c>
      <c r="Y16" s="2">
        <v>3020.22</v>
      </c>
      <c r="Z16" s="2">
        <v>3814.59</v>
      </c>
      <c r="AA16" s="2">
        <v>2985.45</v>
      </c>
      <c r="AB16" s="2">
        <v>3184.83</v>
      </c>
      <c r="AC16" s="2">
        <v>215.14</v>
      </c>
      <c r="AD16" s="2">
        <v>1277.04</v>
      </c>
      <c r="AE16" s="2">
        <v>1220.21</v>
      </c>
      <c r="AF16" s="2">
        <v>4323.8500000000004</v>
      </c>
      <c r="AG16" s="2">
        <v>3831.67</v>
      </c>
      <c r="AH16" s="2">
        <v>5183.1899999999996</v>
      </c>
      <c r="AI16" s="2">
        <v>6746.02</v>
      </c>
      <c r="AJ16" s="2">
        <v>9567.34</v>
      </c>
      <c r="AK16" s="2">
        <v>5379.74</v>
      </c>
      <c r="AL16" s="2">
        <v>7273.93</v>
      </c>
      <c r="AM16" s="2">
        <v>6733.59</v>
      </c>
      <c r="AN16" s="2">
        <v>7444.06</v>
      </c>
      <c r="AO16" s="2">
        <v>5668.91</v>
      </c>
      <c r="AP16" s="2">
        <v>5760.79</v>
      </c>
      <c r="AQ16" s="2">
        <v>7778.2</v>
      </c>
      <c r="AR16" s="2">
        <v>7999.98</v>
      </c>
      <c r="AU16" s="1" t="s">
        <v>28</v>
      </c>
      <c r="AV16" s="2">
        <v>15169.38</v>
      </c>
      <c r="AW16" s="2">
        <v>18459.09</v>
      </c>
      <c r="AX16" s="2">
        <v>12168</v>
      </c>
      <c r="AY16" s="2">
        <v>12967.85</v>
      </c>
      <c r="AZ16" s="2">
        <v>4211.62</v>
      </c>
      <c r="BA16" s="2">
        <v>5549.28</v>
      </c>
      <c r="BB16" s="2">
        <v>14976</v>
      </c>
      <c r="BC16" s="2">
        <v>19056.72</v>
      </c>
      <c r="BD16" s="2">
        <v>19698.53</v>
      </c>
      <c r="BE16" s="2">
        <v>24551.06</v>
      </c>
      <c r="BF16" s="2">
        <v>34605.019999999997</v>
      </c>
      <c r="BG16" s="2">
        <v>45647.86</v>
      </c>
      <c r="BH16" s="2">
        <v>27896.89</v>
      </c>
      <c r="BI16" s="2">
        <v>35354.33</v>
      </c>
      <c r="BJ16" s="2">
        <v>34879.83</v>
      </c>
      <c r="BK16" s="2">
        <v>37491.32</v>
      </c>
      <c r="BL16" s="2">
        <v>29288.53</v>
      </c>
      <c r="BM16" s="2">
        <v>29851.49</v>
      </c>
      <c r="BN16" s="2">
        <v>40653.050000000003</v>
      </c>
      <c r="BO16" s="2">
        <v>43016.52</v>
      </c>
      <c r="BR16" s="1" t="s">
        <v>28</v>
      </c>
      <c r="BS16" s="2">
        <v>18189.599999999999</v>
      </c>
      <c r="BT16" s="2">
        <v>22273.68</v>
      </c>
      <c r="BU16" s="2">
        <v>15153.45</v>
      </c>
      <c r="BV16" s="2">
        <v>16152.69</v>
      </c>
      <c r="BW16" s="2">
        <v>4426.76</v>
      </c>
      <c r="BX16" s="2">
        <v>6826.32</v>
      </c>
      <c r="BY16" s="2">
        <v>16196.21</v>
      </c>
      <c r="BZ16" s="2">
        <v>23380.57</v>
      </c>
      <c r="CA16" s="2">
        <v>23530.2</v>
      </c>
      <c r="CB16" s="2">
        <v>29734.25</v>
      </c>
      <c r="CC16" s="2">
        <v>41351.040000000001</v>
      </c>
      <c r="CD16" s="2">
        <v>55215.199999999997</v>
      </c>
      <c r="CE16" s="2">
        <v>33276.629999999997</v>
      </c>
      <c r="CF16" s="2">
        <v>42628.26</v>
      </c>
      <c r="CG16" s="2">
        <v>41613.42</v>
      </c>
      <c r="CH16" s="2">
        <v>44935.38</v>
      </c>
      <c r="CI16" s="2">
        <v>34957.440000000002</v>
      </c>
      <c r="CJ16" s="2">
        <v>35612.28</v>
      </c>
      <c r="CK16" s="2">
        <v>48431.25</v>
      </c>
      <c r="CL16" s="2">
        <v>51016.5</v>
      </c>
    </row>
    <row r="19" spans="2:90" x14ac:dyDescent="0.3">
      <c r="B19" t="s">
        <v>29</v>
      </c>
      <c r="X19" t="s">
        <v>30</v>
      </c>
      <c r="AU19" t="s">
        <v>31</v>
      </c>
      <c r="BR19" t="s">
        <v>32</v>
      </c>
    </row>
    <row r="20" spans="2:90" x14ac:dyDescent="0.3">
      <c r="B20" s="1" t="s">
        <v>16</v>
      </c>
      <c r="C20" s="1" t="s">
        <v>17</v>
      </c>
      <c r="D20" s="1" t="s">
        <v>18</v>
      </c>
      <c r="E20" s="1" t="s">
        <v>17</v>
      </c>
      <c r="F20" s="1" t="s">
        <v>18</v>
      </c>
      <c r="G20" s="1" t="s">
        <v>17</v>
      </c>
      <c r="H20" s="1" t="s">
        <v>18</v>
      </c>
      <c r="I20" s="1" t="s">
        <v>17</v>
      </c>
      <c r="J20" s="1" t="s">
        <v>18</v>
      </c>
      <c r="K20" s="1" t="s">
        <v>17</v>
      </c>
      <c r="L20" s="1" t="s">
        <v>18</v>
      </c>
      <c r="M20" s="1" t="s">
        <v>17</v>
      </c>
      <c r="N20" s="1" t="s">
        <v>18</v>
      </c>
      <c r="O20" s="1" t="s">
        <v>17</v>
      </c>
      <c r="P20" s="1" t="s">
        <v>18</v>
      </c>
      <c r="Q20" s="1" t="s">
        <v>17</v>
      </c>
      <c r="R20" s="1" t="s">
        <v>18</v>
      </c>
      <c r="S20" s="1" t="s">
        <v>17</v>
      </c>
      <c r="T20" s="1" t="s">
        <v>18</v>
      </c>
      <c r="U20" s="1" t="s">
        <v>17</v>
      </c>
      <c r="V20" s="1" t="s">
        <v>18</v>
      </c>
      <c r="X20" s="1" t="s">
        <v>16</v>
      </c>
      <c r="Y20" s="1" t="s">
        <v>17</v>
      </c>
      <c r="Z20" s="1" t="s">
        <v>18</v>
      </c>
      <c r="AA20" s="1" t="s">
        <v>17</v>
      </c>
      <c r="AB20" s="1" t="s">
        <v>18</v>
      </c>
      <c r="AC20" s="1" t="s">
        <v>17</v>
      </c>
      <c r="AD20" s="1" t="s">
        <v>18</v>
      </c>
      <c r="AE20" s="1" t="s">
        <v>17</v>
      </c>
      <c r="AF20" s="1" t="s">
        <v>18</v>
      </c>
      <c r="AG20" s="1" t="s">
        <v>17</v>
      </c>
      <c r="AH20" s="1" t="s">
        <v>18</v>
      </c>
      <c r="AI20" s="1" t="s">
        <v>17</v>
      </c>
      <c r="AJ20" s="1" t="s">
        <v>18</v>
      </c>
      <c r="AK20" s="1" t="s">
        <v>17</v>
      </c>
      <c r="AL20" s="1" t="s">
        <v>18</v>
      </c>
      <c r="AM20" s="1" t="s">
        <v>17</v>
      </c>
      <c r="AN20" s="1" t="s">
        <v>18</v>
      </c>
      <c r="AO20" s="1" t="s">
        <v>17</v>
      </c>
      <c r="AP20" s="1" t="s">
        <v>18</v>
      </c>
      <c r="AQ20" s="1" t="s">
        <v>17</v>
      </c>
      <c r="AR20" s="1" t="s">
        <v>18</v>
      </c>
      <c r="AU20" s="1" t="s">
        <v>16</v>
      </c>
      <c r="AV20" s="1" t="s">
        <v>17</v>
      </c>
      <c r="AW20" s="1" t="s">
        <v>18</v>
      </c>
      <c r="AX20" s="1" t="s">
        <v>17</v>
      </c>
      <c r="AY20" s="1" t="s">
        <v>18</v>
      </c>
      <c r="AZ20" s="1" t="s">
        <v>17</v>
      </c>
      <c r="BA20" s="1" t="s">
        <v>18</v>
      </c>
      <c r="BB20" s="1" t="s">
        <v>17</v>
      </c>
      <c r="BC20" s="1" t="s">
        <v>18</v>
      </c>
      <c r="BD20" s="1" t="s">
        <v>17</v>
      </c>
      <c r="BE20" s="1" t="s">
        <v>18</v>
      </c>
      <c r="BF20" s="1" t="s">
        <v>17</v>
      </c>
      <c r="BG20" s="1" t="s">
        <v>18</v>
      </c>
      <c r="BH20" s="1" t="s">
        <v>17</v>
      </c>
      <c r="BI20" s="1" t="s">
        <v>18</v>
      </c>
      <c r="BJ20" s="1" t="s">
        <v>17</v>
      </c>
      <c r="BK20" s="1" t="s">
        <v>18</v>
      </c>
      <c r="BL20" s="1" t="s">
        <v>17</v>
      </c>
      <c r="BM20" s="1" t="s">
        <v>18</v>
      </c>
      <c r="BN20" s="1" t="s">
        <v>17</v>
      </c>
      <c r="BO20" s="1" t="s">
        <v>18</v>
      </c>
      <c r="BR20" s="1" t="s">
        <v>16</v>
      </c>
      <c r="BS20" s="1" t="s">
        <v>17</v>
      </c>
      <c r="BT20" s="1" t="s">
        <v>18</v>
      </c>
      <c r="BU20" s="1" t="s">
        <v>17</v>
      </c>
      <c r="BV20" s="1" t="s">
        <v>18</v>
      </c>
      <c r="BW20" s="1" t="s">
        <v>17</v>
      </c>
      <c r="BX20" s="1" t="s">
        <v>18</v>
      </c>
      <c r="BY20" s="1" t="s">
        <v>17</v>
      </c>
      <c r="BZ20" s="1" t="s">
        <v>18</v>
      </c>
      <c r="CA20" s="1" t="s">
        <v>17</v>
      </c>
      <c r="CB20" s="1" t="s">
        <v>18</v>
      </c>
      <c r="CC20" s="1" t="s">
        <v>17</v>
      </c>
      <c r="CD20" s="1" t="s">
        <v>18</v>
      </c>
      <c r="CE20" s="1" t="s">
        <v>17</v>
      </c>
      <c r="CF20" s="1" t="s">
        <v>18</v>
      </c>
      <c r="CG20" s="1" t="s">
        <v>17</v>
      </c>
      <c r="CH20" s="1" t="s">
        <v>18</v>
      </c>
      <c r="CI20" s="1" t="s">
        <v>17</v>
      </c>
      <c r="CJ20" s="1" t="s">
        <v>18</v>
      </c>
      <c r="CK20" s="1" t="s">
        <v>17</v>
      </c>
      <c r="CL20" s="1" t="s">
        <v>18</v>
      </c>
    </row>
    <row r="21" spans="2:90" x14ac:dyDescent="0.3">
      <c r="B21" s="1" t="s">
        <v>19</v>
      </c>
      <c r="C21" s="1" t="s">
        <v>1</v>
      </c>
      <c r="D21" s="1" t="s">
        <v>1</v>
      </c>
      <c r="E21" s="1" t="s">
        <v>2</v>
      </c>
      <c r="F21" s="1" t="s">
        <v>2</v>
      </c>
      <c r="G21" s="1" t="s">
        <v>3</v>
      </c>
      <c r="H21" s="1" t="s">
        <v>3</v>
      </c>
      <c r="I21" s="1" t="s">
        <v>4</v>
      </c>
      <c r="J21" s="1" t="s">
        <v>4</v>
      </c>
      <c r="K21" s="1" t="s">
        <v>5</v>
      </c>
      <c r="L21" s="1" t="s">
        <v>5</v>
      </c>
      <c r="M21" s="1" t="s">
        <v>6</v>
      </c>
      <c r="N21" s="1" t="s">
        <v>6</v>
      </c>
      <c r="O21" s="1" t="s">
        <v>7</v>
      </c>
      <c r="P21" s="1" t="s">
        <v>7</v>
      </c>
      <c r="Q21" s="1" t="s">
        <v>8</v>
      </c>
      <c r="R21" s="1" t="s">
        <v>8</v>
      </c>
      <c r="S21" s="1" t="s">
        <v>9</v>
      </c>
      <c r="T21" s="1" t="s">
        <v>9</v>
      </c>
      <c r="U21" s="1" t="s">
        <v>10</v>
      </c>
      <c r="V21" s="1" t="s">
        <v>10</v>
      </c>
      <c r="X21" s="1" t="s">
        <v>19</v>
      </c>
      <c r="Y21" s="1" t="s">
        <v>1</v>
      </c>
      <c r="Z21" s="1" t="s">
        <v>1</v>
      </c>
      <c r="AA21" s="1" t="s">
        <v>2</v>
      </c>
      <c r="AB21" s="1" t="s">
        <v>2</v>
      </c>
      <c r="AC21" s="1" t="s">
        <v>3</v>
      </c>
      <c r="AD21" s="1" t="s">
        <v>3</v>
      </c>
      <c r="AE21" s="1" t="s">
        <v>4</v>
      </c>
      <c r="AF21" s="1" t="s">
        <v>4</v>
      </c>
      <c r="AG21" s="1" t="s">
        <v>5</v>
      </c>
      <c r="AH21" s="1" t="s">
        <v>5</v>
      </c>
      <c r="AI21" s="1" t="s">
        <v>6</v>
      </c>
      <c r="AJ21" s="1" t="s">
        <v>6</v>
      </c>
      <c r="AK21" s="1" t="s">
        <v>7</v>
      </c>
      <c r="AL21" s="1" t="s">
        <v>7</v>
      </c>
      <c r="AM21" s="1" t="s">
        <v>8</v>
      </c>
      <c r="AN21" s="1" t="s">
        <v>8</v>
      </c>
      <c r="AO21" s="1" t="s">
        <v>9</v>
      </c>
      <c r="AP21" s="1" t="s">
        <v>9</v>
      </c>
      <c r="AQ21" s="1" t="s">
        <v>10</v>
      </c>
      <c r="AR21" s="1" t="s">
        <v>10</v>
      </c>
      <c r="AU21" s="1" t="s">
        <v>19</v>
      </c>
      <c r="AV21" s="1" t="s">
        <v>1</v>
      </c>
      <c r="AW21" s="1" t="s">
        <v>1</v>
      </c>
      <c r="AX21" s="1" t="s">
        <v>2</v>
      </c>
      <c r="AY21" s="1" t="s">
        <v>2</v>
      </c>
      <c r="AZ21" s="1" t="s">
        <v>3</v>
      </c>
      <c r="BA21" s="1" t="s">
        <v>3</v>
      </c>
      <c r="BB21" s="1" t="s">
        <v>4</v>
      </c>
      <c r="BC21" s="1" t="s">
        <v>4</v>
      </c>
      <c r="BD21" s="1" t="s">
        <v>5</v>
      </c>
      <c r="BE21" s="1" t="s">
        <v>5</v>
      </c>
      <c r="BF21" s="1" t="s">
        <v>6</v>
      </c>
      <c r="BG21" s="1" t="s">
        <v>6</v>
      </c>
      <c r="BH21" s="1" t="s">
        <v>7</v>
      </c>
      <c r="BI21" s="1" t="s">
        <v>7</v>
      </c>
      <c r="BJ21" s="1" t="s">
        <v>8</v>
      </c>
      <c r="BK21" s="1" t="s">
        <v>8</v>
      </c>
      <c r="BL21" s="1" t="s">
        <v>9</v>
      </c>
      <c r="BM21" s="1" t="s">
        <v>9</v>
      </c>
      <c r="BN21" s="1" t="s">
        <v>10</v>
      </c>
      <c r="BO21" s="1" t="s">
        <v>10</v>
      </c>
      <c r="BR21" s="1" t="s">
        <v>19</v>
      </c>
      <c r="BS21" s="1" t="s">
        <v>1</v>
      </c>
      <c r="BT21" s="1" t="s">
        <v>1</v>
      </c>
      <c r="BU21" s="1" t="s">
        <v>2</v>
      </c>
      <c r="BV21" s="1" t="s">
        <v>2</v>
      </c>
      <c r="BW21" s="1" t="s">
        <v>3</v>
      </c>
      <c r="BX21" s="1" t="s">
        <v>3</v>
      </c>
      <c r="BY21" s="1" t="s">
        <v>4</v>
      </c>
      <c r="BZ21" s="1" t="s">
        <v>4</v>
      </c>
      <c r="CA21" s="1" t="s">
        <v>5</v>
      </c>
      <c r="CB21" s="1" t="s">
        <v>5</v>
      </c>
      <c r="CC21" s="1" t="s">
        <v>6</v>
      </c>
      <c r="CD21" s="1" t="s">
        <v>6</v>
      </c>
      <c r="CE21" s="1" t="s">
        <v>7</v>
      </c>
      <c r="CF21" s="1" t="s">
        <v>7</v>
      </c>
      <c r="CG21" s="1" t="s">
        <v>8</v>
      </c>
      <c r="CH21" s="1" t="s">
        <v>8</v>
      </c>
      <c r="CI21" s="1" t="s">
        <v>9</v>
      </c>
      <c r="CJ21" s="1" t="s">
        <v>9</v>
      </c>
      <c r="CK21" s="1" t="s">
        <v>10</v>
      </c>
      <c r="CL21" s="1" t="s">
        <v>10</v>
      </c>
    </row>
    <row r="22" spans="2:90" x14ac:dyDescent="0.3">
      <c r="B22" s="1" t="s">
        <v>20</v>
      </c>
      <c r="X22" s="1" t="s">
        <v>20</v>
      </c>
      <c r="AU22" s="1" t="s">
        <v>20</v>
      </c>
      <c r="BR22" s="1" t="s">
        <v>20</v>
      </c>
    </row>
    <row r="23" spans="2:90" x14ac:dyDescent="0.3">
      <c r="B23" s="1" t="s">
        <v>21</v>
      </c>
      <c r="C23" s="2">
        <v>0.06</v>
      </c>
      <c r="D23" s="2">
        <v>0.06</v>
      </c>
      <c r="E23" s="2">
        <v>0.06</v>
      </c>
      <c r="F23" s="2">
        <v>0.06</v>
      </c>
      <c r="G23" s="2">
        <v>0.06</v>
      </c>
      <c r="H23" s="2">
        <v>0.06</v>
      </c>
      <c r="I23" s="2">
        <v>0.05</v>
      </c>
      <c r="J23" s="2">
        <v>0.1</v>
      </c>
      <c r="K23" s="2">
        <v>0.1</v>
      </c>
      <c r="L23" s="2">
        <v>0.1</v>
      </c>
      <c r="M23" s="2">
        <v>0.1</v>
      </c>
      <c r="N23" s="2">
        <v>0.1</v>
      </c>
      <c r="O23" s="2">
        <v>0.1</v>
      </c>
      <c r="P23" s="2">
        <v>0.1</v>
      </c>
      <c r="Q23" s="2">
        <v>0.1</v>
      </c>
      <c r="R23" s="2">
        <v>0.1</v>
      </c>
      <c r="S23" s="2">
        <v>0.1</v>
      </c>
      <c r="T23" s="2">
        <v>0.1</v>
      </c>
      <c r="U23" s="2">
        <v>0.1</v>
      </c>
      <c r="V23" s="2">
        <v>0.1</v>
      </c>
      <c r="X23" s="1" t="s">
        <v>21</v>
      </c>
      <c r="Y23" s="2">
        <v>1040.9000000000001</v>
      </c>
      <c r="Z23" s="2">
        <v>1035.92</v>
      </c>
      <c r="AA23" s="2">
        <v>892.88</v>
      </c>
      <c r="AB23" s="2">
        <v>832.45</v>
      </c>
      <c r="AC23" s="2">
        <v>794.02</v>
      </c>
      <c r="AD23" s="2">
        <v>971.22</v>
      </c>
      <c r="AE23" s="2">
        <v>866.27</v>
      </c>
      <c r="AF23" s="2">
        <v>1731.24</v>
      </c>
      <c r="AG23" s="2">
        <v>1938.58</v>
      </c>
      <c r="AH23" s="2">
        <v>1706.81</v>
      </c>
      <c r="AI23" s="2">
        <v>1962.1</v>
      </c>
      <c r="AJ23" s="2">
        <v>1682.31</v>
      </c>
      <c r="AK23" s="2">
        <v>1916.46</v>
      </c>
      <c r="AL23" s="2">
        <v>1647.52</v>
      </c>
      <c r="AM23" s="2">
        <v>1855.56</v>
      </c>
      <c r="AN23" s="2">
        <v>1690.64</v>
      </c>
      <c r="AO23" s="2">
        <v>1623.86</v>
      </c>
      <c r="AP23" s="2">
        <v>1238.6500000000001</v>
      </c>
      <c r="AQ23" s="2">
        <v>1654.45</v>
      </c>
      <c r="AR23" s="2">
        <v>1312.15</v>
      </c>
      <c r="AU23" s="1" t="s">
        <v>21</v>
      </c>
      <c r="AV23" s="2">
        <v>18434.96</v>
      </c>
      <c r="AW23" s="2">
        <v>18312.919999999998</v>
      </c>
      <c r="AX23" s="2">
        <v>14355.22</v>
      </c>
      <c r="AY23" s="2">
        <v>13434.25</v>
      </c>
      <c r="AZ23" s="2">
        <v>13560.88</v>
      </c>
      <c r="BA23" s="2">
        <v>16151.87</v>
      </c>
      <c r="BB23" s="2">
        <v>17412.59</v>
      </c>
      <c r="BC23" s="2">
        <v>16452.66</v>
      </c>
      <c r="BD23" s="2">
        <v>18430.02</v>
      </c>
      <c r="BE23" s="2">
        <v>16266.39</v>
      </c>
      <c r="BF23" s="2">
        <v>18461.099999999999</v>
      </c>
      <c r="BG23" s="2">
        <v>15970.29</v>
      </c>
      <c r="BH23" s="2">
        <v>18266.64</v>
      </c>
      <c r="BI23" s="2">
        <v>15505.98</v>
      </c>
      <c r="BJ23" s="2">
        <v>17456.04</v>
      </c>
      <c r="BK23" s="2">
        <v>15894.06</v>
      </c>
      <c r="BL23" s="2">
        <v>15209.04</v>
      </c>
      <c r="BM23" s="2">
        <v>11742.15</v>
      </c>
      <c r="BN23" s="2">
        <v>15595.65</v>
      </c>
      <c r="BO23" s="2">
        <v>12357.45</v>
      </c>
      <c r="BR23" s="1" t="s">
        <v>21</v>
      </c>
      <c r="BS23" s="2">
        <v>19475.849999999999</v>
      </c>
      <c r="BT23" s="2">
        <v>19348.84</v>
      </c>
      <c r="BU23" s="2">
        <v>15248.1</v>
      </c>
      <c r="BV23" s="2">
        <v>14266.7</v>
      </c>
      <c r="BW23" s="2">
        <v>14354.9</v>
      </c>
      <c r="BX23" s="2">
        <v>17123.080000000002</v>
      </c>
      <c r="BY23" s="2">
        <v>18278.86</v>
      </c>
      <c r="BZ23" s="2">
        <v>18183.900000000001</v>
      </c>
      <c r="CA23" s="2">
        <v>20368.599999999999</v>
      </c>
      <c r="CB23" s="2">
        <v>17973.2</v>
      </c>
      <c r="CC23" s="2">
        <v>20423.2</v>
      </c>
      <c r="CD23" s="2">
        <v>17652.599999999999</v>
      </c>
      <c r="CE23" s="2">
        <v>20183.099999999999</v>
      </c>
      <c r="CF23" s="2">
        <v>17153.5</v>
      </c>
      <c r="CG23" s="2">
        <v>19311.599999999999</v>
      </c>
      <c r="CH23" s="2">
        <v>17584.7</v>
      </c>
      <c r="CI23" s="2">
        <v>16832.900000000001</v>
      </c>
      <c r="CJ23" s="2">
        <v>12980.8</v>
      </c>
      <c r="CK23" s="2">
        <v>17250.099999999999</v>
      </c>
      <c r="CL23" s="2">
        <v>13669.6</v>
      </c>
    </row>
    <row r="24" spans="2:90" x14ac:dyDescent="0.3">
      <c r="B24" s="1" t="s">
        <v>22</v>
      </c>
      <c r="C24" s="2">
        <v>0.16</v>
      </c>
      <c r="D24" s="2">
        <v>0.17</v>
      </c>
      <c r="E24" s="2">
        <v>0.17</v>
      </c>
      <c r="F24" s="2">
        <v>0.18</v>
      </c>
      <c r="G24" s="2">
        <v>0.18</v>
      </c>
      <c r="H24" s="2">
        <v>0.18</v>
      </c>
      <c r="I24" s="2">
        <v>0.17</v>
      </c>
      <c r="J24" s="2">
        <v>0.17</v>
      </c>
      <c r="K24" s="2">
        <v>0.16</v>
      </c>
      <c r="L24" s="2">
        <v>0.16</v>
      </c>
      <c r="M24" s="2">
        <v>0.16</v>
      </c>
      <c r="N24" s="2">
        <v>0.16</v>
      </c>
      <c r="O24" s="2">
        <v>0.16</v>
      </c>
      <c r="P24" s="2">
        <v>0.16</v>
      </c>
      <c r="Q24" s="2">
        <v>0.16</v>
      </c>
      <c r="R24" s="2">
        <v>0.16</v>
      </c>
      <c r="S24" s="2">
        <v>0.16</v>
      </c>
      <c r="T24" s="2">
        <v>0.16</v>
      </c>
      <c r="U24" s="2">
        <v>0.16</v>
      </c>
      <c r="V24" s="2">
        <v>0.16</v>
      </c>
      <c r="X24" s="1" t="s">
        <v>22</v>
      </c>
      <c r="Y24" s="2">
        <v>1188.8900000000001</v>
      </c>
      <c r="Z24" s="2">
        <v>732.9</v>
      </c>
      <c r="AA24" s="2">
        <v>1222.5999999999999</v>
      </c>
      <c r="AB24" s="2">
        <v>786.75</v>
      </c>
      <c r="AC24" s="2">
        <v>803.69</v>
      </c>
      <c r="AD24" s="2">
        <v>993.76</v>
      </c>
      <c r="AE24" s="2">
        <v>1339.42</v>
      </c>
      <c r="AF24" s="2">
        <v>926.13</v>
      </c>
      <c r="AG24" s="2">
        <v>1250.33</v>
      </c>
      <c r="AH24" s="2">
        <v>854.99</v>
      </c>
      <c r="AI24" s="2">
        <v>1197.27</v>
      </c>
      <c r="AJ24" s="2">
        <v>861.11</v>
      </c>
      <c r="AK24" s="2">
        <v>1051.1300000000001</v>
      </c>
      <c r="AL24" s="2">
        <v>924.5</v>
      </c>
      <c r="AM24" s="2">
        <v>996.51</v>
      </c>
      <c r="AN24" s="2">
        <v>887.99</v>
      </c>
      <c r="AO24" s="2">
        <v>966.89</v>
      </c>
      <c r="AP24" s="2">
        <v>729.47</v>
      </c>
      <c r="AQ24" s="2">
        <v>1117.3699999999999</v>
      </c>
      <c r="AR24" s="2">
        <v>696</v>
      </c>
      <c r="AU24" s="1" t="s">
        <v>22</v>
      </c>
      <c r="AV24" s="2">
        <v>6759.19</v>
      </c>
      <c r="AW24" s="2">
        <v>4430.7299999999996</v>
      </c>
      <c r="AX24" s="2">
        <v>6155.1</v>
      </c>
      <c r="AY24" s="2">
        <v>4115.4399999999996</v>
      </c>
      <c r="AZ24" s="2">
        <v>4237.71</v>
      </c>
      <c r="BA24" s="2">
        <v>5204.13</v>
      </c>
      <c r="BB24" s="2">
        <v>6939.07</v>
      </c>
      <c r="BC24" s="2">
        <v>5058.67</v>
      </c>
      <c r="BD24" s="2">
        <v>7023.51</v>
      </c>
      <c r="BE24" s="2">
        <v>5025.8100000000004</v>
      </c>
      <c r="BF24" s="2">
        <v>6841.35</v>
      </c>
      <c r="BG24" s="2">
        <v>5118.29</v>
      </c>
      <c r="BH24" s="2">
        <v>6045.67</v>
      </c>
      <c r="BI24" s="2">
        <v>5448.2</v>
      </c>
      <c r="BJ24" s="2">
        <v>5787.14</v>
      </c>
      <c r="BK24" s="2">
        <v>5191.25</v>
      </c>
      <c r="BL24" s="2">
        <v>5609.78</v>
      </c>
      <c r="BM24" s="2">
        <v>4384.5200000000004</v>
      </c>
      <c r="BN24" s="2">
        <v>6723.55</v>
      </c>
      <c r="BO24" s="2">
        <v>4288.74</v>
      </c>
      <c r="BR24" s="1" t="s">
        <v>22</v>
      </c>
      <c r="BS24" s="2">
        <v>7948.08</v>
      </c>
      <c r="BT24" s="2">
        <v>5163.63</v>
      </c>
      <c r="BU24" s="2">
        <v>7377.7</v>
      </c>
      <c r="BV24" s="2">
        <v>4902.1899999999996</v>
      </c>
      <c r="BW24" s="2">
        <v>5041.3999999999996</v>
      </c>
      <c r="BX24" s="2">
        <v>6197.9</v>
      </c>
      <c r="BY24" s="2">
        <v>8278.49</v>
      </c>
      <c r="BZ24" s="2">
        <v>5984.8</v>
      </c>
      <c r="CA24" s="2">
        <v>8273.83</v>
      </c>
      <c r="CB24" s="2">
        <v>5880.8</v>
      </c>
      <c r="CC24" s="2">
        <v>8038.62</v>
      </c>
      <c r="CD24" s="2">
        <v>5979.4</v>
      </c>
      <c r="CE24" s="2">
        <v>7096.8</v>
      </c>
      <c r="CF24" s="2">
        <v>6372.7</v>
      </c>
      <c r="CG24" s="2">
        <v>6783.65</v>
      </c>
      <c r="CH24" s="2">
        <v>6079.24</v>
      </c>
      <c r="CI24" s="2">
        <v>6576.67</v>
      </c>
      <c r="CJ24" s="2">
        <v>5114</v>
      </c>
      <c r="CK24" s="2">
        <v>7840.92</v>
      </c>
      <c r="CL24" s="2">
        <v>4984.74</v>
      </c>
    </row>
    <row r="25" spans="2:90" x14ac:dyDescent="0.3">
      <c r="B25" s="1" t="s">
        <v>23</v>
      </c>
      <c r="C25" s="2">
        <v>0.22</v>
      </c>
      <c r="D25" s="2">
        <v>0.17</v>
      </c>
      <c r="E25" s="2">
        <v>0.2</v>
      </c>
      <c r="F25" s="2">
        <v>0.17</v>
      </c>
      <c r="G25" s="2">
        <v>0.3</v>
      </c>
      <c r="H25" s="2">
        <v>0.24</v>
      </c>
      <c r="I25" s="2">
        <v>0.25</v>
      </c>
      <c r="J25" s="2">
        <v>0.17</v>
      </c>
      <c r="K25" s="2">
        <v>0.26</v>
      </c>
      <c r="L25" s="2">
        <v>0.16</v>
      </c>
      <c r="M25" s="2">
        <v>0.26</v>
      </c>
      <c r="N25" s="2">
        <v>0.16</v>
      </c>
      <c r="O25" s="2">
        <v>0.27</v>
      </c>
      <c r="P25" s="2">
        <v>0.16</v>
      </c>
      <c r="Q25" s="2">
        <v>0.28000000000000003</v>
      </c>
      <c r="R25" s="2">
        <v>0.16</v>
      </c>
      <c r="S25" s="2">
        <v>0.17</v>
      </c>
      <c r="T25" s="2">
        <v>0.16</v>
      </c>
      <c r="U25" s="2">
        <v>0.16</v>
      </c>
      <c r="V25" s="2">
        <v>0.16</v>
      </c>
      <c r="X25" s="1" t="s">
        <v>23</v>
      </c>
      <c r="Y25" s="2">
        <v>5593.61</v>
      </c>
      <c r="Z25" s="2">
        <v>1829.1</v>
      </c>
      <c r="AA25" s="2">
        <v>5257.76</v>
      </c>
      <c r="AB25" s="2">
        <v>1779.51</v>
      </c>
      <c r="AC25" s="2">
        <v>5761.09</v>
      </c>
      <c r="AD25" s="2">
        <v>5456.37</v>
      </c>
      <c r="AE25" s="2">
        <v>6585.65</v>
      </c>
      <c r="AF25" s="2">
        <v>3172.64</v>
      </c>
      <c r="AG25" s="2">
        <v>6971.31</v>
      </c>
      <c r="AH25" s="2">
        <v>2817.8</v>
      </c>
      <c r="AI25" s="2">
        <v>7126.51</v>
      </c>
      <c r="AJ25" s="2">
        <v>2781.35</v>
      </c>
      <c r="AK25" s="2">
        <v>6760.31</v>
      </c>
      <c r="AL25" s="2">
        <v>2803.72</v>
      </c>
      <c r="AM25" s="2">
        <v>6531.26</v>
      </c>
      <c r="AN25" s="2">
        <v>2730.87</v>
      </c>
      <c r="AO25" s="2">
        <v>3102.75</v>
      </c>
      <c r="AP25" s="2">
        <v>2369</v>
      </c>
      <c r="AQ25" s="2">
        <v>2353.66</v>
      </c>
      <c r="AR25" s="2">
        <v>2098.4</v>
      </c>
      <c r="AU25" s="1" t="s">
        <v>23</v>
      </c>
      <c r="AV25" s="2">
        <v>23333.17</v>
      </c>
      <c r="AW25" s="2">
        <v>11343.88</v>
      </c>
      <c r="AX25" s="2">
        <v>22548.38</v>
      </c>
      <c r="AY25" s="2">
        <v>9360</v>
      </c>
      <c r="AZ25" s="2">
        <v>15875</v>
      </c>
      <c r="BA25" s="2">
        <v>19587.150000000001</v>
      </c>
      <c r="BB25" s="2">
        <v>22311.01</v>
      </c>
      <c r="BC25" s="2">
        <v>17975.400000000001</v>
      </c>
      <c r="BD25" s="2">
        <v>23194.52</v>
      </c>
      <c r="BE25" s="2">
        <v>17376.439999999999</v>
      </c>
      <c r="BF25" s="2">
        <v>23353.49</v>
      </c>
      <c r="BG25" s="2">
        <v>17455.650000000001</v>
      </c>
      <c r="BH25" s="2">
        <v>21519.46</v>
      </c>
      <c r="BI25" s="2">
        <v>17698.599999999999</v>
      </c>
      <c r="BJ25" s="2">
        <v>20357.669999999998</v>
      </c>
      <c r="BK25" s="2">
        <v>16958.2</v>
      </c>
      <c r="BL25" s="2">
        <v>18470.189999999999</v>
      </c>
      <c r="BM25" s="2">
        <v>15129.44</v>
      </c>
      <c r="BN25" s="2">
        <v>14793.62</v>
      </c>
      <c r="BO25" s="2">
        <v>13383.75</v>
      </c>
      <c r="BR25" s="1" t="s">
        <v>23</v>
      </c>
      <c r="BS25" s="2">
        <v>28926.78</v>
      </c>
      <c r="BT25" s="2">
        <v>13172.98</v>
      </c>
      <c r="BU25" s="2">
        <v>27806.14</v>
      </c>
      <c r="BV25" s="2">
        <v>11139.51</v>
      </c>
      <c r="BW25" s="2">
        <v>21636.09</v>
      </c>
      <c r="BX25" s="2">
        <v>25043.52</v>
      </c>
      <c r="BY25" s="2">
        <v>28896.66</v>
      </c>
      <c r="BZ25" s="2">
        <v>21148.05</v>
      </c>
      <c r="CA25" s="2">
        <v>30165.83</v>
      </c>
      <c r="CB25" s="2">
        <v>20194.240000000002</v>
      </c>
      <c r="CC25" s="2">
        <v>30480</v>
      </c>
      <c r="CD25" s="2">
        <v>20237</v>
      </c>
      <c r="CE25" s="2">
        <v>28279.77</v>
      </c>
      <c r="CF25" s="2">
        <v>20502.32</v>
      </c>
      <c r="CG25" s="2">
        <v>26888.94</v>
      </c>
      <c r="CH25" s="2">
        <v>19689.060000000001</v>
      </c>
      <c r="CI25" s="2">
        <v>21572.95</v>
      </c>
      <c r="CJ25" s="2">
        <v>17498.45</v>
      </c>
      <c r="CK25" s="2">
        <v>17147.28</v>
      </c>
      <c r="CL25" s="2">
        <v>15482.16</v>
      </c>
    </row>
    <row r="26" spans="2:90" x14ac:dyDescent="0.3">
      <c r="B26" s="1" t="s">
        <v>24</v>
      </c>
      <c r="C26" s="2">
        <v>0.23</v>
      </c>
      <c r="D26" s="2">
        <v>0.17</v>
      </c>
      <c r="E26" s="2">
        <v>0.22</v>
      </c>
      <c r="F26" s="2">
        <v>0.18</v>
      </c>
      <c r="G26" s="2">
        <v>0.24</v>
      </c>
      <c r="H26" s="2">
        <v>0.17</v>
      </c>
      <c r="I26" s="2">
        <v>0.21</v>
      </c>
      <c r="J26" s="2">
        <v>0.17</v>
      </c>
      <c r="K26" s="2">
        <v>0.2</v>
      </c>
      <c r="L26" s="2">
        <v>0.16</v>
      </c>
      <c r="M26" s="2">
        <v>0.2</v>
      </c>
      <c r="N26" s="2">
        <v>0.16</v>
      </c>
      <c r="O26" s="2">
        <v>0.2</v>
      </c>
      <c r="P26" s="2">
        <v>0.16</v>
      </c>
      <c r="Q26" s="2">
        <v>0.17</v>
      </c>
      <c r="R26" s="2">
        <v>0.16</v>
      </c>
      <c r="S26" s="2">
        <v>0.16</v>
      </c>
      <c r="T26" s="2">
        <v>0.16</v>
      </c>
      <c r="U26" s="2">
        <v>0.16</v>
      </c>
      <c r="V26" s="2">
        <v>0.16</v>
      </c>
      <c r="X26" s="1" t="s">
        <v>24</v>
      </c>
      <c r="Y26" s="2">
        <v>1631.36</v>
      </c>
      <c r="Z26" s="2">
        <v>652.79999999999995</v>
      </c>
      <c r="AA26" s="2">
        <v>1633.75</v>
      </c>
      <c r="AB26" s="2">
        <v>718.39</v>
      </c>
      <c r="AC26" s="2">
        <v>1408.29</v>
      </c>
      <c r="AD26" s="2">
        <v>1327.14</v>
      </c>
      <c r="AE26" s="2">
        <v>1630.95</v>
      </c>
      <c r="AF26" s="2">
        <v>1061.78</v>
      </c>
      <c r="AG26" s="2">
        <v>1531.8</v>
      </c>
      <c r="AH26" s="2">
        <v>948</v>
      </c>
      <c r="AI26" s="2">
        <v>1530.81</v>
      </c>
      <c r="AJ26" s="2">
        <v>906.37</v>
      </c>
      <c r="AK26" s="2">
        <v>1525.81</v>
      </c>
      <c r="AL26" s="2">
        <v>907.53</v>
      </c>
      <c r="AM26" s="2">
        <v>1158.6500000000001</v>
      </c>
      <c r="AN26" s="2">
        <v>872.13</v>
      </c>
      <c r="AO26" s="2">
        <v>880.95</v>
      </c>
      <c r="AP26" s="2">
        <v>784.55</v>
      </c>
      <c r="AQ26" s="2">
        <v>791.05</v>
      </c>
      <c r="AR26" s="2">
        <v>740.11</v>
      </c>
      <c r="AU26" s="1" t="s">
        <v>24</v>
      </c>
      <c r="AV26" s="2">
        <v>6928.33</v>
      </c>
      <c r="AW26" s="2">
        <v>4276.26</v>
      </c>
      <c r="AX26" s="2">
        <v>6485.63</v>
      </c>
      <c r="AY26" s="2">
        <v>3891.96</v>
      </c>
      <c r="AZ26" s="2">
        <v>5530.39</v>
      </c>
      <c r="BA26" s="2">
        <v>7552.86</v>
      </c>
      <c r="BB26" s="2">
        <v>7249.05</v>
      </c>
      <c r="BC26" s="2">
        <v>6259.19</v>
      </c>
      <c r="BD26" s="2">
        <v>7348.2</v>
      </c>
      <c r="BE26" s="2">
        <v>5982.96</v>
      </c>
      <c r="BF26" s="2">
        <v>7349.19</v>
      </c>
      <c r="BG26" s="2">
        <v>5843.02</v>
      </c>
      <c r="BH26" s="2">
        <v>7354.19</v>
      </c>
      <c r="BI26" s="2">
        <v>5881.3</v>
      </c>
      <c r="BJ26" s="2">
        <v>6974.39</v>
      </c>
      <c r="BK26" s="2">
        <v>5581.64</v>
      </c>
      <c r="BL26" s="2">
        <v>5553.48</v>
      </c>
      <c r="BM26" s="2">
        <v>5237.16</v>
      </c>
      <c r="BN26" s="2">
        <v>5160.1099999999997</v>
      </c>
      <c r="BO26" s="2">
        <v>4906.6000000000004</v>
      </c>
      <c r="BR26" s="1" t="s">
        <v>24</v>
      </c>
      <c r="BS26" s="2">
        <v>8559.69</v>
      </c>
      <c r="BT26" s="2">
        <v>4929.0600000000004</v>
      </c>
      <c r="BU26" s="2">
        <v>8119.38</v>
      </c>
      <c r="BV26" s="2">
        <v>4610.3500000000004</v>
      </c>
      <c r="BW26" s="2">
        <v>6938.68</v>
      </c>
      <c r="BX26" s="2">
        <v>8880</v>
      </c>
      <c r="BY26" s="2">
        <v>8880</v>
      </c>
      <c r="BZ26" s="2">
        <v>7320.97</v>
      </c>
      <c r="CA26" s="2">
        <v>8880</v>
      </c>
      <c r="CB26" s="2">
        <v>6930.96</v>
      </c>
      <c r="CC26" s="2">
        <v>8880</v>
      </c>
      <c r="CD26" s="2">
        <v>6749.39</v>
      </c>
      <c r="CE26" s="2">
        <v>8880</v>
      </c>
      <c r="CF26" s="2">
        <v>6788.83</v>
      </c>
      <c r="CG26" s="2">
        <v>8133.05</v>
      </c>
      <c r="CH26" s="2">
        <v>6453.77</v>
      </c>
      <c r="CI26" s="2">
        <v>6434.42</v>
      </c>
      <c r="CJ26" s="2">
        <v>6021.7</v>
      </c>
      <c r="CK26" s="2">
        <v>5951.16</v>
      </c>
      <c r="CL26" s="2">
        <v>5646.71</v>
      </c>
    </row>
    <row r="27" spans="2:90" x14ac:dyDescent="0.3">
      <c r="B27" s="1" t="s">
        <v>25</v>
      </c>
      <c r="C27" s="2">
        <v>0.22</v>
      </c>
      <c r="D27" s="2">
        <v>0.19</v>
      </c>
      <c r="E27" s="2">
        <v>0.2</v>
      </c>
      <c r="F27" s="2">
        <v>0.18</v>
      </c>
      <c r="G27" s="2">
        <v>0.23</v>
      </c>
      <c r="H27" s="2">
        <v>0.22</v>
      </c>
      <c r="I27" s="2">
        <v>0.18</v>
      </c>
      <c r="J27" s="2">
        <v>0.2</v>
      </c>
      <c r="K27" s="2">
        <v>0.16</v>
      </c>
      <c r="L27" s="2">
        <v>0.17</v>
      </c>
      <c r="M27" s="2">
        <v>0.16</v>
      </c>
      <c r="N27" s="2">
        <v>0.16</v>
      </c>
      <c r="O27" s="2">
        <v>0.16</v>
      </c>
      <c r="P27" s="2">
        <v>0.16</v>
      </c>
      <c r="Q27" s="2">
        <v>0.16</v>
      </c>
      <c r="R27" s="2">
        <v>0.16</v>
      </c>
      <c r="S27" s="2">
        <v>0.17</v>
      </c>
      <c r="T27" s="2">
        <v>0.17</v>
      </c>
      <c r="U27" s="2">
        <v>0.17</v>
      </c>
      <c r="V27" s="2">
        <v>0.16</v>
      </c>
      <c r="X27" s="1" t="s">
        <v>25</v>
      </c>
      <c r="Y27" s="2">
        <v>5565.21</v>
      </c>
      <c r="Z27" s="2">
        <v>5942.99</v>
      </c>
      <c r="AA27" s="2">
        <v>7146.39</v>
      </c>
      <c r="AB27" s="2">
        <v>6365.87</v>
      </c>
      <c r="AC27" s="2">
        <v>5518.85</v>
      </c>
      <c r="AD27" s="2">
        <v>6063.78</v>
      </c>
      <c r="AE27" s="2">
        <v>5494.23</v>
      </c>
      <c r="AF27" s="2">
        <v>6192.1</v>
      </c>
      <c r="AG27" s="2">
        <v>5710.56</v>
      </c>
      <c r="AH27" s="2">
        <v>6135.71</v>
      </c>
      <c r="AI27" s="2">
        <v>5328.27</v>
      </c>
      <c r="AJ27" s="2">
        <v>5369.46</v>
      </c>
      <c r="AK27" s="2">
        <v>5041.84</v>
      </c>
      <c r="AL27" s="2">
        <v>5276.01</v>
      </c>
      <c r="AM27" s="2">
        <v>4734.54</v>
      </c>
      <c r="AN27" s="2">
        <v>4595.13</v>
      </c>
      <c r="AO27" s="2">
        <v>4379.4799999999996</v>
      </c>
      <c r="AP27" s="2">
        <v>4277.42</v>
      </c>
      <c r="AQ27" s="2">
        <v>4173.57</v>
      </c>
      <c r="AR27" s="2">
        <v>4657.92</v>
      </c>
      <c r="AU27" s="1" t="s">
        <v>25</v>
      </c>
      <c r="AV27" s="2">
        <v>23548.799999999999</v>
      </c>
      <c r="AW27" s="2">
        <v>31101.51</v>
      </c>
      <c r="AX27" s="2">
        <v>30445.45</v>
      </c>
      <c r="AY27" s="2">
        <v>32780.300000000003</v>
      </c>
      <c r="AZ27" s="2">
        <v>22384.26</v>
      </c>
      <c r="BA27" s="2">
        <v>25048.639999999999</v>
      </c>
      <c r="BB27" s="2">
        <v>29951.22</v>
      </c>
      <c r="BC27" s="2">
        <v>30280.9</v>
      </c>
      <c r="BD27" s="2">
        <v>33995</v>
      </c>
      <c r="BE27" s="2">
        <v>34312.79</v>
      </c>
      <c r="BF27" s="2">
        <v>32086.95</v>
      </c>
      <c r="BG27" s="2">
        <v>32339.37</v>
      </c>
      <c r="BH27" s="2">
        <v>30400.86</v>
      </c>
      <c r="BI27" s="2">
        <v>31678.99</v>
      </c>
      <c r="BJ27" s="2">
        <v>28892.83</v>
      </c>
      <c r="BK27" s="2">
        <v>27806.02</v>
      </c>
      <c r="BL27" s="2">
        <v>26929.02</v>
      </c>
      <c r="BM27" s="2">
        <v>26078.880000000001</v>
      </c>
      <c r="BN27" s="2">
        <v>26214.080000000002</v>
      </c>
      <c r="BO27" s="2">
        <v>29170.63</v>
      </c>
      <c r="BR27" s="1" t="s">
        <v>25</v>
      </c>
      <c r="BS27" s="2">
        <v>29114.01</v>
      </c>
      <c r="BT27" s="2">
        <v>37044.5</v>
      </c>
      <c r="BU27" s="2">
        <v>37591.839999999997</v>
      </c>
      <c r="BV27" s="2">
        <v>39146.17</v>
      </c>
      <c r="BW27" s="2">
        <v>27903.11</v>
      </c>
      <c r="BX27" s="2">
        <v>31112.41</v>
      </c>
      <c r="BY27" s="2">
        <v>35445.449999999997</v>
      </c>
      <c r="BZ27" s="2">
        <v>36473</v>
      </c>
      <c r="CA27" s="2">
        <v>39705.56</v>
      </c>
      <c r="CB27" s="2">
        <v>40448.5</v>
      </c>
      <c r="CC27" s="2">
        <v>37415.22</v>
      </c>
      <c r="CD27" s="2">
        <v>37708.82</v>
      </c>
      <c r="CE27" s="2">
        <v>35442.699999999997</v>
      </c>
      <c r="CF27" s="2">
        <v>36955</v>
      </c>
      <c r="CG27" s="2">
        <v>33627.370000000003</v>
      </c>
      <c r="CH27" s="2">
        <v>32401.14</v>
      </c>
      <c r="CI27" s="2">
        <v>31308.5</v>
      </c>
      <c r="CJ27" s="2">
        <v>30356.3</v>
      </c>
      <c r="CK27" s="2">
        <v>30387.65</v>
      </c>
      <c r="CL27" s="2">
        <v>33828.550000000003</v>
      </c>
    </row>
    <row r="28" spans="2:90" x14ac:dyDescent="0.3">
      <c r="B28" s="1" t="s">
        <v>26</v>
      </c>
      <c r="C28" s="2">
        <v>0.25</v>
      </c>
      <c r="D28" s="2">
        <v>0.2</v>
      </c>
      <c r="E28" s="2">
        <v>0.21</v>
      </c>
      <c r="F28" s="2">
        <v>0.21</v>
      </c>
      <c r="G28" s="2">
        <v>0.26</v>
      </c>
      <c r="H28" s="2">
        <v>0.25</v>
      </c>
      <c r="I28" s="2">
        <v>0.21</v>
      </c>
      <c r="J28" s="2">
        <v>0.24</v>
      </c>
      <c r="K28" s="2">
        <v>0.2</v>
      </c>
      <c r="L28" s="2">
        <v>0.2</v>
      </c>
      <c r="M28" s="2">
        <v>0.2</v>
      </c>
      <c r="N28" s="2">
        <v>0.19</v>
      </c>
      <c r="O28" s="2">
        <v>0.2</v>
      </c>
      <c r="P28" s="2">
        <v>0.19</v>
      </c>
      <c r="Q28" s="2">
        <v>0.2</v>
      </c>
      <c r="R28" s="2">
        <v>0.19</v>
      </c>
      <c r="S28" s="2">
        <v>0.2</v>
      </c>
      <c r="T28" s="2">
        <v>0.19</v>
      </c>
      <c r="U28" s="2">
        <v>0.2</v>
      </c>
      <c r="V28" s="2">
        <v>0.2</v>
      </c>
      <c r="X28" s="1" t="s">
        <v>26</v>
      </c>
      <c r="Y28" s="2">
        <v>1447.76</v>
      </c>
      <c r="Z28" s="2">
        <v>1213.7</v>
      </c>
      <c r="AA28" s="2">
        <v>1721.77</v>
      </c>
      <c r="AB28" s="2">
        <v>1757.53</v>
      </c>
      <c r="AC28" s="2">
        <v>1282.33</v>
      </c>
      <c r="AD28" s="2">
        <v>1426.53</v>
      </c>
      <c r="AE28" s="2">
        <v>1276.24</v>
      </c>
      <c r="AF28" s="2">
        <v>1187.8599999999999</v>
      </c>
      <c r="AG28" s="2">
        <v>1194.43</v>
      </c>
      <c r="AH28" s="2">
        <v>1500.62</v>
      </c>
      <c r="AI28" s="2">
        <v>1253.0999999999999</v>
      </c>
      <c r="AJ28" s="2">
        <v>1507.52</v>
      </c>
      <c r="AK28" s="2">
        <v>1250.2</v>
      </c>
      <c r="AL28" s="2">
        <v>1484.86</v>
      </c>
      <c r="AM28" s="2">
        <v>1223.6300000000001</v>
      </c>
      <c r="AN28" s="2">
        <v>1443.92</v>
      </c>
      <c r="AO28" s="2">
        <v>1165.94</v>
      </c>
      <c r="AP28" s="2">
        <v>1408.42</v>
      </c>
      <c r="AQ28" s="2">
        <v>1061.47</v>
      </c>
      <c r="AR28" s="2">
        <v>1044.48</v>
      </c>
      <c r="AU28" s="1" t="s">
        <v>26</v>
      </c>
      <c r="AV28" s="2">
        <v>5459.05</v>
      </c>
      <c r="AW28" s="2">
        <v>5825.05</v>
      </c>
      <c r="AX28" s="2">
        <v>7158.23</v>
      </c>
      <c r="AY28" s="2">
        <v>7122.47</v>
      </c>
      <c r="AZ28" s="2">
        <v>4494.41</v>
      </c>
      <c r="BA28" s="2">
        <v>5129.45</v>
      </c>
      <c r="BB28" s="2">
        <v>5347.23</v>
      </c>
      <c r="BC28" s="2">
        <v>4382.0600000000004</v>
      </c>
      <c r="BD28" s="2">
        <v>5457.33</v>
      </c>
      <c r="BE28" s="2">
        <v>7158.38</v>
      </c>
      <c r="BF28" s="2">
        <v>5896.31</v>
      </c>
      <c r="BG28" s="2">
        <v>7372.48</v>
      </c>
      <c r="BH28" s="2">
        <v>5846.78</v>
      </c>
      <c r="BI28" s="2">
        <v>6987.25</v>
      </c>
      <c r="BJ28" s="2">
        <v>5813.24</v>
      </c>
      <c r="BK28" s="2">
        <v>6994.75</v>
      </c>
      <c r="BL28" s="2">
        <v>5599.5</v>
      </c>
      <c r="BM28" s="2">
        <v>6586.24</v>
      </c>
      <c r="BN28" s="2">
        <v>5205.57</v>
      </c>
      <c r="BO28" s="2">
        <v>4815.84</v>
      </c>
      <c r="BR28" s="1" t="s">
        <v>26</v>
      </c>
      <c r="BS28" s="2">
        <v>6906.81</v>
      </c>
      <c r="BT28" s="2">
        <v>7038.75</v>
      </c>
      <c r="BU28" s="2">
        <v>8880</v>
      </c>
      <c r="BV28" s="2">
        <v>8880</v>
      </c>
      <c r="BW28" s="2">
        <v>5776.74</v>
      </c>
      <c r="BX28" s="2">
        <v>6555.98</v>
      </c>
      <c r="BY28" s="2">
        <v>6623.47</v>
      </c>
      <c r="BZ28" s="2">
        <v>5569.92</v>
      </c>
      <c r="CA28" s="2">
        <v>6651.77</v>
      </c>
      <c r="CB28" s="2">
        <v>8659</v>
      </c>
      <c r="CC28" s="2">
        <v>7149.41</v>
      </c>
      <c r="CD28" s="2">
        <v>8880</v>
      </c>
      <c r="CE28" s="2">
        <v>7096.99</v>
      </c>
      <c r="CF28" s="2">
        <v>8472.11</v>
      </c>
      <c r="CG28" s="2">
        <v>7036.87</v>
      </c>
      <c r="CH28" s="2">
        <v>8438.66</v>
      </c>
      <c r="CI28" s="2">
        <v>6765.44</v>
      </c>
      <c r="CJ28" s="2">
        <v>7994.66</v>
      </c>
      <c r="CK28" s="2">
        <v>6267.04</v>
      </c>
      <c r="CL28" s="2">
        <v>5860.32</v>
      </c>
    </row>
    <row r="29" spans="2:90" x14ac:dyDescent="0.3">
      <c r="B29" s="1" t="s">
        <v>27</v>
      </c>
      <c r="C29" s="2">
        <v>0.24</v>
      </c>
      <c r="D29" s="2">
        <v>0.23</v>
      </c>
      <c r="E29" s="2">
        <v>0.21</v>
      </c>
      <c r="F29" s="2">
        <v>0.21</v>
      </c>
      <c r="G29" s="2">
        <v>0.28000000000000003</v>
      </c>
      <c r="H29" s="2">
        <v>0.24</v>
      </c>
      <c r="I29" s="2">
        <v>0.21</v>
      </c>
      <c r="J29" s="2">
        <v>0.32</v>
      </c>
      <c r="K29" s="2">
        <v>0.2</v>
      </c>
      <c r="L29" s="2">
        <v>0.21</v>
      </c>
      <c r="M29" s="2">
        <v>0.19</v>
      </c>
      <c r="N29" s="2">
        <v>0.27</v>
      </c>
      <c r="O29" s="2">
        <v>0.2</v>
      </c>
      <c r="P29" s="2">
        <v>0.26</v>
      </c>
      <c r="Q29" s="2">
        <v>0.2</v>
      </c>
      <c r="R29" s="2">
        <v>0.19</v>
      </c>
      <c r="S29" s="2">
        <v>0.2</v>
      </c>
      <c r="T29" s="2">
        <v>0.2</v>
      </c>
      <c r="U29" s="2">
        <v>0.2</v>
      </c>
      <c r="V29" s="2">
        <v>0.2</v>
      </c>
      <c r="X29" s="1" t="s">
        <v>27</v>
      </c>
      <c r="Y29" s="2">
        <v>5386.07</v>
      </c>
      <c r="Z29" s="2">
        <v>5626.81</v>
      </c>
      <c r="AA29" s="2">
        <v>4848.4799999999996</v>
      </c>
      <c r="AB29" s="2">
        <v>5866.21</v>
      </c>
      <c r="AC29" s="2">
        <v>4541.3</v>
      </c>
      <c r="AD29" s="2">
        <v>5419.18</v>
      </c>
      <c r="AE29" s="2">
        <v>4199.26</v>
      </c>
      <c r="AF29" s="2">
        <v>5943.29</v>
      </c>
      <c r="AG29" s="2">
        <v>3795.08</v>
      </c>
      <c r="AH29" s="2">
        <v>5539.34</v>
      </c>
      <c r="AI29" s="2">
        <v>3833.6</v>
      </c>
      <c r="AJ29" s="2">
        <v>7325.94</v>
      </c>
      <c r="AK29" s="2">
        <v>3859.47</v>
      </c>
      <c r="AL29" s="2">
        <v>6540.79</v>
      </c>
      <c r="AM29" s="2">
        <v>3995.36</v>
      </c>
      <c r="AN29" s="2">
        <v>4172.88</v>
      </c>
      <c r="AO29" s="2">
        <v>3491.21</v>
      </c>
      <c r="AP29" s="2">
        <v>3607.13</v>
      </c>
      <c r="AQ29" s="2">
        <v>3243.22</v>
      </c>
      <c r="AR29" s="2">
        <v>3227.1</v>
      </c>
      <c r="AU29" s="1" t="s">
        <v>27</v>
      </c>
      <c r="AV29" s="2">
        <v>20916.89</v>
      </c>
      <c r="AW29" s="2">
        <v>22266.5</v>
      </c>
      <c r="AX29" s="2">
        <v>20202.21</v>
      </c>
      <c r="AY29" s="2">
        <v>24009.46</v>
      </c>
      <c r="AZ29" s="2">
        <v>13765.51</v>
      </c>
      <c r="BA29" s="2">
        <v>20532.21</v>
      </c>
      <c r="BB29" s="2">
        <v>18216.77</v>
      </c>
      <c r="BC29" s="2">
        <v>15313.05</v>
      </c>
      <c r="BD29" s="2">
        <v>17840.12</v>
      </c>
      <c r="BE29" s="2">
        <v>24940.66</v>
      </c>
      <c r="BF29" s="2">
        <v>18641.53</v>
      </c>
      <c r="BG29" s="2">
        <v>23154.06</v>
      </c>
      <c r="BH29" s="2">
        <v>18660.560000000001</v>
      </c>
      <c r="BI29" s="2">
        <v>22395.26</v>
      </c>
      <c r="BJ29" s="2">
        <v>19523.25</v>
      </c>
      <c r="BK29" s="2">
        <v>21103.200000000001</v>
      </c>
      <c r="BL29" s="2">
        <v>17296.849999999999</v>
      </c>
      <c r="BM29" s="2">
        <v>17614.93</v>
      </c>
      <c r="BN29" s="2">
        <v>16251.2</v>
      </c>
      <c r="BO29" s="2">
        <v>15945.49</v>
      </c>
      <c r="BR29" s="1" t="s">
        <v>27</v>
      </c>
      <c r="BS29" s="2">
        <v>26302.959999999999</v>
      </c>
      <c r="BT29" s="2">
        <v>27893.31</v>
      </c>
      <c r="BU29" s="2">
        <v>25050.69</v>
      </c>
      <c r="BV29" s="2">
        <v>29875.67</v>
      </c>
      <c r="BW29" s="2">
        <v>18306.810000000001</v>
      </c>
      <c r="BX29" s="2">
        <v>25951.39</v>
      </c>
      <c r="BY29" s="2">
        <v>22416.03</v>
      </c>
      <c r="BZ29" s="2">
        <v>21256.35</v>
      </c>
      <c r="CA29" s="2">
        <v>21635.200000000001</v>
      </c>
      <c r="CB29" s="2">
        <v>30480</v>
      </c>
      <c r="CC29" s="2">
        <v>22475.13</v>
      </c>
      <c r="CD29" s="2">
        <v>30480</v>
      </c>
      <c r="CE29" s="2">
        <v>22520.02</v>
      </c>
      <c r="CF29" s="2">
        <v>28936.05</v>
      </c>
      <c r="CG29" s="2">
        <v>23518.62</v>
      </c>
      <c r="CH29" s="2">
        <v>25276.080000000002</v>
      </c>
      <c r="CI29" s="2">
        <v>20788.05</v>
      </c>
      <c r="CJ29" s="2">
        <v>21222.05</v>
      </c>
      <c r="CK29" s="2">
        <v>19494.419999999998</v>
      </c>
      <c r="CL29" s="2">
        <v>19172.59</v>
      </c>
    </row>
    <row r="30" spans="2:90" x14ac:dyDescent="0.3">
      <c r="B30" s="1" t="s">
        <v>28</v>
      </c>
      <c r="C30" s="2">
        <v>0.2</v>
      </c>
      <c r="D30" s="2">
        <v>0.2</v>
      </c>
      <c r="E30" s="2">
        <v>0.22</v>
      </c>
      <c r="F30" s="2">
        <v>0.22</v>
      </c>
      <c r="G30" s="2">
        <v>0.05</v>
      </c>
      <c r="H30" s="2">
        <v>0.22</v>
      </c>
      <c r="I30" s="2">
        <v>0.09</v>
      </c>
      <c r="J30" s="2">
        <v>0.22</v>
      </c>
      <c r="K30" s="2">
        <v>0.2</v>
      </c>
      <c r="L30" s="2">
        <v>0.2</v>
      </c>
      <c r="M30" s="2">
        <v>0.2</v>
      </c>
      <c r="N30" s="2">
        <v>0.2</v>
      </c>
      <c r="O30" s="2">
        <v>0.2</v>
      </c>
      <c r="P30" s="2">
        <v>0.2</v>
      </c>
      <c r="Q30" s="2">
        <v>0.2</v>
      </c>
      <c r="R30" s="2">
        <v>0.2</v>
      </c>
      <c r="S30" s="2">
        <v>0.2</v>
      </c>
      <c r="T30" s="2">
        <v>0.2</v>
      </c>
      <c r="U30" s="2">
        <v>0.2</v>
      </c>
      <c r="V30" s="2">
        <v>0.2</v>
      </c>
      <c r="X30" s="1" t="s">
        <v>28</v>
      </c>
      <c r="Y30" s="2">
        <v>2323.25</v>
      </c>
      <c r="Z30" s="2">
        <v>2934.3</v>
      </c>
      <c r="AA30" s="2">
        <v>2296.5</v>
      </c>
      <c r="AB30" s="2">
        <v>2449.87</v>
      </c>
      <c r="AC30" s="2">
        <v>430.28</v>
      </c>
      <c r="AD30" s="2">
        <v>2554.08</v>
      </c>
      <c r="AE30" s="2">
        <v>762.63</v>
      </c>
      <c r="AF30" s="2">
        <v>2702.41</v>
      </c>
      <c r="AG30" s="2">
        <v>1915.84</v>
      </c>
      <c r="AH30" s="2">
        <v>2591.59</v>
      </c>
      <c r="AI30" s="2">
        <v>1873.89</v>
      </c>
      <c r="AJ30" s="2">
        <v>2657.59</v>
      </c>
      <c r="AK30" s="2">
        <v>1855.08</v>
      </c>
      <c r="AL30" s="2">
        <v>2508.25</v>
      </c>
      <c r="AM30" s="2">
        <v>1772</v>
      </c>
      <c r="AN30" s="2">
        <v>1958.96</v>
      </c>
      <c r="AO30" s="2">
        <v>1667.33</v>
      </c>
      <c r="AP30" s="2">
        <v>1694.35</v>
      </c>
      <c r="AQ30" s="2">
        <v>1728.49</v>
      </c>
      <c r="AR30" s="2">
        <v>1777.77</v>
      </c>
      <c r="AU30" s="1" t="s">
        <v>28</v>
      </c>
      <c r="AV30" s="2">
        <v>11668.75</v>
      </c>
      <c r="AW30" s="2">
        <v>14199.3</v>
      </c>
      <c r="AX30" s="2">
        <v>9360</v>
      </c>
      <c r="AY30" s="2">
        <v>9975.27</v>
      </c>
      <c r="AZ30" s="2">
        <v>8423.24</v>
      </c>
      <c r="BA30" s="2">
        <v>11098.56</v>
      </c>
      <c r="BB30" s="2">
        <v>9360</v>
      </c>
      <c r="BC30" s="2">
        <v>11910.45</v>
      </c>
      <c r="BD30" s="2">
        <v>9849.26</v>
      </c>
      <c r="BE30" s="2">
        <v>12275.53</v>
      </c>
      <c r="BF30" s="2">
        <v>9612.51</v>
      </c>
      <c r="BG30" s="2">
        <v>12679.96</v>
      </c>
      <c r="BH30" s="2">
        <v>9619.6200000000008</v>
      </c>
      <c r="BI30" s="2">
        <v>12191.15</v>
      </c>
      <c r="BJ30" s="2">
        <v>9178.9</v>
      </c>
      <c r="BK30" s="2">
        <v>9866.14</v>
      </c>
      <c r="BL30" s="2">
        <v>8614.27</v>
      </c>
      <c r="BM30" s="2">
        <v>8779.85</v>
      </c>
      <c r="BN30" s="2">
        <v>9034.01</v>
      </c>
      <c r="BO30" s="2">
        <v>9559.23</v>
      </c>
      <c r="BR30" s="1" t="s">
        <v>28</v>
      </c>
      <c r="BS30" s="2">
        <v>13992</v>
      </c>
      <c r="BT30" s="2">
        <v>17133.599999999999</v>
      </c>
      <c r="BU30" s="2">
        <v>11656.5</v>
      </c>
      <c r="BV30" s="2">
        <v>12425.14</v>
      </c>
      <c r="BW30" s="2">
        <v>8853.5300000000007</v>
      </c>
      <c r="BX30" s="2">
        <v>13652.64</v>
      </c>
      <c r="BY30" s="2">
        <v>10122.629999999999</v>
      </c>
      <c r="BZ30" s="2">
        <v>14612.86</v>
      </c>
      <c r="CA30" s="2">
        <v>11765.1</v>
      </c>
      <c r="CB30" s="2">
        <v>14867.13</v>
      </c>
      <c r="CC30" s="2">
        <v>11486.4</v>
      </c>
      <c r="CD30" s="2">
        <v>15337.55</v>
      </c>
      <c r="CE30" s="2">
        <v>11474.7</v>
      </c>
      <c r="CF30" s="2">
        <v>14699.4</v>
      </c>
      <c r="CG30" s="2">
        <v>10950.9</v>
      </c>
      <c r="CH30" s="2">
        <v>11825.1</v>
      </c>
      <c r="CI30" s="2">
        <v>10281.6</v>
      </c>
      <c r="CJ30" s="2">
        <v>10474.200000000001</v>
      </c>
      <c r="CK30" s="2">
        <v>10762.5</v>
      </c>
      <c r="CL30" s="2">
        <v>11337</v>
      </c>
    </row>
    <row r="33" spans="2:90" x14ac:dyDescent="0.3">
      <c r="B33" t="s">
        <v>33</v>
      </c>
      <c r="X33" t="s">
        <v>34</v>
      </c>
      <c r="AU33" t="s">
        <v>35</v>
      </c>
      <c r="BR33" t="s">
        <v>36</v>
      </c>
    </row>
    <row r="34" spans="2:90" x14ac:dyDescent="0.3">
      <c r="B34" s="1" t="s">
        <v>16</v>
      </c>
      <c r="C34" s="1" t="s">
        <v>17</v>
      </c>
      <c r="D34" s="1" t="s">
        <v>18</v>
      </c>
      <c r="E34" s="1" t="s">
        <v>17</v>
      </c>
      <c r="F34" s="1" t="s">
        <v>18</v>
      </c>
      <c r="G34" s="1" t="s">
        <v>17</v>
      </c>
      <c r="H34" s="1" t="s">
        <v>18</v>
      </c>
      <c r="I34" s="1" t="s">
        <v>17</v>
      </c>
      <c r="J34" s="1" t="s">
        <v>18</v>
      </c>
      <c r="K34" s="1" t="s">
        <v>17</v>
      </c>
      <c r="L34" s="1" t="s">
        <v>18</v>
      </c>
      <c r="M34" s="1" t="s">
        <v>17</v>
      </c>
      <c r="N34" s="1" t="s">
        <v>18</v>
      </c>
      <c r="O34" s="1" t="s">
        <v>17</v>
      </c>
      <c r="P34" s="1" t="s">
        <v>18</v>
      </c>
      <c r="Q34" s="1" t="s">
        <v>17</v>
      </c>
      <c r="R34" s="1" t="s">
        <v>18</v>
      </c>
      <c r="S34" s="1" t="s">
        <v>17</v>
      </c>
      <c r="T34" s="1" t="s">
        <v>18</v>
      </c>
      <c r="U34" s="1" t="s">
        <v>17</v>
      </c>
      <c r="V34" s="1" t="s">
        <v>18</v>
      </c>
      <c r="X34" s="1" t="s">
        <v>16</v>
      </c>
      <c r="Y34" s="1" t="s">
        <v>17</v>
      </c>
      <c r="Z34" s="1" t="s">
        <v>18</v>
      </c>
      <c r="AA34" s="1" t="s">
        <v>17</v>
      </c>
      <c r="AB34" s="1" t="s">
        <v>18</v>
      </c>
      <c r="AC34" s="1" t="s">
        <v>17</v>
      </c>
      <c r="AD34" s="1" t="s">
        <v>18</v>
      </c>
      <c r="AE34" s="1" t="s">
        <v>17</v>
      </c>
      <c r="AF34" s="1" t="s">
        <v>18</v>
      </c>
      <c r="AG34" s="1" t="s">
        <v>17</v>
      </c>
      <c r="AH34" s="1" t="s">
        <v>18</v>
      </c>
      <c r="AI34" s="1" t="s">
        <v>17</v>
      </c>
      <c r="AJ34" s="1" t="s">
        <v>18</v>
      </c>
      <c r="AK34" s="1" t="s">
        <v>17</v>
      </c>
      <c r="AL34" s="1" t="s">
        <v>18</v>
      </c>
      <c r="AM34" s="1" t="s">
        <v>17</v>
      </c>
      <c r="AN34" s="1" t="s">
        <v>18</v>
      </c>
      <c r="AO34" s="1" t="s">
        <v>17</v>
      </c>
      <c r="AP34" s="1" t="s">
        <v>18</v>
      </c>
      <c r="AQ34" s="1" t="s">
        <v>17</v>
      </c>
      <c r="AR34" s="1" t="s">
        <v>18</v>
      </c>
      <c r="AU34" s="1" t="s">
        <v>16</v>
      </c>
      <c r="AV34" s="1" t="s">
        <v>17</v>
      </c>
      <c r="AW34" s="1" t="s">
        <v>18</v>
      </c>
      <c r="AX34" s="1" t="s">
        <v>17</v>
      </c>
      <c r="AY34" s="1" t="s">
        <v>18</v>
      </c>
      <c r="AZ34" s="1" t="s">
        <v>17</v>
      </c>
      <c r="BA34" s="1" t="s">
        <v>18</v>
      </c>
      <c r="BB34" s="1" t="s">
        <v>17</v>
      </c>
      <c r="BC34" s="1" t="s">
        <v>18</v>
      </c>
      <c r="BD34" s="1" t="s">
        <v>17</v>
      </c>
      <c r="BE34" s="1" t="s">
        <v>18</v>
      </c>
      <c r="BF34" s="1" t="s">
        <v>17</v>
      </c>
      <c r="BG34" s="1" t="s">
        <v>18</v>
      </c>
      <c r="BH34" s="1" t="s">
        <v>17</v>
      </c>
      <c r="BI34" s="1" t="s">
        <v>18</v>
      </c>
      <c r="BJ34" s="1" t="s">
        <v>17</v>
      </c>
      <c r="BK34" s="1" t="s">
        <v>18</v>
      </c>
      <c r="BL34" s="1" t="s">
        <v>17</v>
      </c>
      <c r="BM34" s="1" t="s">
        <v>18</v>
      </c>
      <c r="BN34" s="1" t="s">
        <v>17</v>
      </c>
      <c r="BO34" s="1" t="s">
        <v>18</v>
      </c>
      <c r="BR34" s="1" t="s">
        <v>16</v>
      </c>
      <c r="BS34" s="1" t="s">
        <v>17</v>
      </c>
      <c r="BT34" s="1" t="s">
        <v>18</v>
      </c>
      <c r="BU34" s="1" t="s">
        <v>17</v>
      </c>
      <c r="BV34" s="1" t="s">
        <v>18</v>
      </c>
      <c r="BW34" s="1" t="s">
        <v>17</v>
      </c>
      <c r="BX34" s="1" t="s">
        <v>18</v>
      </c>
      <c r="BY34" s="1" t="s">
        <v>17</v>
      </c>
      <c r="BZ34" s="1" t="s">
        <v>18</v>
      </c>
      <c r="CA34" s="1" t="s">
        <v>17</v>
      </c>
      <c r="CB34" s="1" t="s">
        <v>18</v>
      </c>
      <c r="CC34" s="1" t="s">
        <v>17</v>
      </c>
      <c r="CD34" s="1" t="s">
        <v>18</v>
      </c>
      <c r="CE34" s="1" t="s">
        <v>17</v>
      </c>
      <c r="CF34" s="1" t="s">
        <v>18</v>
      </c>
      <c r="CG34" s="1" t="s">
        <v>17</v>
      </c>
      <c r="CH34" s="1" t="s">
        <v>18</v>
      </c>
      <c r="CI34" s="1" t="s">
        <v>17</v>
      </c>
      <c r="CJ34" s="1" t="s">
        <v>18</v>
      </c>
      <c r="CK34" s="1" t="s">
        <v>17</v>
      </c>
      <c r="CL34" s="1" t="s">
        <v>18</v>
      </c>
    </row>
    <row r="35" spans="2:90" x14ac:dyDescent="0.3">
      <c r="B35" s="1" t="s">
        <v>19</v>
      </c>
      <c r="C35" s="1" t="s">
        <v>1</v>
      </c>
      <c r="D35" s="1" t="s">
        <v>1</v>
      </c>
      <c r="E35" s="1" t="s">
        <v>2</v>
      </c>
      <c r="F35" s="1" t="s">
        <v>2</v>
      </c>
      <c r="G35" s="1" t="s">
        <v>3</v>
      </c>
      <c r="H35" s="1" t="s">
        <v>3</v>
      </c>
      <c r="I35" s="1" t="s">
        <v>4</v>
      </c>
      <c r="J35" s="1" t="s">
        <v>4</v>
      </c>
      <c r="K35" s="1" t="s">
        <v>5</v>
      </c>
      <c r="L35" s="1" t="s">
        <v>5</v>
      </c>
      <c r="M35" s="1" t="s">
        <v>6</v>
      </c>
      <c r="N35" s="1" t="s">
        <v>6</v>
      </c>
      <c r="O35" s="1" t="s">
        <v>7</v>
      </c>
      <c r="P35" s="1" t="s">
        <v>7</v>
      </c>
      <c r="Q35" s="1" t="s">
        <v>8</v>
      </c>
      <c r="R35" s="1" t="s">
        <v>8</v>
      </c>
      <c r="S35" s="1" t="s">
        <v>9</v>
      </c>
      <c r="T35" s="1" t="s">
        <v>9</v>
      </c>
      <c r="U35" s="1" t="s">
        <v>10</v>
      </c>
      <c r="V35" s="1" t="s">
        <v>10</v>
      </c>
      <c r="X35" s="1" t="s">
        <v>19</v>
      </c>
      <c r="Y35" s="1" t="s">
        <v>1</v>
      </c>
      <c r="Z35" s="1" t="s">
        <v>1</v>
      </c>
      <c r="AA35" s="1" t="s">
        <v>2</v>
      </c>
      <c r="AB35" s="1" t="s">
        <v>2</v>
      </c>
      <c r="AC35" s="1" t="s">
        <v>3</v>
      </c>
      <c r="AD35" s="1" t="s">
        <v>3</v>
      </c>
      <c r="AE35" s="1" t="s">
        <v>4</v>
      </c>
      <c r="AF35" s="1" t="s">
        <v>4</v>
      </c>
      <c r="AG35" s="1" t="s">
        <v>5</v>
      </c>
      <c r="AH35" s="1" t="s">
        <v>5</v>
      </c>
      <c r="AI35" s="1" t="s">
        <v>6</v>
      </c>
      <c r="AJ35" s="1" t="s">
        <v>6</v>
      </c>
      <c r="AK35" s="1" t="s">
        <v>7</v>
      </c>
      <c r="AL35" s="1" t="s">
        <v>7</v>
      </c>
      <c r="AM35" s="1" t="s">
        <v>8</v>
      </c>
      <c r="AN35" s="1" t="s">
        <v>8</v>
      </c>
      <c r="AO35" s="1" t="s">
        <v>9</v>
      </c>
      <c r="AP35" s="1" t="s">
        <v>9</v>
      </c>
      <c r="AQ35" s="1" t="s">
        <v>10</v>
      </c>
      <c r="AR35" s="1" t="s">
        <v>10</v>
      </c>
      <c r="AU35" s="1" t="s">
        <v>19</v>
      </c>
      <c r="AV35" s="1" t="s">
        <v>1</v>
      </c>
      <c r="AW35" s="1" t="s">
        <v>1</v>
      </c>
      <c r="AX35" s="1" t="s">
        <v>2</v>
      </c>
      <c r="AY35" s="1" t="s">
        <v>2</v>
      </c>
      <c r="AZ35" s="1" t="s">
        <v>3</v>
      </c>
      <c r="BA35" s="1" t="s">
        <v>3</v>
      </c>
      <c r="BB35" s="1" t="s">
        <v>4</v>
      </c>
      <c r="BC35" s="1" t="s">
        <v>4</v>
      </c>
      <c r="BD35" s="1" t="s">
        <v>5</v>
      </c>
      <c r="BE35" s="1" t="s">
        <v>5</v>
      </c>
      <c r="BF35" s="1" t="s">
        <v>6</v>
      </c>
      <c r="BG35" s="1" t="s">
        <v>6</v>
      </c>
      <c r="BH35" s="1" t="s">
        <v>7</v>
      </c>
      <c r="BI35" s="1" t="s">
        <v>7</v>
      </c>
      <c r="BJ35" s="1" t="s">
        <v>8</v>
      </c>
      <c r="BK35" s="1" t="s">
        <v>8</v>
      </c>
      <c r="BL35" s="1" t="s">
        <v>9</v>
      </c>
      <c r="BM35" s="1" t="s">
        <v>9</v>
      </c>
      <c r="BN35" s="1" t="s">
        <v>10</v>
      </c>
      <c r="BO35" s="1" t="s">
        <v>10</v>
      </c>
      <c r="BR35" s="1" t="s">
        <v>19</v>
      </c>
      <c r="BS35" s="1" t="s">
        <v>1</v>
      </c>
      <c r="BT35" s="1" t="s">
        <v>1</v>
      </c>
      <c r="BU35" s="1" t="s">
        <v>2</v>
      </c>
      <c r="BV35" s="1" t="s">
        <v>2</v>
      </c>
      <c r="BW35" s="1" t="s">
        <v>3</v>
      </c>
      <c r="BX35" s="1" t="s">
        <v>3</v>
      </c>
      <c r="BY35" s="1" t="s">
        <v>4</v>
      </c>
      <c r="BZ35" s="1" t="s">
        <v>4</v>
      </c>
      <c r="CA35" s="1" t="s">
        <v>5</v>
      </c>
      <c r="CB35" s="1" t="s">
        <v>5</v>
      </c>
      <c r="CC35" s="1" t="s">
        <v>6</v>
      </c>
      <c r="CD35" s="1" t="s">
        <v>6</v>
      </c>
      <c r="CE35" s="1" t="s">
        <v>7</v>
      </c>
      <c r="CF35" s="1" t="s">
        <v>7</v>
      </c>
      <c r="CG35" s="1" t="s">
        <v>8</v>
      </c>
      <c r="CH35" s="1" t="s">
        <v>8</v>
      </c>
      <c r="CI35" s="1" t="s">
        <v>9</v>
      </c>
      <c r="CJ35" s="1" t="s">
        <v>9</v>
      </c>
      <c r="CK35" s="1" t="s">
        <v>10</v>
      </c>
      <c r="CL35" s="1" t="s">
        <v>10</v>
      </c>
    </row>
    <row r="36" spans="2:90" x14ac:dyDescent="0.3">
      <c r="B36" s="1" t="s">
        <v>20</v>
      </c>
      <c r="X36" s="1" t="s">
        <v>20</v>
      </c>
      <c r="AU36" s="1" t="s">
        <v>20</v>
      </c>
      <c r="BR36" s="1" t="s">
        <v>20</v>
      </c>
    </row>
    <row r="37" spans="2:90" x14ac:dyDescent="0.3">
      <c r="B37" s="1" t="s">
        <v>21</v>
      </c>
      <c r="C37" s="2">
        <v>270.63</v>
      </c>
      <c r="D37" s="2">
        <v>269.33999999999997</v>
      </c>
      <c r="E37" s="2">
        <v>232.15</v>
      </c>
      <c r="F37" s="2">
        <v>216.44</v>
      </c>
      <c r="G37" s="2">
        <v>79.400000000000006</v>
      </c>
      <c r="H37" s="2">
        <v>97.12</v>
      </c>
      <c r="I37" s="2">
        <v>277.20999999999998</v>
      </c>
      <c r="J37" s="2">
        <v>1495.79</v>
      </c>
      <c r="K37" s="2">
        <v>2093.67</v>
      </c>
      <c r="L37" s="2">
        <v>1843.35</v>
      </c>
      <c r="M37" s="2">
        <v>3814.32</v>
      </c>
      <c r="N37" s="2">
        <v>3270.41</v>
      </c>
      <c r="O37" s="2">
        <v>3001.18</v>
      </c>
      <c r="P37" s="2">
        <v>2580.02</v>
      </c>
      <c r="Q37" s="2">
        <v>3807.61</v>
      </c>
      <c r="R37" s="2">
        <v>3469.19</v>
      </c>
      <c r="S37" s="2">
        <v>2981.41</v>
      </c>
      <c r="T37" s="2">
        <v>2274.16</v>
      </c>
      <c r="U37" s="2">
        <v>4020.31</v>
      </c>
      <c r="V37" s="2">
        <v>3188.52</v>
      </c>
      <c r="X37" s="1" t="s">
        <v>21</v>
      </c>
      <c r="Y37" s="2">
        <v>148.69999999999999</v>
      </c>
      <c r="Z37" s="2">
        <v>147.99</v>
      </c>
      <c r="AA37" s="2">
        <v>127.55</v>
      </c>
      <c r="AB37" s="2">
        <v>118.92</v>
      </c>
      <c r="AC37" s="2">
        <v>113.43</v>
      </c>
      <c r="AD37" s="2">
        <v>138.75</v>
      </c>
      <c r="AE37" s="2">
        <v>123.75</v>
      </c>
      <c r="AF37" s="2">
        <v>247.32</v>
      </c>
      <c r="AG37" s="2">
        <v>276.94</v>
      </c>
      <c r="AH37" s="2">
        <v>243.83</v>
      </c>
      <c r="AI37" s="2">
        <v>280.3</v>
      </c>
      <c r="AJ37" s="2">
        <v>240.33</v>
      </c>
      <c r="AK37" s="2">
        <v>273.77999999999997</v>
      </c>
      <c r="AL37" s="2">
        <v>235.36</v>
      </c>
      <c r="AM37" s="2">
        <v>265.08</v>
      </c>
      <c r="AN37" s="2">
        <v>241.52</v>
      </c>
      <c r="AO37" s="2">
        <v>231.98</v>
      </c>
      <c r="AP37" s="2">
        <v>176.95</v>
      </c>
      <c r="AQ37" s="2">
        <v>236.35</v>
      </c>
      <c r="AR37" s="2">
        <v>187.45</v>
      </c>
      <c r="AU37" s="1" t="s">
        <v>21</v>
      </c>
      <c r="AV37" s="2">
        <v>2633.57</v>
      </c>
      <c r="AW37" s="2">
        <v>2616.13</v>
      </c>
      <c r="AX37" s="2">
        <v>2050.75</v>
      </c>
      <c r="AY37" s="2">
        <v>1919.18</v>
      </c>
      <c r="AZ37" s="2">
        <v>1937.27</v>
      </c>
      <c r="BA37" s="2">
        <v>2307.41</v>
      </c>
      <c r="BB37" s="2">
        <v>2487.5100000000002</v>
      </c>
      <c r="BC37" s="2">
        <v>2350.38</v>
      </c>
      <c r="BD37" s="2">
        <v>2632.86</v>
      </c>
      <c r="BE37" s="2">
        <v>2323.77</v>
      </c>
      <c r="BF37" s="2">
        <v>2637.3</v>
      </c>
      <c r="BG37" s="2">
        <v>2281.4699999999998</v>
      </c>
      <c r="BH37" s="2">
        <v>2609.52</v>
      </c>
      <c r="BI37" s="2">
        <v>2215.14</v>
      </c>
      <c r="BJ37" s="2">
        <v>2493.7199999999998</v>
      </c>
      <c r="BK37" s="2">
        <v>2270.58</v>
      </c>
      <c r="BL37" s="2">
        <v>2172.7199999999998</v>
      </c>
      <c r="BM37" s="2">
        <v>1677.45</v>
      </c>
      <c r="BN37" s="2">
        <v>2227.9499999999998</v>
      </c>
      <c r="BO37" s="2">
        <v>1765.35</v>
      </c>
      <c r="BR37" s="1" t="s">
        <v>21</v>
      </c>
      <c r="BS37" s="2">
        <v>2782.26</v>
      </c>
      <c r="BT37" s="2">
        <v>2764.12</v>
      </c>
      <c r="BU37" s="2">
        <v>2178.3000000000002</v>
      </c>
      <c r="BV37" s="2">
        <v>2038.1</v>
      </c>
      <c r="BW37" s="2">
        <v>2050.6999999999998</v>
      </c>
      <c r="BX37" s="2">
        <v>2446.16</v>
      </c>
      <c r="BY37" s="2">
        <v>2611.2600000000002</v>
      </c>
      <c r="BZ37" s="2">
        <v>2597.6999999999998</v>
      </c>
      <c r="CA37" s="2">
        <v>2909.8</v>
      </c>
      <c r="CB37" s="2">
        <v>2567.6</v>
      </c>
      <c r="CC37" s="2">
        <v>2917.6</v>
      </c>
      <c r="CD37" s="2">
        <v>2521.8000000000002</v>
      </c>
      <c r="CE37" s="2">
        <v>2883.3</v>
      </c>
      <c r="CF37" s="2">
        <v>2450.5</v>
      </c>
      <c r="CG37" s="2">
        <v>2758.8</v>
      </c>
      <c r="CH37" s="2">
        <v>2512.1</v>
      </c>
      <c r="CI37" s="2">
        <v>2404.6999999999998</v>
      </c>
      <c r="CJ37" s="2">
        <v>1854.4</v>
      </c>
      <c r="CK37" s="2">
        <v>2464.3000000000002</v>
      </c>
      <c r="CL37" s="2">
        <v>1952.8</v>
      </c>
    </row>
    <row r="38" spans="2:90" x14ac:dyDescent="0.3">
      <c r="B38" s="1" t="s">
        <v>22</v>
      </c>
      <c r="C38" s="2">
        <v>1380.94</v>
      </c>
      <c r="D38" s="2">
        <v>524.52</v>
      </c>
      <c r="E38" s="2">
        <v>1098.44</v>
      </c>
      <c r="F38" s="2">
        <v>469.34</v>
      </c>
      <c r="G38" s="2">
        <v>327.20999999999998</v>
      </c>
      <c r="H38" s="2">
        <v>285.91000000000003</v>
      </c>
      <c r="I38" s="2">
        <v>1749.02</v>
      </c>
      <c r="J38" s="2">
        <v>1671.16</v>
      </c>
      <c r="K38" s="2">
        <v>2278.48</v>
      </c>
      <c r="L38" s="2">
        <v>1471.76</v>
      </c>
      <c r="M38" s="2">
        <v>5072.3500000000004</v>
      </c>
      <c r="N38" s="2">
        <v>2773.95</v>
      </c>
      <c r="O38" s="2">
        <v>3736.4</v>
      </c>
      <c r="P38" s="2">
        <v>2665.26</v>
      </c>
      <c r="Q38" s="2">
        <v>4231.79</v>
      </c>
      <c r="R38" s="2">
        <v>2643.93</v>
      </c>
      <c r="S38" s="2">
        <v>3438.19</v>
      </c>
      <c r="T38" s="2">
        <v>1768.34</v>
      </c>
      <c r="U38" s="2">
        <v>3936.59</v>
      </c>
      <c r="V38" s="2">
        <v>1464.04</v>
      </c>
      <c r="X38" s="1" t="s">
        <v>22</v>
      </c>
      <c r="Y38" s="2">
        <v>1188.8900000000001</v>
      </c>
      <c r="Z38" s="2">
        <v>732.9</v>
      </c>
      <c r="AA38" s="2">
        <v>1222.5999999999999</v>
      </c>
      <c r="AB38" s="2">
        <v>786.75</v>
      </c>
      <c r="AC38" s="2">
        <v>803.69</v>
      </c>
      <c r="AD38" s="2">
        <v>993.76</v>
      </c>
      <c r="AE38" s="2">
        <v>1339.42</v>
      </c>
      <c r="AF38" s="2">
        <v>926.13</v>
      </c>
      <c r="AG38" s="2">
        <v>1250.33</v>
      </c>
      <c r="AH38" s="2">
        <v>854.99</v>
      </c>
      <c r="AI38" s="2">
        <v>1197.27</v>
      </c>
      <c r="AJ38" s="2">
        <v>861.11</v>
      </c>
      <c r="AK38" s="2">
        <v>1051.1300000000001</v>
      </c>
      <c r="AL38" s="2">
        <v>924.5</v>
      </c>
      <c r="AM38" s="2">
        <v>996.51</v>
      </c>
      <c r="AN38" s="2">
        <v>887.99</v>
      </c>
      <c r="AO38" s="2">
        <v>966.89</v>
      </c>
      <c r="AP38" s="2">
        <v>729.47</v>
      </c>
      <c r="AQ38" s="2">
        <v>1117.3699999999999</v>
      </c>
      <c r="AR38" s="2">
        <v>696</v>
      </c>
      <c r="AU38" s="1" t="s">
        <v>22</v>
      </c>
      <c r="AV38" s="2">
        <v>6759.19</v>
      </c>
      <c r="AW38" s="2">
        <v>4430.7299999999996</v>
      </c>
      <c r="AX38" s="2">
        <v>6155.1</v>
      </c>
      <c r="AY38" s="2">
        <v>4115.4399999999996</v>
      </c>
      <c r="AZ38" s="2">
        <v>4237.71</v>
      </c>
      <c r="BA38" s="2">
        <v>5204.13</v>
      </c>
      <c r="BB38" s="2">
        <v>6939.07</v>
      </c>
      <c r="BC38" s="2">
        <v>5058.67</v>
      </c>
      <c r="BD38" s="2">
        <v>7023.51</v>
      </c>
      <c r="BE38" s="2">
        <v>5025.8100000000004</v>
      </c>
      <c r="BF38" s="2">
        <v>6841.35</v>
      </c>
      <c r="BG38" s="2">
        <v>5118.29</v>
      </c>
      <c r="BH38" s="2">
        <v>6045.67</v>
      </c>
      <c r="BI38" s="2">
        <v>5448.2</v>
      </c>
      <c r="BJ38" s="2">
        <v>5787.14</v>
      </c>
      <c r="BK38" s="2">
        <v>5191.25</v>
      </c>
      <c r="BL38" s="2">
        <v>5609.78</v>
      </c>
      <c r="BM38" s="2">
        <v>4384.5200000000004</v>
      </c>
      <c r="BN38" s="2">
        <v>6723.55</v>
      </c>
      <c r="BO38" s="2">
        <v>4288.74</v>
      </c>
      <c r="BR38" s="1" t="s">
        <v>22</v>
      </c>
      <c r="BS38" s="2">
        <v>7948.08</v>
      </c>
      <c r="BT38" s="2">
        <v>5163.63</v>
      </c>
      <c r="BU38" s="2">
        <v>7377.7</v>
      </c>
      <c r="BV38" s="2">
        <v>4902.1899999999996</v>
      </c>
      <c r="BW38" s="2">
        <v>5041.3999999999996</v>
      </c>
      <c r="BX38" s="2">
        <v>6197.9</v>
      </c>
      <c r="BY38" s="2">
        <v>8278.49</v>
      </c>
      <c r="BZ38" s="2">
        <v>5984.8</v>
      </c>
      <c r="CA38" s="2">
        <v>8273.83</v>
      </c>
      <c r="CB38" s="2">
        <v>5880.8</v>
      </c>
      <c r="CC38" s="2">
        <v>8038.62</v>
      </c>
      <c r="CD38" s="2">
        <v>5979.4</v>
      </c>
      <c r="CE38" s="2">
        <v>7096.8</v>
      </c>
      <c r="CF38" s="2">
        <v>6372.7</v>
      </c>
      <c r="CG38" s="2">
        <v>6783.65</v>
      </c>
      <c r="CH38" s="2">
        <v>6079.24</v>
      </c>
      <c r="CI38" s="2">
        <v>6576.67</v>
      </c>
      <c r="CJ38" s="2">
        <v>5114</v>
      </c>
      <c r="CK38" s="2">
        <v>7840.92</v>
      </c>
      <c r="CL38" s="2">
        <v>4984.74</v>
      </c>
    </row>
    <row r="39" spans="2:90" x14ac:dyDescent="0.3">
      <c r="B39" s="1" t="s">
        <v>23</v>
      </c>
      <c r="C39" s="2">
        <v>26178.1</v>
      </c>
      <c r="D39" s="2">
        <v>1660.48</v>
      </c>
      <c r="E39" s="2">
        <v>27923.87</v>
      </c>
      <c r="F39" s="2">
        <v>1198.99</v>
      </c>
      <c r="G39" s="2">
        <v>5184.9799999999996</v>
      </c>
      <c r="H39" s="2">
        <v>4910.7299999999996</v>
      </c>
      <c r="I39" s="2">
        <v>18966.64</v>
      </c>
      <c r="J39" s="2">
        <v>9071.9599999999991</v>
      </c>
      <c r="K39" s="2">
        <v>25096.73</v>
      </c>
      <c r="L39" s="2">
        <v>9292.2199999999993</v>
      </c>
      <c r="M39" s="2">
        <v>46179.75</v>
      </c>
      <c r="N39" s="2">
        <v>16823.02</v>
      </c>
      <c r="O39" s="2">
        <v>35288.82</v>
      </c>
      <c r="P39" s="2">
        <v>14023.35</v>
      </c>
      <c r="Q39" s="2">
        <v>44673.83</v>
      </c>
      <c r="R39" s="2">
        <v>16505.64</v>
      </c>
      <c r="S39" s="2">
        <v>18988.849999999999</v>
      </c>
      <c r="T39" s="2">
        <v>10860.21</v>
      </c>
      <c r="U39" s="2">
        <v>13753.05</v>
      </c>
      <c r="V39" s="2">
        <v>10833.24</v>
      </c>
      <c r="X39" s="1" t="s">
        <v>23</v>
      </c>
      <c r="Y39" s="2">
        <v>1864.54</v>
      </c>
      <c r="Z39" s="2">
        <v>609.70000000000005</v>
      </c>
      <c r="AA39" s="2">
        <v>1752.59</v>
      </c>
      <c r="AB39" s="2">
        <v>593.16999999999996</v>
      </c>
      <c r="AC39" s="2">
        <v>1920.36</v>
      </c>
      <c r="AD39" s="2">
        <v>1818.79</v>
      </c>
      <c r="AE39" s="2">
        <v>2195.2199999999998</v>
      </c>
      <c r="AF39" s="2">
        <v>1057.55</v>
      </c>
      <c r="AG39" s="2">
        <v>2323.77</v>
      </c>
      <c r="AH39" s="2">
        <v>939.27</v>
      </c>
      <c r="AI39" s="2">
        <v>2375.5</v>
      </c>
      <c r="AJ39" s="2">
        <v>927.12</v>
      </c>
      <c r="AK39" s="2">
        <v>2253.44</v>
      </c>
      <c r="AL39" s="2">
        <v>934.57</v>
      </c>
      <c r="AM39" s="2">
        <v>2177.09</v>
      </c>
      <c r="AN39" s="2">
        <v>910.29</v>
      </c>
      <c r="AO39" s="2">
        <v>1034.25</v>
      </c>
      <c r="AP39" s="2">
        <v>789.67</v>
      </c>
      <c r="AQ39" s="2">
        <v>784.55</v>
      </c>
      <c r="AR39" s="2">
        <v>699.47</v>
      </c>
      <c r="AU39" s="1" t="s">
        <v>23</v>
      </c>
      <c r="AV39" s="2">
        <v>7777.72</v>
      </c>
      <c r="AW39" s="2">
        <v>3781.29</v>
      </c>
      <c r="AX39" s="2">
        <v>7516.13</v>
      </c>
      <c r="AY39" s="2">
        <v>3120</v>
      </c>
      <c r="AZ39" s="2">
        <v>5291.67</v>
      </c>
      <c r="BA39" s="2">
        <v>6529.05</v>
      </c>
      <c r="BB39" s="2">
        <v>7437</v>
      </c>
      <c r="BC39" s="2">
        <v>5991.8</v>
      </c>
      <c r="BD39" s="2">
        <v>7731.51</v>
      </c>
      <c r="BE39" s="2">
        <v>5792.15</v>
      </c>
      <c r="BF39" s="2">
        <v>7784.5</v>
      </c>
      <c r="BG39" s="2">
        <v>5818.55</v>
      </c>
      <c r="BH39" s="2">
        <v>7173.15</v>
      </c>
      <c r="BI39" s="2">
        <v>5899.53</v>
      </c>
      <c r="BJ39" s="2">
        <v>6785.89</v>
      </c>
      <c r="BK39" s="2">
        <v>5652.73</v>
      </c>
      <c r="BL39" s="2">
        <v>6156.73</v>
      </c>
      <c r="BM39" s="2">
        <v>5043.1499999999996</v>
      </c>
      <c r="BN39" s="2">
        <v>4931.21</v>
      </c>
      <c r="BO39" s="2">
        <v>4461.25</v>
      </c>
      <c r="BR39" s="1" t="s">
        <v>23</v>
      </c>
      <c r="BS39" s="2">
        <v>9642.26</v>
      </c>
      <c r="BT39" s="2">
        <v>4391</v>
      </c>
      <c r="BU39" s="2">
        <v>9268.7099999999991</v>
      </c>
      <c r="BV39" s="2">
        <v>3713.17</v>
      </c>
      <c r="BW39" s="2">
        <v>7212.03</v>
      </c>
      <c r="BX39" s="2">
        <v>8347.84</v>
      </c>
      <c r="BY39" s="2">
        <v>9632.2199999999993</v>
      </c>
      <c r="BZ39" s="2">
        <v>7049.35</v>
      </c>
      <c r="CA39" s="2">
        <v>10055.280000000001</v>
      </c>
      <c r="CB39" s="2">
        <v>6731.41</v>
      </c>
      <c r="CC39" s="2">
        <v>10160</v>
      </c>
      <c r="CD39" s="2">
        <v>6745.67</v>
      </c>
      <c r="CE39" s="2">
        <v>9426.59</v>
      </c>
      <c r="CF39" s="2">
        <v>6834.11</v>
      </c>
      <c r="CG39" s="2">
        <v>8962.98</v>
      </c>
      <c r="CH39" s="2">
        <v>6563.02</v>
      </c>
      <c r="CI39" s="2">
        <v>7190.98</v>
      </c>
      <c r="CJ39" s="2">
        <v>5832.82</v>
      </c>
      <c r="CK39" s="2">
        <v>5715.76</v>
      </c>
      <c r="CL39" s="2">
        <v>5160.72</v>
      </c>
    </row>
    <row r="40" spans="2:90" x14ac:dyDescent="0.3">
      <c r="B40" s="1" t="s">
        <v>24</v>
      </c>
      <c r="C40" s="2">
        <v>3817.37</v>
      </c>
      <c r="D40" s="2">
        <v>712.89</v>
      </c>
      <c r="E40" s="2">
        <v>3822.98</v>
      </c>
      <c r="F40" s="2">
        <v>421.67</v>
      </c>
      <c r="G40" s="2">
        <v>1267.46</v>
      </c>
      <c r="H40" s="2">
        <v>1857.25</v>
      </c>
      <c r="I40" s="2">
        <v>4697.13</v>
      </c>
      <c r="J40" s="2">
        <v>2467.33</v>
      </c>
      <c r="K40" s="2">
        <v>5514.47</v>
      </c>
      <c r="L40" s="2">
        <v>2351.58</v>
      </c>
      <c r="M40" s="2">
        <v>9919.66</v>
      </c>
      <c r="N40" s="2">
        <v>3881.03</v>
      </c>
      <c r="O40" s="2">
        <v>7964.73</v>
      </c>
      <c r="P40" s="2">
        <v>3178.59</v>
      </c>
      <c r="Q40" s="2">
        <v>7925.2</v>
      </c>
      <c r="R40" s="2">
        <v>3581.25</v>
      </c>
      <c r="S40" s="2">
        <v>3184.21</v>
      </c>
      <c r="T40" s="2">
        <v>2609.7199999999998</v>
      </c>
      <c r="U40" s="2">
        <v>3365.92</v>
      </c>
      <c r="V40" s="2">
        <v>2924.73</v>
      </c>
      <c r="X40" s="1" t="s">
        <v>24</v>
      </c>
      <c r="Y40" s="2">
        <v>1631.36</v>
      </c>
      <c r="Z40" s="2">
        <v>652.79999999999995</v>
      </c>
      <c r="AA40" s="2">
        <v>1633.75</v>
      </c>
      <c r="AB40" s="2">
        <v>718.39</v>
      </c>
      <c r="AC40" s="2">
        <v>1408.29</v>
      </c>
      <c r="AD40" s="2">
        <v>1327.14</v>
      </c>
      <c r="AE40" s="2">
        <v>1630.95</v>
      </c>
      <c r="AF40" s="2">
        <v>1061.78</v>
      </c>
      <c r="AG40" s="2">
        <v>1531.8</v>
      </c>
      <c r="AH40" s="2">
        <v>948</v>
      </c>
      <c r="AI40" s="2">
        <v>1530.81</v>
      </c>
      <c r="AJ40" s="2">
        <v>906.37</v>
      </c>
      <c r="AK40" s="2">
        <v>1525.81</v>
      </c>
      <c r="AL40" s="2">
        <v>907.53</v>
      </c>
      <c r="AM40" s="2">
        <v>1158.6500000000001</v>
      </c>
      <c r="AN40" s="2">
        <v>872.13</v>
      </c>
      <c r="AO40" s="2">
        <v>880.95</v>
      </c>
      <c r="AP40" s="2">
        <v>784.55</v>
      </c>
      <c r="AQ40" s="2">
        <v>791.05</v>
      </c>
      <c r="AR40" s="2">
        <v>740.11</v>
      </c>
      <c r="AU40" s="1" t="s">
        <v>24</v>
      </c>
      <c r="AV40" s="2">
        <v>6928.33</v>
      </c>
      <c r="AW40" s="2">
        <v>4276.26</v>
      </c>
      <c r="AX40" s="2">
        <v>6485.63</v>
      </c>
      <c r="AY40" s="2">
        <v>3891.96</v>
      </c>
      <c r="AZ40" s="2">
        <v>5530.39</v>
      </c>
      <c r="BA40" s="2">
        <v>7552.86</v>
      </c>
      <c r="BB40" s="2">
        <v>7249.05</v>
      </c>
      <c r="BC40" s="2">
        <v>6259.19</v>
      </c>
      <c r="BD40" s="2">
        <v>7348.2</v>
      </c>
      <c r="BE40" s="2">
        <v>5982.96</v>
      </c>
      <c r="BF40" s="2">
        <v>7349.19</v>
      </c>
      <c r="BG40" s="2">
        <v>5843.02</v>
      </c>
      <c r="BH40" s="2">
        <v>7354.19</v>
      </c>
      <c r="BI40" s="2">
        <v>5881.3</v>
      </c>
      <c r="BJ40" s="2">
        <v>6974.39</v>
      </c>
      <c r="BK40" s="2">
        <v>5581.64</v>
      </c>
      <c r="BL40" s="2">
        <v>5553.48</v>
      </c>
      <c r="BM40" s="2">
        <v>5237.16</v>
      </c>
      <c r="BN40" s="2">
        <v>5160.1099999999997</v>
      </c>
      <c r="BO40" s="2">
        <v>4906.6000000000004</v>
      </c>
      <c r="BR40" s="1" t="s">
        <v>24</v>
      </c>
      <c r="BS40" s="2">
        <v>8559.69</v>
      </c>
      <c r="BT40" s="2">
        <v>4929.0600000000004</v>
      </c>
      <c r="BU40" s="2">
        <v>8119.38</v>
      </c>
      <c r="BV40" s="2">
        <v>4610.3500000000004</v>
      </c>
      <c r="BW40" s="2">
        <v>6938.68</v>
      </c>
      <c r="BX40" s="2">
        <v>8880</v>
      </c>
      <c r="BY40" s="2">
        <v>8880</v>
      </c>
      <c r="BZ40" s="2">
        <v>7320.97</v>
      </c>
      <c r="CA40" s="2">
        <v>8880</v>
      </c>
      <c r="CB40" s="2">
        <v>6930.96</v>
      </c>
      <c r="CC40" s="2">
        <v>8880</v>
      </c>
      <c r="CD40" s="2">
        <v>6749.39</v>
      </c>
      <c r="CE40" s="2">
        <v>8880</v>
      </c>
      <c r="CF40" s="2">
        <v>6788.83</v>
      </c>
      <c r="CG40" s="2">
        <v>8133.05</v>
      </c>
      <c r="CH40" s="2">
        <v>6453.77</v>
      </c>
      <c r="CI40" s="2">
        <v>6434.42</v>
      </c>
      <c r="CJ40" s="2">
        <v>6021.7</v>
      </c>
      <c r="CK40" s="2">
        <v>5951.16</v>
      </c>
      <c r="CL40" s="2">
        <v>5646.71</v>
      </c>
    </row>
    <row r="41" spans="2:90" x14ac:dyDescent="0.3">
      <c r="B41" s="1" t="s">
        <v>25</v>
      </c>
      <c r="C41" s="2">
        <v>13022.6</v>
      </c>
      <c r="D41" s="2">
        <v>13906.53</v>
      </c>
      <c r="E41" s="2">
        <v>16722.439999999999</v>
      </c>
      <c r="F41" s="2">
        <v>6421.59</v>
      </c>
      <c r="G41" s="2">
        <v>4966.95</v>
      </c>
      <c r="H41" s="2">
        <v>5457.4</v>
      </c>
      <c r="I41" s="2">
        <v>7058.37</v>
      </c>
      <c r="J41" s="2">
        <v>17832.98</v>
      </c>
      <c r="K41" s="2">
        <v>19178.14</v>
      </c>
      <c r="L41" s="2">
        <v>22088.5</v>
      </c>
      <c r="M41" s="2">
        <v>27604.99</v>
      </c>
      <c r="N41" s="2">
        <v>24046.720000000001</v>
      </c>
      <c r="O41" s="2">
        <v>18359.29</v>
      </c>
      <c r="P41" s="2">
        <v>17234.89</v>
      </c>
      <c r="Q41" s="2">
        <v>20290.2</v>
      </c>
      <c r="R41" s="2">
        <v>18146.669999999998</v>
      </c>
      <c r="S41" s="2">
        <v>15351.76</v>
      </c>
      <c r="T41" s="2">
        <v>12155.74</v>
      </c>
      <c r="U41" s="2">
        <v>16891.84</v>
      </c>
      <c r="V41" s="2">
        <v>13293.56</v>
      </c>
      <c r="X41" s="1" t="s">
        <v>25</v>
      </c>
      <c r="Y41" s="2">
        <v>1113.04</v>
      </c>
      <c r="Z41" s="2">
        <v>1188.5999999999999</v>
      </c>
      <c r="AA41" s="2">
        <v>1429.28</v>
      </c>
      <c r="AB41" s="2">
        <v>1273.17</v>
      </c>
      <c r="AC41" s="2">
        <v>1103.77</v>
      </c>
      <c r="AD41" s="2">
        <v>1212.76</v>
      </c>
      <c r="AE41" s="2">
        <v>1098.8499999999999</v>
      </c>
      <c r="AF41" s="2">
        <v>1238.42</v>
      </c>
      <c r="AG41" s="2">
        <v>1142.1099999999999</v>
      </c>
      <c r="AH41" s="2">
        <v>1227.1400000000001</v>
      </c>
      <c r="AI41" s="2">
        <v>1065.6500000000001</v>
      </c>
      <c r="AJ41" s="2">
        <v>1073.8900000000001</v>
      </c>
      <c r="AK41" s="2">
        <v>1008.37</v>
      </c>
      <c r="AL41" s="2">
        <v>1055.2</v>
      </c>
      <c r="AM41" s="2">
        <v>946.91</v>
      </c>
      <c r="AN41" s="2">
        <v>919.03</v>
      </c>
      <c r="AO41" s="2">
        <v>875.9</v>
      </c>
      <c r="AP41" s="2">
        <v>855.48</v>
      </c>
      <c r="AQ41" s="2">
        <v>834.71</v>
      </c>
      <c r="AR41" s="2">
        <v>931.58</v>
      </c>
      <c r="AU41" s="1" t="s">
        <v>25</v>
      </c>
      <c r="AV41" s="2">
        <v>4709.76</v>
      </c>
      <c r="AW41" s="2">
        <v>6220.3</v>
      </c>
      <c r="AX41" s="2">
        <v>6089.09</v>
      </c>
      <c r="AY41" s="2">
        <v>6556.06</v>
      </c>
      <c r="AZ41" s="2">
        <v>4476.8500000000004</v>
      </c>
      <c r="BA41" s="2">
        <v>5009.7299999999996</v>
      </c>
      <c r="BB41" s="2">
        <v>5990.24</v>
      </c>
      <c r="BC41" s="2">
        <v>6056.18</v>
      </c>
      <c r="BD41" s="2">
        <v>6799</v>
      </c>
      <c r="BE41" s="2">
        <v>6862.56</v>
      </c>
      <c r="BF41" s="2">
        <v>6417.39</v>
      </c>
      <c r="BG41" s="2">
        <v>6467.87</v>
      </c>
      <c r="BH41" s="2">
        <v>6080.17</v>
      </c>
      <c r="BI41" s="2">
        <v>6335.8</v>
      </c>
      <c r="BJ41" s="2">
        <v>5778.57</v>
      </c>
      <c r="BK41" s="2">
        <v>5561.2</v>
      </c>
      <c r="BL41" s="2">
        <v>5385.8</v>
      </c>
      <c r="BM41" s="2">
        <v>5215.78</v>
      </c>
      <c r="BN41" s="2">
        <v>5242.82</v>
      </c>
      <c r="BO41" s="2">
        <v>5834.13</v>
      </c>
      <c r="BR41" s="1" t="s">
        <v>25</v>
      </c>
      <c r="BS41" s="2">
        <v>5822.8</v>
      </c>
      <c r="BT41" s="2">
        <v>7408.9</v>
      </c>
      <c r="BU41" s="2">
        <v>7518.37</v>
      </c>
      <c r="BV41" s="2">
        <v>7829.23</v>
      </c>
      <c r="BW41" s="2">
        <v>5580.62</v>
      </c>
      <c r="BX41" s="2">
        <v>6222.48</v>
      </c>
      <c r="BY41" s="2">
        <v>7089.09</v>
      </c>
      <c r="BZ41" s="2">
        <v>7294.6</v>
      </c>
      <c r="CA41" s="2">
        <v>7941.11</v>
      </c>
      <c r="CB41" s="2">
        <v>8089.7</v>
      </c>
      <c r="CC41" s="2">
        <v>7483.04</v>
      </c>
      <c r="CD41" s="2">
        <v>7541.76</v>
      </c>
      <c r="CE41" s="2">
        <v>7088.54</v>
      </c>
      <c r="CF41" s="2">
        <v>7391</v>
      </c>
      <c r="CG41" s="2">
        <v>6725.47</v>
      </c>
      <c r="CH41" s="2">
        <v>6480.23</v>
      </c>
      <c r="CI41" s="2">
        <v>6261.7</v>
      </c>
      <c r="CJ41" s="2">
        <v>6071.26</v>
      </c>
      <c r="CK41" s="2">
        <v>6077.53</v>
      </c>
      <c r="CL41" s="2">
        <v>6765.71</v>
      </c>
    </row>
    <row r="42" spans="2:90" x14ac:dyDescent="0.3">
      <c r="B42" s="1" t="s">
        <v>26</v>
      </c>
      <c r="C42" s="2">
        <v>3387.77</v>
      </c>
      <c r="D42" s="2">
        <v>3935.33</v>
      </c>
      <c r="E42" s="2">
        <v>4479.47</v>
      </c>
      <c r="F42" s="2">
        <v>4435.12</v>
      </c>
      <c r="G42" s="2">
        <v>1154.0899999999999</v>
      </c>
      <c r="H42" s="2">
        <v>1283.8699999999999</v>
      </c>
      <c r="I42" s="2">
        <v>1683.94</v>
      </c>
      <c r="J42" s="2">
        <v>3421.02</v>
      </c>
      <c r="K42" s="2">
        <v>1970.53</v>
      </c>
      <c r="L42" s="2">
        <v>5896.93</v>
      </c>
      <c r="M42" s="2">
        <v>4531.3900000000003</v>
      </c>
      <c r="N42" s="2">
        <v>10998.08</v>
      </c>
      <c r="O42" s="2">
        <v>3546.53</v>
      </c>
      <c r="P42" s="2">
        <v>7044.34</v>
      </c>
      <c r="Q42" s="2">
        <v>4546.46</v>
      </c>
      <c r="R42" s="2">
        <v>9177.5</v>
      </c>
      <c r="S42" s="2">
        <v>3585.51</v>
      </c>
      <c r="T42" s="2">
        <v>6472.02</v>
      </c>
      <c r="U42" s="2">
        <v>3800.72</v>
      </c>
      <c r="V42" s="2">
        <v>3127.41</v>
      </c>
      <c r="X42" s="1" t="s">
        <v>26</v>
      </c>
      <c r="Y42" s="2">
        <v>1447.76</v>
      </c>
      <c r="Z42" s="2">
        <v>1213.7</v>
      </c>
      <c r="AA42" s="2">
        <v>1721.77</v>
      </c>
      <c r="AB42" s="2">
        <v>1757.53</v>
      </c>
      <c r="AC42" s="2">
        <v>1282.33</v>
      </c>
      <c r="AD42" s="2">
        <v>1426.53</v>
      </c>
      <c r="AE42" s="2">
        <v>1276.24</v>
      </c>
      <c r="AF42" s="2">
        <v>1187.8599999999999</v>
      </c>
      <c r="AG42" s="2">
        <v>1194.43</v>
      </c>
      <c r="AH42" s="2">
        <v>1500.62</v>
      </c>
      <c r="AI42" s="2">
        <v>1253.0999999999999</v>
      </c>
      <c r="AJ42" s="2">
        <v>1507.52</v>
      </c>
      <c r="AK42" s="2">
        <v>1250.2</v>
      </c>
      <c r="AL42" s="2">
        <v>1484.86</v>
      </c>
      <c r="AM42" s="2">
        <v>1223.6300000000001</v>
      </c>
      <c r="AN42" s="2">
        <v>1443.92</v>
      </c>
      <c r="AO42" s="2">
        <v>1165.94</v>
      </c>
      <c r="AP42" s="2">
        <v>1408.42</v>
      </c>
      <c r="AQ42" s="2">
        <v>1061.47</v>
      </c>
      <c r="AR42" s="2">
        <v>1044.48</v>
      </c>
      <c r="AU42" s="1" t="s">
        <v>26</v>
      </c>
      <c r="AV42" s="2">
        <v>5459.05</v>
      </c>
      <c r="AW42" s="2">
        <v>5825.05</v>
      </c>
      <c r="AX42" s="2">
        <v>7158.23</v>
      </c>
      <c r="AY42" s="2">
        <v>7122.47</v>
      </c>
      <c r="AZ42" s="2">
        <v>4494.41</v>
      </c>
      <c r="BA42" s="2">
        <v>5129.45</v>
      </c>
      <c r="BB42" s="2">
        <v>5347.23</v>
      </c>
      <c r="BC42" s="2">
        <v>4382.0600000000004</v>
      </c>
      <c r="BD42" s="2">
        <v>5457.33</v>
      </c>
      <c r="BE42" s="2">
        <v>7158.38</v>
      </c>
      <c r="BF42" s="2">
        <v>5896.31</v>
      </c>
      <c r="BG42" s="2">
        <v>7372.48</v>
      </c>
      <c r="BH42" s="2">
        <v>5846.78</v>
      </c>
      <c r="BI42" s="2">
        <v>6987.25</v>
      </c>
      <c r="BJ42" s="2">
        <v>5813.24</v>
      </c>
      <c r="BK42" s="2">
        <v>6994.75</v>
      </c>
      <c r="BL42" s="2">
        <v>5599.5</v>
      </c>
      <c r="BM42" s="2">
        <v>6586.24</v>
      </c>
      <c r="BN42" s="2">
        <v>5205.57</v>
      </c>
      <c r="BO42" s="2">
        <v>4815.84</v>
      </c>
      <c r="BR42" s="1" t="s">
        <v>26</v>
      </c>
      <c r="BS42" s="2">
        <v>6906.81</v>
      </c>
      <c r="BT42" s="2">
        <v>7038.75</v>
      </c>
      <c r="BU42" s="2">
        <v>8880</v>
      </c>
      <c r="BV42" s="2">
        <v>8880</v>
      </c>
      <c r="BW42" s="2">
        <v>5776.74</v>
      </c>
      <c r="BX42" s="2">
        <v>6555.98</v>
      </c>
      <c r="BY42" s="2">
        <v>6623.47</v>
      </c>
      <c r="BZ42" s="2">
        <v>5569.92</v>
      </c>
      <c r="CA42" s="2">
        <v>6651.77</v>
      </c>
      <c r="CB42" s="2">
        <v>8659</v>
      </c>
      <c r="CC42" s="2">
        <v>7149.41</v>
      </c>
      <c r="CD42" s="2">
        <v>8880</v>
      </c>
      <c r="CE42" s="2">
        <v>7096.99</v>
      </c>
      <c r="CF42" s="2">
        <v>8472.11</v>
      </c>
      <c r="CG42" s="2">
        <v>7036.87</v>
      </c>
      <c r="CH42" s="2">
        <v>8438.66</v>
      </c>
      <c r="CI42" s="2">
        <v>6765.44</v>
      </c>
      <c r="CJ42" s="2">
        <v>7994.66</v>
      </c>
      <c r="CK42" s="2">
        <v>6267.04</v>
      </c>
      <c r="CL42" s="2">
        <v>5860.32</v>
      </c>
    </row>
    <row r="43" spans="2:90" x14ac:dyDescent="0.3">
      <c r="B43" s="1" t="s">
        <v>27</v>
      </c>
      <c r="C43" s="2">
        <v>25206.83</v>
      </c>
      <c r="D43" s="2">
        <v>26333.48</v>
      </c>
      <c r="E43" s="2">
        <v>14236.89</v>
      </c>
      <c r="F43" s="2">
        <v>27453.85</v>
      </c>
      <c r="G43" s="2">
        <v>4087.17</v>
      </c>
      <c r="H43" s="2">
        <v>9754.5300000000007</v>
      </c>
      <c r="I43" s="2">
        <v>11152.31</v>
      </c>
      <c r="J43" s="2">
        <v>17116.68</v>
      </c>
      <c r="K43" s="2">
        <v>10894.97</v>
      </c>
      <c r="L43" s="2">
        <v>39883.279999999999</v>
      </c>
      <c r="M43" s="2">
        <v>22420.32</v>
      </c>
      <c r="N43" s="2">
        <v>47472.08</v>
      </c>
      <c r="O43" s="2">
        <v>18086.150000000001</v>
      </c>
      <c r="P43" s="2">
        <v>34142.94</v>
      </c>
      <c r="Q43" s="2">
        <v>27328.1</v>
      </c>
      <c r="R43" s="2">
        <v>36052.94</v>
      </c>
      <c r="S43" s="2">
        <v>16700.75</v>
      </c>
      <c r="T43" s="2">
        <v>17716.689999999999</v>
      </c>
      <c r="U43" s="2">
        <v>18575.37</v>
      </c>
      <c r="V43" s="2">
        <v>17750.78</v>
      </c>
      <c r="X43" s="1" t="s">
        <v>27</v>
      </c>
      <c r="Y43" s="2">
        <v>1795.36</v>
      </c>
      <c r="Z43" s="2">
        <v>1875.6</v>
      </c>
      <c r="AA43" s="2">
        <v>1616.16</v>
      </c>
      <c r="AB43" s="2">
        <v>1955.4</v>
      </c>
      <c r="AC43" s="2">
        <v>1513.77</v>
      </c>
      <c r="AD43" s="2">
        <v>1806.39</v>
      </c>
      <c r="AE43" s="2">
        <v>1399.75</v>
      </c>
      <c r="AF43" s="2">
        <v>1981.1</v>
      </c>
      <c r="AG43" s="2">
        <v>1265.03</v>
      </c>
      <c r="AH43" s="2">
        <v>1846.45</v>
      </c>
      <c r="AI43" s="2">
        <v>1277.8699999999999</v>
      </c>
      <c r="AJ43" s="2">
        <v>2441.98</v>
      </c>
      <c r="AK43" s="2">
        <v>1286.49</v>
      </c>
      <c r="AL43" s="2">
        <v>2180.2600000000002</v>
      </c>
      <c r="AM43" s="2">
        <v>1331.79</v>
      </c>
      <c r="AN43" s="2">
        <v>1390.96</v>
      </c>
      <c r="AO43" s="2">
        <v>1163.74</v>
      </c>
      <c r="AP43" s="2">
        <v>1202.3800000000001</v>
      </c>
      <c r="AQ43" s="2">
        <v>1081.07</v>
      </c>
      <c r="AR43" s="2">
        <v>1075.7</v>
      </c>
      <c r="AU43" s="1" t="s">
        <v>27</v>
      </c>
      <c r="AV43" s="2">
        <v>6972.3</v>
      </c>
      <c r="AW43" s="2">
        <v>7422.17</v>
      </c>
      <c r="AX43" s="2">
        <v>6734.07</v>
      </c>
      <c r="AY43" s="2">
        <v>8003.15</v>
      </c>
      <c r="AZ43" s="2">
        <v>4588.5</v>
      </c>
      <c r="BA43" s="2">
        <v>6844.07</v>
      </c>
      <c r="BB43" s="2">
        <v>6072.26</v>
      </c>
      <c r="BC43" s="2">
        <v>5104.3500000000004</v>
      </c>
      <c r="BD43" s="2">
        <v>5946.71</v>
      </c>
      <c r="BE43" s="2">
        <v>8313.5499999999993</v>
      </c>
      <c r="BF43" s="2">
        <v>6213.84</v>
      </c>
      <c r="BG43" s="2">
        <v>7718.02</v>
      </c>
      <c r="BH43" s="2">
        <v>6220.19</v>
      </c>
      <c r="BI43" s="2">
        <v>7465.09</v>
      </c>
      <c r="BJ43" s="2">
        <v>6507.75</v>
      </c>
      <c r="BK43" s="2">
        <v>7034.4</v>
      </c>
      <c r="BL43" s="2">
        <v>5765.62</v>
      </c>
      <c r="BM43" s="2">
        <v>5871.64</v>
      </c>
      <c r="BN43" s="2">
        <v>5417.07</v>
      </c>
      <c r="BO43" s="2">
        <v>5315.16</v>
      </c>
      <c r="BR43" s="1" t="s">
        <v>27</v>
      </c>
      <c r="BS43" s="2">
        <v>8767.65</v>
      </c>
      <c r="BT43" s="2">
        <v>9297.77</v>
      </c>
      <c r="BU43" s="2">
        <v>8350.23</v>
      </c>
      <c r="BV43" s="2">
        <v>9958.56</v>
      </c>
      <c r="BW43" s="2">
        <v>6102.27</v>
      </c>
      <c r="BX43" s="2">
        <v>8650.4599999999991</v>
      </c>
      <c r="BY43" s="2">
        <v>7472.01</v>
      </c>
      <c r="BZ43" s="2">
        <v>7085.45</v>
      </c>
      <c r="CA43" s="2">
        <v>7211.73</v>
      </c>
      <c r="CB43" s="2">
        <v>10160</v>
      </c>
      <c r="CC43" s="2">
        <v>7491.71</v>
      </c>
      <c r="CD43" s="2">
        <v>10160</v>
      </c>
      <c r="CE43" s="2">
        <v>7506.67</v>
      </c>
      <c r="CF43" s="2">
        <v>9645.35</v>
      </c>
      <c r="CG43" s="2">
        <v>7839.54</v>
      </c>
      <c r="CH43" s="2">
        <v>8425.36</v>
      </c>
      <c r="CI43" s="2">
        <v>6929.35</v>
      </c>
      <c r="CJ43" s="2">
        <v>7074.02</v>
      </c>
      <c r="CK43" s="2">
        <v>6498.14</v>
      </c>
      <c r="CL43" s="2">
        <v>6390.86</v>
      </c>
    </row>
    <row r="44" spans="2:90" x14ac:dyDescent="0.3">
      <c r="B44" s="1" t="s">
        <v>28</v>
      </c>
      <c r="C44" s="2">
        <v>2615.6999999999998</v>
      </c>
      <c r="D44" s="2">
        <v>4340.33</v>
      </c>
      <c r="E44" s="2">
        <v>806.16</v>
      </c>
      <c r="F44" s="2">
        <v>894.24</v>
      </c>
      <c r="G44" s="2">
        <v>43.03</v>
      </c>
      <c r="H44" s="2">
        <v>423.37</v>
      </c>
      <c r="I44" s="2">
        <v>847.39</v>
      </c>
      <c r="J44" s="2">
        <v>6801.54</v>
      </c>
      <c r="K44" s="2">
        <v>3441.6</v>
      </c>
      <c r="L44" s="2">
        <v>7964.96</v>
      </c>
      <c r="M44" s="2">
        <v>8893.84</v>
      </c>
      <c r="N44" s="2">
        <v>14682.26</v>
      </c>
      <c r="O44" s="2">
        <v>7939.01</v>
      </c>
      <c r="P44" s="2">
        <v>9813.85</v>
      </c>
      <c r="Q44" s="2">
        <v>8732.81</v>
      </c>
      <c r="R44" s="2">
        <v>8516.76</v>
      </c>
      <c r="S44" s="2">
        <v>6736.11</v>
      </c>
      <c r="T44" s="2">
        <v>5500.58</v>
      </c>
      <c r="U44" s="2">
        <v>7750.78</v>
      </c>
      <c r="V44" s="2">
        <v>6217.5</v>
      </c>
      <c r="X44" s="1" t="s">
        <v>28</v>
      </c>
      <c r="Y44" s="2">
        <v>774.42</v>
      </c>
      <c r="Z44" s="2">
        <v>978.1</v>
      </c>
      <c r="AA44" s="2">
        <v>765.5</v>
      </c>
      <c r="AB44" s="2">
        <v>816.62</v>
      </c>
      <c r="AC44" s="2">
        <v>143.43</v>
      </c>
      <c r="AD44" s="2">
        <v>851.36</v>
      </c>
      <c r="AE44" s="2">
        <v>254.21</v>
      </c>
      <c r="AF44" s="2">
        <v>900.8</v>
      </c>
      <c r="AG44" s="2">
        <v>638.61</v>
      </c>
      <c r="AH44" s="2">
        <v>863.86</v>
      </c>
      <c r="AI44" s="2">
        <v>624.63</v>
      </c>
      <c r="AJ44" s="2">
        <v>885.86</v>
      </c>
      <c r="AK44" s="2">
        <v>618.36</v>
      </c>
      <c r="AL44" s="2">
        <v>836.08</v>
      </c>
      <c r="AM44" s="2">
        <v>590.66999999999996</v>
      </c>
      <c r="AN44" s="2">
        <v>652.99</v>
      </c>
      <c r="AO44" s="2">
        <v>555.78</v>
      </c>
      <c r="AP44" s="2">
        <v>564.78</v>
      </c>
      <c r="AQ44" s="2">
        <v>576.16</v>
      </c>
      <c r="AR44" s="2">
        <v>592.59</v>
      </c>
      <c r="AU44" s="1" t="s">
        <v>28</v>
      </c>
      <c r="AV44" s="2">
        <v>3889.58</v>
      </c>
      <c r="AW44" s="2">
        <v>4733.1000000000004</v>
      </c>
      <c r="AX44" s="2">
        <v>3120</v>
      </c>
      <c r="AY44" s="2">
        <v>3325.09</v>
      </c>
      <c r="AZ44" s="2">
        <v>2807.75</v>
      </c>
      <c r="BA44" s="2">
        <v>3699.52</v>
      </c>
      <c r="BB44" s="2">
        <v>3120</v>
      </c>
      <c r="BC44" s="2">
        <v>3970.15</v>
      </c>
      <c r="BD44" s="2">
        <v>3283.09</v>
      </c>
      <c r="BE44" s="2">
        <v>4091.84</v>
      </c>
      <c r="BF44" s="2">
        <v>3204.17</v>
      </c>
      <c r="BG44" s="2">
        <v>4226.6499999999996</v>
      </c>
      <c r="BH44" s="2">
        <v>3206.54</v>
      </c>
      <c r="BI44" s="2">
        <v>4063.72</v>
      </c>
      <c r="BJ44" s="2">
        <v>3059.63</v>
      </c>
      <c r="BK44" s="2">
        <v>3288.71</v>
      </c>
      <c r="BL44" s="2">
        <v>2871.42</v>
      </c>
      <c r="BM44" s="2">
        <v>2926.62</v>
      </c>
      <c r="BN44" s="2">
        <v>3011.34</v>
      </c>
      <c r="BO44" s="2">
        <v>3186.41</v>
      </c>
      <c r="BR44" s="1" t="s">
        <v>28</v>
      </c>
      <c r="BS44" s="2">
        <v>4664</v>
      </c>
      <c r="BT44" s="2">
        <v>5711.2</v>
      </c>
      <c r="BU44" s="2">
        <v>3885.5</v>
      </c>
      <c r="BV44" s="2">
        <v>4141.71</v>
      </c>
      <c r="BW44" s="2">
        <v>2951.18</v>
      </c>
      <c r="BX44" s="2">
        <v>4550.88</v>
      </c>
      <c r="BY44" s="2">
        <v>3374.21</v>
      </c>
      <c r="BZ44" s="2">
        <v>4870.95</v>
      </c>
      <c r="CA44" s="2">
        <v>3921.7</v>
      </c>
      <c r="CB44" s="2">
        <v>4955.71</v>
      </c>
      <c r="CC44" s="2">
        <v>3828.8</v>
      </c>
      <c r="CD44" s="2">
        <v>5112.5200000000004</v>
      </c>
      <c r="CE44" s="2">
        <v>3824.9</v>
      </c>
      <c r="CF44" s="2">
        <v>4899.8</v>
      </c>
      <c r="CG44" s="2">
        <v>3650.3</v>
      </c>
      <c r="CH44" s="2">
        <v>3941.7</v>
      </c>
      <c r="CI44" s="2">
        <v>3427.2</v>
      </c>
      <c r="CJ44" s="2">
        <v>3491.4</v>
      </c>
      <c r="CK44" s="2">
        <v>3587.5</v>
      </c>
      <c r="CL44" s="2">
        <v>3779</v>
      </c>
    </row>
    <row r="45" spans="2:90" x14ac:dyDescent="0.3">
      <c r="C45">
        <f>SUM(C37:C44)</f>
        <v>75879.939999999988</v>
      </c>
      <c r="D45">
        <f t="shared" ref="D45:V45" si="0">SUM(D37:D44)</f>
        <v>51682.900000000009</v>
      </c>
      <c r="E45">
        <f t="shared" si="0"/>
        <v>69322.400000000009</v>
      </c>
      <c r="F45">
        <f t="shared" si="0"/>
        <v>41511.24</v>
      </c>
      <c r="G45">
        <f t="shared" si="0"/>
        <v>17110.29</v>
      </c>
      <c r="H45">
        <f t="shared" si="0"/>
        <v>24070.179999999997</v>
      </c>
      <c r="I45">
        <f t="shared" si="0"/>
        <v>46432.009999999995</v>
      </c>
      <c r="J45">
        <f t="shared" si="0"/>
        <v>59878.46</v>
      </c>
      <c r="K45">
        <f t="shared" si="0"/>
        <v>70468.59</v>
      </c>
      <c r="L45">
        <f t="shared" si="0"/>
        <v>90792.58</v>
      </c>
      <c r="M45">
        <f t="shared" si="0"/>
        <v>128436.62</v>
      </c>
      <c r="N45">
        <f t="shared" si="0"/>
        <v>123947.55</v>
      </c>
      <c r="O45">
        <f t="shared" si="0"/>
        <v>97922.11</v>
      </c>
      <c r="P45">
        <f t="shared" si="0"/>
        <v>90683.24</v>
      </c>
      <c r="Q45">
        <f t="shared" si="0"/>
        <v>121536</v>
      </c>
      <c r="R45">
        <f t="shared" si="0"/>
        <v>98093.87999999999</v>
      </c>
      <c r="S45">
        <f t="shared" si="0"/>
        <v>70966.789999999994</v>
      </c>
      <c r="T45">
        <f t="shared" si="0"/>
        <v>59357.460000000006</v>
      </c>
      <c r="U45">
        <f t="shared" si="0"/>
        <v>72094.579999999987</v>
      </c>
      <c r="V45">
        <f t="shared" si="0"/>
        <v>58799.78</v>
      </c>
      <c r="W45">
        <f>SUM(C45:V45)</f>
        <v>1468986.5999999999</v>
      </c>
    </row>
    <row r="46" spans="2:90" x14ac:dyDescent="0.3">
      <c r="C46">
        <f>SUM(E45:F45)/W45</f>
        <v>7.5449047663198585E-2</v>
      </c>
      <c r="E46">
        <f>SUM(E45:F45,G45:J45)/W45</f>
        <v>0.17585223718174148</v>
      </c>
      <c r="K46">
        <f>SUM(K45:R45)/W45</f>
        <v>0.55948813283933296</v>
      </c>
      <c r="S46">
        <f>SUM(S45:V45)/W45</f>
        <v>0.17782232322609343</v>
      </c>
    </row>
    <row r="47" spans="2:90" x14ac:dyDescent="0.3">
      <c r="B47" t="s">
        <v>37</v>
      </c>
      <c r="X47" t="s">
        <v>38</v>
      </c>
      <c r="AU47" t="s">
        <v>39</v>
      </c>
      <c r="BR47" t="s">
        <v>40</v>
      </c>
    </row>
    <row r="48" spans="2:90" x14ac:dyDescent="0.3">
      <c r="B48" s="1" t="s">
        <v>16</v>
      </c>
      <c r="C48" s="1" t="s">
        <v>17</v>
      </c>
      <c r="D48" s="1" t="s">
        <v>18</v>
      </c>
      <c r="E48" s="1" t="s">
        <v>17</v>
      </c>
      <c r="F48" s="1" t="s">
        <v>18</v>
      </c>
      <c r="G48" s="1" t="s">
        <v>17</v>
      </c>
      <c r="H48" s="1" t="s">
        <v>18</v>
      </c>
      <c r="I48" s="1" t="s">
        <v>17</v>
      </c>
      <c r="J48" s="1" t="s">
        <v>18</v>
      </c>
      <c r="K48" s="1" t="s">
        <v>17</v>
      </c>
      <c r="L48" s="1" t="s">
        <v>18</v>
      </c>
      <c r="M48" s="1" t="s">
        <v>17</v>
      </c>
      <c r="N48" s="1" t="s">
        <v>18</v>
      </c>
      <c r="O48" s="1" t="s">
        <v>17</v>
      </c>
      <c r="P48" s="1" t="s">
        <v>18</v>
      </c>
      <c r="Q48" s="1" t="s">
        <v>17</v>
      </c>
      <c r="R48" s="1" t="s">
        <v>18</v>
      </c>
      <c r="S48" s="1" t="s">
        <v>17</v>
      </c>
      <c r="T48" s="1" t="s">
        <v>18</v>
      </c>
      <c r="U48" s="1" t="s">
        <v>17</v>
      </c>
      <c r="V48" s="1" t="s">
        <v>18</v>
      </c>
      <c r="X48" s="1" t="s">
        <v>16</v>
      </c>
      <c r="Y48" s="1" t="s">
        <v>17</v>
      </c>
      <c r="Z48" s="1" t="s">
        <v>18</v>
      </c>
      <c r="AA48" s="1" t="s">
        <v>17</v>
      </c>
      <c r="AB48" s="1" t="s">
        <v>18</v>
      </c>
      <c r="AC48" s="1" t="s">
        <v>17</v>
      </c>
      <c r="AD48" s="1" t="s">
        <v>18</v>
      </c>
      <c r="AE48" s="1" t="s">
        <v>17</v>
      </c>
      <c r="AF48" s="1" t="s">
        <v>18</v>
      </c>
      <c r="AG48" s="1" t="s">
        <v>17</v>
      </c>
      <c r="AH48" s="1" t="s">
        <v>18</v>
      </c>
      <c r="AI48" s="1" t="s">
        <v>17</v>
      </c>
      <c r="AJ48" s="1" t="s">
        <v>18</v>
      </c>
      <c r="AK48" s="1" t="s">
        <v>17</v>
      </c>
      <c r="AL48" s="1" t="s">
        <v>18</v>
      </c>
      <c r="AM48" s="1" t="s">
        <v>17</v>
      </c>
      <c r="AN48" s="1" t="s">
        <v>18</v>
      </c>
      <c r="AO48" s="1" t="s">
        <v>17</v>
      </c>
      <c r="AP48" s="1" t="s">
        <v>18</v>
      </c>
      <c r="AQ48" s="1" t="s">
        <v>17</v>
      </c>
      <c r="AR48" s="1" t="s">
        <v>18</v>
      </c>
      <c r="AU48" s="1" t="s">
        <v>16</v>
      </c>
      <c r="AV48" s="1" t="s">
        <v>17</v>
      </c>
      <c r="AW48" s="1" t="s">
        <v>18</v>
      </c>
      <c r="AX48" s="1" t="s">
        <v>17</v>
      </c>
      <c r="AY48" s="1" t="s">
        <v>18</v>
      </c>
      <c r="AZ48" s="1" t="s">
        <v>17</v>
      </c>
      <c r="BA48" s="1" t="s">
        <v>18</v>
      </c>
      <c r="BB48" s="1" t="s">
        <v>17</v>
      </c>
      <c r="BC48" s="1" t="s">
        <v>18</v>
      </c>
      <c r="BD48" s="1" t="s">
        <v>17</v>
      </c>
      <c r="BE48" s="1" t="s">
        <v>18</v>
      </c>
      <c r="BF48" s="1" t="s">
        <v>17</v>
      </c>
      <c r="BG48" s="1" t="s">
        <v>18</v>
      </c>
      <c r="BH48" s="1" t="s">
        <v>17</v>
      </c>
      <c r="BI48" s="1" t="s">
        <v>18</v>
      </c>
      <c r="BJ48" s="1" t="s">
        <v>17</v>
      </c>
      <c r="BK48" s="1" t="s">
        <v>18</v>
      </c>
      <c r="BL48" s="1" t="s">
        <v>17</v>
      </c>
      <c r="BM48" s="1" t="s">
        <v>18</v>
      </c>
      <c r="BN48" s="1" t="s">
        <v>17</v>
      </c>
      <c r="BO48" s="1" t="s">
        <v>18</v>
      </c>
      <c r="BR48" s="1" t="s">
        <v>16</v>
      </c>
      <c r="BS48" s="1" t="s">
        <v>17</v>
      </c>
      <c r="BT48" s="1" t="s">
        <v>18</v>
      </c>
      <c r="BU48" s="1" t="s">
        <v>17</v>
      </c>
      <c r="BV48" s="1" t="s">
        <v>18</v>
      </c>
      <c r="BW48" s="1" t="s">
        <v>17</v>
      </c>
      <c r="BX48" s="1" t="s">
        <v>18</v>
      </c>
      <c r="BY48" s="1" t="s">
        <v>17</v>
      </c>
      <c r="BZ48" s="1" t="s">
        <v>18</v>
      </c>
      <c r="CA48" s="1" t="s">
        <v>17</v>
      </c>
      <c r="CB48" s="1" t="s">
        <v>18</v>
      </c>
      <c r="CC48" s="1" t="s">
        <v>17</v>
      </c>
      <c r="CD48" s="1" t="s">
        <v>18</v>
      </c>
      <c r="CE48" s="1" t="s">
        <v>17</v>
      </c>
      <c r="CF48" s="1" t="s">
        <v>18</v>
      </c>
      <c r="CG48" s="1" t="s">
        <v>17</v>
      </c>
      <c r="CH48" s="1" t="s">
        <v>18</v>
      </c>
      <c r="CI48" s="1" t="s">
        <v>17</v>
      </c>
      <c r="CJ48" s="1" t="s">
        <v>18</v>
      </c>
      <c r="CK48" s="1" t="s">
        <v>17</v>
      </c>
      <c r="CL48" s="1" t="s">
        <v>18</v>
      </c>
    </row>
    <row r="49" spans="2:111" x14ac:dyDescent="0.3">
      <c r="B49" s="1" t="s">
        <v>19</v>
      </c>
      <c r="C49" s="1" t="s">
        <v>1</v>
      </c>
      <c r="D49" s="1" t="s">
        <v>1</v>
      </c>
      <c r="E49" s="1" t="s">
        <v>2</v>
      </c>
      <c r="F49" s="1" t="s">
        <v>2</v>
      </c>
      <c r="G49" s="1" t="s">
        <v>3</v>
      </c>
      <c r="H49" s="1" t="s">
        <v>3</v>
      </c>
      <c r="I49" s="1" t="s">
        <v>4</v>
      </c>
      <c r="J49" s="1" t="s">
        <v>4</v>
      </c>
      <c r="K49" s="1" t="s">
        <v>5</v>
      </c>
      <c r="L49" s="1" t="s">
        <v>5</v>
      </c>
      <c r="M49" s="1" t="s">
        <v>6</v>
      </c>
      <c r="N49" s="1" t="s">
        <v>6</v>
      </c>
      <c r="O49" s="1" t="s">
        <v>7</v>
      </c>
      <c r="P49" s="1" t="s">
        <v>7</v>
      </c>
      <c r="Q49" s="1" t="s">
        <v>8</v>
      </c>
      <c r="R49" s="1" t="s">
        <v>8</v>
      </c>
      <c r="S49" s="1" t="s">
        <v>9</v>
      </c>
      <c r="T49" s="1" t="s">
        <v>9</v>
      </c>
      <c r="U49" s="1" t="s">
        <v>10</v>
      </c>
      <c r="V49" s="1" t="s">
        <v>10</v>
      </c>
      <c r="X49" s="1" t="s">
        <v>19</v>
      </c>
      <c r="Y49" s="1" t="s">
        <v>1</v>
      </c>
      <c r="Z49" s="1" t="s">
        <v>1</v>
      </c>
      <c r="AA49" s="1" t="s">
        <v>2</v>
      </c>
      <c r="AB49" s="1" t="s">
        <v>2</v>
      </c>
      <c r="AC49" s="1" t="s">
        <v>3</v>
      </c>
      <c r="AD49" s="1" t="s">
        <v>3</v>
      </c>
      <c r="AE49" s="1" t="s">
        <v>4</v>
      </c>
      <c r="AF49" s="1" t="s">
        <v>4</v>
      </c>
      <c r="AG49" s="1" t="s">
        <v>5</v>
      </c>
      <c r="AH49" s="1" t="s">
        <v>5</v>
      </c>
      <c r="AI49" s="1" t="s">
        <v>6</v>
      </c>
      <c r="AJ49" s="1" t="s">
        <v>6</v>
      </c>
      <c r="AK49" s="1" t="s">
        <v>7</v>
      </c>
      <c r="AL49" s="1" t="s">
        <v>7</v>
      </c>
      <c r="AM49" s="1" t="s">
        <v>8</v>
      </c>
      <c r="AN49" s="1" t="s">
        <v>8</v>
      </c>
      <c r="AO49" s="1" t="s">
        <v>9</v>
      </c>
      <c r="AP49" s="1" t="s">
        <v>9</v>
      </c>
      <c r="AQ49" s="1" t="s">
        <v>10</v>
      </c>
      <c r="AR49" s="1" t="s">
        <v>10</v>
      </c>
      <c r="AU49" s="1" t="s">
        <v>19</v>
      </c>
      <c r="AV49" s="1" t="s">
        <v>1</v>
      </c>
      <c r="AW49" s="1" t="s">
        <v>1</v>
      </c>
      <c r="AX49" s="1" t="s">
        <v>2</v>
      </c>
      <c r="AY49" s="1" t="s">
        <v>2</v>
      </c>
      <c r="AZ49" s="1" t="s">
        <v>3</v>
      </c>
      <c r="BA49" s="1" t="s">
        <v>3</v>
      </c>
      <c r="BB49" s="1" t="s">
        <v>4</v>
      </c>
      <c r="BC49" s="1" t="s">
        <v>4</v>
      </c>
      <c r="BD49" s="1" t="s">
        <v>5</v>
      </c>
      <c r="BE49" s="1" t="s">
        <v>5</v>
      </c>
      <c r="BF49" s="1" t="s">
        <v>6</v>
      </c>
      <c r="BG49" s="1" t="s">
        <v>6</v>
      </c>
      <c r="BH49" s="1" t="s">
        <v>7</v>
      </c>
      <c r="BI49" s="1" t="s">
        <v>7</v>
      </c>
      <c r="BJ49" s="1" t="s">
        <v>8</v>
      </c>
      <c r="BK49" s="1" t="s">
        <v>8</v>
      </c>
      <c r="BL49" s="1" t="s">
        <v>9</v>
      </c>
      <c r="BM49" s="1" t="s">
        <v>9</v>
      </c>
      <c r="BN49" s="1" t="s">
        <v>10</v>
      </c>
      <c r="BO49" s="1" t="s">
        <v>10</v>
      </c>
      <c r="BR49" s="1" t="s">
        <v>19</v>
      </c>
      <c r="BS49" s="1" t="s">
        <v>1</v>
      </c>
      <c r="BT49" s="1" t="s">
        <v>1</v>
      </c>
      <c r="BU49" s="1" t="s">
        <v>2</v>
      </c>
      <c r="BV49" s="1" t="s">
        <v>2</v>
      </c>
      <c r="BW49" s="1" t="s">
        <v>3</v>
      </c>
      <c r="BX49" s="1" t="s">
        <v>3</v>
      </c>
      <c r="BY49" s="1" t="s">
        <v>4</v>
      </c>
      <c r="BZ49" s="1" t="s">
        <v>4</v>
      </c>
      <c r="CA49" s="1" t="s">
        <v>5</v>
      </c>
      <c r="CB49" s="1" t="s">
        <v>5</v>
      </c>
      <c r="CC49" s="1" t="s">
        <v>6</v>
      </c>
      <c r="CD49" s="1" t="s">
        <v>6</v>
      </c>
      <c r="CE49" s="1" t="s">
        <v>7</v>
      </c>
      <c r="CF49" s="1" t="s">
        <v>7</v>
      </c>
      <c r="CG49" s="1" t="s">
        <v>8</v>
      </c>
      <c r="CH49" s="1" t="s">
        <v>8</v>
      </c>
      <c r="CI49" s="1" t="s">
        <v>9</v>
      </c>
      <c r="CJ49" s="1" t="s">
        <v>9</v>
      </c>
      <c r="CK49" s="1" t="s">
        <v>10</v>
      </c>
      <c r="CL49" s="1" t="s">
        <v>10</v>
      </c>
    </row>
    <row r="50" spans="2:111" x14ac:dyDescent="0.3">
      <c r="B50" s="1" t="s">
        <v>20</v>
      </c>
      <c r="X50" s="1" t="s">
        <v>20</v>
      </c>
      <c r="AU50" s="1" t="s">
        <v>20</v>
      </c>
      <c r="BR50" s="1" t="s">
        <v>20</v>
      </c>
    </row>
    <row r="51" spans="2:111" x14ac:dyDescent="0.3">
      <c r="B51" s="1" t="s">
        <v>21</v>
      </c>
      <c r="C51" s="2">
        <v>173.69</v>
      </c>
      <c r="D51" s="2">
        <v>168.72</v>
      </c>
      <c r="E51" s="2">
        <v>180.29</v>
      </c>
      <c r="F51" s="2">
        <v>163.51</v>
      </c>
      <c r="G51" s="2">
        <v>51.32</v>
      </c>
      <c r="H51" s="2">
        <v>65.23</v>
      </c>
      <c r="I51" s="2">
        <v>175.25</v>
      </c>
      <c r="J51" s="2">
        <v>900.31</v>
      </c>
      <c r="K51" s="2">
        <v>1347.95</v>
      </c>
      <c r="L51" s="2">
        <v>1111.47</v>
      </c>
      <c r="M51" s="2">
        <v>2495.3000000000002</v>
      </c>
      <c r="N51" s="2">
        <v>1991.8</v>
      </c>
      <c r="O51" s="2">
        <v>1925.48</v>
      </c>
      <c r="P51" s="2">
        <v>1520.43</v>
      </c>
      <c r="Q51" s="2">
        <v>2444.1799999999998</v>
      </c>
      <c r="R51" s="2">
        <v>2142.8200000000002</v>
      </c>
      <c r="S51" s="2">
        <v>1913.79</v>
      </c>
      <c r="T51" s="2">
        <v>1183.03</v>
      </c>
      <c r="U51" s="2">
        <v>2376.13</v>
      </c>
      <c r="V51" s="2">
        <v>1538.21</v>
      </c>
      <c r="X51" s="1" t="s">
        <v>21</v>
      </c>
      <c r="Y51" s="2">
        <v>0.04</v>
      </c>
      <c r="Z51" s="2">
        <v>0.04</v>
      </c>
      <c r="AA51" s="2">
        <v>0.04</v>
      </c>
      <c r="AB51" s="2">
        <v>0.03</v>
      </c>
      <c r="AC51" s="2">
        <v>0.03</v>
      </c>
      <c r="AD51" s="2">
        <v>0.04</v>
      </c>
      <c r="AE51" s="2">
        <v>0.03</v>
      </c>
      <c r="AF51" s="2">
        <v>7.0000000000000007E-2</v>
      </c>
      <c r="AG51" s="2">
        <v>0.08</v>
      </c>
      <c r="AH51" s="2">
        <v>7.0000000000000007E-2</v>
      </c>
      <c r="AI51" s="2">
        <v>0.08</v>
      </c>
      <c r="AJ51" s="2">
        <v>7.0000000000000007E-2</v>
      </c>
      <c r="AK51" s="2">
        <v>0.08</v>
      </c>
      <c r="AL51" s="2">
        <v>7.0000000000000007E-2</v>
      </c>
      <c r="AM51" s="2">
        <v>7.0000000000000007E-2</v>
      </c>
      <c r="AN51" s="2">
        <v>7.0000000000000007E-2</v>
      </c>
      <c r="AO51" s="2">
        <v>0.06</v>
      </c>
      <c r="AP51" s="2">
        <v>0.05</v>
      </c>
      <c r="AQ51" s="2">
        <v>7.0000000000000007E-2</v>
      </c>
      <c r="AR51" s="2">
        <v>0.05</v>
      </c>
      <c r="AU51" s="1" t="s">
        <v>21</v>
      </c>
      <c r="AV51" s="2">
        <v>0.28000000000000003</v>
      </c>
      <c r="AW51" s="2">
        <v>0.28000000000000003</v>
      </c>
      <c r="AX51" s="2">
        <v>0.28999999999999998</v>
      </c>
      <c r="AY51" s="2">
        <v>0.28999999999999998</v>
      </c>
      <c r="AZ51" s="2">
        <v>0.28000000000000003</v>
      </c>
      <c r="BA51" s="2">
        <v>0.28000000000000003</v>
      </c>
      <c r="BB51" s="2">
        <v>0.28000000000000003</v>
      </c>
      <c r="BC51" s="2">
        <v>0.73</v>
      </c>
      <c r="BD51" s="2">
        <v>0.67</v>
      </c>
      <c r="BE51" s="2">
        <v>0.73</v>
      </c>
      <c r="BF51" s="2">
        <v>0.81</v>
      </c>
      <c r="BG51" s="2">
        <v>0.71</v>
      </c>
      <c r="BH51" s="2">
        <v>0.82</v>
      </c>
      <c r="BI51" s="2">
        <v>0.69</v>
      </c>
      <c r="BJ51" s="2">
        <v>0.75</v>
      </c>
      <c r="BK51" s="2">
        <v>0.7</v>
      </c>
      <c r="BL51" s="2">
        <v>0.68</v>
      </c>
      <c r="BM51" s="2">
        <v>0.52</v>
      </c>
      <c r="BN51" s="2">
        <v>0.69</v>
      </c>
      <c r="BO51" s="2">
        <v>0.55000000000000004</v>
      </c>
      <c r="BR51" s="1" t="s">
        <v>21</v>
      </c>
      <c r="BS51" s="2">
        <v>0.28999999999999998</v>
      </c>
      <c r="BT51" s="2">
        <v>0.28999999999999998</v>
      </c>
      <c r="BU51" s="2">
        <v>0.3</v>
      </c>
      <c r="BV51" s="2">
        <v>0.3</v>
      </c>
      <c r="BW51" s="2">
        <v>0.3</v>
      </c>
      <c r="BX51" s="2">
        <v>0.3</v>
      </c>
      <c r="BY51" s="2">
        <v>0.28999999999999998</v>
      </c>
      <c r="BZ51" s="2">
        <v>0.81</v>
      </c>
      <c r="CA51" s="2">
        <v>0.74</v>
      </c>
      <c r="CB51" s="2">
        <v>0.8</v>
      </c>
      <c r="CC51" s="2">
        <v>0.89</v>
      </c>
      <c r="CD51" s="2">
        <v>0.79</v>
      </c>
      <c r="CE51" s="2">
        <v>0.9</v>
      </c>
      <c r="CF51" s="2">
        <v>0.77</v>
      </c>
      <c r="CG51" s="2">
        <v>0.83</v>
      </c>
      <c r="CH51" s="2">
        <v>0.78</v>
      </c>
      <c r="CI51" s="2">
        <v>0.75</v>
      </c>
      <c r="CJ51" s="2">
        <v>0.57999999999999996</v>
      </c>
      <c r="CK51" s="2">
        <v>0.77</v>
      </c>
      <c r="CL51" s="2">
        <v>0.61</v>
      </c>
    </row>
    <row r="52" spans="2:111" x14ac:dyDescent="0.3">
      <c r="B52" s="1" t="s">
        <v>22</v>
      </c>
      <c r="C52" s="2">
        <v>1177.27</v>
      </c>
      <c r="D52" s="2">
        <v>421.28</v>
      </c>
      <c r="E52" s="2">
        <v>1005.2</v>
      </c>
      <c r="F52" s="2">
        <v>406.06</v>
      </c>
      <c r="G52" s="2">
        <v>284.95</v>
      </c>
      <c r="H52" s="2">
        <v>236.93</v>
      </c>
      <c r="I52" s="2">
        <v>1561.24</v>
      </c>
      <c r="J52" s="2">
        <v>1311.31</v>
      </c>
      <c r="K52" s="2">
        <v>2019.85</v>
      </c>
      <c r="L52" s="2">
        <v>1160.42</v>
      </c>
      <c r="M52" s="2">
        <v>4505.91</v>
      </c>
      <c r="N52" s="2">
        <v>2183.11</v>
      </c>
      <c r="O52" s="2">
        <v>3214.56</v>
      </c>
      <c r="P52" s="2">
        <v>2193.96</v>
      </c>
      <c r="Q52" s="2">
        <v>3623.41</v>
      </c>
      <c r="R52" s="2">
        <v>2233.37</v>
      </c>
      <c r="S52" s="2">
        <v>2992.84</v>
      </c>
      <c r="T52" s="2">
        <v>1418.37</v>
      </c>
      <c r="U52" s="2">
        <v>3355.65</v>
      </c>
      <c r="V52" s="2">
        <v>1161.18</v>
      </c>
      <c r="X52" s="1" t="s">
        <v>22</v>
      </c>
      <c r="Y52" s="2">
        <v>0.33</v>
      </c>
      <c r="Z52" s="2">
        <v>0.2</v>
      </c>
      <c r="AA52" s="2">
        <v>0.34</v>
      </c>
      <c r="AB52" s="2">
        <v>0.22</v>
      </c>
      <c r="AC52" s="2">
        <v>0.22</v>
      </c>
      <c r="AD52" s="2">
        <v>0.28000000000000003</v>
      </c>
      <c r="AE52" s="2">
        <v>0.37</v>
      </c>
      <c r="AF52" s="2">
        <v>0.26</v>
      </c>
      <c r="AG52" s="2">
        <v>0.35</v>
      </c>
      <c r="AH52" s="2">
        <v>0.24</v>
      </c>
      <c r="AI52" s="2">
        <v>0.33</v>
      </c>
      <c r="AJ52" s="2">
        <v>0.24</v>
      </c>
      <c r="AK52" s="2">
        <v>0.28999999999999998</v>
      </c>
      <c r="AL52" s="2">
        <v>0.26</v>
      </c>
      <c r="AM52" s="2">
        <v>0.28000000000000003</v>
      </c>
      <c r="AN52" s="2">
        <v>0.25</v>
      </c>
      <c r="AO52" s="2">
        <v>0.27</v>
      </c>
      <c r="AP52" s="2">
        <v>0.2</v>
      </c>
      <c r="AQ52" s="2">
        <v>0.31</v>
      </c>
      <c r="AR52" s="2">
        <v>0.19</v>
      </c>
      <c r="AU52" s="1" t="s">
        <v>22</v>
      </c>
      <c r="AV52" s="2">
        <v>0.65</v>
      </c>
      <c r="AW52" s="2">
        <v>0.43</v>
      </c>
      <c r="AX52" s="2">
        <v>0.59</v>
      </c>
      <c r="AY52" s="2">
        <v>0.4</v>
      </c>
      <c r="AZ52" s="2">
        <v>0.56000000000000005</v>
      </c>
      <c r="BA52" s="2">
        <v>0.5</v>
      </c>
      <c r="BB52" s="2">
        <v>0.67</v>
      </c>
      <c r="BC52" s="2">
        <v>0.69</v>
      </c>
      <c r="BD52" s="2">
        <v>0.71</v>
      </c>
      <c r="BE52" s="2">
        <v>0.63</v>
      </c>
      <c r="BF52" s="2">
        <v>0.76</v>
      </c>
      <c r="BG52" s="2">
        <v>0.64</v>
      </c>
      <c r="BH52" s="2">
        <v>0.76</v>
      </c>
      <c r="BI52" s="2">
        <v>0.68</v>
      </c>
      <c r="BJ52" s="2">
        <v>0.72</v>
      </c>
      <c r="BK52" s="2">
        <v>0.61</v>
      </c>
      <c r="BL52" s="2">
        <v>0.7</v>
      </c>
      <c r="BM52" s="2">
        <v>0.55000000000000004</v>
      </c>
      <c r="BN52" s="2">
        <v>0.65</v>
      </c>
      <c r="BO52" s="2">
        <v>0.43</v>
      </c>
      <c r="BR52" s="1" t="s">
        <v>22</v>
      </c>
      <c r="BS52" s="2">
        <v>0.76</v>
      </c>
      <c r="BT52" s="2">
        <v>0.5</v>
      </c>
      <c r="BU52" s="2">
        <v>0.71</v>
      </c>
      <c r="BV52" s="2">
        <v>0.47</v>
      </c>
      <c r="BW52" s="2">
        <v>0.66</v>
      </c>
      <c r="BX52" s="2">
        <v>0.6</v>
      </c>
      <c r="BY52" s="2">
        <v>0.8</v>
      </c>
      <c r="BZ52" s="2">
        <v>0.82</v>
      </c>
      <c r="CA52" s="2">
        <v>0.83</v>
      </c>
      <c r="CB52" s="2">
        <v>0.74</v>
      </c>
      <c r="CC52" s="2">
        <v>0.89</v>
      </c>
      <c r="CD52" s="2">
        <v>0.75</v>
      </c>
      <c r="CE52" s="2">
        <v>0.89</v>
      </c>
      <c r="CF52" s="2">
        <v>0.8</v>
      </c>
      <c r="CG52" s="2">
        <v>0.85</v>
      </c>
      <c r="CH52" s="2">
        <v>0.71</v>
      </c>
      <c r="CI52" s="2">
        <v>0.82</v>
      </c>
      <c r="CJ52" s="2">
        <v>0.64</v>
      </c>
      <c r="CK52" s="2">
        <v>0.75</v>
      </c>
      <c r="CL52" s="2">
        <v>0.5</v>
      </c>
    </row>
    <row r="53" spans="2:111" x14ac:dyDescent="0.3">
      <c r="B53" s="1" t="s">
        <v>23</v>
      </c>
      <c r="C53" s="2">
        <v>21407.65</v>
      </c>
      <c r="D53" s="2">
        <v>1302.93</v>
      </c>
      <c r="E53" s="2">
        <v>24503.31</v>
      </c>
      <c r="F53" s="2">
        <v>1023.05</v>
      </c>
      <c r="G53" s="2">
        <v>4113.9399999999996</v>
      </c>
      <c r="H53" s="2">
        <v>3787.48</v>
      </c>
      <c r="I53" s="2">
        <v>15493.03</v>
      </c>
      <c r="J53" s="2">
        <v>6873.51</v>
      </c>
      <c r="K53" s="2">
        <v>20101.39</v>
      </c>
      <c r="L53" s="2">
        <v>6911.15</v>
      </c>
      <c r="M53" s="2">
        <v>37293.129999999997</v>
      </c>
      <c r="N53" s="2">
        <v>12380.94</v>
      </c>
      <c r="O53" s="2">
        <v>27443.64</v>
      </c>
      <c r="P53" s="2">
        <v>10524.14</v>
      </c>
      <c r="Q53" s="2">
        <v>34837.56</v>
      </c>
      <c r="R53" s="2">
        <v>12789.03</v>
      </c>
      <c r="S53" s="2">
        <v>15208.87</v>
      </c>
      <c r="T53" s="2">
        <v>7863.9</v>
      </c>
      <c r="U53" s="2">
        <v>10605.21</v>
      </c>
      <c r="V53" s="2">
        <v>8197.44</v>
      </c>
      <c r="X53" s="1" t="s">
        <v>23</v>
      </c>
      <c r="Y53" s="2">
        <v>0.52</v>
      </c>
      <c r="Z53" s="2">
        <v>0.17</v>
      </c>
      <c r="AA53" s="2">
        <v>0.49</v>
      </c>
      <c r="AB53" s="2">
        <v>0.16</v>
      </c>
      <c r="AC53" s="2">
        <v>0.53</v>
      </c>
      <c r="AD53" s="2">
        <v>0.51</v>
      </c>
      <c r="AE53" s="2">
        <v>0.61</v>
      </c>
      <c r="AF53" s="2">
        <v>0.28999999999999998</v>
      </c>
      <c r="AG53" s="2">
        <v>0.65</v>
      </c>
      <c r="AH53" s="2">
        <v>0.26</v>
      </c>
      <c r="AI53" s="2">
        <v>0.66</v>
      </c>
      <c r="AJ53" s="2">
        <v>0.26</v>
      </c>
      <c r="AK53" s="2">
        <v>0.63</v>
      </c>
      <c r="AL53" s="2">
        <v>0.26</v>
      </c>
      <c r="AM53" s="2">
        <v>0.6</v>
      </c>
      <c r="AN53" s="2">
        <v>0.25</v>
      </c>
      <c r="AO53" s="2">
        <v>0.28999999999999998</v>
      </c>
      <c r="AP53" s="2">
        <v>0.22</v>
      </c>
      <c r="AQ53" s="2">
        <v>0.22</v>
      </c>
      <c r="AR53" s="2">
        <v>0.19</v>
      </c>
      <c r="AU53" s="1" t="s">
        <v>23</v>
      </c>
      <c r="AV53" s="2">
        <v>1.02</v>
      </c>
      <c r="AW53" s="2">
        <v>0.36</v>
      </c>
      <c r="AX53" s="2">
        <v>1.03</v>
      </c>
      <c r="AY53" s="2">
        <v>0.3</v>
      </c>
      <c r="AZ53" s="2">
        <v>0.91</v>
      </c>
      <c r="BA53" s="2">
        <v>0.87</v>
      </c>
      <c r="BB53" s="2">
        <v>0.93</v>
      </c>
      <c r="BC53" s="2">
        <v>0.75</v>
      </c>
      <c r="BD53" s="2">
        <v>0.97</v>
      </c>
      <c r="BE53" s="2">
        <v>0.72</v>
      </c>
      <c r="BF53" s="2">
        <v>0.97</v>
      </c>
      <c r="BG53" s="2">
        <v>0.73</v>
      </c>
      <c r="BH53" s="2">
        <v>0.97</v>
      </c>
      <c r="BI53" s="2">
        <v>0.74</v>
      </c>
      <c r="BJ53" s="2">
        <v>0.96</v>
      </c>
      <c r="BK53" s="2">
        <v>0.71</v>
      </c>
      <c r="BL53" s="2">
        <v>0.77</v>
      </c>
      <c r="BM53" s="2">
        <v>0.63</v>
      </c>
      <c r="BN53" s="2">
        <v>0.62</v>
      </c>
      <c r="BO53" s="2">
        <v>0.56000000000000005</v>
      </c>
      <c r="BR53" s="1" t="s">
        <v>23</v>
      </c>
      <c r="BS53" s="2">
        <v>1.27</v>
      </c>
      <c r="BT53" s="2">
        <v>0.42</v>
      </c>
      <c r="BU53" s="2">
        <v>1.27</v>
      </c>
      <c r="BV53" s="2">
        <v>0.36</v>
      </c>
      <c r="BW53" s="2">
        <v>1.24</v>
      </c>
      <c r="BX53" s="2">
        <v>1.1100000000000001</v>
      </c>
      <c r="BY53" s="2">
        <v>1.2</v>
      </c>
      <c r="BZ53" s="2">
        <v>0.88</v>
      </c>
      <c r="CA53" s="2">
        <v>1.26</v>
      </c>
      <c r="CB53" s="2">
        <v>0.84</v>
      </c>
      <c r="CC53" s="2">
        <v>1.27</v>
      </c>
      <c r="CD53" s="2">
        <v>0.84</v>
      </c>
      <c r="CE53" s="2">
        <v>1.27</v>
      </c>
      <c r="CF53" s="2">
        <v>0.85</v>
      </c>
      <c r="CG53" s="2">
        <v>1.27</v>
      </c>
      <c r="CH53" s="2">
        <v>0.82</v>
      </c>
      <c r="CI53" s="2">
        <v>0.9</v>
      </c>
      <c r="CJ53" s="2">
        <v>0.73</v>
      </c>
      <c r="CK53" s="2">
        <v>0.71</v>
      </c>
      <c r="CL53" s="2">
        <v>0.65</v>
      </c>
    </row>
    <row r="54" spans="2:111" x14ac:dyDescent="0.3">
      <c r="B54" s="1" t="s">
        <v>24</v>
      </c>
      <c r="C54" s="2">
        <v>2972.85</v>
      </c>
      <c r="D54" s="2">
        <v>552.33000000000004</v>
      </c>
      <c r="E54" s="2">
        <v>3315.25</v>
      </c>
      <c r="F54" s="2">
        <v>350.75</v>
      </c>
      <c r="G54" s="2">
        <v>998.61</v>
      </c>
      <c r="H54" s="2">
        <v>1497.85</v>
      </c>
      <c r="I54" s="2">
        <v>3635.76</v>
      </c>
      <c r="J54" s="2">
        <v>1916.47</v>
      </c>
      <c r="K54" s="2">
        <v>4253.57</v>
      </c>
      <c r="L54" s="2">
        <v>1766.91</v>
      </c>
      <c r="M54" s="2">
        <v>7623.8</v>
      </c>
      <c r="N54" s="2">
        <v>2875.93</v>
      </c>
      <c r="O54" s="2">
        <v>5996.1</v>
      </c>
      <c r="P54" s="2">
        <v>2408.77</v>
      </c>
      <c r="Q54" s="2">
        <v>5949.29</v>
      </c>
      <c r="R54" s="2">
        <v>2666.48</v>
      </c>
      <c r="S54" s="2">
        <v>2407.3200000000002</v>
      </c>
      <c r="T54" s="2">
        <v>1944.15</v>
      </c>
      <c r="U54" s="2">
        <v>2499.84</v>
      </c>
      <c r="V54" s="2">
        <v>2183.08</v>
      </c>
      <c r="X54" s="1" t="s">
        <v>24</v>
      </c>
      <c r="Y54" s="2">
        <v>0.45</v>
      </c>
      <c r="Z54" s="2">
        <v>0.18</v>
      </c>
      <c r="AA54" s="2">
        <v>0.45</v>
      </c>
      <c r="AB54" s="2">
        <v>0.2</v>
      </c>
      <c r="AC54" s="2">
        <v>0.39</v>
      </c>
      <c r="AD54" s="2">
        <v>0.37</v>
      </c>
      <c r="AE54" s="2">
        <v>0.45</v>
      </c>
      <c r="AF54" s="2">
        <v>0.28999999999999998</v>
      </c>
      <c r="AG54" s="2">
        <v>0.43</v>
      </c>
      <c r="AH54" s="2">
        <v>0.26</v>
      </c>
      <c r="AI54" s="2">
        <v>0.43</v>
      </c>
      <c r="AJ54" s="2">
        <v>0.25</v>
      </c>
      <c r="AK54" s="2">
        <v>0.42</v>
      </c>
      <c r="AL54" s="2">
        <v>0.25</v>
      </c>
      <c r="AM54" s="2">
        <v>0.32</v>
      </c>
      <c r="AN54" s="2">
        <v>0.24</v>
      </c>
      <c r="AO54" s="2">
        <v>0.24</v>
      </c>
      <c r="AP54" s="2">
        <v>0.22</v>
      </c>
      <c r="AQ54" s="2">
        <v>0.22</v>
      </c>
      <c r="AR54" s="2">
        <v>0.21</v>
      </c>
      <c r="AU54" s="1" t="s">
        <v>24</v>
      </c>
      <c r="AV54" s="2">
        <v>0.9</v>
      </c>
      <c r="AW54" s="2">
        <v>0.53</v>
      </c>
      <c r="AX54" s="2">
        <v>0.89</v>
      </c>
      <c r="AY54" s="2">
        <v>0.37</v>
      </c>
      <c r="AZ54" s="2">
        <v>0.88</v>
      </c>
      <c r="BA54" s="2">
        <v>0.94</v>
      </c>
      <c r="BB54" s="2">
        <v>0.91</v>
      </c>
      <c r="BC54" s="2">
        <v>0.78</v>
      </c>
      <c r="BD54" s="2">
        <v>0.92</v>
      </c>
      <c r="BE54" s="2">
        <v>0.75</v>
      </c>
      <c r="BF54" s="2">
        <v>0.92</v>
      </c>
      <c r="BG54" s="2">
        <v>0.73</v>
      </c>
      <c r="BH54" s="2">
        <v>0.92</v>
      </c>
      <c r="BI54" s="2">
        <v>0.74</v>
      </c>
      <c r="BJ54" s="2">
        <v>0.87</v>
      </c>
      <c r="BK54" s="2">
        <v>0.7</v>
      </c>
      <c r="BL54" s="2">
        <v>0.69</v>
      </c>
      <c r="BM54" s="2">
        <v>0.65</v>
      </c>
      <c r="BN54" s="2">
        <v>0.65</v>
      </c>
      <c r="BO54" s="2">
        <v>0.61</v>
      </c>
      <c r="BR54" s="1" t="s">
        <v>24</v>
      </c>
      <c r="BS54" s="2">
        <v>1.1100000000000001</v>
      </c>
      <c r="BT54" s="2">
        <v>0.62</v>
      </c>
      <c r="BU54" s="2">
        <v>1.1100000000000001</v>
      </c>
      <c r="BV54" s="2">
        <v>0.44</v>
      </c>
      <c r="BW54" s="2">
        <v>1.1100000000000001</v>
      </c>
      <c r="BX54" s="2">
        <v>1.1100000000000001</v>
      </c>
      <c r="BY54" s="2">
        <v>1.1100000000000001</v>
      </c>
      <c r="BZ54" s="2">
        <v>0.92</v>
      </c>
      <c r="CA54" s="2">
        <v>1.1100000000000001</v>
      </c>
      <c r="CB54" s="2">
        <v>0.87</v>
      </c>
      <c r="CC54" s="2">
        <v>1.1100000000000001</v>
      </c>
      <c r="CD54" s="2">
        <v>0.84</v>
      </c>
      <c r="CE54" s="2">
        <v>1.1100000000000001</v>
      </c>
      <c r="CF54" s="2">
        <v>0.85</v>
      </c>
      <c r="CG54" s="2">
        <v>1.02</v>
      </c>
      <c r="CH54" s="2">
        <v>0.81</v>
      </c>
      <c r="CI54" s="2">
        <v>0.8</v>
      </c>
      <c r="CJ54" s="2">
        <v>0.75</v>
      </c>
      <c r="CK54" s="2">
        <v>0.74</v>
      </c>
      <c r="CL54" s="2">
        <v>0.71</v>
      </c>
    </row>
    <row r="55" spans="2:111" x14ac:dyDescent="0.3">
      <c r="B55" s="1" t="s">
        <v>25</v>
      </c>
      <c r="C55" s="2">
        <v>10565.19</v>
      </c>
      <c r="D55" s="2">
        <v>11390.64</v>
      </c>
      <c r="E55" s="2">
        <v>14665.2</v>
      </c>
      <c r="F55" s="2">
        <v>5645.42</v>
      </c>
      <c r="G55" s="2">
        <v>4104.47</v>
      </c>
      <c r="H55" s="2">
        <v>4564.09</v>
      </c>
      <c r="I55" s="2">
        <v>5694.67</v>
      </c>
      <c r="J55" s="2">
        <v>14363.7</v>
      </c>
      <c r="K55" s="2">
        <v>15355.51</v>
      </c>
      <c r="L55" s="2">
        <v>17951.41</v>
      </c>
      <c r="M55" s="2">
        <v>22205.77</v>
      </c>
      <c r="N55" s="2">
        <v>19708.63</v>
      </c>
      <c r="O55" s="2">
        <v>14612.11</v>
      </c>
      <c r="P55" s="2">
        <v>14125.5</v>
      </c>
      <c r="Q55" s="2">
        <v>16028.36</v>
      </c>
      <c r="R55" s="2">
        <v>14567.74</v>
      </c>
      <c r="S55" s="2">
        <v>11929.84</v>
      </c>
      <c r="T55" s="2">
        <v>9956.5300000000007</v>
      </c>
      <c r="U55" s="2">
        <v>13254.12</v>
      </c>
      <c r="V55" s="2">
        <v>10724.77</v>
      </c>
      <c r="X55" s="1" t="s">
        <v>25</v>
      </c>
      <c r="Y55" s="2">
        <v>0.31</v>
      </c>
      <c r="Z55" s="2">
        <v>0.33</v>
      </c>
      <c r="AA55" s="2">
        <v>0.4</v>
      </c>
      <c r="AB55" s="2">
        <v>0.35</v>
      </c>
      <c r="AC55" s="2">
        <v>0.31</v>
      </c>
      <c r="AD55" s="2">
        <v>0.34</v>
      </c>
      <c r="AE55" s="2">
        <v>0.31</v>
      </c>
      <c r="AF55" s="2">
        <v>0.34</v>
      </c>
      <c r="AG55" s="2">
        <v>0.32</v>
      </c>
      <c r="AH55" s="2">
        <v>0.34</v>
      </c>
      <c r="AI55" s="2">
        <v>0.3</v>
      </c>
      <c r="AJ55" s="2">
        <v>0.3</v>
      </c>
      <c r="AK55" s="2">
        <v>0.28000000000000003</v>
      </c>
      <c r="AL55" s="2">
        <v>0.28999999999999998</v>
      </c>
      <c r="AM55" s="2">
        <v>0.26</v>
      </c>
      <c r="AN55" s="2">
        <v>0.26</v>
      </c>
      <c r="AO55" s="2">
        <v>0.24</v>
      </c>
      <c r="AP55" s="2">
        <v>0.24</v>
      </c>
      <c r="AQ55" s="2">
        <v>0.23</v>
      </c>
      <c r="AR55" s="2">
        <v>0.26</v>
      </c>
      <c r="AU55" s="1" t="s">
        <v>25</v>
      </c>
      <c r="AV55" s="2">
        <v>0.87</v>
      </c>
      <c r="AW55" s="2">
        <v>0.85</v>
      </c>
      <c r="AX55" s="2">
        <v>0.87</v>
      </c>
      <c r="AY55" s="2">
        <v>0.63</v>
      </c>
      <c r="AZ55" s="2">
        <v>0.86</v>
      </c>
      <c r="BA55" s="2">
        <v>0.86</v>
      </c>
      <c r="BB55" s="2">
        <v>0.63</v>
      </c>
      <c r="BC55" s="2">
        <v>0.87</v>
      </c>
      <c r="BD55" s="2">
        <v>0.85</v>
      </c>
      <c r="BE55" s="2">
        <v>0.88</v>
      </c>
      <c r="BF55" s="2">
        <v>0.8</v>
      </c>
      <c r="BG55" s="2">
        <v>0.76</v>
      </c>
      <c r="BH55" s="2">
        <v>0.76</v>
      </c>
      <c r="BI55" s="2">
        <v>0.74</v>
      </c>
      <c r="BJ55" s="2">
        <v>0.72</v>
      </c>
      <c r="BK55" s="2">
        <v>0.7</v>
      </c>
      <c r="BL55" s="2">
        <v>0.69</v>
      </c>
      <c r="BM55" s="2">
        <v>0.62</v>
      </c>
      <c r="BN55" s="2">
        <v>0.64</v>
      </c>
      <c r="BO55" s="2">
        <v>0.56000000000000005</v>
      </c>
      <c r="BR55" s="1" t="s">
        <v>25</v>
      </c>
      <c r="BS55" s="2">
        <v>1.07</v>
      </c>
      <c r="BT55" s="2">
        <v>1.01</v>
      </c>
      <c r="BU55" s="2">
        <v>1.07</v>
      </c>
      <c r="BV55" s="2">
        <v>0.75</v>
      </c>
      <c r="BW55" s="2">
        <v>1.07</v>
      </c>
      <c r="BX55" s="2">
        <v>1.07</v>
      </c>
      <c r="BY55" s="2">
        <v>0.74</v>
      </c>
      <c r="BZ55" s="2">
        <v>1.05</v>
      </c>
      <c r="CA55" s="2">
        <v>0.99</v>
      </c>
      <c r="CB55" s="2">
        <v>1.04</v>
      </c>
      <c r="CC55" s="2">
        <v>0.94</v>
      </c>
      <c r="CD55" s="2">
        <v>0.89</v>
      </c>
      <c r="CE55" s="2">
        <v>0.89</v>
      </c>
      <c r="CF55" s="2">
        <v>0.86</v>
      </c>
      <c r="CG55" s="2">
        <v>0.84</v>
      </c>
      <c r="CH55" s="2">
        <v>0.81</v>
      </c>
      <c r="CI55" s="2">
        <v>0.8</v>
      </c>
      <c r="CJ55" s="2">
        <v>0.72</v>
      </c>
      <c r="CK55" s="2">
        <v>0.74</v>
      </c>
      <c r="CL55" s="2">
        <v>0.65</v>
      </c>
    </row>
    <row r="56" spans="2:111" x14ac:dyDescent="0.3">
      <c r="B56" s="1" t="s">
        <v>26</v>
      </c>
      <c r="C56" s="2">
        <v>2901.74</v>
      </c>
      <c r="D56" s="2">
        <v>3477.9</v>
      </c>
      <c r="E56" s="2">
        <v>4094.94</v>
      </c>
      <c r="F56" s="2">
        <v>4101.6000000000004</v>
      </c>
      <c r="G56" s="2">
        <v>998.34</v>
      </c>
      <c r="H56" s="2">
        <v>1152.73</v>
      </c>
      <c r="I56" s="2">
        <v>1461.54</v>
      </c>
      <c r="J56" s="2">
        <v>3014.85</v>
      </c>
      <c r="K56" s="2">
        <v>1710.14</v>
      </c>
      <c r="L56" s="2">
        <v>5161.72</v>
      </c>
      <c r="M56" s="2">
        <v>3871.5</v>
      </c>
      <c r="N56" s="2">
        <v>9712.25</v>
      </c>
      <c r="O56" s="2">
        <v>3039.83</v>
      </c>
      <c r="P56" s="2">
        <v>6304.09</v>
      </c>
      <c r="Q56" s="2">
        <v>3879.56</v>
      </c>
      <c r="R56" s="2">
        <v>8009.73</v>
      </c>
      <c r="S56" s="2">
        <v>3003.19</v>
      </c>
      <c r="T56" s="2">
        <v>5836.71</v>
      </c>
      <c r="U56" s="2">
        <v>3193.84</v>
      </c>
      <c r="V56" s="2">
        <v>2741.37</v>
      </c>
      <c r="X56" s="1" t="s">
        <v>26</v>
      </c>
      <c r="Y56" s="2">
        <v>0.4</v>
      </c>
      <c r="Z56" s="2">
        <v>0.34</v>
      </c>
      <c r="AA56" s="2">
        <v>0.48</v>
      </c>
      <c r="AB56" s="2">
        <v>0.49</v>
      </c>
      <c r="AC56" s="2">
        <v>0.36</v>
      </c>
      <c r="AD56" s="2">
        <v>0.4</v>
      </c>
      <c r="AE56" s="2">
        <v>0.35</v>
      </c>
      <c r="AF56" s="2">
        <v>0.33</v>
      </c>
      <c r="AG56" s="2">
        <v>0.33</v>
      </c>
      <c r="AH56" s="2">
        <v>0.42</v>
      </c>
      <c r="AI56" s="2">
        <v>0.35</v>
      </c>
      <c r="AJ56" s="2">
        <v>0.42</v>
      </c>
      <c r="AK56" s="2">
        <v>0.35</v>
      </c>
      <c r="AL56" s="2">
        <v>0.41</v>
      </c>
      <c r="AM56" s="2">
        <v>0.34</v>
      </c>
      <c r="AN56" s="2">
        <v>0.4</v>
      </c>
      <c r="AO56" s="2">
        <v>0.32</v>
      </c>
      <c r="AP56" s="2">
        <v>0.39</v>
      </c>
      <c r="AQ56" s="2">
        <v>0.28999999999999998</v>
      </c>
      <c r="AR56" s="2">
        <v>0.28999999999999998</v>
      </c>
      <c r="AU56" s="1" t="s">
        <v>26</v>
      </c>
      <c r="AV56" s="2">
        <v>0.88</v>
      </c>
      <c r="AW56" s="2">
        <v>0.92</v>
      </c>
      <c r="AX56" s="2">
        <v>0.89</v>
      </c>
      <c r="AY56" s="2">
        <v>0.89</v>
      </c>
      <c r="AZ56" s="2">
        <v>0.86</v>
      </c>
      <c r="BA56" s="2">
        <v>0.87</v>
      </c>
      <c r="BB56" s="2">
        <v>0.67</v>
      </c>
      <c r="BC56" s="2">
        <v>0.87</v>
      </c>
      <c r="BD56" s="2">
        <v>0.68</v>
      </c>
      <c r="BE56" s="2">
        <v>0.92</v>
      </c>
      <c r="BF56" s="2">
        <v>0.74</v>
      </c>
      <c r="BG56" s="2">
        <v>0.92</v>
      </c>
      <c r="BH56" s="2">
        <v>0.73</v>
      </c>
      <c r="BI56" s="2">
        <v>0.87</v>
      </c>
      <c r="BJ56" s="2">
        <v>0.73</v>
      </c>
      <c r="BK56" s="2">
        <v>0.87</v>
      </c>
      <c r="BL56" s="2">
        <v>0.7</v>
      </c>
      <c r="BM56" s="2">
        <v>0.82</v>
      </c>
      <c r="BN56" s="2">
        <v>0.65</v>
      </c>
      <c r="BO56" s="2">
        <v>0.6</v>
      </c>
      <c r="BR56" s="1" t="s">
        <v>26</v>
      </c>
      <c r="BS56" s="2">
        <v>1.1100000000000001</v>
      </c>
      <c r="BT56" s="2">
        <v>1.1100000000000001</v>
      </c>
      <c r="BU56" s="2">
        <v>1.1100000000000001</v>
      </c>
      <c r="BV56" s="2">
        <v>1.1100000000000001</v>
      </c>
      <c r="BW56" s="2">
        <v>1.1100000000000001</v>
      </c>
      <c r="BX56" s="2">
        <v>1.1100000000000001</v>
      </c>
      <c r="BY56" s="2">
        <v>0.83</v>
      </c>
      <c r="BZ56" s="2">
        <v>1.1100000000000001</v>
      </c>
      <c r="CA56" s="2">
        <v>0.83</v>
      </c>
      <c r="CB56" s="2">
        <v>1.1100000000000001</v>
      </c>
      <c r="CC56" s="2">
        <v>0.89</v>
      </c>
      <c r="CD56" s="2">
        <v>1.1100000000000001</v>
      </c>
      <c r="CE56" s="2">
        <v>0.89</v>
      </c>
      <c r="CF56" s="2">
        <v>1.06</v>
      </c>
      <c r="CG56" s="2">
        <v>0.88</v>
      </c>
      <c r="CH56" s="2">
        <v>1.05</v>
      </c>
      <c r="CI56" s="2">
        <v>0.85</v>
      </c>
      <c r="CJ56" s="2">
        <v>1</v>
      </c>
      <c r="CK56" s="2">
        <v>0.78</v>
      </c>
      <c r="CL56" s="2">
        <v>0.73</v>
      </c>
    </row>
    <row r="57" spans="2:111" x14ac:dyDescent="0.3">
      <c r="B57" s="1" t="s">
        <v>27</v>
      </c>
      <c r="C57" s="2">
        <v>22446.54</v>
      </c>
      <c r="D57" s="2">
        <v>23192.33</v>
      </c>
      <c r="E57" s="2">
        <v>13223.24</v>
      </c>
      <c r="F57" s="2">
        <v>25621.81</v>
      </c>
      <c r="G57" s="2">
        <v>3624.4</v>
      </c>
      <c r="H57" s="2">
        <v>8776.2099999999991</v>
      </c>
      <c r="I57" s="2">
        <v>9906.0499999999993</v>
      </c>
      <c r="J57" s="2">
        <v>15014.44</v>
      </c>
      <c r="K57" s="2">
        <v>9607.9</v>
      </c>
      <c r="L57" s="2">
        <v>35532.080000000002</v>
      </c>
      <c r="M57" s="2">
        <v>19781.2</v>
      </c>
      <c r="N57" s="2">
        <v>42367.78</v>
      </c>
      <c r="O57" s="2">
        <v>16053.3</v>
      </c>
      <c r="P57" s="2">
        <v>30637.86</v>
      </c>
      <c r="Q57" s="2">
        <v>24015.18</v>
      </c>
      <c r="R57" s="2">
        <v>31780.19</v>
      </c>
      <c r="S57" s="2">
        <v>14453.31</v>
      </c>
      <c r="T57" s="2">
        <v>15845.62</v>
      </c>
      <c r="U57" s="2">
        <v>16162.77</v>
      </c>
      <c r="V57" s="2">
        <v>15637.54</v>
      </c>
      <c r="X57" s="1" t="s">
        <v>27</v>
      </c>
      <c r="Y57" s="2">
        <v>0.5</v>
      </c>
      <c r="Z57" s="2">
        <v>0.52</v>
      </c>
      <c r="AA57" s="2">
        <v>0.45</v>
      </c>
      <c r="AB57" s="2">
        <v>0.54</v>
      </c>
      <c r="AC57" s="2">
        <v>0.42</v>
      </c>
      <c r="AD57" s="2">
        <v>0.5</v>
      </c>
      <c r="AE57" s="2">
        <v>0.39</v>
      </c>
      <c r="AF57" s="2">
        <v>0.55000000000000004</v>
      </c>
      <c r="AG57" s="2">
        <v>0.35</v>
      </c>
      <c r="AH57" s="2">
        <v>0.51</v>
      </c>
      <c r="AI57" s="2">
        <v>0.35</v>
      </c>
      <c r="AJ57" s="2">
        <v>0.68</v>
      </c>
      <c r="AK57" s="2">
        <v>0.36</v>
      </c>
      <c r="AL57" s="2">
        <v>0.61</v>
      </c>
      <c r="AM57" s="2">
        <v>0.37</v>
      </c>
      <c r="AN57" s="2">
        <v>0.39</v>
      </c>
      <c r="AO57" s="2">
        <v>0.32</v>
      </c>
      <c r="AP57" s="2">
        <v>0.33</v>
      </c>
      <c r="AQ57" s="2">
        <v>0.3</v>
      </c>
      <c r="AR57" s="2">
        <v>0.3</v>
      </c>
      <c r="AU57" s="1" t="s">
        <v>27</v>
      </c>
      <c r="AV57" s="2">
        <v>1.01</v>
      </c>
      <c r="AW57" s="2">
        <v>1.01</v>
      </c>
      <c r="AX57" s="2">
        <v>0.87</v>
      </c>
      <c r="AY57" s="2">
        <v>1</v>
      </c>
      <c r="AZ57" s="2">
        <v>0.83</v>
      </c>
      <c r="BA57" s="2">
        <v>1</v>
      </c>
      <c r="BB57" s="2">
        <v>0.78</v>
      </c>
      <c r="BC57" s="2">
        <v>0.91</v>
      </c>
      <c r="BD57" s="2">
        <v>0.74</v>
      </c>
      <c r="BE57" s="2">
        <v>1.04</v>
      </c>
      <c r="BF57" s="2">
        <v>0.78</v>
      </c>
      <c r="BG57" s="2">
        <v>0.96</v>
      </c>
      <c r="BH57" s="2">
        <v>0.78</v>
      </c>
      <c r="BI57" s="2">
        <v>0.93</v>
      </c>
      <c r="BJ57" s="2">
        <v>0.81</v>
      </c>
      <c r="BK57" s="2">
        <v>0.88</v>
      </c>
      <c r="BL57" s="2">
        <v>0.72</v>
      </c>
      <c r="BM57" s="2">
        <v>0.73</v>
      </c>
      <c r="BN57" s="2">
        <v>0.68</v>
      </c>
      <c r="BO57" s="2">
        <v>0.66</v>
      </c>
      <c r="BR57" s="1" t="s">
        <v>27</v>
      </c>
      <c r="BS57" s="2">
        <v>1.27</v>
      </c>
      <c r="BT57" s="2">
        <v>1.27</v>
      </c>
      <c r="BU57" s="2">
        <v>1.07</v>
      </c>
      <c r="BV57" s="2">
        <v>1.24</v>
      </c>
      <c r="BW57" s="2">
        <v>1.1100000000000001</v>
      </c>
      <c r="BX57" s="2">
        <v>1.27</v>
      </c>
      <c r="BY57" s="2">
        <v>0.96</v>
      </c>
      <c r="BZ57" s="2">
        <v>1.27</v>
      </c>
      <c r="CA57" s="2">
        <v>0.9</v>
      </c>
      <c r="CB57" s="2">
        <v>1.27</v>
      </c>
      <c r="CC57" s="2">
        <v>0.94</v>
      </c>
      <c r="CD57" s="2">
        <v>1.27</v>
      </c>
      <c r="CE57" s="2">
        <v>0.94</v>
      </c>
      <c r="CF57" s="2">
        <v>1.21</v>
      </c>
      <c r="CG57" s="2">
        <v>0.98</v>
      </c>
      <c r="CH57" s="2">
        <v>1.05</v>
      </c>
      <c r="CI57" s="2">
        <v>0.87</v>
      </c>
      <c r="CJ57" s="2">
        <v>0.88</v>
      </c>
      <c r="CK57" s="2">
        <v>0.81</v>
      </c>
      <c r="CL57" s="2">
        <v>0.8</v>
      </c>
    </row>
    <row r="58" spans="2:111" x14ac:dyDescent="0.3">
      <c r="B58" s="1" t="s">
        <v>28</v>
      </c>
      <c r="C58" s="2">
        <v>2316.92</v>
      </c>
      <c r="D58" s="2">
        <v>3960.41</v>
      </c>
      <c r="E58" s="2">
        <v>764.57</v>
      </c>
      <c r="F58" s="2">
        <v>845.04</v>
      </c>
      <c r="G58" s="2">
        <v>31.85</v>
      </c>
      <c r="H58" s="2">
        <v>393.11</v>
      </c>
      <c r="I58" s="2">
        <v>678.05</v>
      </c>
      <c r="J58" s="2">
        <v>6299.27</v>
      </c>
      <c r="K58" s="2">
        <v>3045.58</v>
      </c>
      <c r="L58" s="2">
        <v>7403.37</v>
      </c>
      <c r="M58" s="2">
        <v>7944.01</v>
      </c>
      <c r="N58" s="2">
        <v>13629.76</v>
      </c>
      <c r="O58" s="2">
        <v>7053.03</v>
      </c>
      <c r="P58" s="2">
        <v>8982.06</v>
      </c>
      <c r="Q58" s="2">
        <v>7820.11</v>
      </c>
      <c r="R58" s="2">
        <v>7689.91</v>
      </c>
      <c r="S58" s="2">
        <v>5925.59</v>
      </c>
      <c r="T58" s="2">
        <v>4931.13</v>
      </c>
      <c r="U58" s="2">
        <v>6807.88</v>
      </c>
      <c r="V58" s="2">
        <v>5460.51</v>
      </c>
      <c r="X58" s="1" t="s">
        <v>28</v>
      </c>
      <c r="Y58" s="2">
        <v>0.22</v>
      </c>
      <c r="Z58" s="2">
        <v>0.27</v>
      </c>
      <c r="AA58" s="2">
        <v>0.21</v>
      </c>
      <c r="AB58" s="2">
        <v>0.23</v>
      </c>
      <c r="AC58" s="2">
        <v>0.04</v>
      </c>
      <c r="AD58" s="2">
        <v>0.24</v>
      </c>
      <c r="AE58" s="2">
        <v>7.0000000000000007E-2</v>
      </c>
      <c r="AF58" s="2">
        <v>0.25</v>
      </c>
      <c r="AG58" s="2">
        <v>0.18</v>
      </c>
      <c r="AH58" s="2">
        <v>0.24</v>
      </c>
      <c r="AI58" s="2">
        <v>0.17</v>
      </c>
      <c r="AJ58" s="2">
        <v>0.25</v>
      </c>
      <c r="AK58" s="2">
        <v>0.17</v>
      </c>
      <c r="AL58" s="2">
        <v>0.23</v>
      </c>
      <c r="AM58" s="2">
        <v>0.16</v>
      </c>
      <c r="AN58" s="2">
        <v>0.18</v>
      </c>
      <c r="AO58" s="2">
        <v>0.15</v>
      </c>
      <c r="AP58" s="2">
        <v>0.16</v>
      </c>
      <c r="AQ58" s="2">
        <v>0.16</v>
      </c>
      <c r="AR58" s="2">
        <v>0.16</v>
      </c>
      <c r="AU58" s="1" t="s">
        <v>28</v>
      </c>
      <c r="AV58" s="2">
        <v>0.57999999999999996</v>
      </c>
      <c r="AW58" s="2">
        <v>0.7</v>
      </c>
      <c r="AX58" s="2">
        <v>0.3</v>
      </c>
      <c r="AY58" s="2">
        <v>0.32</v>
      </c>
      <c r="AZ58" s="2">
        <v>0.28999999999999998</v>
      </c>
      <c r="BA58" s="2">
        <v>0.36</v>
      </c>
      <c r="BB58" s="2">
        <v>0.3</v>
      </c>
      <c r="BC58" s="2">
        <v>0.8</v>
      </c>
      <c r="BD58" s="2">
        <v>0.61</v>
      </c>
      <c r="BE58" s="2">
        <v>0.81</v>
      </c>
      <c r="BF58" s="2">
        <v>0.74</v>
      </c>
      <c r="BG58" s="2">
        <v>0.81</v>
      </c>
      <c r="BH58" s="2">
        <v>0.77</v>
      </c>
      <c r="BI58" s="2">
        <v>0.77</v>
      </c>
      <c r="BJ58" s="2">
        <v>0.73</v>
      </c>
      <c r="BK58" s="2">
        <v>0.69</v>
      </c>
      <c r="BL58" s="2">
        <v>0.69</v>
      </c>
      <c r="BM58" s="2">
        <v>0.62</v>
      </c>
      <c r="BN58" s="2">
        <v>0.64</v>
      </c>
      <c r="BO58" s="2">
        <v>0.56000000000000005</v>
      </c>
      <c r="BR58" s="1" t="s">
        <v>28</v>
      </c>
      <c r="BS58" s="2">
        <v>0.7</v>
      </c>
      <c r="BT58" s="2">
        <v>0.84</v>
      </c>
      <c r="BU58" s="2">
        <v>0.37</v>
      </c>
      <c r="BV58" s="2">
        <v>0.4</v>
      </c>
      <c r="BW58" s="2">
        <v>0.3</v>
      </c>
      <c r="BX58" s="2">
        <v>0.44</v>
      </c>
      <c r="BY58" s="2">
        <v>0.32</v>
      </c>
      <c r="BZ58" s="2">
        <v>0.98</v>
      </c>
      <c r="CA58" s="2">
        <v>0.73</v>
      </c>
      <c r="CB58" s="2">
        <v>0.98</v>
      </c>
      <c r="CC58" s="2">
        <v>0.88</v>
      </c>
      <c r="CD58" s="2">
        <v>0.98</v>
      </c>
      <c r="CE58" s="2">
        <v>0.92</v>
      </c>
      <c r="CF58" s="2">
        <v>0.93</v>
      </c>
      <c r="CG58" s="2">
        <v>0.87</v>
      </c>
      <c r="CH58" s="2">
        <v>0.83</v>
      </c>
      <c r="CI58" s="2">
        <v>0.83</v>
      </c>
      <c r="CJ58" s="2">
        <v>0.74</v>
      </c>
      <c r="CK58" s="2">
        <v>0.76</v>
      </c>
      <c r="CL58" s="2">
        <v>0.66</v>
      </c>
    </row>
    <row r="61" spans="2:111" x14ac:dyDescent="0.3">
      <c r="B61" t="s">
        <v>41</v>
      </c>
      <c r="X61" t="s">
        <v>42</v>
      </c>
      <c r="AU61" t="s">
        <v>43</v>
      </c>
      <c r="BR61" t="s">
        <v>44</v>
      </c>
    </row>
    <row r="62" spans="2:111" x14ac:dyDescent="0.3">
      <c r="B62" s="1" t="s">
        <v>16</v>
      </c>
      <c r="C62" s="1" t="s">
        <v>17</v>
      </c>
      <c r="D62" s="1" t="s">
        <v>18</v>
      </c>
      <c r="E62" s="1" t="s">
        <v>17</v>
      </c>
      <c r="F62" s="1" t="s">
        <v>18</v>
      </c>
      <c r="G62" s="1" t="s">
        <v>17</v>
      </c>
      <c r="H62" s="1" t="s">
        <v>18</v>
      </c>
      <c r="I62" s="1" t="s">
        <v>17</v>
      </c>
      <c r="J62" s="1" t="s">
        <v>18</v>
      </c>
      <c r="K62" s="1" t="s">
        <v>17</v>
      </c>
      <c r="L62" s="1" t="s">
        <v>18</v>
      </c>
      <c r="M62" s="1" t="s">
        <v>17</v>
      </c>
      <c r="N62" s="1" t="s">
        <v>18</v>
      </c>
      <c r="O62" s="1" t="s">
        <v>17</v>
      </c>
      <c r="P62" s="1" t="s">
        <v>18</v>
      </c>
      <c r="Q62" s="1" t="s">
        <v>17</v>
      </c>
      <c r="R62" s="1" t="s">
        <v>18</v>
      </c>
      <c r="S62" s="1" t="s">
        <v>17</v>
      </c>
      <c r="T62" s="1" t="s">
        <v>18</v>
      </c>
      <c r="U62" s="1" t="s">
        <v>17</v>
      </c>
      <c r="V62" s="1" t="s">
        <v>18</v>
      </c>
      <c r="X62" s="1" t="s">
        <v>16</v>
      </c>
      <c r="Y62" s="1" t="s">
        <v>17</v>
      </c>
      <c r="Z62" s="1" t="s">
        <v>18</v>
      </c>
      <c r="AA62" s="1" t="s">
        <v>17</v>
      </c>
      <c r="AB62" s="1" t="s">
        <v>18</v>
      </c>
      <c r="AC62" s="1" t="s">
        <v>17</v>
      </c>
      <c r="AD62" s="1" t="s">
        <v>18</v>
      </c>
      <c r="AE62" s="1" t="s">
        <v>17</v>
      </c>
      <c r="AF62" s="1" t="s">
        <v>18</v>
      </c>
      <c r="AG62" s="1" t="s">
        <v>17</v>
      </c>
      <c r="AH62" s="1" t="s">
        <v>18</v>
      </c>
      <c r="AI62" s="1" t="s">
        <v>17</v>
      </c>
      <c r="AJ62" s="1" t="s">
        <v>18</v>
      </c>
      <c r="AK62" s="1" t="s">
        <v>17</v>
      </c>
      <c r="AL62" s="1" t="s">
        <v>18</v>
      </c>
      <c r="AM62" s="1" t="s">
        <v>17</v>
      </c>
      <c r="AN62" s="1" t="s">
        <v>18</v>
      </c>
      <c r="AO62" s="1" t="s">
        <v>17</v>
      </c>
      <c r="AP62" s="1" t="s">
        <v>18</v>
      </c>
      <c r="AQ62" s="1" t="s">
        <v>17</v>
      </c>
      <c r="AR62" s="1" t="s">
        <v>18</v>
      </c>
      <c r="AU62" s="1" t="s">
        <v>16</v>
      </c>
      <c r="AV62" s="1" t="s">
        <v>17</v>
      </c>
      <c r="AW62" s="1" t="s">
        <v>18</v>
      </c>
      <c r="AX62" s="1" t="s">
        <v>17</v>
      </c>
      <c r="AY62" s="1" t="s">
        <v>18</v>
      </c>
      <c r="AZ62" s="1" t="s">
        <v>17</v>
      </c>
      <c r="BA62" s="1" t="s">
        <v>18</v>
      </c>
      <c r="BB62" s="1" t="s">
        <v>17</v>
      </c>
      <c r="BC62" s="1" t="s">
        <v>18</v>
      </c>
      <c r="BD62" s="1" t="s">
        <v>17</v>
      </c>
      <c r="BE62" s="1" t="s">
        <v>18</v>
      </c>
      <c r="BF62" s="1" t="s">
        <v>17</v>
      </c>
      <c r="BG62" s="1" t="s">
        <v>18</v>
      </c>
      <c r="BH62" s="1" t="s">
        <v>17</v>
      </c>
      <c r="BI62" s="1" t="s">
        <v>18</v>
      </c>
      <c r="BJ62" s="1" t="s">
        <v>17</v>
      </c>
      <c r="BK62" s="1" t="s">
        <v>18</v>
      </c>
      <c r="BL62" s="1" t="s">
        <v>17</v>
      </c>
      <c r="BM62" s="1" t="s">
        <v>18</v>
      </c>
      <c r="BN62" s="1" t="s">
        <v>17</v>
      </c>
      <c r="BO62" s="1" t="s">
        <v>18</v>
      </c>
      <c r="BR62" s="1" t="s">
        <v>16</v>
      </c>
      <c r="BS62" s="1" t="s">
        <v>17</v>
      </c>
      <c r="BT62" s="1" t="s">
        <v>18</v>
      </c>
      <c r="BU62" s="1" t="s">
        <v>17</v>
      </c>
      <c r="BV62" s="1" t="s">
        <v>18</v>
      </c>
      <c r="BW62" s="1" t="s">
        <v>17</v>
      </c>
      <c r="BX62" s="1" t="s">
        <v>18</v>
      </c>
      <c r="BY62" s="1" t="s">
        <v>17</v>
      </c>
      <c r="BZ62" s="1" t="s">
        <v>18</v>
      </c>
      <c r="CA62" s="1" t="s">
        <v>17</v>
      </c>
      <c r="CB62" s="1" t="s">
        <v>18</v>
      </c>
      <c r="CC62" s="1" t="s">
        <v>17</v>
      </c>
      <c r="CD62" s="1" t="s">
        <v>18</v>
      </c>
      <c r="CE62" s="1" t="s">
        <v>17</v>
      </c>
      <c r="CF62" s="1" t="s">
        <v>18</v>
      </c>
      <c r="CG62" s="1" t="s">
        <v>17</v>
      </c>
      <c r="CH62" s="1" t="s">
        <v>18</v>
      </c>
      <c r="CI62" s="1" t="s">
        <v>17</v>
      </c>
      <c r="CJ62" s="1" t="s">
        <v>18</v>
      </c>
      <c r="CK62" s="1" t="s">
        <v>17</v>
      </c>
      <c r="CL62" s="1" t="s">
        <v>18</v>
      </c>
      <c r="CN62" s="1" t="s">
        <v>17</v>
      </c>
      <c r="CO62" s="1" t="s">
        <v>18</v>
      </c>
      <c r="CP62" s="1" t="s">
        <v>17</v>
      </c>
      <c r="CQ62" s="1" t="s">
        <v>18</v>
      </c>
      <c r="CR62" s="1" t="s">
        <v>17</v>
      </c>
      <c r="CS62" s="1" t="s">
        <v>18</v>
      </c>
      <c r="CT62" s="1" t="s">
        <v>17</v>
      </c>
      <c r="CU62" s="1" t="s">
        <v>18</v>
      </c>
      <c r="CV62" s="1" t="s">
        <v>17</v>
      </c>
      <c r="CW62" s="1" t="s">
        <v>18</v>
      </c>
      <c r="CX62" s="1" t="s">
        <v>17</v>
      </c>
      <c r="CY62" s="1" t="s">
        <v>18</v>
      </c>
      <c r="CZ62" s="1" t="s">
        <v>17</v>
      </c>
      <c r="DA62" s="1" t="s">
        <v>18</v>
      </c>
      <c r="DB62" s="1" t="s">
        <v>17</v>
      </c>
      <c r="DC62" s="1" t="s">
        <v>18</v>
      </c>
      <c r="DD62" s="1" t="s">
        <v>17</v>
      </c>
      <c r="DE62" s="1" t="s">
        <v>18</v>
      </c>
      <c r="DF62" s="1" t="s">
        <v>17</v>
      </c>
      <c r="DG62" s="1" t="s">
        <v>18</v>
      </c>
    </row>
    <row r="63" spans="2:111" x14ac:dyDescent="0.3">
      <c r="B63" s="1" t="s">
        <v>19</v>
      </c>
      <c r="C63" s="1" t="s">
        <v>1</v>
      </c>
      <c r="D63" s="1" t="s">
        <v>1</v>
      </c>
      <c r="E63" s="1" t="s">
        <v>2</v>
      </c>
      <c r="F63" s="1" t="s">
        <v>2</v>
      </c>
      <c r="G63" s="1" t="s">
        <v>3</v>
      </c>
      <c r="H63" s="1" t="s">
        <v>3</v>
      </c>
      <c r="I63" s="1" t="s">
        <v>4</v>
      </c>
      <c r="J63" s="1" t="s">
        <v>4</v>
      </c>
      <c r="K63" s="1" t="s">
        <v>5</v>
      </c>
      <c r="L63" s="1" t="s">
        <v>5</v>
      </c>
      <c r="M63" s="1" t="s">
        <v>6</v>
      </c>
      <c r="N63" s="1" t="s">
        <v>6</v>
      </c>
      <c r="O63" s="1" t="s">
        <v>7</v>
      </c>
      <c r="P63" s="1" t="s">
        <v>7</v>
      </c>
      <c r="Q63" s="1" t="s">
        <v>8</v>
      </c>
      <c r="R63" s="1" t="s">
        <v>8</v>
      </c>
      <c r="S63" s="1" t="s">
        <v>9</v>
      </c>
      <c r="T63" s="1" t="s">
        <v>9</v>
      </c>
      <c r="U63" s="1" t="s">
        <v>10</v>
      </c>
      <c r="V63" s="1" t="s">
        <v>10</v>
      </c>
      <c r="X63" s="1" t="s">
        <v>19</v>
      </c>
      <c r="Y63" s="1" t="s">
        <v>1</v>
      </c>
      <c r="Z63" s="1" t="s">
        <v>1</v>
      </c>
      <c r="AA63" s="1" t="s">
        <v>2</v>
      </c>
      <c r="AB63" s="1" t="s">
        <v>2</v>
      </c>
      <c r="AC63" s="1" t="s">
        <v>3</v>
      </c>
      <c r="AD63" s="1" t="s">
        <v>3</v>
      </c>
      <c r="AE63" s="1" t="s">
        <v>4</v>
      </c>
      <c r="AF63" s="1" t="s">
        <v>4</v>
      </c>
      <c r="AG63" s="1" t="s">
        <v>5</v>
      </c>
      <c r="AH63" s="1" t="s">
        <v>5</v>
      </c>
      <c r="AI63" s="1" t="s">
        <v>6</v>
      </c>
      <c r="AJ63" s="1" t="s">
        <v>6</v>
      </c>
      <c r="AK63" s="1" t="s">
        <v>7</v>
      </c>
      <c r="AL63" s="1" t="s">
        <v>7</v>
      </c>
      <c r="AM63" s="1" t="s">
        <v>8</v>
      </c>
      <c r="AN63" s="1" t="s">
        <v>8</v>
      </c>
      <c r="AO63" s="1" t="s">
        <v>9</v>
      </c>
      <c r="AP63" s="1" t="s">
        <v>9</v>
      </c>
      <c r="AQ63" s="1" t="s">
        <v>10</v>
      </c>
      <c r="AR63" s="1" t="s">
        <v>10</v>
      </c>
      <c r="AU63" s="1" t="s">
        <v>19</v>
      </c>
      <c r="AV63" s="1" t="s">
        <v>1</v>
      </c>
      <c r="AW63" s="1" t="s">
        <v>1</v>
      </c>
      <c r="AX63" s="1" t="s">
        <v>2</v>
      </c>
      <c r="AY63" s="1" t="s">
        <v>2</v>
      </c>
      <c r="AZ63" s="1" t="s">
        <v>3</v>
      </c>
      <c r="BA63" s="1" t="s">
        <v>3</v>
      </c>
      <c r="BB63" s="1" t="s">
        <v>4</v>
      </c>
      <c r="BC63" s="1" t="s">
        <v>4</v>
      </c>
      <c r="BD63" s="1" t="s">
        <v>5</v>
      </c>
      <c r="BE63" s="1" t="s">
        <v>5</v>
      </c>
      <c r="BF63" s="1" t="s">
        <v>6</v>
      </c>
      <c r="BG63" s="1" t="s">
        <v>6</v>
      </c>
      <c r="BH63" s="1" t="s">
        <v>7</v>
      </c>
      <c r="BI63" s="1" t="s">
        <v>7</v>
      </c>
      <c r="BJ63" s="1" t="s">
        <v>8</v>
      </c>
      <c r="BK63" s="1" t="s">
        <v>8</v>
      </c>
      <c r="BL63" s="1" t="s">
        <v>9</v>
      </c>
      <c r="BM63" s="1" t="s">
        <v>9</v>
      </c>
      <c r="BN63" s="1" t="s">
        <v>10</v>
      </c>
      <c r="BO63" s="1" t="s">
        <v>10</v>
      </c>
      <c r="BR63" s="1" t="s">
        <v>19</v>
      </c>
      <c r="BS63" s="1" t="s">
        <v>1</v>
      </c>
      <c r="BT63" s="1" t="s">
        <v>1</v>
      </c>
      <c r="BU63" s="1" t="s">
        <v>2</v>
      </c>
      <c r="BV63" s="1" t="s">
        <v>2</v>
      </c>
      <c r="BW63" s="1" t="s">
        <v>3</v>
      </c>
      <c r="BX63" s="1" t="s">
        <v>3</v>
      </c>
      <c r="BY63" s="1" t="s">
        <v>4</v>
      </c>
      <c r="BZ63" s="1" t="s">
        <v>4</v>
      </c>
      <c r="CA63" s="1" t="s">
        <v>5</v>
      </c>
      <c r="CB63" s="1" t="s">
        <v>5</v>
      </c>
      <c r="CC63" s="1" t="s">
        <v>6</v>
      </c>
      <c r="CD63" s="1" t="s">
        <v>6</v>
      </c>
      <c r="CE63" s="1" t="s">
        <v>7</v>
      </c>
      <c r="CF63" s="1" t="s">
        <v>7</v>
      </c>
      <c r="CG63" s="1" t="s">
        <v>8</v>
      </c>
      <c r="CH63" s="1" t="s">
        <v>8</v>
      </c>
      <c r="CI63" s="1" t="s">
        <v>9</v>
      </c>
      <c r="CJ63" s="1" t="s">
        <v>9</v>
      </c>
      <c r="CK63" s="1" t="s">
        <v>10</v>
      </c>
      <c r="CL63" s="1" t="s">
        <v>10</v>
      </c>
      <c r="CN63" s="1" t="s">
        <v>1</v>
      </c>
      <c r="CO63" s="1" t="s">
        <v>1</v>
      </c>
      <c r="CP63" s="1" t="s">
        <v>2</v>
      </c>
      <c r="CQ63" s="1" t="s">
        <v>2</v>
      </c>
      <c r="CR63" s="1" t="s">
        <v>3</v>
      </c>
      <c r="CS63" s="1" t="s">
        <v>3</v>
      </c>
      <c r="CT63" s="1" t="s">
        <v>4</v>
      </c>
      <c r="CU63" s="1" t="s">
        <v>4</v>
      </c>
      <c r="CV63" s="1" t="s">
        <v>5</v>
      </c>
      <c r="CW63" s="1" t="s">
        <v>5</v>
      </c>
      <c r="CX63" s="1" t="s">
        <v>6</v>
      </c>
      <c r="CY63" s="1" t="s">
        <v>6</v>
      </c>
      <c r="CZ63" s="1" t="s">
        <v>7</v>
      </c>
      <c r="DA63" s="1" t="s">
        <v>7</v>
      </c>
      <c r="DB63" s="1" t="s">
        <v>8</v>
      </c>
      <c r="DC63" s="1" t="s">
        <v>8</v>
      </c>
      <c r="DD63" s="1" t="s">
        <v>9</v>
      </c>
      <c r="DE63" s="1" t="s">
        <v>9</v>
      </c>
      <c r="DF63" s="1" t="s">
        <v>10</v>
      </c>
      <c r="DG63" s="1" t="s">
        <v>10</v>
      </c>
    </row>
    <row r="64" spans="2:111" x14ac:dyDescent="0.3">
      <c r="B64" s="1" t="s">
        <v>20</v>
      </c>
      <c r="X64" s="1" t="s">
        <v>20</v>
      </c>
      <c r="AU64" s="1" t="s">
        <v>20</v>
      </c>
      <c r="BR64" s="1" t="s">
        <v>20</v>
      </c>
    </row>
    <row r="65" spans="2:111" x14ac:dyDescent="0.3">
      <c r="B65" s="1" t="s">
        <v>21</v>
      </c>
      <c r="C65" s="2">
        <v>13.82</v>
      </c>
      <c r="D65" s="2">
        <v>14.57</v>
      </c>
      <c r="E65" s="2">
        <v>10.45</v>
      </c>
      <c r="F65" s="2">
        <v>10.45</v>
      </c>
      <c r="G65" s="2">
        <v>4.29</v>
      </c>
      <c r="H65" s="2">
        <v>6.43</v>
      </c>
      <c r="I65" s="2">
        <v>12.45</v>
      </c>
      <c r="J65" s="2">
        <v>102.7</v>
      </c>
      <c r="K65" s="2">
        <v>103.42</v>
      </c>
      <c r="L65" s="2">
        <v>95.03</v>
      </c>
      <c r="M65" s="2">
        <v>176.36</v>
      </c>
      <c r="N65" s="2">
        <v>176.36</v>
      </c>
      <c r="O65" s="2">
        <v>167.72</v>
      </c>
      <c r="P65" s="2">
        <v>130.88999999999999</v>
      </c>
      <c r="Q65" s="2">
        <v>171.08</v>
      </c>
      <c r="R65" s="2">
        <v>165.9</v>
      </c>
      <c r="S65" s="2">
        <v>170.8</v>
      </c>
      <c r="T65" s="2">
        <v>137.63999999999999</v>
      </c>
      <c r="U65" s="2">
        <v>228.61</v>
      </c>
      <c r="V65" s="2">
        <v>203.1</v>
      </c>
      <c r="X65" s="1" t="s">
        <v>21</v>
      </c>
      <c r="Y65" s="2">
        <v>60</v>
      </c>
      <c r="Z65" s="2">
        <v>60</v>
      </c>
      <c r="AA65" s="2">
        <v>60</v>
      </c>
      <c r="AB65" s="2">
        <v>60</v>
      </c>
      <c r="AC65" s="2">
        <v>60</v>
      </c>
      <c r="AD65" s="2">
        <v>60</v>
      </c>
      <c r="AE65" s="2">
        <v>70</v>
      </c>
      <c r="AF65" s="2">
        <v>70</v>
      </c>
      <c r="AG65" s="2">
        <v>70</v>
      </c>
      <c r="AH65" s="2">
        <v>70</v>
      </c>
      <c r="AI65" s="2">
        <v>70</v>
      </c>
      <c r="AJ65" s="2">
        <v>70</v>
      </c>
      <c r="AK65" s="2">
        <v>70</v>
      </c>
      <c r="AL65" s="2">
        <v>70</v>
      </c>
      <c r="AM65" s="2">
        <v>70</v>
      </c>
      <c r="AN65" s="2">
        <v>70</v>
      </c>
      <c r="AO65" s="2">
        <v>70</v>
      </c>
      <c r="AP65" s="2">
        <v>70</v>
      </c>
      <c r="AQ65" s="2">
        <v>70</v>
      </c>
      <c r="AR65" s="2">
        <v>70</v>
      </c>
      <c r="AU65" s="1" t="s">
        <v>21</v>
      </c>
      <c r="AV65" s="2">
        <v>54.97</v>
      </c>
      <c r="AW65" s="2">
        <v>54.97</v>
      </c>
      <c r="AX65" s="2">
        <v>54.97</v>
      </c>
      <c r="AY65" s="2">
        <v>54.97</v>
      </c>
      <c r="AZ65" s="2">
        <v>54.97</v>
      </c>
      <c r="BA65" s="2">
        <v>54.97</v>
      </c>
      <c r="BB65" s="2">
        <v>64.97</v>
      </c>
      <c r="BC65" s="2">
        <v>56.18</v>
      </c>
      <c r="BD65" s="2">
        <v>64.09</v>
      </c>
      <c r="BE65" s="2">
        <v>61.05</v>
      </c>
      <c r="BF65" s="2">
        <v>54.92</v>
      </c>
      <c r="BG65" s="2">
        <v>61.87</v>
      </c>
      <c r="BH65" s="2">
        <v>54.09</v>
      </c>
      <c r="BI65" s="2">
        <v>63.06</v>
      </c>
      <c r="BJ65" s="2">
        <v>59.31</v>
      </c>
      <c r="BK65" s="2">
        <v>62.43</v>
      </c>
      <c r="BL65" s="2">
        <v>63.75</v>
      </c>
      <c r="BM65" s="2">
        <v>68.58</v>
      </c>
      <c r="BN65" s="2">
        <v>63.08</v>
      </c>
      <c r="BO65" s="2">
        <v>68.08</v>
      </c>
      <c r="BQ65">
        <v>7</v>
      </c>
      <c r="BR65" s="1" t="s">
        <v>21</v>
      </c>
      <c r="BS65" s="2">
        <v>-0.12</v>
      </c>
      <c r="BT65" s="2">
        <v>-0.12</v>
      </c>
      <c r="BU65" s="2">
        <v>-0.12</v>
      </c>
      <c r="BV65" s="2">
        <v>-0.12</v>
      </c>
      <c r="BW65" s="2">
        <v>-0.05</v>
      </c>
      <c r="BX65" s="2">
        <v>-0.05</v>
      </c>
      <c r="BY65" s="2">
        <v>-0.11</v>
      </c>
      <c r="BZ65" s="2">
        <v>-0.34</v>
      </c>
      <c r="CA65" s="2">
        <v>-0.16</v>
      </c>
      <c r="CB65" s="2">
        <v>-0.25</v>
      </c>
      <c r="CC65" s="2">
        <v>-0.85</v>
      </c>
      <c r="CD65" s="2">
        <v>-0.41</v>
      </c>
      <c r="CE65" s="2">
        <v>-0.73</v>
      </c>
      <c r="CF65" s="2">
        <v>-0.27</v>
      </c>
      <c r="CG65" s="2">
        <v>-0.59</v>
      </c>
      <c r="CH65" s="2">
        <v>-0.39</v>
      </c>
      <c r="CI65" s="2">
        <v>-0.28999999999999998</v>
      </c>
      <c r="CJ65" s="2">
        <v>-0.06</v>
      </c>
      <c r="CK65" s="2">
        <v>-0.42</v>
      </c>
      <c r="CL65" s="2">
        <v>-0.11</v>
      </c>
      <c r="CN65" s="2">
        <f>-BS65</f>
        <v>0.12</v>
      </c>
      <c r="CO65" s="2">
        <f t="shared" ref="CO65:DG72" si="1">-BT65</f>
        <v>0.12</v>
      </c>
      <c r="CP65" s="2">
        <f t="shared" si="1"/>
        <v>0.12</v>
      </c>
      <c r="CQ65" s="2">
        <f t="shared" si="1"/>
        <v>0.12</v>
      </c>
      <c r="CR65" s="2">
        <f t="shared" si="1"/>
        <v>0.05</v>
      </c>
      <c r="CS65" s="2">
        <f t="shared" si="1"/>
        <v>0.05</v>
      </c>
      <c r="CT65" s="2">
        <f t="shared" si="1"/>
        <v>0.11</v>
      </c>
      <c r="CU65" s="2">
        <f t="shared" si="1"/>
        <v>0.34</v>
      </c>
      <c r="CV65" s="2">
        <f t="shared" si="1"/>
        <v>0.16</v>
      </c>
      <c r="CW65" s="2">
        <f t="shared" si="1"/>
        <v>0.25</v>
      </c>
      <c r="CX65" s="2">
        <f t="shared" si="1"/>
        <v>0.85</v>
      </c>
      <c r="CY65" s="2">
        <f t="shared" si="1"/>
        <v>0.41</v>
      </c>
      <c r="CZ65" s="2">
        <f t="shared" si="1"/>
        <v>0.73</v>
      </c>
      <c r="DA65" s="2">
        <f t="shared" si="1"/>
        <v>0.27</v>
      </c>
      <c r="DB65" s="2">
        <f t="shared" si="1"/>
        <v>0.59</v>
      </c>
      <c r="DC65" s="2">
        <f t="shared" si="1"/>
        <v>0.39</v>
      </c>
      <c r="DD65" s="2">
        <f t="shared" si="1"/>
        <v>0.28999999999999998</v>
      </c>
      <c r="DE65" s="2">
        <f t="shared" si="1"/>
        <v>0.06</v>
      </c>
      <c r="DF65" s="2">
        <f t="shared" si="1"/>
        <v>0.42</v>
      </c>
      <c r="DG65" s="2">
        <f t="shared" si="1"/>
        <v>0.11</v>
      </c>
    </row>
    <row r="66" spans="2:111" x14ac:dyDescent="0.3">
      <c r="B66" s="1" t="s">
        <v>22</v>
      </c>
      <c r="C66" s="2">
        <v>101.28</v>
      </c>
      <c r="D66" s="2">
        <v>49.49</v>
      </c>
      <c r="E66" s="2">
        <v>43.36</v>
      </c>
      <c r="F66" s="2">
        <v>32.04</v>
      </c>
      <c r="G66" s="2">
        <v>21.44</v>
      </c>
      <c r="H66" s="2">
        <v>26.2</v>
      </c>
      <c r="I66" s="2">
        <v>98</v>
      </c>
      <c r="J66" s="2">
        <v>190.79</v>
      </c>
      <c r="K66" s="2">
        <v>138.32</v>
      </c>
      <c r="L66" s="2">
        <v>168.53</v>
      </c>
      <c r="M66" s="2">
        <v>320.23</v>
      </c>
      <c r="N66" s="2">
        <v>347.82</v>
      </c>
      <c r="O66" s="2">
        <v>285.26</v>
      </c>
      <c r="P66" s="2">
        <v>257.48</v>
      </c>
      <c r="Q66" s="2">
        <v>318.79000000000002</v>
      </c>
      <c r="R66" s="2">
        <v>217.12</v>
      </c>
      <c r="S66" s="2">
        <v>226.81</v>
      </c>
      <c r="T66" s="2">
        <v>173.86</v>
      </c>
      <c r="U66" s="2">
        <v>297.63</v>
      </c>
      <c r="V66" s="2">
        <v>143.25</v>
      </c>
      <c r="X66" s="1" t="s">
        <v>22</v>
      </c>
      <c r="Y66" s="2">
        <v>59.91</v>
      </c>
      <c r="Z66" s="2">
        <v>60</v>
      </c>
      <c r="AA66" s="2">
        <v>59.89</v>
      </c>
      <c r="AB66" s="2">
        <v>59.99</v>
      </c>
      <c r="AC66" s="2">
        <v>59.99</v>
      </c>
      <c r="AD66" s="2">
        <v>59.97</v>
      </c>
      <c r="AE66" s="2">
        <v>69.78</v>
      </c>
      <c r="AF66" s="2">
        <v>69.98</v>
      </c>
      <c r="AG66" s="2">
        <v>69.86</v>
      </c>
      <c r="AH66" s="2">
        <v>69.989999999999995</v>
      </c>
      <c r="AI66" s="2">
        <v>69.89</v>
      </c>
      <c r="AJ66" s="2">
        <v>69.989999999999995</v>
      </c>
      <c r="AK66" s="2">
        <v>69.95</v>
      </c>
      <c r="AL66" s="2">
        <v>69.98</v>
      </c>
      <c r="AM66" s="2">
        <v>69.97</v>
      </c>
      <c r="AN66" s="2">
        <v>69.98</v>
      </c>
      <c r="AO66" s="2">
        <v>69.97</v>
      </c>
      <c r="AP66" s="2">
        <v>70</v>
      </c>
      <c r="AQ66" s="2">
        <v>69.930000000000007</v>
      </c>
      <c r="AR66" s="2">
        <v>70</v>
      </c>
      <c r="AU66" s="1" t="s">
        <v>22</v>
      </c>
      <c r="AV66" s="2">
        <v>51.15</v>
      </c>
      <c r="AW66" s="2">
        <v>54.67</v>
      </c>
      <c r="AX66" s="2">
        <v>52.73</v>
      </c>
      <c r="AY66" s="2">
        <v>54.79</v>
      </c>
      <c r="AZ66" s="2">
        <v>53.43</v>
      </c>
      <c r="BA66" s="2">
        <v>54.15</v>
      </c>
      <c r="BB66" s="2">
        <v>59.73</v>
      </c>
      <c r="BC66" s="2">
        <v>58.52</v>
      </c>
      <c r="BD66" s="2">
        <v>62.3</v>
      </c>
      <c r="BE66" s="2">
        <v>65.94</v>
      </c>
      <c r="BF66" s="2">
        <v>58.65</v>
      </c>
      <c r="BG66" s="2">
        <v>65.489999999999995</v>
      </c>
      <c r="BH66" s="2">
        <v>59.01</v>
      </c>
      <c r="BI66" s="2">
        <v>63.65</v>
      </c>
      <c r="BJ66" s="2">
        <v>61.23</v>
      </c>
      <c r="BK66" s="2">
        <v>66.67</v>
      </c>
      <c r="BL66" s="2">
        <v>62.56</v>
      </c>
      <c r="BM66" s="2">
        <v>68.150000000000006</v>
      </c>
      <c r="BN66" s="2">
        <v>65.239999999999995</v>
      </c>
      <c r="BO66" s="2">
        <v>69.56</v>
      </c>
      <c r="BQ66">
        <v>1</v>
      </c>
      <c r="BR66" s="1" t="s">
        <v>22</v>
      </c>
      <c r="BS66" s="2">
        <v>-0.22</v>
      </c>
      <c r="BT66" s="2">
        <v>-0.13</v>
      </c>
      <c r="BU66" s="2">
        <v>-0.18</v>
      </c>
      <c r="BV66" s="2">
        <v>-0.12</v>
      </c>
      <c r="BW66" s="2">
        <v>-0.06</v>
      </c>
      <c r="BX66" s="2">
        <v>-0.05</v>
      </c>
      <c r="BY66" s="2">
        <v>-0.23</v>
      </c>
      <c r="BZ66" s="2">
        <v>-0.27</v>
      </c>
      <c r="CA66" s="2">
        <v>-0.21</v>
      </c>
      <c r="CB66" s="2">
        <v>-0.11</v>
      </c>
      <c r="CC66" s="2">
        <v>-0.59</v>
      </c>
      <c r="CD66" s="2">
        <v>-0.21</v>
      </c>
      <c r="CE66" s="2">
        <v>-0.46</v>
      </c>
      <c r="CF66" s="2">
        <v>-0.25</v>
      </c>
      <c r="CG66" s="2">
        <v>-0.47</v>
      </c>
      <c r="CH66" s="2">
        <v>-0.16</v>
      </c>
      <c r="CI66" s="2">
        <v>-0.35</v>
      </c>
      <c r="CJ66" s="2">
        <v>-0.08</v>
      </c>
      <c r="CK66" s="2">
        <v>-0.28000000000000003</v>
      </c>
      <c r="CL66" s="2">
        <v>-0.02</v>
      </c>
      <c r="CN66" s="2">
        <f t="shared" ref="CN66:CN72" si="2">-BS66</f>
        <v>0.22</v>
      </c>
      <c r="CO66" s="2">
        <f t="shared" si="1"/>
        <v>0.13</v>
      </c>
      <c r="CP66" s="2">
        <f t="shared" si="1"/>
        <v>0.18</v>
      </c>
      <c r="CQ66" s="2">
        <f t="shared" si="1"/>
        <v>0.12</v>
      </c>
      <c r="CR66" s="2">
        <f t="shared" si="1"/>
        <v>0.06</v>
      </c>
      <c r="CS66" s="2">
        <f t="shared" si="1"/>
        <v>0.05</v>
      </c>
      <c r="CT66" s="2">
        <f t="shared" si="1"/>
        <v>0.23</v>
      </c>
      <c r="CU66" s="2">
        <f t="shared" si="1"/>
        <v>0.27</v>
      </c>
      <c r="CV66" s="2">
        <f t="shared" si="1"/>
        <v>0.21</v>
      </c>
      <c r="CW66" s="2">
        <f t="shared" si="1"/>
        <v>0.11</v>
      </c>
      <c r="CX66" s="2">
        <f t="shared" si="1"/>
        <v>0.59</v>
      </c>
      <c r="CY66" s="2">
        <f t="shared" si="1"/>
        <v>0.21</v>
      </c>
      <c r="CZ66" s="2">
        <f t="shared" si="1"/>
        <v>0.46</v>
      </c>
      <c r="DA66" s="2">
        <f t="shared" si="1"/>
        <v>0.25</v>
      </c>
      <c r="DB66" s="2">
        <f t="shared" si="1"/>
        <v>0.47</v>
      </c>
      <c r="DC66" s="2">
        <f t="shared" si="1"/>
        <v>0.16</v>
      </c>
      <c r="DD66" s="2">
        <f t="shared" si="1"/>
        <v>0.35</v>
      </c>
      <c r="DE66" s="2">
        <f t="shared" si="1"/>
        <v>0.08</v>
      </c>
      <c r="DF66" s="2">
        <f t="shared" si="1"/>
        <v>0.28000000000000003</v>
      </c>
      <c r="DG66" s="2">
        <f t="shared" si="1"/>
        <v>0.02</v>
      </c>
    </row>
    <row r="67" spans="2:111" x14ac:dyDescent="0.3">
      <c r="B67" s="1" t="s">
        <v>23</v>
      </c>
      <c r="C67" s="2">
        <v>2520.59</v>
      </c>
      <c r="D67" s="2">
        <v>177.28</v>
      </c>
      <c r="E67" s="2">
        <v>2139.2800000000002</v>
      </c>
      <c r="F67" s="2">
        <v>103.19</v>
      </c>
      <c r="G67" s="2">
        <v>562.30999999999995</v>
      </c>
      <c r="H67" s="2">
        <v>675.36</v>
      </c>
      <c r="I67" s="2">
        <v>1824.95</v>
      </c>
      <c r="J67" s="2">
        <v>1201.3399999999999</v>
      </c>
      <c r="K67" s="2">
        <v>2813.34</v>
      </c>
      <c r="L67" s="2">
        <v>1370.89</v>
      </c>
      <c r="M67" s="2">
        <v>4906.07</v>
      </c>
      <c r="N67" s="2">
        <v>2613.87</v>
      </c>
      <c r="O67" s="2">
        <v>4192.74</v>
      </c>
      <c r="P67" s="2">
        <v>1916.7</v>
      </c>
      <c r="Q67" s="2">
        <v>5150.6899999999996</v>
      </c>
      <c r="R67" s="2">
        <v>2023.29</v>
      </c>
      <c r="S67" s="2">
        <v>2116.4699999999998</v>
      </c>
      <c r="T67" s="2">
        <v>1662.44</v>
      </c>
      <c r="U67" s="2">
        <v>1659.73</v>
      </c>
      <c r="V67" s="2">
        <v>1365.31</v>
      </c>
      <c r="X67" s="1" t="s">
        <v>23</v>
      </c>
      <c r="Y67" s="2">
        <v>58.52</v>
      </c>
      <c r="Z67" s="2">
        <v>60</v>
      </c>
      <c r="AA67" s="2">
        <v>58.99</v>
      </c>
      <c r="AB67" s="2">
        <v>60</v>
      </c>
      <c r="AC67" s="2">
        <v>58.22</v>
      </c>
      <c r="AD67" s="2">
        <v>58.73</v>
      </c>
      <c r="AE67" s="2">
        <v>65.36</v>
      </c>
      <c r="AF67" s="2">
        <v>69.95</v>
      </c>
      <c r="AG67" s="2">
        <v>63.55</v>
      </c>
      <c r="AH67" s="2">
        <v>69.98</v>
      </c>
      <c r="AI67" s="2">
        <v>62.69</v>
      </c>
      <c r="AJ67" s="2">
        <v>69.98</v>
      </c>
      <c r="AK67" s="2">
        <v>64.599999999999994</v>
      </c>
      <c r="AL67" s="2">
        <v>69.98</v>
      </c>
      <c r="AM67" s="2">
        <v>65.59</v>
      </c>
      <c r="AN67" s="2">
        <v>69.98</v>
      </c>
      <c r="AO67" s="2">
        <v>69.959999999999994</v>
      </c>
      <c r="AP67" s="2">
        <v>69.989999999999995</v>
      </c>
      <c r="AQ67" s="2">
        <v>69.989999999999995</v>
      </c>
      <c r="AR67" s="2">
        <v>70</v>
      </c>
      <c r="AU67" s="1" t="s">
        <v>23</v>
      </c>
      <c r="AV67" s="2">
        <v>25.51</v>
      </c>
      <c r="AW67" s="2">
        <v>54.87</v>
      </c>
      <c r="AX67" s="2">
        <v>25.08</v>
      </c>
      <c r="AY67" s="2">
        <v>54.96</v>
      </c>
      <c r="AZ67" s="2">
        <v>35.380000000000003</v>
      </c>
      <c r="BA67" s="2">
        <v>38.51</v>
      </c>
      <c r="BB67" s="2">
        <v>39.5</v>
      </c>
      <c r="BC67" s="2">
        <v>55.25</v>
      </c>
      <c r="BD67" s="2">
        <v>38.57</v>
      </c>
      <c r="BE67" s="2">
        <v>61.19</v>
      </c>
      <c r="BF67" s="2">
        <v>37.86</v>
      </c>
      <c r="BG67" s="2">
        <v>60.97</v>
      </c>
      <c r="BH67" s="2">
        <v>38.58</v>
      </c>
      <c r="BI67" s="2">
        <v>60.3</v>
      </c>
      <c r="BJ67" s="2">
        <v>39.1</v>
      </c>
      <c r="BK67" s="2">
        <v>62.25</v>
      </c>
      <c r="BL67" s="2">
        <v>57.96</v>
      </c>
      <c r="BM67" s="2">
        <v>65.87</v>
      </c>
      <c r="BN67" s="2">
        <v>66.36</v>
      </c>
      <c r="BO67" s="2">
        <v>67.959999999999994</v>
      </c>
      <c r="BQ67">
        <v>3</v>
      </c>
      <c r="BR67" s="1" t="s">
        <v>23</v>
      </c>
      <c r="BS67" s="2">
        <v>-1.72</v>
      </c>
      <c r="BT67" s="2">
        <v>-0.12</v>
      </c>
      <c r="BU67" s="2">
        <v>-1.79</v>
      </c>
      <c r="BV67" s="2">
        <v>-0.12</v>
      </c>
      <c r="BW67" s="2">
        <v>-0.33</v>
      </c>
      <c r="BX67" s="2">
        <v>-0.27</v>
      </c>
      <c r="BY67" s="2">
        <v>-0.96</v>
      </c>
      <c r="BZ67" s="2">
        <v>-0.37</v>
      </c>
      <c r="CA67" s="2">
        <v>-1.22</v>
      </c>
      <c r="CB67" s="2">
        <v>-0.25</v>
      </c>
      <c r="CC67" s="2">
        <v>-2.2599999999999998</v>
      </c>
      <c r="CD67" s="2">
        <v>-0.46</v>
      </c>
      <c r="CE67" s="2">
        <v>-1.82</v>
      </c>
      <c r="CF67" s="2">
        <v>-0.4</v>
      </c>
      <c r="CG67" s="2">
        <v>-2.35</v>
      </c>
      <c r="CH67" s="2">
        <v>-0.4</v>
      </c>
      <c r="CI67" s="2">
        <v>-0.6</v>
      </c>
      <c r="CJ67" s="2">
        <v>-0.18</v>
      </c>
      <c r="CK67" s="2">
        <v>-0.21</v>
      </c>
      <c r="CL67" s="2">
        <v>-0.12</v>
      </c>
      <c r="CN67" s="2">
        <f t="shared" si="2"/>
        <v>1.72</v>
      </c>
      <c r="CO67" s="2">
        <f t="shared" si="1"/>
        <v>0.12</v>
      </c>
      <c r="CP67" s="2">
        <f t="shared" si="1"/>
        <v>1.79</v>
      </c>
      <c r="CQ67" s="2">
        <f t="shared" si="1"/>
        <v>0.12</v>
      </c>
      <c r="CR67" s="2">
        <f t="shared" si="1"/>
        <v>0.33</v>
      </c>
      <c r="CS67" s="2">
        <f t="shared" si="1"/>
        <v>0.27</v>
      </c>
      <c r="CT67" s="2">
        <f t="shared" si="1"/>
        <v>0.96</v>
      </c>
      <c r="CU67" s="2">
        <f t="shared" si="1"/>
        <v>0.37</v>
      </c>
      <c r="CV67" s="2">
        <f t="shared" si="1"/>
        <v>1.22</v>
      </c>
      <c r="CW67" s="2">
        <f t="shared" si="1"/>
        <v>0.25</v>
      </c>
      <c r="CX67" s="2">
        <f t="shared" si="1"/>
        <v>2.2599999999999998</v>
      </c>
      <c r="CY67" s="2">
        <f t="shared" si="1"/>
        <v>0.46</v>
      </c>
      <c r="CZ67" s="2">
        <f t="shared" si="1"/>
        <v>1.82</v>
      </c>
      <c r="DA67" s="2">
        <f t="shared" si="1"/>
        <v>0.4</v>
      </c>
      <c r="DB67" s="2">
        <f t="shared" si="1"/>
        <v>2.35</v>
      </c>
      <c r="DC67" s="2">
        <f t="shared" si="1"/>
        <v>0.4</v>
      </c>
      <c r="DD67" s="2">
        <f t="shared" si="1"/>
        <v>0.6</v>
      </c>
      <c r="DE67" s="2">
        <f t="shared" si="1"/>
        <v>0.18</v>
      </c>
      <c r="DF67" s="2">
        <f t="shared" si="1"/>
        <v>0.21</v>
      </c>
      <c r="DG67" s="2">
        <f t="shared" si="1"/>
        <v>0.12</v>
      </c>
    </row>
    <row r="68" spans="2:111" x14ac:dyDescent="0.3">
      <c r="B68" s="1" t="s">
        <v>24</v>
      </c>
      <c r="C68" s="2">
        <v>395.78</v>
      </c>
      <c r="D68" s="2">
        <v>66.94</v>
      </c>
      <c r="E68" s="2">
        <v>269.33</v>
      </c>
      <c r="F68" s="2">
        <v>39.08</v>
      </c>
      <c r="G68" s="2">
        <v>127.78</v>
      </c>
      <c r="H68" s="2">
        <v>180.73</v>
      </c>
      <c r="I68" s="2">
        <v>529.6</v>
      </c>
      <c r="J68" s="2">
        <v>248.43</v>
      </c>
      <c r="K68" s="2">
        <v>600.54</v>
      </c>
      <c r="L68" s="2">
        <v>301.77</v>
      </c>
      <c r="M68" s="2">
        <v>1144.32</v>
      </c>
      <c r="N68" s="2">
        <v>530.84</v>
      </c>
      <c r="O68" s="2">
        <v>963.91</v>
      </c>
      <c r="P68" s="2">
        <v>367.57</v>
      </c>
      <c r="Q68" s="2">
        <v>973.76</v>
      </c>
      <c r="R68" s="2">
        <v>441.68</v>
      </c>
      <c r="S68" s="2">
        <v>372.42</v>
      </c>
      <c r="T68" s="2">
        <v>297.60000000000002</v>
      </c>
      <c r="U68" s="2">
        <v>402.36</v>
      </c>
      <c r="V68" s="2">
        <v>318.74</v>
      </c>
      <c r="X68" s="1" t="s">
        <v>24</v>
      </c>
      <c r="Y68" s="2">
        <v>59.35</v>
      </c>
      <c r="Z68" s="2">
        <v>60</v>
      </c>
      <c r="AA68" s="2">
        <v>59.35</v>
      </c>
      <c r="AB68" s="2">
        <v>60</v>
      </c>
      <c r="AC68" s="2">
        <v>59.74</v>
      </c>
      <c r="AD68" s="2">
        <v>59.82</v>
      </c>
      <c r="AE68" s="2">
        <v>69.239999999999995</v>
      </c>
      <c r="AF68" s="2">
        <v>69.95</v>
      </c>
      <c r="AG68" s="2">
        <v>69.489999999999995</v>
      </c>
      <c r="AH68" s="2">
        <v>69.97</v>
      </c>
      <c r="AI68" s="2">
        <v>69.489999999999995</v>
      </c>
      <c r="AJ68" s="2">
        <v>69.98</v>
      </c>
      <c r="AK68" s="2">
        <v>69.5</v>
      </c>
      <c r="AL68" s="2">
        <v>69.98</v>
      </c>
      <c r="AM68" s="2">
        <v>69.91</v>
      </c>
      <c r="AN68" s="2">
        <v>69.989999999999995</v>
      </c>
      <c r="AO68" s="2">
        <v>69.98</v>
      </c>
      <c r="AP68" s="2">
        <v>69.989999999999995</v>
      </c>
      <c r="AQ68" s="2">
        <v>69.989999999999995</v>
      </c>
      <c r="AR68" s="2">
        <v>69.989999999999995</v>
      </c>
      <c r="AU68" s="1" t="s">
        <v>24</v>
      </c>
      <c r="AV68" s="2">
        <v>36.04</v>
      </c>
      <c r="AW68" s="2">
        <v>53.75</v>
      </c>
      <c r="AX68" s="2">
        <v>37.020000000000003</v>
      </c>
      <c r="AY68" s="2">
        <v>54.85</v>
      </c>
      <c r="AZ68" s="2">
        <v>37.17</v>
      </c>
      <c r="BA68" s="2">
        <v>32.200000000000003</v>
      </c>
      <c r="BB68" s="2">
        <v>41.84</v>
      </c>
      <c r="BC68" s="2">
        <v>52.87</v>
      </c>
      <c r="BD68" s="2">
        <v>43.74</v>
      </c>
      <c r="BE68" s="2">
        <v>59.58</v>
      </c>
      <c r="BF68" s="2">
        <v>43.72</v>
      </c>
      <c r="BG68" s="2">
        <v>60.77</v>
      </c>
      <c r="BH68" s="2">
        <v>43.65</v>
      </c>
      <c r="BI68" s="2">
        <v>60.46</v>
      </c>
      <c r="BJ68" s="2">
        <v>48.64</v>
      </c>
      <c r="BK68" s="2">
        <v>62.76</v>
      </c>
      <c r="BL68" s="2">
        <v>62.96</v>
      </c>
      <c r="BM68" s="2">
        <v>64.89</v>
      </c>
      <c r="BN68" s="2">
        <v>65.3</v>
      </c>
      <c r="BO68" s="2">
        <v>66.459999999999994</v>
      </c>
      <c r="BQ68">
        <v>1</v>
      </c>
      <c r="BR68" s="1" t="s">
        <v>24</v>
      </c>
      <c r="BS68" s="2">
        <v>-0.85</v>
      </c>
      <c r="BT68" s="2">
        <v>-0.15</v>
      </c>
      <c r="BU68" s="2">
        <v>-0.79</v>
      </c>
      <c r="BV68" s="2">
        <v>-0.12</v>
      </c>
      <c r="BW68" s="2">
        <v>-0.3</v>
      </c>
      <c r="BX68" s="2">
        <v>-0.43</v>
      </c>
      <c r="BY68" s="2">
        <v>-0.91</v>
      </c>
      <c r="BZ68" s="2">
        <v>-0.44</v>
      </c>
      <c r="CA68" s="2">
        <v>-1.02</v>
      </c>
      <c r="CB68" s="2">
        <v>-0.3</v>
      </c>
      <c r="CC68" s="2">
        <v>-1.83</v>
      </c>
      <c r="CD68" s="2">
        <v>-0.47</v>
      </c>
      <c r="CE68" s="2">
        <v>-1.48</v>
      </c>
      <c r="CF68" s="2">
        <v>-0.39</v>
      </c>
      <c r="CG68" s="2">
        <v>-1.43</v>
      </c>
      <c r="CH68" s="2">
        <v>-0.38</v>
      </c>
      <c r="CI68" s="2">
        <v>-0.33</v>
      </c>
      <c r="CJ68" s="2">
        <v>-0.23</v>
      </c>
      <c r="CK68" s="2">
        <v>-0.28000000000000003</v>
      </c>
      <c r="CL68" s="2">
        <v>-0.21</v>
      </c>
      <c r="CN68" s="2">
        <f t="shared" si="2"/>
        <v>0.85</v>
      </c>
      <c r="CO68" s="2">
        <f t="shared" si="1"/>
        <v>0.15</v>
      </c>
      <c r="CP68" s="2">
        <f t="shared" si="1"/>
        <v>0.79</v>
      </c>
      <c r="CQ68" s="2">
        <f t="shared" si="1"/>
        <v>0.12</v>
      </c>
      <c r="CR68" s="2">
        <f t="shared" si="1"/>
        <v>0.3</v>
      </c>
      <c r="CS68" s="2">
        <f t="shared" si="1"/>
        <v>0.43</v>
      </c>
      <c r="CT68" s="2">
        <f t="shared" si="1"/>
        <v>0.91</v>
      </c>
      <c r="CU68" s="2">
        <f t="shared" si="1"/>
        <v>0.44</v>
      </c>
      <c r="CV68" s="2">
        <f t="shared" si="1"/>
        <v>1.02</v>
      </c>
      <c r="CW68" s="2">
        <f t="shared" si="1"/>
        <v>0.3</v>
      </c>
      <c r="CX68" s="2">
        <f t="shared" si="1"/>
        <v>1.83</v>
      </c>
      <c r="CY68" s="2">
        <f t="shared" si="1"/>
        <v>0.47</v>
      </c>
      <c r="CZ68" s="2">
        <f t="shared" si="1"/>
        <v>1.48</v>
      </c>
      <c r="DA68" s="2">
        <f t="shared" si="1"/>
        <v>0.39</v>
      </c>
      <c r="DB68" s="2">
        <f t="shared" si="1"/>
        <v>1.43</v>
      </c>
      <c r="DC68" s="2">
        <f t="shared" si="1"/>
        <v>0.38</v>
      </c>
      <c r="DD68" s="2">
        <f t="shared" si="1"/>
        <v>0.33</v>
      </c>
      <c r="DE68" s="2">
        <f t="shared" si="1"/>
        <v>0.23</v>
      </c>
      <c r="DF68" s="2">
        <f t="shared" si="1"/>
        <v>0.28000000000000003</v>
      </c>
      <c r="DG68" s="2">
        <f t="shared" si="1"/>
        <v>0.21</v>
      </c>
    </row>
    <row r="69" spans="2:111" x14ac:dyDescent="0.3">
      <c r="B69" s="1" t="s">
        <v>25</v>
      </c>
      <c r="C69" s="2">
        <v>1121.81</v>
      </c>
      <c r="D69" s="2">
        <v>1135.3</v>
      </c>
      <c r="E69" s="2">
        <v>1232.83</v>
      </c>
      <c r="F69" s="2">
        <v>494.53</v>
      </c>
      <c r="G69" s="2">
        <v>422.52</v>
      </c>
      <c r="H69" s="2">
        <v>421.05</v>
      </c>
      <c r="I69" s="2">
        <v>726.89</v>
      </c>
      <c r="J69" s="2">
        <v>1795.9</v>
      </c>
      <c r="K69" s="2">
        <v>2085.6999999999998</v>
      </c>
      <c r="L69" s="2">
        <v>2126.0500000000002</v>
      </c>
      <c r="M69" s="2">
        <v>3000.48</v>
      </c>
      <c r="N69" s="2">
        <v>2273.69</v>
      </c>
      <c r="O69" s="2">
        <v>2007.76</v>
      </c>
      <c r="P69" s="2">
        <v>1557.48</v>
      </c>
      <c r="Q69" s="2">
        <v>2188.35</v>
      </c>
      <c r="R69" s="2">
        <v>1796.23</v>
      </c>
      <c r="S69" s="2">
        <v>1740.16</v>
      </c>
      <c r="T69" s="2">
        <v>992.73</v>
      </c>
      <c r="U69" s="2">
        <v>1726</v>
      </c>
      <c r="V69" s="2">
        <v>1175.46</v>
      </c>
      <c r="X69" s="1" t="s">
        <v>25</v>
      </c>
      <c r="Y69" s="2">
        <v>59.94</v>
      </c>
      <c r="Z69" s="2">
        <v>59.91</v>
      </c>
      <c r="AA69" s="2">
        <v>59.72</v>
      </c>
      <c r="AB69" s="2">
        <v>59.86</v>
      </c>
      <c r="AC69" s="2">
        <v>59.94</v>
      </c>
      <c r="AD69" s="2">
        <v>59.9</v>
      </c>
      <c r="AE69" s="2">
        <v>69.94</v>
      </c>
      <c r="AF69" s="2">
        <v>69.87</v>
      </c>
      <c r="AG69" s="2">
        <v>69.92</v>
      </c>
      <c r="AH69" s="2">
        <v>69.87</v>
      </c>
      <c r="AI69" s="2">
        <v>69.95</v>
      </c>
      <c r="AJ69" s="2">
        <v>69.95</v>
      </c>
      <c r="AK69" s="2">
        <v>69.959999999999994</v>
      </c>
      <c r="AL69" s="2">
        <v>69.95</v>
      </c>
      <c r="AM69" s="2">
        <v>69.98</v>
      </c>
      <c r="AN69" s="2">
        <v>69.98</v>
      </c>
      <c r="AO69" s="2">
        <v>69.98</v>
      </c>
      <c r="AP69" s="2">
        <v>69.989999999999995</v>
      </c>
      <c r="AQ69" s="2">
        <v>69.989999999999995</v>
      </c>
      <c r="AR69" s="2">
        <v>69.98</v>
      </c>
      <c r="AU69" s="1" t="s">
        <v>25</v>
      </c>
      <c r="AV69" s="2">
        <v>38.729999999999997</v>
      </c>
      <c r="AW69" s="2">
        <v>40.08</v>
      </c>
      <c r="AX69" s="2">
        <v>38.64</v>
      </c>
      <c r="AY69" s="2">
        <v>51.75</v>
      </c>
      <c r="AZ69" s="2">
        <v>39.29</v>
      </c>
      <c r="BA69" s="2">
        <v>39.04</v>
      </c>
      <c r="BB69" s="2">
        <v>61.33</v>
      </c>
      <c r="BC69" s="2">
        <v>45.38</v>
      </c>
      <c r="BD69" s="2">
        <v>50.84</v>
      </c>
      <c r="BE69" s="2">
        <v>47.7</v>
      </c>
      <c r="BF69" s="2">
        <v>55.27</v>
      </c>
      <c r="BG69" s="2">
        <v>58.37</v>
      </c>
      <c r="BH69" s="2">
        <v>58.69</v>
      </c>
      <c r="BI69" s="2">
        <v>60.4</v>
      </c>
      <c r="BJ69" s="2">
        <v>61.29</v>
      </c>
      <c r="BK69" s="2">
        <v>62.9</v>
      </c>
      <c r="BL69" s="2">
        <v>63.35</v>
      </c>
      <c r="BM69" s="2">
        <v>66.17</v>
      </c>
      <c r="BN69" s="2">
        <v>65.510000000000005</v>
      </c>
      <c r="BO69" s="2">
        <v>67.88</v>
      </c>
      <c r="BQ69">
        <v>5</v>
      </c>
      <c r="BR69" s="1" t="s">
        <v>25</v>
      </c>
      <c r="BS69" s="2">
        <v>-0.71</v>
      </c>
      <c r="BT69" s="2">
        <v>-0.64</v>
      </c>
      <c r="BU69" s="2">
        <v>-0.71</v>
      </c>
      <c r="BV69" s="2">
        <v>-0.2</v>
      </c>
      <c r="BW69" s="2">
        <v>-0.26</v>
      </c>
      <c r="BX69" s="2">
        <v>-0.27</v>
      </c>
      <c r="BY69" s="2">
        <v>-0.19</v>
      </c>
      <c r="BZ69" s="2">
        <v>-0.74</v>
      </c>
      <c r="CA69" s="2">
        <v>-0.64</v>
      </c>
      <c r="CB69" s="2">
        <v>-0.8</v>
      </c>
      <c r="CC69" s="2">
        <v>-0.82</v>
      </c>
      <c r="CD69" s="2">
        <v>-0.61</v>
      </c>
      <c r="CE69" s="2">
        <v>-0.48</v>
      </c>
      <c r="CF69" s="2">
        <v>-0.39</v>
      </c>
      <c r="CG69" s="2">
        <v>-0.46</v>
      </c>
      <c r="CH69" s="2">
        <v>-0.37</v>
      </c>
      <c r="CI69" s="2">
        <v>-0.31</v>
      </c>
      <c r="CJ69" s="2">
        <v>-0.17</v>
      </c>
      <c r="CK69" s="2">
        <v>-0.26</v>
      </c>
      <c r="CL69" s="2">
        <v>-0.12</v>
      </c>
      <c r="CN69" s="2">
        <f t="shared" si="2"/>
        <v>0.71</v>
      </c>
      <c r="CO69" s="2">
        <f t="shared" si="1"/>
        <v>0.64</v>
      </c>
      <c r="CP69" s="2">
        <f t="shared" si="1"/>
        <v>0.71</v>
      </c>
      <c r="CQ69" s="2">
        <f t="shared" si="1"/>
        <v>0.2</v>
      </c>
      <c r="CR69" s="2">
        <f t="shared" si="1"/>
        <v>0.26</v>
      </c>
      <c r="CS69" s="2">
        <f t="shared" si="1"/>
        <v>0.27</v>
      </c>
      <c r="CT69" s="2">
        <f t="shared" si="1"/>
        <v>0.19</v>
      </c>
      <c r="CU69" s="2">
        <f t="shared" si="1"/>
        <v>0.74</v>
      </c>
      <c r="CV69" s="2">
        <f t="shared" si="1"/>
        <v>0.64</v>
      </c>
      <c r="CW69" s="2">
        <f t="shared" si="1"/>
        <v>0.8</v>
      </c>
      <c r="CX69" s="2">
        <f t="shared" si="1"/>
        <v>0.82</v>
      </c>
      <c r="CY69" s="2">
        <f t="shared" si="1"/>
        <v>0.61</v>
      </c>
      <c r="CZ69" s="2">
        <f t="shared" si="1"/>
        <v>0.48</v>
      </c>
      <c r="DA69" s="2">
        <f t="shared" si="1"/>
        <v>0.39</v>
      </c>
      <c r="DB69" s="2">
        <f t="shared" si="1"/>
        <v>0.46</v>
      </c>
      <c r="DC69" s="2">
        <f t="shared" si="1"/>
        <v>0.37</v>
      </c>
      <c r="DD69" s="2">
        <f t="shared" si="1"/>
        <v>0.31</v>
      </c>
      <c r="DE69" s="2">
        <f t="shared" si="1"/>
        <v>0.17</v>
      </c>
      <c r="DF69" s="2">
        <f t="shared" si="1"/>
        <v>0.26</v>
      </c>
      <c r="DG69" s="2">
        <f t="shared" si="1"/>
        <v>0.12</v>
      </c>
    </row>
    <row r="70" spans="2:111" x14ac:dyDescent="0.3">
      <c r="B70" s="1" t="s">
        <v>26</v>
      </c>
      <c r="C70" s="2">
        <v>214.17</v>
      </c>
      <c r="D70" s="2">
        <v>234.37</v>
      </c>
      <c r="E70" s="2">
        <v>220.87</v>
      </c>
      <c r="F70" s="2">
        <v>249.43</v>
      </c>
      <c r="G70" s="2">
        <v>79.040000000000006</v>
      </c>
      <c r="H70" s="2">
        <v>64.510000000000005</v>
      </c>
      <c r="I70" s="2">
        <v>136.46</v>
      </c>
      <c r="J70" s="2">
        <v>209.98</v>
      </c>
      <c r="K70" s="2">
        <v>156.97999999999999</v>
      </c>
      <c r="L70" s="2">
        <v>417.79</v>
      </c>
      <c r="M70" s="2">
        <v>400.15</v>
      </c>
      <c r="N70" s="2">
        <v>777.98</v>
      </c>
      <c r="O70" s="2">
        <v>291.51</v>
      </c>
      <c r="P70" s="2">
        <v>433.39</v>
      </c>
      <c r="Q70" s="2">
        <v>384.5</v>
      </c>
      <c r="R70" s="2">
        <v>686.82</v>
      </c>
      <c r="S70" s="2">
        <v>324.67</v>
      </c>
      <c r="T70" s="2">
        <v>370.54</v>
      </c>
      <c r="U70" s="2">
        <v>320.89999999999998</v>
      </c>
      <c r="V70" s="2">
        <v>223.15</v>
      </c>
      <c r="X70" s="1" t="s">
        <v>26</v>
      </c>
      <c r="Y70" s="2">
        <v>59.69</v>
      </c>
      <c r="Z70" s="2">
        <v>59.9</v>
      </c>
      <c r="AA70" s="2">
        <v>59.09</v>
      </c>
      <c r="AB70" s="2">
        <v>58.97</v>
      </c>
      <c r="AC70" s="2">
        <v>59.86</v>
      </c>
      <c r="AD70" s="2">
        <v>59.72</v>
      </c>
      <c r="AE70" s="2">
        <v>69.84</v>
      </c>
      <c r="AF70" s="2">
        <v>69.900000000000006</v>
      </c>
      <c r="AG70" s="2">
        <v>69.89</v>
      </c>
      <c r="AH70" s="2">
        <v>69.55</v>
      </c>
      <c r="AI70" s="2">
        <v>69.86</v>
      </c>
      <c r="AJ70" s="2">
        <v>69.540000000000006</v>
      </c>
      <c r="AK70" s="2">
        <v>69.86</v>
      </c>
      <c r="AL70" s="2">
        <v>69.58</v>
      </c>
      <c r="AM70" s="2">
        <v>69.88</v>
      </c>
      <c r="AN70" s="2">
        <v>69.650000000000006</v>
      </c>
      <c r="AO70" s="2">
        <v>69.91</v>
      </c>
      <c r="AP70" s="2">
        <v>69.7</v>
      </c>
      <c r="AQ70" s="2">
        <v>69.95</v>
      </c>
      <c r="AR70" s="2">
        <v>69.95</v>
      </c>
      <c r="AU70" s="1" t="s">
        <v>26</v>
      </c>
      <c r="AV70" s="2">
        <v>37.770000000000003</v>
      </c>
      <c r="AW70" s="2">
        <v>34.36</v>
      </c>
      <c r="AX70" s="2">
        <v>36.35</v>
      </c>
      <c r="AY70" s="2">
        <v>36.72</v>
      </c>
      <c r="AZ70" s="2">
        <v>38.869999999999997</v>
      </c>
      <c r="BA70" s="2">
        <v>38.49</v>
      </c>
      <c r="BB70" s="2">
        <v>59.68</v>
      </c>
      <c r="BC70" s="2">
        <v>45.03</v>
      </c>
      <c r="BD70" s="2">
        <v>63.59</v>
      </c>
      <c r="BE70" s="2">
        <v>43.83</v>
      </c>
      <c r="BF70" s="2">
        <v>60.33</v>
      </c>
      <c r="BG70" s="2">
        <v>43.41</v>
      </c>
      <c r="BH70" s="2">
        <v>60.74</v>
      </c>
      <c r="BI70" s="2">
        <v>48.48</v>
      </c>
      <c r="BJ70" s="2">
        <v>61.02</v>
      </c>
      <c r="BK70" s="2">
        <v>48.38</v>
      </c>
      <c r="BL70" s="2">
        <v>62.64</v>
      </c>
      <c r="BM70" s="2">
        <v>53.38</v>
      </c>
      <c r="BN70" s="2">
        <v>65.06</v>
      </c>
      <c r="BO70" s="2">
        <v>66.819999999999993</v>
      </c>
      <c r="BQ70">
        <v>1</v>
      </c>
      <c r="BR70" s="1" t="s">
        <v>26</v>
      </c>
      <c r="BS70" s="2">
        <v>-0.76</v>
      </c>
      <c r="BT70" s="2">
        <v>-0.97</v>
      </c>
      <c r="BU70" s="2">
        <v>-0.83</v>
      </c>
      <c r="BV70" s="2">
        <v>-0.8</v>
      </c>
      <c r="BW70" s="2">
        <v>-0.27</v>
      </c>
      <c r="BX70" s="2">
        <v>-0.28000000000000003</v>
      </c>
      <c r="BY70" s="2">
        <v>-0.23</v>
      </c>
      <c r="BZ70" s="2">
        <v>-0.76</v>
      </c>
      <c r="CA70" s="2">
        <v>-0.17</v>
      </c>
      <c r="CB70" s="2">
        <v>-1.01</v>
      </c>
      <c r="CC70" s="2">
        <v>-0.49</v>
      </c>
      <c r="CD70" s="2">
        <v>-1.87</v>
      </c>
      <c r="CE70" s="2">
        <v>-0.37</v>
      </c>
      <c r="CF70" s="2">
        <v>-1.0900000000000001</v>
      </c>
      <c r="CG70" s="2">
        <v>-0.47</v>
      </c>
      <c r="CH70" s="2">
        <v>-1.44</v>
      </c>
      <c r="CI70" s="2">
        <v>-0.34</v>
      </c>
      <c r="CJ70" s="2">
        <v>-0.89</v>
      </c>
      <c r="CK70" s="2">
        <v>-0.28999999999999998</v>
      </c>
      <c r="CL70" s="2">
        <v>-0.18</v>
      </c>
      <c r="CN70" s="2">
        <f t="shared" si="2"/>
        <v>0.76</v>
      </c>
      <c r="CO70" s="2">
        <f t="shared" si="1"/>
        <v>0.97</v>
      </c>
      <c r="CP70" s="2">
        <f t="shared" si="1"/>
        <v>0.83</v>
      </c>
      <c r="CQ70" s="2">
        <f t="shared" si="1"/>
        <v>0.8</v>
      </c>
      <c r="CR70" s="2">
        <f t="shared" si="1"/>
        <v>0.27</v>
      </c>
      <c r="CS70" s="2">
        <f t="shared" si="1"/>
        <v>0.28000000000000003</v>
      </c>
      <c r="CT70" s="2">
        <f t="shared" si="1"/>
        <v>0.23</v>
      </c>
      <c r="CU70" s="2">
        <f t="shared" si="1"/>
        <v>0.76</v>
      </c>
      <c r="CV70" s="2">
        <f t="shared" si="1"/>
        <v>0.17</v>
      </c>
      <c r="CW70" s="2">
        <f t="shared" si="1"/>
        <v>1.01</v>
      </c>
      <c r="CX70" s="2">
        <f t="shared" si="1"/>
        <v>0.49</v>
      </c>
      <c r="CY70" s="2">
        <f t="shared" si="1"/>
        <v>1.87</v>
      </c>
      <c r="CZ70" s="2">
        <f t="shared" si="1"/>
        <v>0.37</v>
      </c>
      <c r="DA70" s="2">
        <f t="shared" si="1"/>
        <v>1.0900000000000001</v>
      </c>
      <c r="DB70" s="2">
        <f t="shared" si="1"/>
        <v>0.47</v>
      </c>
      <c r="DC70" s="2">
        <f t="shared" si="1"/>
        <v>1.44</v>
      </c>
      <c r="DD70" s="2">
        <f t="shared" si="1"/>
        <v>0.34</v>
      </c>
      <c r="DE70" s="2">
        <f t="shared" si="1"/>
        <v>0.89</v>
      </c>
      <c r="DF70" s="2">
        <f t="shared" si="1"/>
        <v>0.28999999999999998</v>
      </c>
      <c r="DG70" s="2">
        <f t="shared" si="1"/>
        <v>0.18</v>
      </c>
    </row>
    <row r="71" spans="2:111" x14ac:dyDescent="0.3">
      <c r="B71" s="1" t="s">
        <v>27</v>
      </c>
      <c r="C71" s="2">
        <v>1259.3</v>
      </c>
      <c r="D71" s="2">
        <v>1496.3</v>
      </c>
      <c r="E71" s="2">
        <v>591.74</v>
      </c>
      <c r="F71" s="2">
        <v>1100.48</v>
      </c>
      <c r="G71" s="2">
        <v>227.67</v>
      </c>
      <c r="H71" s="2">
        <v>441.8</v>
      </c>
      <c r="I71" s="2">
        <v>674.1</v>
      </c>
      <c r="J71" s="2">
        <v>1011.7</v>
      </c>
      <c r="K71" s="2">
        <v>695.88</v>
      </c>
      <c r="L71" s="2">
        <v>2354.1</v>
      </c>
      <c r="M71" s="2">
        <v>1439.29</v>
      </c>
      <c r="N71" s="2">
        <v>2605</v>
      </c>
      <c r="O71" s="2">
        <v>1047.57</v>
      </c>
      <c r="P71" s="2">
        <v>1664.92</v>
      </c>
      <c r="Q71" s="2">
        <v>1644.87</v>
      </c>
      <c r="R71" s="2">
        <v>2194.84</v>
      </c>
      <c r="S71" s="2">
        <v>1102.1300000000001</v>
      </c>
      <c r="T71" s="2">
        <v>870.92</v>
      </c>
      <c r="U71" s="2">
        <v>1110.9000000000001</v>
      </c>
      <c r="V71" s="2">
        <v>1032.3</v>
      </c>
      <c r="X71" s="1" t="s">
        <v>27</v>
      </c>
      <c r="Y71" s="2">
        <v>58.82</v>
      </c>
      <c r="Z71" s="2">
        <v>58.46</v>
      </c>
      <c r="AA71" s="2">
        <v>59.39</v>
      </c>
      <c r="AB71" s="2">
        <v>58.02</v>
      </c>
      <c r="AC71" s="2">
        <v>59.59</v>
      </c>
      <c r="AD71" s="2">
        <v>58.78</v>
      </c>
      <c r="AE71" s="2">
        <v>69.709999999999994</v>
      </c>
      <c r="AF71" s="2">
        <v>67.489999999999995</v>
      </c>
      <c r="AG71" s="2">
        <v>69.849999999999994</v>
      </c>
      <c r="AH71" s="2">
        <v>68.37</v>
      </c>
      <c r="AI71" s="2">
        <v>69.84</v>
      </c>
      <c r="AJ71" s="2">
        <v>61.47</v>
      </c>
      <c r="AK71" s="2">
        <v>69.83</v>
      </c>
      <c r="AL71" s="2">
        <v>65.55</v>
      </c>
      <c r="AM71" s="2">
        <v>69.790000000000006</v>
      </c>
      <c r="AN71" s="2">
        <v>69.72</v>
      </c>
      <c r="AO71" s="2">
        <v>69.91</v>
      </c>
      <c r="AP71" s="2">
        <v>69.89</v>
      </c>
      <c r="AQ71" s="2">
        <v>69.94</v>
      </c>
      <c r="AR71" s="2">
        <v>69.94</v>
      </c>
      <c r="AU71" s="1" t="s">
        <v>27</v>
      </c>
      <c r="AV71" s="2">
        <v>26.68</v>
      </c>
      <c r="AW71" s="2">
        <v>26.37</v>
      </c>
      <c r="AX71" s="2">
        <v>38.630000000000003</v>
      </c>
      <c r="AY71" s="2">
        <v>27.47</v>
      </c>
      <c r="AZ71" s="2">
        <v>41.1</v>
      </c>
      <c r="BA71" s="2">
        <v>27.11</v>
      </c>
      <c r="BB71" s="2">
        <v>52.77</v>
      </c>
      <c r="BC71" s="2">
        <v>40.97</v>
      </c>
      <c r="BD71" s="2">
        <v>59.9</v>
      </c>
      <c r="BE71" s="2">
        <v>30.98</v>
      </c>
      <c r="BF71" s="2">
        <v>57.4</v>
      </c>
      <c r="BG71" s="2">
        <v>38.75</v>
      </c>
      <c r="BH71" s="2">
        <v>57.33</v>
      </c>
      <c r="BI71" s="2">
        <v>42.16</v>
      </c>
      <c r="BJ71" s="2">
        <v>54.27</v>
      </c>
      <c r="BK71" s="2">
        <v>47.87</v>
      </c>
      <c r="BL71" s="2">
        <v>61.4</v>
      </c>
      <c r="BM71" s="2">
        <v>60.54</v>
      </c>
      <c r="BN71" s="2">
        <v>63.85</v>
      </c>
      <c r="BO71" s="2">
        <v>64.459999999999994</v>
      </c>
      <c r="BQ71">
        <v>3</v>
      </c>
      <c r="BR71" s="1" t="s">
        <v>27</v>
      </c>
      <c r="BS71" s="2">
        <v>-1.6</v>
      </c>
      <c r="BT71" s="2">
        <v>-1.62</v>
      </c>
      <c r="BU71" s="2">
        <v>-0.71</v>
      </c>
      <c r="BV71" s="2">
        <v>-1.5</v>
      </c>
      <c r="BW71" s="2">
        <v>-0.23</v>
      </c>
      <c r="BX71" s="2">
        <v>-0.6</v>
      </c>
      <c r="BY71" s="2">
        <v>-0.44</v>
      </c>
      <c r="BZ71" s="2">
        <v>-0.92</v>
      </c>
      <c r="CA71" s="2">
        <v>-0.28999999999999998</v>
      </c>
      <c r="CB71" s="2">
        <v>-2.12</v>
      </c>
      <c r="CC71" s="2">
        <v>-0.67</v>
      </c>
      <c r="CD71" s="2">
        <v>-2.06</v>
      </c>
      <c r="CE71" s="2">
        <v>-0.54</v>
      </c>
      <c r="CF71" s="2">
        <v>-1.47</v>
      </c>
      <c r="CG71" s="2">
        <v>-0.93</v>
      </c>
      <c r="CH71" s="2">
        <v>-1.49</v>
      </c>
      <c r="CI71" s="2">
        <v>-0.4</v>
      </c>
      <c r="CJ71" s="2">
        <v>-0.45</v>
      </c>
      <c r="CK71" s="2">
        <v>-0.37</v>
      </c>
      <c r="CL71" s="2">
        <v>-0.33</v>
      </c>
      <c r="CN71" s="2">
        <f t="shared" si="2"/>
        <v>1.6</v>
      </c>
      <c r="CO71" s="2">
        <f t="shared" si="1"/>
        <v>1.62</v>
      </c>
      <c r="CP71" s="2">
        <f t="shared" si="1"/>
        <v>0.71</v>
      </c>
      <c r="CQ71" s="2">
        <f t="shared" si="1"/>
        <v>1.5</v>
      </c>
      <c r="CR71" s="2">
        <f t="shared" si="1"/>
        <v>0.23</v>
      </c>
      <c r="CS71" s="2">
        <f t="shared" si="1"/>
        <v>0.6</v>
      </c>
      <c r="CT71" s="2">
        <f t="shared" si="1"/>
        <v>0.44</v>
      </c>
      <c r="CU71" s="2">
        <f t="shared" si="1"/>
        <v>0.92</v>
      </c>
      <c r="CV71" s="2">
        <f t="shared" si="1"/>
        <v>0.28999999999999998</v>
      </c>
      <c r="CW71" s="2">
        <f t="shared" si="1"/>
        <v>2.12</v>
      </c>
      <c r="CX71" s="2">
        <f t="shared" si="1"/>
        <v>0.67</v>
      </c>
      <c r="CY71" s="2">
        <f t="shared" si="1"/>
        <v>2.06</v>
      </c>
      <c r="CZ71" s="2">
        <f t="shared" si="1"/>
        <v>0.54</v>
      </c>
      <c r="DA71" s="2">
        <f t="shared" si="1"/>
        <v>1.47</v>
      </c>
      <c r="DB71" s="2">
        <f t="shared" si="1"/>
        <v>0.93</v>
      </c>
      <c r="DC71" s="2">
        <f t="shared" si="1"/>
        <v>1.49</v>
      </c>
      <c r="DD71" s="2">
        <f t="shared" si="1"/>
        <v>0.4</v>
      </c>
      <c r="DE71" s="2">
        <f t="shared" si="1"/>
        <v>0.45</v>
      </c>
      <c r="DF71" s="2">
        <f t="shared" si="1"/>
        <v>0.37</v>
      </c>
      <c r="DG71" s="2">
        <f t="shared" si="1"/>
        <v>0.33</v>
      </c>
    </row>
    <row r="72" spans="2:111" x14ac:dyDescent="0.3">
      <c r="B72" s="1" t="s">
        <v>28</v>
      </c>
      <c r="C72" s="2">
        <v>130.13</v>
      </c>
      <c r="D72" s="2">
        <v>130.44999999999999</v>
      </c>
      <c r="E72" s="2">
        <v>18.21</v>
      </c>
      <c r="F72" s="2">
        <v>22.41</v>
      </c>
      <c r="G72" s="2">
        <v>1.4</v>
      </c>
      <c r="H72" s="2">
        <v>10.88</v>
      </c>
      <c r="I72" s="2">
        <v>32.29</v>
      </c>
      <c r="J72" s="2">
        <v>179.3</v>
      </c>
      <c r="K72" s="2">
        <v>158.28</v>
      </c>
      <c r="L72" s="2">
        <v>158.75</v>
      </c>
      <c r="M72" s="2">
        <v>300.52</v>
      </c>
      <c r="N72" s="2">
        <v>326.64999999999998</v>
      </c>
      <c r="O72" s="2">
        <v>293.02</v>
      </c>
      <c r="P72" s="2">
        <v>302.05</v>
      </c>
      <c r="Q72" s="2">
        <v>269.76</v>
      </c>
      <c r="R72" s="2">
        <v>277.45999999999998</v>
      </c>
      <c r="S72" s="2">
        <v>310.37</v>
      </c>
      <c r="T72" s="2">
        <v>175.93</v>
      </c>
      <c r="U72" s="2">
        <v>337.79</v>
      </c>
      <c r="V72" s="2">
        <v>207.38</v>
      </c>
      <c r="X72" s="1" t="s">
        <v>28</v>
      </c>
      <c r="Y72" s="2">
        <v>59.99</v>
      </c>
      <c r="Z72" s="2">
        <v>59.97</v>
      </c>
      <c r="AA72" s="2">
        <v>59.99</v>
      </c>
      <c r="AB72" s="2">
        <v>59.99</v>
      </c>
      <c r="AC72" s="2">
        <v>60</v>
      </c>
      <c r="AD72" s="2">
        <v>59.99</v>
      </c>
      <c r="AE72" s="2">
        <v>70</v>
      </c>
      <c r="AF72" s="2">
        <v>69.98</v>
      </c>
      <c r="AG72" s="2">
        <v>70</v>
      </c>
      <c r="AH72" s="2">
        <v>69.989999999999995</v>
      </c>
      <c r="AI72" s="2">
        <v>70</v>
      </c>
      <c r="AJ72" s="2">
        <v>69.98</v>
      </c>
      <c r="AK72" s="2">
        <v>70</v>
      </c>
      <c r="AL72" s="2">
        <v>69.989999999999995</v>
      </c>
      <c r="AM72" s="2">
        <v>70</v>
      </c>
      <c r="AN72" s="2">
        <v>70</v>
      </c>
      <c r="AO72" s="2">
        <v>70</v>
      </c>
      <c r="AP72" s="2">
        <v>70</v>
      </c>
      <c r="AQ72" s="2">
        <v>70</v>
      </c>
      <c r="AR72" s="2">
        <v>70</v>
      </c>
      <c r="AU72" s="1" t="s">
        <v>28</v>
      </c>
      <c r="AV72" s="2">
        <v>52.98</v>
      </c>
      <c r="AW72" s="2">
        <v>49.41</v>
      </c>
      <c r="AX72" s="2">
        <v>54.96</v>
      </c>
      <c r="AY72" s="2">
        <v>54.94</v>
      </c>
      <c r="AZ72" s="2">
        <v>54.97</v>
      </c>
      <c r="BA72" s="2">
        <v>54.89</v>
      </c>
      <c r="BB72" s="2">
        <v>64.95</v>
      </c>
      <c r="BC72" s="2">
        <v>51.6</v>
      </c>
      <c r="BD72" s="2">
        <v>66.489999999999995</v>
      </c>
      <c r="BE72" s="2">
        <v>54.66</v>
      </c>
      <c r="BF72" s="2">
        <v>60.34</v>
      </c>
      <c r="BG72" s="2">
        <v>54.57</v>
      </c>
      <c r="BH72" s="2">
        <v>57.74</v>
      </c>
      <c r="BI72" s="2">
        <v>58.04</v>
      </c>
      <c r="BJ72" s="2">
        <v>60.98</v>
      </c>
      <c r="BK72" s="2">
        <v>62.94</v>
      </c>
      <c r="BL72" s="2">
        <v>63.02</v>
      </c>
      <c r="BM72" s="2">
        <v>66.260000000000005</v>
      </c>
      <c r="BN72" s="2">
        <v>65.650000000000006</v>
      </c>
      <c r="BO72" s="2">
        <v>67.989999999999995</v>
      </c>
      <c r="BQ72">
        <v>3</v>
      </c>
      <c r="BR72" s="1" t="s">
        <v>28</v>
      </c>
      <c r="BS72" s="2">
        <v>-0.17</v>
      </c>
      <c r="BT72" s="2">
        <v>-0.28000000000000003</v>
      </c>
      <c r="BU72" s="2">
        <v>-0.12</v>
      </c>
      <c r="BV72" s="2">
        <v>-0.12</v>
      </c>
      <c r="BW72" s="2">
        <v>-0.05</v>
      </c>
      <c r="BX72" s="2">
        <v>-0.05</v>
      </c>
      <c r="BY72" s="2">
        <v>-0.11</v>
      </c>
      <c r="BZ72" s="2">
        <v>-0.49</v>
      </c>
      <c r="CA72" s="2">
        <v>-0.09</v>
      </c>
      <c r="CB72" s="2">
        <v>-0.48</v>
      </c>
      <c r="CC72" s="2">
        <v>-0.49</v>
      </c>
      <c r="CD72" s="2">
        <v>-0.87</v>
      </c>
      <c r="CE72" s="2">
        <v>-0.53</v>
      </c>
      <c r="CF72" s="2">
        <v>-0.51</v>
      </c>
      <c r="CG72" s="2">
        <v>-0.48</v>
      </c>
      <c r="CH72" s="2">
        <v>-0.37</v>
      </c>
      <c r="CI72" s="2">
        <v>-0.32</v>
      </c>
      <c r="CJ72" s="2">
        <v>-0.16</v>
      </c>
      <c r="CK72" s="2">
        <v>-0.26</v>
      </c>
      <c r="CL72" s="2">
        <v>-0.11</v>
      </c>
      <c r="CN72" s="2">
        <f t="shared" si="2"/>
        <v>0.17</v>
      </c>
      <c r="CO72" s="2">
        <f t="shared" si="1"/>
        <v>0.28000000000000003</v>
      </c>
      <c r="CP72" s="2">
        <f t="shared" si="1"/>
        <v>0.12</v>
      </c>
      <c r="CQ72" s="2">
        <f t="shared" si="1"/>
        <v>0.12</v>
      </c>
      <c r="CR72" s="2">
        <f t="shared" si="1"/>
        <v>0.05</v>
      </c>
      <c r="CS72" s="2">
        <f t="shared" si="1"/>
        <v>0.05</v>
      </c>
      <c r="CT72" s="2">
        <f t="shared" si="1"/>
        <v>0.11</v>
      </c>
      <c r="CU72" s="2">
        <f t="shared" si="1"/>
        <v>0.49</v>
      </c>
      <c r="CV72" s="2">
        <f t="shared" si="1"/>
        <v>0.09</v>
      </c>
      <c r="CW72" s="2">
        <f t="shared" si="1"/>
        <v>0.48</v>
      </c>
      <c r="CX72" s="2">
        <f t="shared" si="1"/>
        <v>0.49</v>
      </c>
      <c r="CY72" s="2">
        <f t="shared" si="1"/>
        <v>0.87</v>
      </c>
      <c r="CZ72" s="2">
        <f t="shared" si="1"/>
        <v>0.53</v>
      </c>
      <c r="DA72" s="2">
        <f t="shared" si="1"/>
        <v>0.51</v>
      </c>
      <c r="DB72" s="2">
        <f t="shared" si="1"/>
        <v>0.48</v>
      </c>
      <c r="DC72" s="2">
        <f t="shared" si="1"/>
        <v>0.37</v>
      </c>
      <c r="DD72" s="2">
        <f t="shared" si="1"/>
        <v>0.32</v>
      </c>
      <c r="DE72" s="2">
        <f t="shared" si="1"/>
        <v>0.16</v>
      </c>
      <c r="DF72" s="2">
        <f t="shared" si="1"/>
        <v>0.26</v>
      </c>
      <c r="DG72" s="2">
        <f t="shared" si="1"/>
        <v>0.11</v>
      </c>
    </row>
    <row r="73" spans="2:111" x14ac:dyDescent="0.3">
      <c r="BS73">
        <f>SUMPRODUCT(BS65:BS72,$BQ65:$BQ72)/SUM($BQ65:$BQ72)</f>
        <v>-0.69541666666666668</v>
      </c>
      <c r="BT73">
        <f t="shared" ref="BT73:CL73" si="3">SUMPRODUCT(BT65:BT72,$BQ65:$BQ72)/SUM($BQ65:$BQ72)</f>
        <v>-0.47291666666666665</v>
      </c>
      <c r="BU73">
        <f t="shared" si="3"/>
        <v>-0.5854166666666667</v>
      </c>
      <c r="BV73">
        <f t="shared" si="3"/>
        <v>-0.33749999999999997</v>
      </c>
      <c r="BW73">
        <f t="shared" si="3"/>
        <v>-0.17125000000000001</v>
      </c>
      <c r="BX73">
        <f t="shared" si="3"/>
        <v>-0.21750000000000003</v>
      </c>
      <c r="BY73">
        <f t="shared" si="3"/>
        <v>-0.31750000000000006</v>
      </c>
      <c r="BZ73">
        <f t="shared" si="3"/>
        <v>-0.53708333333333336</v>
      </c>
      <c r="CA73">
        <f t="shared" si="3"/>
        <v>-0.4383333333333333</v>
      </c>
      <c r="CB73">
        <f t="shared" si="3"/>
        <v>-0.65500000000000003</v>
      </c>
      <c r="CC73">
        <f t="shared" si="3"/>
        <v>-0.96749999999999992</v>
      </c>
      <c r="CD73">
        <f t="shared" si="3"/>
        <v>-0.77666666666666673</v>
      </c>
      <c r="CE73">
        <f t="shared" si="3"/>
        <v>-0.77041666666666664</v>
      </c>
      <c r="CF73">
        <f t="shared" si="3"/>
        <v>-0.52958333333333329</v>
      </c>
      <c r="CG73">
        <f t="shared" si="3"/>
        <v>-0.83666666666666678</v>
      </c>
      <c r="CH73">
        <f t="shared" si="3"/>
        <v>-0.55583333333333329</v>
      </c>
      <c r="CI73">
        <f t="shared" si="3"/>
        <v>-0.35666666666666663</v>
      </c>
      <c r="CJ73">
        <f t="shared" si="3"/>
        <v>-0.20166666666666666</v>
      </c>
      <c r="CK73">
        <f t="shared" si="3"/>
        <v>-0.31708333333333333</v>
      </c>
      <c r="CL73">
        <f t="shared" si="3"/>
        <v>-0.14416666666666667</v>
      </c>
    </row>
    <row r="74" spans="2:111" x14ac:dyDescent="0.3">
      <c r="BS74">
        <f>BU73+BW73+BY73</f>
        <v>-1.0741666666666667</v>
      </c>
      <c r="BT74">
        <f>AVERAGE(BV73,BT73)+BX73+BZ73</f>
        <v>-1.1597916666666666</v>
      </c>
      <c r="BU74">
        <f>BS73+BU73</f>
        <v>-1.2808333333333333</v>
      </c>
      <c r="CA74">
        <f>CA73+CC73+CE73+CG73</f>
        <v>-3.0129166666666669</v>
      </c>
      <c r="CB74">
        <f>CB73+CD73+CF73+CH73</f>
        <v>-2.5170833333333333</v>
      </c>
      <c r="CI74">
        <f>CI73+CK73</f>
        <v>-0.67374999999999996</v>
      </c>
      <c r="CJ74">
        <f>CJ73+CL73</f>
        <v>-0.34583333333333333</v>
      </c>
    </row>
    <row r="75" spans="2:111" x14ac:dyDescent="0.3">
      <c r="B75" t="s">
        <v>45</v>
      </c>
      <c r="X75" t="s">
        <v>46</v>
      </c>
      <c r="AU75" t="s">
        <v>47</v>
      </c>
      <c r="BR75" t="s">
        <v>48</v>
      </c>
    </row>
    <row r="76" spans="2:111" x14ac:dyDescent="0.3">
      <c r="B76" s="1" t="s">
        <v>16</v>
      </c>
      <c r="C76" s="1" t="s">
        <v>17</v>
      </c>
      <c r="D76" s="1" t="s">
        <v>18</v>
      </c>
      <c r="E76" s="1" t="s">
        <v>17</v>
      </c>
      <c r="F76" s="1" t="s">
        <v>18</v>
      </c>
      <c r="G76" s="1" t="s">
        <v>17</v>
      </c>
      <c r="H76" s="1" t="s">
        <v>18</v>
      </c>
      <c r="I76" s="1" t="s">
        <v>17</v>
      </c>
      <c r="J76" s="1" t="s">
        <v>18</v>
      </c>
      <c r="K76" s="1" t="s">
        <v>17</v>
      </c>
      <c r="L76" s="1" t="s">
        <v>18</v>
      </c>
      <c r="M76" s="1" t="s">
        <v>17</v>
      </c>
      <c r="N76" s="1" t="s">
        <v>18</v>
      </c>
      <c r="O76" s="1" t="s">
        <v>17</v>
      </c>
      <c r="P76" s="1" t="s">
        <v>18</v>
      </c>
      <c r="Q76" s="1" t="s">
        <v>17</v>
      </c>
      <c r="R76" s="1" t="s">
        <v>18</v>
      </c>
      <c r="S76" s="1" t="s">
        <v>17</v>
      </c>
      <c r="T76" s="1" t="s">
        <v>18</v>
      </c>
      <c r="U76" s="1" t="s">
        <v>17</v>
      </c>
      <c r="V76" s="1" t="s">
        <v>18</v>
      </c>
      <c r="X76" s="1" t="s">
        <v>16</v>
      </c>
      <c r="Y76" s="1" t="s">
        <v>17</v>
      </c>
      <c r="Z76" s="1" t="s">
        <v>18</v>
      </c>
      <c r="AA76" s="1" t="s">
        <v>17</v>
      </c>
      <c r="AB76" s="1" t="s">
        <v>18</v>
      </c>
      <c r="AC76" s="1" t="s">
        <v>17</v>
      </c>
      <c r="AD76" s="1" t="s">
        <v>18</v>
      </c>
      <c r="AE76" s="1" t="s">
        <v>17</v>
      </c>
      <c r="AF76" s="1" t="s">
        <v>18</v>
      </c>
      <c r="AG76" s="1" t="s">
        <v>17</v>
      </c>
      <c r="AH76" s="1" t="s">
        <v>18</v>
      </c>
      <c r="AI76" s="1" t="s">
        <v>17</v>
      </c>
      <c r="AJ76" s="1" t="s">
        <v>18</v>
      </c>
      <c r="AK76" s="1" t="s">
        <v>17</v>
      </c>
      <c r="AL76" s="1" t="s">
        <v>18</v>
      </c>
      <c r="AM76" s="1" t="s">
        <v>17</v>
      </c>
      <c r="AN76" s="1" t="s">
        <v>18</v>
      </c>
      <c r="AO76" s="1" t="s">
        <v>17</v>
      </c>
      <c r="AP76" s="1" t="s">
        <v>18</v>
      </c>
      <c r="AQ76" s="1" t="s">
        <v>17</v>
      </c>
      <c r="AR76" s="1" t="s">
        <v>18</v>
      </c>
      <c r="AU76" s="1" t="s">
        <v>16</v>
      </c>
      <c r="AV76" s="1" t="s">
        <v>17</v>
      </c>
      <c r="AW76" s="1" t="s">
        <v>18</v>
      </c>
      <c r="AX76" s="1" t="s">
        <v>17</v>
      </c>
      <c r="AY76" s="1" t="s">
        <v>18</v>
      </c>
      <c r="AZ76" s="1" t="s">
        <v>17</v>
      </c>
      <c r="BA76" s="1" t="s">
        <v>18</v>
      </c>
      <c r="BB76" s="1" t="s">
        <v>17</v>
      </c>
      <c r="BC76" s="1" t="s">
        <v>18</v>
      </c>
      <c r="BD76" s="1" t="s">
        <v>17</v>
      </c>
      <c r="BE76" s="1" t="s">
        <v>18</v>
      </c>
      <c r="BF76" s="1" t="s">
        <v>17</v>
      </c>
      <c r="BG76" s="1" t="s">
        <v>18</v>
      </c>
      <c r="BH76" s="1" t="s">
        <v>17</v>
      </c>
      <c r="BI76" s="1" t="s">
        <v>18</v>
      </c>
      <c r="BJ76" s="1" t="s">
        <v>17</v>
      </c>
      <c r="BK76" s="1" t="s">
        <v>18</v>
      </c>
      <c r="BL76" s="1" t="s">
        <v>17</v>
      </c>
      <c r="BM76" s="1" t="s">
        <v>18</v>
      </c>
      <c r="BN76" s="1" t="s">
        <v>17</v>
      </c>
      <c r="BO76" s="1" t="s">
        <v>18</v>
      </c>
      <c r="BR76" s="1" t="s">
        <v>16</v>
      </c>
      <c r="BS76" s="1" t="s">
        <v>17</v>
      </c>
      <c r="BT76" s="1" t="s">
        <v>18</v>
      </c>
      <c r="BU76" s="1" t="s">
        <v>17</v>
      </c>
      <c r="BV76" s="1" t="s">
        <v>18</v>
      </c>
      <c r="BW76" s="1" t="s">
        <v>17</v>
      </c>
      <c r="BX76" s="1" t="s">
        <v>18</v>
      </c>
      <c r="BY76" s="1" t="s">
        <v>17</v>
      </c>
      <c r="BZ76" s="1" t="s">
        <v>18</v>
      </c>
      <c r="CA76" s="1" t="s">
        <v>17</v>
      </c>
      <c r="CB76" s="1" t="s">
        <v>18</v>
      </c>
      <c r="CC76" s="1" t="s">
        <v>17</v>
      </c>
      <c r="CD76" s="1" t="s">
        <v>18</v>
      </c>
      <c r="CE76" s="1" t="s">
        <v>17</v>
      </c>
      <c r="CF76" s="1" t="s">
        <v>18</v>
      </c>
      <c r="CG76" s="1" t="s">
        <v>17</v>
      </c>
      <c r="CH76" s="1" t="s">
        <v>18</v>
      </c>
      <c r="CI76" s="1" t="s">
        <v>17</v>
      </c>
      <c r="CJ76" s="1" t="s">
        <v>18</v>
      </c>
      <c r="CK76" s="1" t="s">
        <v>17</v>
      </c>
      <c r="CL76" s="1" t="s">
        <v>18</v>
      </c>
    </row>
    <row r="77" spans="2:111" x14ac:dyDescent="0.3">
      <c r="B77" s="1" t="s">
        <v>19</v>
      </c>
      <c r="C77" s="1" t="s">
        <v>1</v>
      </c>
      <c r="D77" s="1" t="s">
        <v>1</v>
      </c>
      <c r="E77" s="1" t="s">
        <v>2</v>
      </c>
      <c r="F77" s="1" t="s">
        <v>2</v>
      </c>
      <c r="G77" s="1" t="s">
        <v>3</v>
      </c>
      <c r="H77" s="1" t="s">
        <v>3</v>
      </c>
      <c r="I77" s="1" t="s">
        <v>4</v>
      </c>
      <c r="J77" s="1" t="s">
        <v>4</v>
      </c>
      <c r="K77" s="1" t="s">
        <v>5</v>
      </c>
      <c r="L77" s="1" t="s">
        <v>5</v>
      </c>
      <c r="M77" s="1" t="s">
        <v>6</v>
      </c>
      <c r="N77" s="1" t="s">
        <v>6</v>
      </c>
      <c r="O77" s="1" t="s">
        <v>7</v>
      </c>
      <c r="P77" s="1" t="s">
        <v>7</v>
      </c>
      <c r="Q77" s="1" t="s">
        <v>8</v>
      </c>
      <c r="R77" s="1" t="s">
        <v>8</v>
      </c>
      <c r="S77" s="1" t="s">
        <v>9</v>
      </c>
      <c r="T77" s="1" t="s">
        <v>9</v>
      </c>
      <c r="U77" s="1" t="s">
        <v>10</v>
      </c>
      <c r="V77" s="1" t="s">
        <v>10</v>
      </c>
      <c r="X77" s="1" t="s">
        <v>19</v>
      </c>
      <c r="Y77" s="1" t="s">
        <v>1</v>
      </c>
      <c r="Z77" s="1" t="s">
        <v>1</v>
      </c>
      <c r="AA77" s="1" t="s">
        <v>2</v>
      </c>
      <c r="AB77" s="1" t="s">
        <v>2</v>
      </c>
      <c r="AC77" s="1" t="s">
        <v>3</v>
      </c>
      <c r="AD77" s="1" t="s">
        <v>3</v>
      </c>
      <c r="AE77" s="1" t="s">
        <v>4</v>
      </c>
      <c r="AF77" s="1" t="s">
        <v>4</v>
      </c>
      <c r="AG77" s="1" t="s">
        <v>5</v>
      </c>
      <c r="AH77" s="1" t="s">
        <v>5</v>
      </c>
      <c r="AI77" s="1" t="s">
        <v>6</v>
      </c>
      <c r="AJ77" s="1" t="s">
        <v>6</v>
      </c>
      <c r="AK77" s="1" t="s">
        <v>7</v>
      </c>
      <c r="AL77" s="1" t="s">
        <v>7</v>
      </c>
      <c r="AM77" s="1" t="s">
        <v>8</v>
      </c>
      <c r="AN77" s="1" t="s">
        <v>8</v>
      </c>
      <c r="AO77" s="1" t="s">
        <v>9</v>
      </c>
      <c r="AP77" s="1" t="s">
        <v>9</v>
      </c>
      <c r="AQ77" s="1" t="s">
        <v>10</v>
      </c>
      <c r="AR77" s="1" t="s">
        <v>10</v>
      </c>
      <c r="AU77" s="1" t="s">
        <v>19</v>
      </c>
      <c r="AV77" s="1" t="s">
        <v>1</v>
      </c>
      <c r="AW77" s="1" t="s">
        <v>1</v>
      </c>
      <c r="AX77" s="1" t="s">
        <v>2</v>
      </c>
      <c r="AY77" s="1" t="s">
        <v>2</v>
      </c>
      <c r="AZ77" s="1" t="s">
        <v>3</v>
      </c>
      <c r="BA77" s="1" t="s">
        <v>3</v>
      </c>
      <c r="BB77" s="1" t="s">
        <v>4</v>
      </c>
      <c r="BC77" s="1" t="s">
        <v>4</v>
      </c>
      <c r="BD77" s="1" t="s">
        <v>5</v>
      </c>
      <c r="BE77" s="1" t="s">
        <v>5</v>
      </c>
      <c r="BF77" s="1" t="s">
        <v>6</v>
      </c>
      <c r="BG77" s="1" t="s">
        <v>6</v>
      </c>
      <c r="BH77" s="1" t="s">
        <v>7</v>
      </c>
      <c r="BI77" s="1" t="s">
        <v>7</v>
      </c>
      <c r="BJ77" s="1" t="s">
        <v>8</v>
      </c>
      <c r="BK77" s="1" t="s">
        <v>8</v>
      </c>
      <c r="BL77" s="1" t="s">
        <v>9</v>
      </c>
      <c r="BM77" s="1" t="s">
        <v>9</v>
      </c>
      <c r="BN77" s="1" t="s">
        <v>10</v>
      </c>
      <c r="BO77" s="1" t="s">
        <v>10</v>
      </c>
      <c r="BR77" s="1" t="s">
        <v>19</v>
      </c>
      <c r="BS77" s="1" t="s">
        <v>1</v>
      </c>
      <c r="BT77" s="1" t="s">
        <v>1</v>
      </c>
      <c r="BU77" s="1" t="s">
        <v>2</v>
      </c>
      <c r="BV77" s="1" t="s">
        <v>2</v>
      </c>
      <c r="BW77" s="1" t="s">
        <v>3</v>
      </c>
      <c r="BX77" s="1" t="s">
        <v>3</v>
      </c>
      <c r="BY77" s="1" t="s">
        <v>4</v>
      </c>
      <c r="BZ77" s="1" t="s">
        <v>4</v>
      </c>
      <c r="CA77" s="1" t="s">
        <v>5</v>
      </c>
      <c r="CB77" s="1" t="s">
        <v>5</v>
      </c>
      <c r="CC77" s="1" t="s">
        <v>6</v>
      </c>
      <c r="CD77" s="1" t="s">
        <v>6</v>
      </c>
      <c r="CE77" s="1" t="s">
        <v>7</v>
      </c>
      <c r="CF77" s="1" t="s">
        <v>7</v>
      </c>
      <c r="CG77" s="1" t="s">
        <v>8</v>
      </c>
      <c r="CH77" s="1" t="s">
        <v>8</v>
      </c>
      <c r="CI77" s="1" t="s">
        <v>9</v>
      </c>
      <c r="CJ77" s="1" t="s">
        <v>9</v>
      </c>
      <c r="CK77" s="1" t="s">
        <v>10</v>
      </c>
      <c r="CL77" s="1" t="s">
        <v>10</v>
      </c>
    </row>
    <row r="78" spans="2:111" x14ac:dyDescent="0.3">
      <c r="B78" s="1" t="s">
        <v>20</v>
      </c>
      <c r="X78" s="1" t="s">
        <v>20</v>
      </c>
      <c r="AU78" s="1" t="s">
        <v>20</v>
      </c>
      <c r="BR78" s="1" t="s">
        <v>20</v>
      </c>
    </row>
    <row r="79" spans="2:111" x14ac:dyDescent="0.3">
      <c r="B79" s="1" t="s">
        <v>21</v>
      </c>
      <c r="C79" s="2">
        <v>3.72</v>
      </c>
      <c r="D79" s="2">
        <v>5.99</v>
      </c>
      <c r="E79" s="2">
        <v>3.03</v>
      </c>
      <c r="F79" s="2">
        <v>3.03</v>
      </c>
      <c r="G79" s="2">
        <v>0.99</v>
      </c>
      <c r="H79" s="2">
        <v>2.04</v>
      </c>
      <c r="I79" s="2">
        <v>7.63</v>
      </c>
      <c r="J79" s="2">
        <v>20.5</v>
      </c>
      <c r="K79" s="2">
        <v>44.68</v>
      </c>
      <c r="L79" s="2">
        <v>58.74</v>
      </c>
      <c r="M79" s="2">
        <v>45.31</v>
      </c>
      <c r="N79" s="2">
        <v>65.319999999999993</v>
      </c>
      <c r="O79" s="2">
        <v>40.78</v>
      </c>
      <c r="P79" s="2">
        <v>45.05</v>
      </c>
      <c r="Q79" s="2">
        <v>31.89</v>
      </c>
      <c r="R79" s="2">
        <v>31.89</v>
      </c>
      <c r="S79" s="2">
        <v>18.89</v>
      </c>
      <c r="T79" s="2">
        <v>33.159999999999997</v>
      </c>
      <c r="U79" s="2">
        <v>18.88</v>
      </c>
      <c r="V79" s="2">
        <v>25.51</v>
      </c>
      <c r="X79" s="1" t="s">
        <v>21</v>
      </c>
      <c r="Y79" s="2">
        <v>1.3</v>
      </c>
      <c r="Z79" s="2">
        <v>1.3</v>
      </c>
      <c r="AA79" s="2">
        <v>1.3</v>
      </c>
      <c r="AB79" s="2">
        <v>1.3</v>
      </c>
      <c r="AC79" s="2">
        <v>0.5</v>
      </c>
      <c r="AD79" s="2">
        <v>0.5</v>
      </c>
      <c r="AE79" s="2">
        <v>1.37</v>
      </c>
      <c r="AF79" s="2">
        <v>1.37</v>
      </c>
      <c r="AG79" s="2">
        <v>1.71</v>
      </c>
      <c r="AH79" s="2">
        <v>1.71</v>
      </c>
      <c r="AI79" s="2">
        <v>3.09</v>
      </c>
      <c r="AJ79" s="2">
        <v>3.09</v>
      </c>
      <c r="AK79" s="2">
        <v>2.4900000000000002</v>
      </c>
      <c r="AL79" s="2">
        <v>2.4900000000000002</v>
      </c>
      <c r="AM79" s="2">
        <v>3.26</v>
      </c>
      <c r="AN79" s="2">
        <v>3.26</v>
      </c>
      <c r="AO79" s="2">
        <v>2.91</v>
      </c>
      <c r="AP79" s="2">
        <v>2.91</v>
      </c>
      <c r="AQ79" s="2">
        <v>3.86</v>
      </c>
      <c r="AR79" s="2">
        <v>3.86</v>
      </c>
      <c r="AU79" s="1" t="s">
        <v>21</v>
      </c>
      <c r="AV79" s="2">
        <v>1.42</v>
      </c>
      <c r="AW79" s="2">
        <v>1.42</v>
      </c>
      <c r="AX79" s="2">
        <v>1.42</v>
      </c>
      <c r="AY79" s="2">
        <v>1.42</v>
      </c>
      <c r="AZ79" s="2">
        <v>0.55000000000000004</v>
      </c>
      <c r="BA79" s="2">
        <v>0.55000000000000004</v>
      </c>
      <c r="BB79" s="2">
        <v>1.48</v>
      </c>
      <c r="BC79" s="2">
        <v>1.71</v>
      </c>
      <c r="BD79" s="2">
        <v>1.87</v>
      </c>
      <c r="BE79" s="2">
        <v>1.97</v>
      </c>
      <c r="BF79" s="2">
        <v>3.93</v>
      </c>
      <c r="BG79" s="2">
        <v>3.49</v>
      </c>
      <c r="BH79" s="2">
        <v>3.22</v>
      </c>
      <c r="BI79" s="2">
        <v>2.76</v>
      </c>
      <c r="BJ79" s="2">
        <v>3.84</v>
      </c>
      <c r="BK79" s="2">
        <v>3.65</v>
      </c>
      <c r="BL79" s="2">
        <v>3.2</v>
      </c>
      <c r="BM79" s="2">
        <v>2.97</v>
      </c>
      <c r="BN79" s="2">
        <v>4.28</v>
      </c>
      <c r="BO79" s="2">
        <v>3.97</v>
      </c>
      <c r="BR79" s="1" t="s">
        <v>21</v>
      </c>
      <c r="BS79" s="2">
        <v>-0.08</v>
      </c>
      <c r="BT79" s="2">
        <v>-0.08</v>
      </c>
      <c r="BU79" s="2">
        <v>-0.08</v>
      </c>
      <c r="BV79" s="2">
        <v>-0.08</v>
      </c>
      <c r="BW79" s="2">
        <v>-0.08</v>
      </c>
      <c r="BX79" s="2">
        <v>-0.08</v>
      </c>
      <c r="BY79" s="2">
        <v>-7.0000000000000007E-2</v>
      </c>
      <c r="BZ79" s="2">
        <v>-0.2</v>
      </c>
      <c r="CA79" s="2">
        <v>-0.08</v>
      </c>
      <c r="CB79" s="2">
        <v>-0.13</v>
      </c>
      <c r="CC79" s="2">
        <v>-0.22</v>
      </c>
      <c r="CD79" s="2">
        <v>-0.12</v>
      </c>
      <c r="CE79" s="2">
        <v>-0.23</v>
      </c>
      <c r="CF79" s="2">
        <v>-0.1</v>
      </c>
      <c r="CG79" s="2">
        <v>-0.15</v>
      </c>
      <c r="CH79" s="2">
        <v>-0.11</v>
      </c>
      <c r="CI79" s="2">
        <v>-0.09</v>
      </c>
      <c r="CJ79" s="2">
        <v>-0.02</v>
      </c>
      <c r="CK79" s="2">
        <v>-0.1</v>
      </c>
      <c r="CL79" s="2">
        <v>-0.03</v>
      </c>
    </row>
    <row r="80" spans="2:111" x14ac:dyDescent="0.3">
      <c r="B80" s="1" t="s">
        <v>22</v>
      </c>
      <c r="C80" s="2">
        <v>53.01</v>
      </c>
      <c r="D80" s="2">
        <v>22.03</v>
      </c>
      <c r="E80" s="2">
        <v>29.09</v>
      </c>
      <c r="F80" s="2">
        <v>14.5</v>
      </c>
      <c r="G80" s="2">
        <v>8.4</v>
      </c>
      <c r="H80" s="2">
        <v>12.73</v>
      </c>
      <c r="I80" s="2">
        <v>46.97</v>
      </c>
      <c r="J80" s="2">
        <v>89.43</v>
      </c>
      <c r="K80" s="2">
        <v>59.29</v>
      </c>
      <c r="L80" s="2">
        <v>76.45</v>
      </c>
      <c r="M80" s="2">
        <v>107.63</v>
      </c>
      <c r="N80" s="2">
        <v>107.48</v>
      </c>
      <c r="O80" s="2">
        <v>99.4</v>
      </c>
      <c r="P80" s="2">
        <v>93.46</v>
      </c>
      <c r="Q80" s="2">
        <v>121.52</v>
      </c>
      <c r="R80" s="2">
        <v>77.62</v>
      </c>
      <c r="S80" s="2">
        <v>81.93</v>
      </c>
      <c r="T80" s="2">
        <v>72.209999999999994</v>
      </c>
      <c r="U80" s="2">
        <v>92.52</v>
      </c>
      <c r="V80" s="2">
        <v>60.07</v>
      </c>
      <c r="X80" s="1" t="s">
        <v>22</v>
      </c>
      <c r="Y80" s="2">
        <v>1.3</v>
      </c>
      <c r="Z80" s="2">
        <v>1.3</v>
      </c>
      <c r="AA80" s="2">
        <v>1.3</v>
      </c>
      <c r="AB80" s="2">
        <v>1.3</v>
      </c>
      <c r="AC80" s="2">
        <v>0.5</v>
      </c>
      <c r="AD80" s="2">
        <v>0.5</v>
      </c>
      <c r="AE80" s="2">
        <v>1.38</v>
      </c>
      <c r="AF80" s="2">
        <v>1.37</v>
      </c>
      <c r="AG80" s="2">
        <v>1.72</v>
      </c>
      <c r="AH80" s="2">
        <v>1.71</v>
      </c>
      <c r="AI80" s="2">
        <v>3.09</v>
      </c>
      <c r="AJ80" s="2">
        <v>3.09</v>
      </c>
      <c r="AK80" s="2">
        <v>2.4900000000000002</v>
      </c>
      <c r="AL80" s="2">
        <v>2.4900000000000002</v>
      </c>
      <c r="AM80" s="2">
        <v>3.26</v>
      </c>
      <c r="AN80" s="2">
        <v>3.26</v>
      </c>
      <c r="AO80" s="2">
        <v>2.92</v>
      </c>
      <c r="AP80" s="2">
        <v>2.91</v>
      </c>
      <c r="AQ80" s="2">
        <v>3.86</v>
      </c>
      <c r="AR80" s="2">
        <v>3.86</v>
      </c>
      <c r="AU80" s="1" t="s">
        <v>22</v>
      </c>
      <c r="AV80" s="2">
        <v>1.53</v>
      </c>
      <c r="AW80" s="2">
        <v>1.43</v>
      </c>
      <c r="AX80" s="2">
        <v>1.48</v>
      </c>
      <c r="AY80" s="2">
        <v>1.42</v>
      </c>
      <c r="AZ80" s="2">
        <v>0.56000000000000005</v>
      </c>
      <c r="BA80" s="2">
        <v>0.55000000000000004</v>
      </c>
      <c r="BB80" s="2">
        <v>1.61</v>
      </c>
      <c r="BC80" s="2">
        <v>1.64</v>
      </c>
      <c r="BD80" s="2">
        <v>1.93</v>
      </c>
      <c r="BE80" s="2">
        <v>1.82</v>
      </c>
      <c r="BF80" s="2">
        <v>3.68</v>
      </c>
      <c r="BG80" s="2">
        <v>3.3</v>
      </c>
      <c r="BH80" s="2">
        <v>2.95</v>
      </c>
      <c r="BI80" s="2">
        <v>2.73</v>
      </c>
      <c r="BJ80" s="2">
        <v>3.72</v>
      </c>
      <c r="BK80" s="2">
        <v>3.42</v>
      </c>
      <c r="BL80" s="2">
        <v>3.26</v>
      </c>
      <c r="BM80" s="2">
        <v>2.99</v>
      </c>
      <c r="BN80" s="2">
        <v>4.1399999999999997</v>
      </c>
      <c r="BO80" s="2">
        <v>3.88</v>
      </c>
      <c r="BR80" s="1" t="s">
        <v>22</v>
      </c>
      <c r="BS80" s="2">
        <v>-0.15</v>
      </c>
      <c r="BT80" s="2">
        <v>-0.09</v>
      </c>
      <c r="BU80" s="2">
        <v>-0.12</v>
      </c>
      <c r="BV80" s="2">
        <v>-0.09</v>
      </c>
      <c r="BW80" s="2">
        <v>-0.11</v>
      </c>
      <c r="BX80" s="2">
        <v>-0.1</v>
      </c>
      <c r="BY80" s="2">
        <v>-0.14000000000000001</v>
      </c>
      <c r="BZ80" s="2">
        <v>-0.16</v>
      </c>
      <c r="CA80" s="2">
        <v>-0.11</v>
      </c>
      <c r="CB80" s="2">
        <v>-0.06</v>
      </c>
      <c r="CC80" s="2">
        <v>-0.16</v>
      </c>
      <c r="CD80" s="2">
        <v>-0.06</v>
      </c>
      <c r="CE80" s="2">
        <v>-0.16</v>
      </c>
      <c r="CF80" s="2">
        <v>-0.09</v>
      </c>
      <c r="CG80" s="2">
        <v>-0.12</v>
      </c>
      <c r="CH80" s="2">
        <v>-0.05</v>
      </c>
      <c r="CI80" s="2">
        <v>-0.11</v>
      </c>
      <c r="CJ80" s="2">
        <v>-0.03</v>
      </c>
      <c r="CK80" s="2">
        <v>-7.0000000000000007E-2</v>
      </c>
      <c r="CL80" s="2">
        <v>-0.01</v>
      </c>
    </row>
    <row r="81" spans="2:90" x14ac:dyDescent="0.3">
      <c r="B81" s="1" t="s">
        <v>23</v>
      </c>
      <c r="C81" s="2">
        <v>623.99</v>
      </c>
      <c r="D81" s="2">
        <v>61.79</v>
      </c>
      <c r="E81" s="2">
        <v>548.65</v>
      </c>
      <c r="F81" s="2">
        <v>29.66</v>
      </c>
      <c r="G81" s="2">
        <v>104.6</v>
      </c>
      <c r="H81" s="2">
        <v>190.82</v>
      </c>
      <c r="I81" s="2">
        <v>613.76</v>
      </c>
      <c r="J81" s="2">
        <v>451.47</v>
      </c>
      <c r="K81" s="2">
        <v>742.54</v>
      </c>
      <c r="L81" s="2">
        <v>421.18</v>
      </c>
      <c r="M81" s="2">
        <v>1272.75</v>
      </c>
      <c r="N81" s="2">
        <v>692.62</v>
      </c>
      <c r="O81" s="2">
        <v>1141.3599999999999</v>
      </c>
      <c r="P81" s="2">
        <v>587.16999999999996</v>
      </c>
      <c r="Q81" s="2">
        <v>1455.77</v>
      </c>
      <c r="R81" s="2">
        <v>619.61</v>
      </c>
      <c r="S81" s="2">
        <v>534.74</v>
      </c>
      <c r="T81" s="2">
        <v>476.11</v>
      </c>
      <c r="U81" s="2">
        <v>495.76</v>
      </c>
      <c r="V81" s="2">
        <v>410.77</v>
      </c>
      <c r="X81" s="1" t="s">
        <v>23</v>
      </c>
      <c r="Y81" s="2">
        <v>1.33</v>
      </c>
      <c r="Z81" s="2">
        <v>1.3</v>
      </c>
      <c r="AA81" s="2">
        <v>1.32</v>
      </c>
      <c r="AB81" s="2">
        <v>1.3</v>
      </c>
      <c r="AC81" s="2">
        <v>0.52</v>
      </c>
      <c r="AD81" s="2">
        <v>0.51</v>
      </c>
      <c r="AE81" s="2">
        <v>1.47</v>
      </c>
      <c r="AF81" s="2">
        <v>1.37</v>
      </c>
      <c r="AG81" s="2">
        <v>1.89</v>
      </c>
      <c r="AH81" s="2">
        <v>1.71</v>
      </c>
      <c r="AI81" s="2">
        <v>3.45</v>
      </c>
      <c r="AJ81" s="2">
        <v>3.09</v>
      </c>
      <c r="AK81" s="2">
        <v>2.69</v>
      </c>
      <c r="AL81" s="2">
        <v>2.4900000000000002</v>
      </c>
      <c r="AM81" s="2">
        <v>3.48</v>
      </c>
      <c r="AN81" s="2">
        <v>3.26</v>
      </c>
      <c r="AO81" s="2">
        <v>2.92</v>
      </c>
      <c r="AP81" s="2">
        <v>2.91</v>
      </c>
      <c r="AQ81" s="2">
        <v>3.86</v>
      </c>
      <c r="AR81" s="2">
        <v>3.86</v>
      </c>
      <c r="AU81" s="1" t="s">
        <v>23</v>
      </c>
      <c r="AV81" s="2">
        <v>3.06</v>
      </c>
      <c r="AW81" s="2">
        <v>1.42</v>
      </c>
      <c r="AX81" s="2">
        <v>3.11</v>
      </c>
      <c r="AY81" s="2">
        <v>1.42</v>
      </c>
      <c r="AZ81" s="2">
        <v>0.85</v>
      </c>
      <c r="BA81" s="2">
        <v>0.78</v>
      </c>
      <c r="BB81" s="2">
        <v>2.4300000000000002</v>
      </c>
      <c r="BC81" s="2">
        <v>1.74</v>
      </c>
      <c r="BD81" s="2">
        <v>3.11</v>
      </c>
      <c r="BE81" s="2">
        <v>1.96</v>
      </c>
      <c r="BF81" s="2">
        <v>5.71</v>
      </c>
      <c r="BG81" s="2">
        <v>3.54</v>
      </c>
      <c r="BH81" s="2">
        <v>4.51</v>
      </c>
      <c r="BI81" s="2">
        <v>2.89</v>
      </c>
      <c r="BJ81" s="2">
        <v>5.83</v>
      </c>
      <c r="BK81" s="2">
        <v>3.66</v>
      </c>
      <c r="BL81" s="2">
        <v>3.52</v>
      </c>
      <c r="BM81" s="2">
        <v>3.1</v>
      </c>
      <c r="BN81" s="2">
        <v>4.07</v>
      </c>
      <c r="BO81" s="2">
        <v>3.97</v>
      </c>
      <c r="BR81" s="1" t="s">
        <v>23</v>
      </c>
      <c r="BS81" s="2">
        <v>-0.56000000000000005</v>
      </c>
      <c r="BT81" s="2">
        <v>-0.09</v>
      </c>
      <c r="BU81" s="2">
        <v>-0.56999999999999995</v>
      </c>
      <c r="BV81" s="2">
        <v>-0.08</v>
      </c>
      <c r="BW81" s="2">
        <v>-0.39</v>
      </c>
      <c r="BX81" s="2">
        <v>-0.34</v>
      </c>
      <c r="BY81" s="2">
        <v>-0.4</v>
      </c>
      <c r="BZ81" s="2">
        <v>-0.21</v>
      </c>
      <c r="CA81" s="2">
        <v>-0.39</v>
      </c>
      <c r="CB81" s="2">
        <v>-0.13</v>
      </c>
      <c r="CC81" s="2">
        <v>-0.4</v>
      </c>
      <c r="CD81" s="2">
        <v>-0.13</v>
      </c>
      <c r="CE81" s="2">
        <v>-0.4</v>
      </c>
      <c r="CF81" s="2">
        <v>-0.14000000000000001</v>
      </c>
      <c r="CG81" s="2">
        <v>-0.4</v>
      </c>
      <c r="CH81" s="2">
        <v>-0.11</v>
      </c>
      <c r="CI81" s="2">
        <v>-0.17</v>
      </c>
      <c r="CJ81" s="2">
        <v>-0.06</v>
      </c>
      <c r="CK81" s="2">
        <v>-0.05</v>
      </c>
      <c r="CL81" s="2">
        <v>-0.03</v>
      </c>
    </row>
    <row r="82" spans="2:90" x14ac:dyDescent="0.3">
      <c r="B82" s="1" t="s">
        <v>24</v>
      </c>
      <c r="C82" s="2">
        <v>109.87</v>
      </c>
      <c r="D82" s="2">
        <v>26.13</v>
      </c>
      <c r="E82" s="2">
        <v>93.95</v>
      </c>
      <c r="F82" s="2">
        <v>11.64</v>
      </c>
      <c r="G82" s="2">
        <v>32.29</v>
      </c>
      <c r="H82" s="2">
        <v>57.88</v>
      </c>
      <c r="I82" s="2">
        <v>223.74</v>
      </c>
      <c r="J82" s="2">
        <v>110.39</v>
      </c>
      <c r="K82" s="2">
        <v>279.88</v>
      </c>
      <c r="L82" s="2">
        <v>101.11</v>
      </c>
      <c r="M82" s="2">
        <v>462.35</v>
      </c>
      <c r="N82" s="2">
        <v>145.87</v>
      </c>
      <c r="O82" s="2">
        <v>405.53</v>
      </c>
      <c r="P82" s="2">
        <v>124.64</v>
      </c>
      <c r="Q82" s="2">
        <v>441.63</v>
      </c>
      <c r="R82" s="2">
        <v>180.86</v>
      </c>
      <c r="S82" s="2">
        <v>168.81</v>
      </c>
      <c r="T82" s="2">
        <v>107.29</v>
      </c>
      <c r="U82" s="2">
        <v>159.44</v>
      </c>
      <c r="V82" s="2">
        <v>138.66999999999999</v>
      </c>
      <c r="X82" s="1" t="s">
        <v>24</v>
      </c>
      <c r="Y82" s="2">
        <v>1.31</v>
      </c>
      <c r="Z82" s="2">
        <v>1.3</v>
      </c>
      <c r="AA82" s="2">
        <v>1.31</v>
      </c>
      <c r="AB82" s="2">
        <v>1.3</v>
      </c>
      <c r="AC82" s="2">
        <v>0.5</v>
      </c>
      <c r="AD82" s="2">
        <v>0.5</v>
      </c>
      <c r="AE82" s="2">
        <v>1.39</v>
      </c>
      <c r="AF82" s="2">
        <v>1.37</v>
      </c>
      <c r="AG82" s="2">
        <v>1.73</v>
      </c>
      <c r="AH82" s="2">
        <v>1.71</v>
      </c>
      <c r="AI82" s="2">
        <v>3.11</v>
      </c>
      <c r="AJ82" s="2">
        <v>3.09</v>
      </c>
      <c r="AK82" s="2">
        <v>2.5</v>
      </c>
      <c r="AL82" s="2">
        <v>2.4900000000000002</v>
      </c>
      <c r="AM82" s="2">
        <v>3.26</v>
      </c>
      <c r="AN82" s="2">
        <v>3.26</v>
      </c>
      <c r="AO82" s="2">
        <v>2.91</v>
      </c>
      <c r="AP82" s="2">
        <v>2.91</v>
      </c>
      <c r="AQ82" s="2">
        <v>3.86</v>
      </c>
      <c r="AR82" s="2">
        <v>3.86</v>
      </c>
      <c r="AU82" s="1" t="s">
        <v>24</v>
      </c>
      <c r="AV82" s="2">
        <v>2.16</v>
      </c>
      <c r="AW82" s="2">
        <v>1.45</v>
      </c>
      <c r="AX82" s="2">
        <v>2.11</v>
      </c>
      <c r="AY82" s="2">
        <v>1.42</v>
      </c>
      <c r="AZ82" s="2">
        <v>0.81</v>
      </c>
      <c r="BA82" s="2">
        <v>0.93</v>
      </c>
      <c r="BB82" s="2">
        <v>2.29</v>
      </c>
      <c r="BC82" s="2">
        <v>1.82</v>
      </c>
      <c r="BD82" s="2">
        <v>2.74</v>
      </c>
      <c r="BE82" s="2">
        <v>2.0099999999999998</v>
      </c>
      <c r="BF82" s="2">
        <v>4.9400000000000004</v>
      </c>
      <c r="BG82" s="2">
        <v>3.55</v>
      </c>
      <c r="BH82" s="2">
        <v>3.99</v>
      </c>
      <c r="BI82" s="2">
        <v>2.88</v>
      </c>
      <c r="BJ82" s="2">
        <v>4.6900000000000004</v>
      </c>
      <c r="BK82" s="2">
        <v>3.63</v>
      </c>
      <c r="BL82" s="2">
        <v>3.24</v>
      </c>
      <c r="BM82" s="2">
        <v>3.14</v>
      </c>
      <c r="BN82" s="2">
        <v>4.13</v>
      </c>
      <c r="BO82" s="2">
        <v>4.0599999999999996</v>
      </c>
      <c r="BR82" s="1" t="s">
        <v>24</v>
      </c>
      <c r="BS82" s="2">
        <v>-0.39</v>
      </c>
      <c r="BT82" s="2">
        <v>-0.1</v>
      </c>
      <c r="BU82" s="2">
        <v>-0.38</v>
      </c>
      <c r="BV82" s="2">
        <v>-0.09</v>
      </c>
      <c r="BW82" s="2">
        <v>-0.38</v>
      </c>
      <c r="BX82" s="2">
        <v>-0.46</v>
      </c>
      <c r="BY82" s="2">
        <v>-0.4</v>
      </c>
      <c r="BZ82" s="2">
        <v>-0.24</v>
      </c>
      <c r="CA82" s="2">
        <v>-0.37</v>
      </c>
      <c r="CB82" s="2">
        <v>-0.15</v>
      </c>
      <c r="CC82" s="2">
        <v>-0.37</v>
      </c>
      <c r="CD82" s="2">
        <v>-0.13</v>
      </c>
      <c r="CE82" s="2">
        <v>-0.37</v>
      </c>
      <c r="CF82" s="2">
        <v>-0.14000000000000001</v>
      </c>
      <c r="CG82" s="2">
        <v>-0.3</v>
      </c>
      <c r="CH82" s="2">
        <v>-0.1</v>
      </c>
      <c r="CI82" s="2">
        <v>-0.1</v>
      </c>
      <c r="CJ82" s="2">
        <v>-7.0000000000000007E-2</v>
      </c>
      <c r="CK82" s="2">
        <v>-7.0000000000000007E-2</v>
      </c>
      <c r="CL82" s="2">
        <v>-0.05</v>
      </c>
    </row>
    <row r="83" spans="2:90" x14ac:dyDescent="0.3">
      <c r="B83" s="1" t="s">
        <v>25</v>
      </c>
      <c r="C83" s="2">
        <v>306.29000000000002</v>
      </c>
      <c r="D83" s="2">
        <v>353.83</v>
      </c>
      <c r="E83" s="2">
        <v>301.47000000000003</v>
      </c>
      <c r="F83" s="2">
        <v>90.53</v>
      </c>
      <c r="G83" s="2">
        <v>107.69</v>
      </c>
      <c r="H83" s="2">
        <v>157.11000000000001</v>
      </c>
      <c r="I83" s="2">
        <v>271.95</v>
      </c>
      <c r="J83" s="2">
        <v>616.24</v>
      </c>
      <c r="K83" s="2">
        <v>702.32</v>
      </c>
      <c r="L83" s="2">
        <v>767.4</v>
      </c>
      <c r="M83" s="2">
        <v>849.59</v>
      </c>
      <c r="N83" s="2">
        <v>710.75</v>
      </c>
      <c r="O83" s="2">
        <v>640.72</v>
      </c>
      <c r="P83" s="2">
        <v>563.88</v>
      </c>
      <c r="Q83" s="2">
        <v>765.18</v>
      </c>
      <c r="R83" s="2">
        <v>660.27</v>
      </c>
      <c r="S83" s="2">
        <v>623.29999999999995</v>
      </c>
      <c r="T83" s="2">
        <v>405.36</v>
      </c>
      <c r="U83" s="2">
        <v>606.78</v>
      </c>
      <c r="V83" s="2">
        <v>408.92</v>
      </c>
      <c r="X83" s="1" t="s">
        <v>25</v>
      </c>
      <c r="Y83" s="2">
        <v>1.3</v>
      </c>
      <c r="Z83" s="2">
        <v>1.3</v>
      </c>
      <c r="AA83" s="2">
        <v>1.31</v>
      </c>
      <c r="AB83" s="2">
        <v>1.3</v>
      </c>
      <c r="AC83" s="2">
        <v>0.5</v>
      </c>
      <c r="AD83" s="2">
        <v>0.5</v>
      </c>
      <c r="AE83" s="2">
        <v>1.37</v>
      </c>
      <c r="AF83" s="2">
        <v>1.37</v>
      </c>
      <c r="AG83" s="2">
        <v>1.72</v>
      </c>
      <c r="AH83" s="2">
        <v>1.72</v>
      </c>
      <c r="AI83" s="2">
        <v>3.09</v>
      </c>
      <c r="AJ83" s="2">
        <v>3.09</v>
      </c>
      <c r="AK83" s="2">
        <v>2.4900000000000002</v>
      </c>
      <c r="AL83" s="2">
        <v>2.4900000000000002</v>
      </c>
      <c r="AM83" s="2">
        <v>3.26</v>
      </c>
      <c r="AN83" s="2">
        <v>3.26</v>
      </c>
      <c r="AO83" s="2">
        <v>2.91</v>
      </c>
      <c r="AP83" s="2">
        <v>2.91</v>
      </c>
      <c r="AQ83" s="2">
        <v>3.86</v>
      </c>
      <c r="AR83" s="2">
        <v>3.86</v>
      </c>
      <c r="AU83" s="1" t="s">
        <v>25</v>
      </c>
      <c r="AV83" s="2">
        <v>2.0099999999999998</v>
      </c>
      <c r="AW83" s="2">
        <v>1.95</v>
      </c>
      <c r="AX83" s="2">
        <v>2.02</v>
      </c>
      <c r="AY83" s="2">
        <v>1.51</v>
      </c>
      <c r="AZ83" s="2">
        <v>0.76</v>
      </c>
      <c r="BA83" s="2">
        <v>0.77</v>
      </c>
      <c r="BB83" s="2">
        <v>1.57</v>
      </c>
      <c r="BC83" s="2">
        <v>2.12</v>
      </c>
      <c r="BD83" s="2">
        <v>2.36</v>
      </c>
      <c r="BE83" s="2">
        <v>2.52</v>
      </c>
      <c r="BF83" s="2">
        <v>3.91</v>
      </c>
      <c r="BG83" s="2">
        <v>3.7</v>
      </c>
      <c r="BH83" s="2">
        <v>2.96</v>
      </c>
      <c r="BI83" s="2">
        <v>2.88</v>
      </c>
      <c r="BJ83" s="2">
        <v>3.72</v>
      </c>
      <c r="BK83" s="2">
        <v>3.62</v>
      </c>
      <c r="BL83" s="2">
        <v>3.22</v>
      </c>
      <c r="BM83" s="2">
        <v>3.08</v>
      </c>
      <c r="BN83" s="2">
        <v>4.12</v>
      </c>
      <c r="BO83" s="2">
        <v>3.98</v>
      </c>
      <c r="BR83" s="1" t="s">
        <v>25</v>
      </c>
      <c r="BS83" s="2">
        <v>-0.35</v>
      </c>
      <c r="BT83" s="2">
        <v>-0.33</v>
      </c>
      <c r="BU83" s="2">
        <v>-0.35</v>
      </c>
      <c r="BV83" s="2">
        <v>-0.14000000000000001</v>
      </c>
      <c r="BW83" s="2">
        <v>-0.34</v>
      </c>
      <c r="BX83" s="2">
        <v>-0.35</v>
      </c>
      <c r="BY83" s="2">
        <v>-0.12</v>
      </c>
      <c r="BZ83" s="2">
        <v>-0.35</v>
      </c>
      <c r="CA83" s="2">
        <v>-0.27</v>
      </c>
      <c r="CB83" s="2">
        <v>-0.32</v>
      </c>
      <c r="CC83" s="2">
        <v>-0.21</v>
      </c>
      <c r="CD83" s="2">
        <v>-0.17</v>
      </c>
      <c r="CE83" s="2">
        <v>-0.16</v>
      </c>
      <c r="CF83" s="2">
        <v>-0.14000000000000001</v>
      </c>
      <c r="CG83" s="2">
        <v>-0.12</v>
      </c>
      <c r="CH83" s="2">
        <v>-0.1</v>
      </c>
      <c r="CI83" s="2">
        <v>-0.09</v>
      </c>
      <c r="CJ83" s="2">
        <v>-0.05</v>
      </c>
      <c r="CK83" s="2">
        <v>-0.06</v>
      </c>
      <c r="CL83" s="2">
        <v>-0.03</v>
      </c>
    </row>
    <row r="84" spans="2:90" x14ac:dyDescent="0.3">
      <c r="B84" s="1" t="s">
        <v>26</v>
      </c>
      <c r="C84" s="2">
        <v>72.09</v>
      </c>
      <c r="D84" s="2">
        <v>31.63</v>
      </c>
      <c r="E84" s="2">
        <v>68.150000000000006</v>
      </c>
      <c r="F84" s="2">
        <v>24.09</v>
      </c>
      <c r="G84" s="2">
        <v>19.75</v>
      </c>
      <c r="H84" s="2">
        <v>15.04</v>
      </c>
      <c r="I84" s="2">
        <v>31.98</v>
      </c>
      <c r="J84" s="2">
        <v>48.56</v>
      </c>
      <c r="K84" s="2">
        <v>35.57</v>
      </c>
      <c r="L84" s="2">
        <v>95.14</v>
      </c>
      <c r="M84" s="2">
        <v>90.09</v>
      </c>
      <c r="N84" s="2">
        <v>152.71</v>
      </c>
      <c r="O84" s="2">
        <v>80.33</v>
      </c>
      <c r="P84" s="2">
        <v>96.3</v>
      </c>
      <c r="Q84" s="2">
        <v>101.59</v>
      </c>
      <c r="R84" s="2">
        <v>163.96</v>
      </c>
      <c r="S84" s="2">
        <v>95.4</v>
      </c>
      <c r="T84" s="2">
        <v>69.41</v>
      </c>
      <c r="U84" s="2">
        <v>88.15</v>
      </c>
      <c r="V84" s="2">
        <v>55.8</v>
      </c>
      <c r="X84" s="1" t="s">
        <v>26</v>
      </c>
      <c r="Y84" s="2">
        <v>1.31</v>
      </c>
      <c r="Z84" s="2">
        <v>1.3</v>
      </c>
      <c r="AA84" s="2">
        <v>1.32</v>
      </c>
      <c r="AB84" s="2">
        <v>1.32</v>
      </c>
      <c r="AC84" s="2">
        <v>0.5</v>
      </c>
      <c r="AD84" s="2">
        <v>0.5</v>
      </c>
      <c r="AE84" s="2">
        <v>1.37</v>
      </c>
      <c r="AF84" s="2">
        <v>1.37</v>
      </c>
      <c r="AG84" s="2">
        <v>1.72</v>
      </c>
      <c r="AH84" s="2">
        <v>1.73</v>
      </c>
      <c r="AI84" s="2">
        <v>3.09</v>
      </c>
      <c r="AJ84" s="2">
        <v>3.11</v>
      </c>
      <c r="AK84" s="2">
        <v>2.4900000000000002</v>
      </c>
      <c r="AL84" s="2">
        <v>2.5</v>
      </c>
      <c r="AM84" s="2">
        <v>3.26</v>
      </c>
      <c r="AN84" s="2">
        <v>3.27</v>
      </c>
      <c r="AO84" s="2">
        <v>2.92</v>
      </c>
      <c r="AP84" s="2">
        <v>2.93</v>
      </c>
      <c r="AQ84" s="2">
        <v>3.86</v>
      </c>
      <c r="AR84" s="2">
        <v>3.86</v>
      </c>
      <c r="AU84" s="1" t="s">
        <v>26</v>
      </c>
      <c r="AV84" s="2">
        <v>2.06</v>
      </c>
      <c r="AW84" s="2">
        <v>2.27</v>
      </c>
      <c r="AX84" s="2">
        <v>2.15</v>
      </c>
      <c r="AY84" s="2">
        <v>2.12</v>
      </c>
      <c r="AZ84" s="2">
        <v>0.77</v>
      </c>
      <c r="BA84" s="2">
        <v>0.78</v>
      </c>
      <c r="BB84" s="2">
        <v>1.61</v>
      </c>
      <c r="BC84" s="2">
        <v>2.13</v>
      </c>
      <c r="BD84" s="2">
        <v>1.89</v>
      </c>
      <c r="BE84" s="2">
        <v>2.74</v>
      </c>
      <c r="BF84" s="2">
        <v>3.58</v>
      </c>
      <c r="BG84" s="2">
        <v>4.9800000000000004</v>
      </c>
      <c r="BH84" s="2">
        <v>2.86</v>
      </c>
      <c r="BI84" s="2">
        <v>3.59</v>
      </c>
      <c r="BJ84" s="2">
        <v>3.74</v>
      </c>
      <c r="BK84" s="2">
        <v>4.71</v>
      </c>
      <c r="BL84" s="2">
        <v>3.26</v>
      </c>
      <c r="BM84" s="2">
        <v>3.82</v>
      </c>
      <c r="BN84" s="2">
        <v>4.1500000000000004</v>
      </c>
      <c r="BO84" s="2">
        <v>4.04</v>
      </c>
      <c r="BR84" s="1" t="s">
        <v>26</v>
      </c>
      <c r="BS84" s="2">
        <v>-0.37</v>
      </c>
      <c r="BT84" s="2">
        <v>-0.43</v>
      </c>
      <c r="BU84" s="2">
        <v>-0.38</v>
      </c>
      <c r="BV84" s="2">
        <v>-0.38</v>
      </c>
      <c r="BW84" s="2">
        <v>-0.35</v>
      </c>
      <c r="BX84" s="2">
        <v>-0.36</v>
      </c>
      <c r="BY84" s="2">
        <v>-0.15</v>
      </c>
      <c r="BZ84" s="2">
        <v>-0.36</v>
      </c>
      <c r="CA84" s="2">
        <v>-0.09</v>
      </c>
      <c r="CB84" s="2">
        <v>-0.37</v>
      </c>
      <c r="CC84" s="2">
        <v>-0.14000000000000001</v>
      </c>
      <c r="CD84" s="2">
        <v>-0.38</v>
      </c>
      <c r="CE84" s="2">
        <v>-0.13</v>
      </c>
      <c r="CF84" s="2">
        <v>-0.3</v>
      </c>
      <c r="CG84" s="2">
        <v>-0.13</v>
      </c>
      <c r="CH84" s="2">
        <v>-0.31</v>
      </c>
      <c r="CI84" s="2">
        <v>-0.1</v>
      </c>
      <c r="CJ84" s="2">
        <v>-0.23</v>
      </c>
      <c r="CK84" s="2">
        <v>-7.0000000000000007E-2</v>
      </c>
      <c r="CL84" s="2">
        <v>-0.04</v>
      </c>
    </row>
    <row r="85" spans="2:90" x14ac:dyDescent="0.3">
      <c r="B85" s="1" t="s">
        <v>27</v>
      </c>
      <c r="C85" s="2">
        <v>275.8</v>
      </c>
      <c r="D85" s="2">
        <v>284.72000000000003</v>
      </c>
      <c r="E85" s="2">
        <v>118.61</v>
      </c>
      <c r="F85" s="2">
        <v>227.28</v>
      </c>
      <c r="G85" s="2">
        <v>49.18</v>
      </c>
      <c r="H85" s="2">
        <v>118.93</v>
      </c>
      <c r="I85" s="2">
        <v>166.71</v>
      </c>
      <c r="J85" s="2">
        <v>199.2</v>
      </c>
      <c r="K85" s="2">
        <v>173.75</v>
      </c>
      <c r="L85" s="2">
        <v>449.17</v>
      </c>
      <c r="M85" s="2">
        <v>296.14999999999998</v>
      </c>
      <c r="N85" s="2">
        <v>506.3</v>
      </c>
      <c r="O85" s="2">
        <v>233.07</v>
      </c>
      <c r="P85" s="2">
        <v>405.18</v>
      </c>
      <c r="Q85" s="2">
        <v>423.11</v>
      </c>
      <c r="R85" s="2">
        <v>502.31</v>
      </c>
      <c r="S85" s="2">
        <v>275.86</v>
      </c>
      <c r="T85" s="2">
        <v>204.47</v>
      </c>
      <c r="U85" s="2">
        <v>268.07</v>
      </c>
      <c r="V85" s="2">
        <v>196.66</v>
      </c>
      <c r="X85" s="1" t="s">
        <v>27</v>
      </c>
      <c r="Y85" s="2">
        <v>1.33</v>
      </c>
      <c r="Z85" s="2">
        <v>1.33</v>
      </c>
      <c r="AA85" s="2">
        <v>1.31</v>
      </c>
      <c r="AB85" s="2">
        <v>1.34</v>
      </c>
      <c r="AC85" s="2">
        <v>0.5</v>
      </c>
      <c r="AD85" s="2">
        <v>0.51</v>
      </c>
      <c r="AE85" s="2">
        <v>1.38</v>
      </c>
      <c r="AF85" s="2">
        <v>1.42</v>
      </c>
      <c r="AG85" s="2">
        <v>1.72</v>
      </c>
      <c r="AH85" s="2">
        <v>1.76</v>
      </c>
      <c r="AI85" s="2">
        <v>3.09</v>
      </c>
      <c r="AJ85" s="2">
        <v>3.51</v>
      </c>
      <c r="AK85" s="2">
        <v>2.4900000000000002</v>
      </c>
      <c r="AL85" s="2">
        <v>2.65</v>
      </c>
      <c r="AM85" s="2">
        <v>3.27</v>
      </c>
      <c r="AN85" s="2">
        <v>3.27</v>
      </c>
      <c r="AO85" s="2">
        <v>2.92</v>
      </c>
      <c r="AP85" s="2">
        <v>2.92</v>
      </c>
      <c r="AQ85" s="2">
        <v>3.86</v>
      </c>
      <c r="AR85" s="2">
        <v>3.86</v>
      </c>
      <c r="AU85" s="1" t="s">
        <v>27</v>
      </c>
      <c r="AV85" s="2">
        <v>2.92</v>
      </c>
      <c r="AW85" s="2">
        <v>2.96</v>
      </c>
      <c r="AX85" s="2">
        <v>2.02</v>
      </c>
      <c r="AY85" s="2">
        <v>2.84</v>
      </c>
      <c r="AZ85" s="2">
        <v>0.73</v>
      </c>
      <c r="BA85" s="2">
        <v>1.1100000000000001</v>
      </c>
      <c r="BB85" s="2">
        <v>1.82</v>
      </c>
      <c r="BC85" s="2">
        <v>2.34</v>
      </c>
      <c r="BD85" s="2">
        <v>2</v>
      </c>
      <c r="BE85" s="2">
        <v>3.87</v>
      </c>
      <c r="BF85" s="2">
        <v>3.76</v>
      </c>
      <c r="BG85" s="2">
        <v>5.57</v>
      </c>
      <c r="BH85" s="2">
        <v>3.03</v>
      </c>
      <c r="BI85" s="2">
        <v>4.13</v>
      </c>
      <c r="BJ85" s="2">
        <v>4.2</v>
      </c>
      <c r="BK85" s="2">
        <v>4.76</v>
      </c>
      <c r="BL85" s="2">
        <v>3.32</v>
      </c>
      <c r="BM85" s="2">
        <v>3.37</v>
      </c>
      <c r="BN85" s="2">
        <v>4.2300000000000004</v>
      </c>
      <c r="BO85" s="2">
        <v>4.1900000000000004</v>
      </c>
      <c r="BR85" s="1" t="s">
        <v>27</v>
      </c>
      <c r="BS85" s="2">
        <v>-0.55000000000000004</v>
      </c>
      <c r="BT85" s="2">
        <v>-0.55000000000000004</v>
      </c>
      <c r="BU85" s="2">
        <v>-0.35</v>
      </c>
      <c r="BV85" s="2">
        <v>-0.53</v>
      </c>
      <c r="BW85" s="2">
        <v>-0.31</v>
      </c>
      <c r="BX85" s="2">
        <v>-0.54</v>
      </c>
      <c r="BY85" s="2">
        <v>-0.24</v>
      </c>
      <c r="BZ85" s="2">
        <v>-0.39</v>
      </c>
      <c r="CA85" s="2">
        <v>-0.14000000000000001</v>
      </c>
      <c r="CB85" s="2">
        <v>-0.55000000000000004</v>
      </c>
      <c r="CC85" s="2">
        <v>-0.18</v>
      </c>
      <c r="CD85" s="2">
        <v>-0.37</v>
      </c>
      <c r="CE85" s="2">
        <v>-0.18</v>
      </c>
      <c r="CF85" s="2">
        <v>-0.36</v>
      </c>
      <c r="CG85" s="2">
        <v>-0.22</v>
      </c>
      <c r="CH85" s="2">
        <v>-0.31</v>
      </c>
      <c r="CI85" s="2">
        <v>-0.12</v>
      </c>
      <c r="CJ85" s="2">
        <v>-0.13</v>
      </c>
      <c r="CK85" s="2">
        <v>-0.09</v>
      </c>
      <c r="CL85" s="2">
        <v>-0.08</v>
      </c>
    </row>
    <row r="86" spans="2:90" x14ac:dyDescent="0.3">
      <c r="B86" s="1" t="s">
        <v>28</v>
      </c>
      <c r="C86" s="2">
        <v>12.81</v>
      </c>
      <c r="D86" s="2">
        <v>30.04</v>
      </c>
      <c r="E86" s="2">
        <v>2.46</v>
      </c>
      <c r="F86" s="2">
        <v>3.44</v>
      </c>
      <c r="G86" s="2">
        <v>0.16</v>
      </c>
      <c r="H86" s="2">
        <v>1.57</v>
      </c>
      <c r="I86" s="2">
        <v>9.84</v>
      </c>
      <c r="J86" s="2">
        <v>28.1</v>
      </c>
      <c r="K86" s="2">
        <v>24.4</v>
      </c>
      <c r="L86" s="2">
        <v>57.21</v>
      </c>
      <c r="M86" s="2">
        <v>74.92</v>
      </c>
      <c r="N86" s="2">
        <v>70.069999999999993</v>
      </c>
      <c r="O86" s="2">
        <v>68.349999999999994</v>
      </c>
      <c r="P86" s="2">
        <v>35.71</v>
      </c>
      <c r="Q86" s="2">
        <v>45.26</v>
      </c>
      <c r="R86" s="2">
        <v>19.93</v>
      </c>
      <c r="S86" s="2">
        <v>18.559999999999999</v>
      </c>
      <c r="T86" s="2">
        <v>14.91</v>
      </c>
      <c r="U86" s="2">
        <v>41.2</v>
      </c>
      <c r="V86" s="2">
        <v>39.81</v>
      </c>
      <c r="X86" s="1" t="s">
        <v>28</v>
      </c>
      <c r="Y86" s="2">
        <v>1.3</v>
      </c>
      <c r="Z86" s="2">
        <v>1.3</v>
      </c>
      <c r="AA86" s="2">
        <v>1.3</v>
      </c>
      <c r="AB86" s="2">
        <v>1.3</v>
      </c>
      <c r="AC86" s="2">
        <v>0.5</v>
      </c>
      <c r="AD86" s="2">
        <v>0.5</v>
      </c>
      <c r="AE86" s="2">
        <v>1.37</v>
      </c>
      <c r="AF86" s="2">
        <v>1.37</v>
      </c>
      <c r="AG86" s="2">
        <v>1.71</v>
      </c>
      <c r="AH86" s="2">
        <v>1.71</v>
      </c>
      <c r="AI86" s="2">
        <v>3.09</v>
      </c>
      <c r="AJ86" s="2">
        <v>3.09</v>
      </c>
      <c r="AK86" s="2">
        <v>2.4900000000000002</v>
      </c>
      <c r="AL86" s="2">
        <v>2.4900000000000002</v>
      </c>
      <c r="AM86" s="2">
        <v>3.26</v>
      </c>
      <c r="AN86" s="2">
        <v>3.26</v>
      </c>
      <c r="AO86" s="2">
        <v>2.91</v>
      </c>
      <c r="AP86" s="2">
        <v>2.91</v>
      </c>
      <c r="AQ86" s="2">
        <v>3.86</v>
      </c>
      <c r="AR86" s="2">
        <v>3.86</v>
      </c>
      <c r="AU86" s="1" t="s">
        <v>28</v>
      </c>
      <c r="AV86" s="2">
        <v>1.47</v>
      </c>
      <c r="AW86" s="2">
        <v>1.58</v>
      </c>
      <c r="AX86" s="2">
        <v>1.42</v>
      </c>
      <c r="AY86" s="2">
        <v>1.42</v>
      </c>
      <c r="AZ86" s="2">
        <v>0.55000000000000004</v>
      </c>
      <c r="BA86" s="2">
        <v>0.55000000000000004</v>
      </c>
      <c r="BB86" s="2">
        <v>1.48</v>
      </c>
      <c r="BC86" s="2">
        <v>1.86</v>
      </c>
      <c r="BD86" s="2">
        <v>1.8</v>
      </c>
      <c r="BE86" s="2">
        <v>2.2000000000000002</v>
      </c>
      <c r="BF86" s="2">
        <v>3.58</v>
      </c>
      <c r="BG86" s="2">
        <v>3.96</v>
      </c>
      <c r="BH86" s="2">
        <v>3.01</v>
      </c>
      <c r="BI86" s="2">
        <v>3</v>
      </c>
      <c r="BJ86" s="2">
        <v>3.74</v>
      </c>
      <c r="BK86" s="2">
        <v>3.62</v>
      </c>
      <c r="BL86" s="2">
        <v>3.24</v>
      </c>
      <c r="BM86" s="2">
        <v>3.08</v>
      </c>
      <c r="BN86" s="2">
        <v>4.1100000000000003</v>
      </c>
      <c r="BO86" s="2">
        <v>3.97</v>
      </c>
      <c r="BR86" s="1" t="s">
        <v>28</v>
      </c>
      <c r="BS86" s="2">
        <v>-0.12</v>
      </c>
      <c r="BT86" s="2">
        <v>-0.18</v>
      </c>
      <c r="BU86" s="2">
        <v>-0.08</v>
      </c>
      <c r="BV86" s="2">
        <v>-0.08</v>
      </c>
      <c r="BW86" s="2">
        <v>-0.08</v>
      </c>
      <c r="BX86" s="2">
        <v>-0.09</v>
      </c>
      <c r="BY86" s="2">
        <v>-7.0000000000000007E-2</v>
      </c>
      <c r="BZ86" s="2">
        <v>-0.26</v>
      </c>
      <c r="CA86" s="2">
        <v>-0.05</v>
      </c>
      <c r="CB86" s="2">
        <v>-0.22</v>
      </c>
      <c r="CC86" s="2">
        <v>-0.14000000000000001</v>
      </c>
      <c r="CD86" s="2">
        <v>-0.22</v>
      </c>
      <c r="CE86" s="2">
        <v>-0.18</v>
      </c>
      <c r="CF86" s="2">
        <v>-0.17</v>
      </c>
      <c r="CG86" s="2">
        <v>-0.13</v>
      </c>
      <c r="CH86" s="2">
        <v>-0.1</v>
      </c>
      <c r="CI86" s="2">
        <v>-0.1</v>
      </c>
      <c r="CJ86" s="2">
        <v>-0.05</v>
      </c>
      <c r="CK86" s="2">
        <v>-0.06</v>
      </c>
      <c r="CL86" s="2">
        <v>-0.03</v>
      </c>
    </row>
    <row r="89" spans="2:90" x14ac:dyDescent="0.3">
      <c r="B89" t="s">
        <v>49</v>
      </c>
      <c r="X89" t="s">
        <v>50</v>
      </c>
      <c r="AU89" t="s">
        <v>51</v>
      </c>
      <c r="BR89" t="s">
        <v>52</v>
      </c>
    </row>
    <row r="90" spans="2:90" x14ac:dyDescent="0.3">
      <c r="B90" s="1" t="s">
        <v>16</v>
      </c>
      <c r="C90" s="1" t="s">
        <v>17</v>
      </c>
      <c r="D90" s="1" t="s">
        <v>18</v>
      </c>
      <c r="E90" s="1" t="s">
        <v>17</v>
      </c>
      <c r="F90" s="1" t="s">
        <v>18</v>
      </c>
      <c r="G90" s="1" t="s">
        <v>17</v>
      </c>
      <c r="H90" s="1" t="s">
        <v>18</v>
      </c>
      <c r="I90" s="1" t="s">
        <v>17</v>
      </c>
      <c r="J90" s="1" t="s">
        <v>18</v>
      </c>
      <c r="K90" s="1" t="s">
        <v>17</v>
      </c>
      <c r="L90" s="1" t="s">
        <v>18</v>
      </c>
      <c r="M90" s="1" t="s">
        <v>17</v>
      </c>
      <c r="N90" s="1" t="s">
        <v>18</v>
      </c>
      <c r="O90" s="1" t="s">
        <v>17</v>
      </c>
      <c r="P90" s="1" t="s">
        <v>18</v>
      </c>
      <c r="Q90" s="1" t="s">
        <v>17</v>
      </c>
      <c r="R90" s="1" t="s">
        <v>18</v>
      </c>
      <c r="S90" s="1" t="s">
        <v>17</v>
      </c>
      <c r="T90" s="1" t="s">
        <v>18</v>
      </c>
      <c r="U90" s="1" t="s">
        <v>17</v>
      </c>
      <c r="V90" s="1" t="s">
        <v>18</v>
      </c>
      <c r="X90" s="1" t="s">
        <v>16</v>
      </c>
      <c r="Y90" s="13" t="s">
        <v>17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 t="s">
        <v>18</v>
      </c>
      <c r="AJ90" s="13"/>
      <c r="AK90" s="13"/>
      <c r="AL90" s="13"/>
      <c r="AM90" s="13"/>
      <c r="AN90" s="13"/>
      <c r="AO90" s="13"/>
      <c r="AP90" s="13"/>
      <c r="AQ90" s="13"/>
      <c r="AR90" s="13"/>
      <c r="AU90" s="1" t="s">
        <v>16</v>
      </c>
      <c r="AV90" s="13" t="s">
        <v>17</v>
      </c>
      <c r="AW90" s="13"/>
      <c r="AX90" s="13"/>
      <c r="AY90" s="13"/>
      <c r="AZ90" s="13"/>
      <c r="BA90" s="13"/>
      <c r="BB90" s="13"/>
      <c r="BC90" s="13"/>
      <c r="BD90" s="13"/>
      <c r="BE90" s="13"/>
      <c r="BF90" s="13" t="s">
        <v>18</v>
      </c>
      <c r="BG90" s="13"/>
      <c r="BH90" s="13"/>
      <c r="BI90" s="13"/>
      <c r="BJ90" s="13"/>
      <c r="BK90" s="13"/>
      <c r="BL90" s="13"/>
      <c r="BM90" s="13"/>
      <c r="BN90" s="13"/>
      <c r="BO90" s="13"/>
      <c r="BR90" s="1" t="s">
        <v>16</v>
      </c>
      <c r="BS90" s="1" t="s">
        <v>17</v>
      </c>
      <c r="BT90" s="1" t="s">
        <v>18</v>
      </c>
      <c r="BU90" s="1" t="s">
        <v>17</v>
      </c>
      <c r="BV90" s="1" t="s">
        <v>18</v>
      </c>
      <c r="BW90" s="1" t="s">
        <v>17</v>
      </c>
      <c r="BX90" s="1" t="s">
        <v>18</v>
      </c>
      <c r="BY90" s="1" t="s">
        <v>17</v>
      </c>
      <c r="BZ90" s="1" t="s">
        <v>18</v>
      </c>
      <c r="CA90" s="1" t="s">
        <v>17</v>
      </c>
      <c r="CB90" s="1" t="s">
        <v>18</v>
      </c>
      <c r="CC90" s="1" t="s">
        <v>17</v>
      </c>
      <c r="CD90" s="1" t="s">
        <v>18</v>
      </c>
      <c r="CE90" s="1" t="s">
        <v>17</v>
      </c>
      <c r="CF90" s="1" t="s">
        <v>18</v>
      </c>
      <c r="CG90" s="1" t="s">
        <v>17</v>
      </c>
      <c r="CH90" s="1" t="s">
        <v>18</v>
      </c>
      <c r="CI90" s="1" t="s">
        <v>17</v>
      </c>
      <c r="CJ90" s="1" t="s">
        <v>18</v>
      </c>
      <c r="CK90" s="1" t="s">
        <v>17</v>
      </c>
      <c r="CL90" s="1" t="s">
        <v>18</v>
      </c>
    </row>
    <row r="91" spans="2:90" x14ac:dyDescent="0.3">
      <c r="B91" s="1" t="s">
        <v>19</v>
      </c>
      <c r="C91" s="1" t="s">
        <v>1</v>
      </c>
      <c r="D91" s="1" t="s">
        <v>1</v>
      </c>
      <c r="E91" s="1" t="s">
        <v>2</v>
      </c>
      <c r="F91" s="1" t="s">
        <v>2</v>
      </c>
      <c r="G91" s="1" t="s">
        <v>3</v>
      </c>
      <c r="H91" s="1" t="s">
        <v>3</v>
      </c>
      <c r="I91" s="1" t="s">
        <v>4</v>
      </c>
      <c r="J91" s="1" t="s">
        <v>4</v>
      </c>
      <c r="K91" s="1" t="s">
        <v>5</v>
      </c>
      <c r="L91" s="1" t="s">
        <v>5</v>
      </c>
      <c r="M91" s="1" t="s">
        <v>6</v>
      </c>
      <c r="N91" s="1" t="s">
        <v>6</v>
      </c>
      <c r="O91" s="1" t="s">
        <v>7</v>
      </c>
      <c r="P91" s="1" t="s">
        <v>7</v>
      </c>
      <c r="Q91" s="1" t="s">
        <v>8</v>
      </c>
      <c r="R91" s="1" t="s">
        <v>8</v>
      </c>
      <c r="S91" s="1" t="s">
        <v>9</v>
      </c>
      <c r="T91" s="1" t="s">
        <v>9</v>
      </c>
      <c r="U91" s="1" t="s">
        <v>10</v>
      </c>
      <c r="V91" s="1" t="s">
        <v>10</v>
      </c>
      <c r="X91" s="1" t="s">
        <v>19</v>
      </c>
      <c r="Y91" s="1" t="s">
        <v>1</v>
      </c>
      <c r="Z91" s="1" t="s">
        <v>10</v>
      </c>
      <c r="AA91" s="1" t="s">
        <v>2</v>
      </c>
      <c r="AB91" s="1" t="s">
        <v>3</v>
      </c>
      <c r="AC91" s="1" t="s">
        <v>4</v>
      </c>
      <c r="AD91" s="1" t="s">
        <v>5</v>
      </c>
      <c r="AE91" s="1" t="s">
        <v>6</v>
      </c>
      <c r="AF91" s="1" t="s">
        <v>7</v>
      </c>
      <c r="AG91" s="1" t="s">
        <v>8</v>
      </c>
      <c r="AH91" s="1" t="s">
        <v>9</v>
      </c>
      <c r="AI91" s="1" t="s">
        <v>1</v>
      </c>
      <c r="AJ91" s="1" t="s">
        <v>10</v>
      </c>
      <c r="AK91" s="1" t="s">
        <v>2</v>
      </c>
      <c r="AL91" s="1" t="s">
        <v>3</v>
      </c>
      <c r="AM91" s="1" t="s">
        <v>4</v>
      </c>
      <c r="AN91" s="1" t="s">
        <v>5</v>
      </c>
      <c r="AO91" s="1" t="s">
        <v>6</v>
      </c>
      <c r="AP91" s="1" t="s">
        <v>7</v>
      </c>
      <c r="AQ91" s="1" t="s">
        <v>8</v>
      </c>
      <c r="AR91" s="1" t="s">
        <v>9</v>
      </c>
      <c r="AU91" s="1" t="s">
        <v>19</v>
      </c>
      <c r="AV91" s="1" t="s">
        <v>1</v>
      </c>
      <c r="AW91" s="1" t="s">
        <v>10</v>
      </c>
      <c r="AX91" s="1" t="s">
        <v>2</v>
      </c>
      <c r="AY91" s="1" t="s">
        <v>3</v>
      </c>
      <c r="AZ91" s="1" t="s">
        <v>4</v>
      </c>
      <c r="BA91" s="1" t="s">
        <v>5</v>
      </c>
      <c r="BB91" s="1" t="s">
        <v>6</v>
      </c>
      <c r="BC91" s="1" t="s">
        <v>7</v>
      </c>
      <c r="BD91" s="1" t="s">
        <v>8</v>
      </c>
      <c r="BE91" s="1" t="s">
        <v>9</v>
      </c>
      <c r="BF91" s="1" t="s">
        <v>1</v>
      </c>
      <c r="BG91" s="1" t="s">
        <v>10</v>
      </c>
      <c r="BH91" s="1" t="s">
        <v>2</v>
      </c>
      <c r="BI91" s="1" t="s">
        <v>3</v>
      </c>
      <c r="BJ91" s="1" t="s">
        <v>4</v>
      </c>
      <c r="BK91" s="1" t="s">
        <v>5</v>
      </c>
      <c r="BL91" s="1" t="s">
        <v>6</v>
      </c>
      <c r="BM91" s="1" t="s">
        <v>7</v>
      </c>
      <c r="BN91" s="1" t="s">
        <v>8</v>
      </c>
      <c r="BO91" s="1" t="s">
        <v>9</v>
      </c>
      <c r="BR91" s="1" t="s">
        <v>19</v>
      </c>
      <c r="BS91" s="1" t="s">
        <v>1</v>
      </c>
      <c r="BT91" s="1" t="s">
        <v>1</v>
      </c>
      <c r="BU91" s="1" t="s">
        <v>2</v>
      </c>
      <c r="BV91" s="1" t="s">
        <v>2</v>
      </c>
      <c r="BW91" s="1" t="s">
        <v>3</v>
      </c>
      <c r="BX91" s="1" t="s">
        <v>3</v>
      </c>
      <c r="BY91" s="1" t="s">
        <v>4</v>
      </c>
      <c r="BZ91" s="1" t="s">
        <v>4</v>
      </c>
      <c r="CA91" s="1" t="s">
        <v>5</v>
      </c>
      <c r="CB91" s="1" t="s">
        <v>5</v>
      </c>
      <c r="CC91" s="1" t="s">
        <v>6</v>
      </c>
      <c r="CD91" s="1" t="s">
        <v>6</v>
      </c>
      <c r="CE91" s="1" t="s">
        <v>7</v>
      </c>
      <c r="CF91" s="1" t="s">
        <v>7</v>
      </c>
      <c r="CG91" s="1" t="s">
        <v>8</v>
      </c>
      <c r="CH91" s="1" t="s">
        <v>8</v>
      </c>
      <c r="CI91" s="1" t="s">
        <v>9</v>
      </c>
      <c r="CJ91" s="1" t="s">
        <v>9</v>
      </c>
      <c r="CK91" s="1" t="s">
        <v>10</v>
      </c>
      <c r="CL91" s="1" t="s">
        <v>10</v>
      </c>
    </row>
    <row r="92" spans="2:90" x14ac:dyDescent="0.3">
      <c r="B92" s="1" t="s">
        <v>20</v>
      </c>
      <c r="X92" s="1" t="s">
        <v>20</v>
      </c>
      <c r="AU92" s="1" t="s">
        <v>20</v>
      </c>
      <c r="BR92" s="1" t="s">
        <v>20</v>
      </c>
    </row>
    <row r="93" spans="2:90" x14ac:dyDescent="0.3">
      <c r="B93" s="1" t="s">
        <v>21</v>
      </c>
      <c r="C93" s="2">
        <v>79.41</v>
      </c>
      <c r="D93" s="2">
        <v>80.06</v>
      </c>
      <c r="E93" s="2">
        <v>38.380000000000003</v>
      </c>
      <c r="F93" s="2">
        <v>39.450000000000003</v>
      </c>
      <c r="G93" s="2">
        <v>22.81</v>
      </c>
      <c r="H93" s="2">
        <v>23.43</v>
      </c>
      <c r="I93" s="2">
        <v>81.88</v>
      </c>
      <c r="J93" s="2">
        <v>472.29</v>
      </c>
      <c r="K93" s="2">
        <v>597.62</v>
      </c>
      <c r="L93" s="2">
        <v>578.11</v>
      </c>
      <c r="M93" s="2">
        <v>1097.3499999999999</v>
      </c>
      <c r="N93" s="2">
        <v>1036.93</v>
      </c>
      <c r="O93" s="2">
        <v>867.2</v>
      </c>
      <c r="P93" s="2">
        <v>883.65</v>
      </c>
      <c r="Q93" s="2">
        <v>1160.47</v>
      </c>
      <c r="R93" s="2">
        <v>1128.58</v>
      </c>
      <c r="S93" s="2">
        <v>877.92</v>
      </c>
      <c r="T93" s="2">
        <v>920.33</v>
      </c>
      <c r="U93" s="2">
        <v>1396.69</v>
      </c>
      <c r="V93" s="2">
        <v>1421.7</v>
      </c>
      <c r="X93" s="1" t="s">
        <v>21</v>
      </c>
      <c r="Y93" s="2">
        <v>868.43</v>
      </c>
      <c r="Z93" s="2">
        <v>4400.2299999999996</v>
      </c>
      <c r="AA93" s="2">
        <v>901.46</v>
      </c>
      <c r="AB93" s="2">
        <v>256.58999999999997</v>
      </c>
      <c r="AC93" s="2">
        <v>876.26</v>
      </c>
      <c r="AD93" s="2">
        <v>2496.1999999999998</v>
      </c>
      <c r="AE93" s="2">
        <v>4620.92</v>
      </c>
      <c r="AF93" s="2">
        <v>3565.69</v>
      </c>
      <c r="AG93" s="2">
        <v>4526.26</v>
      </c>
      <c r="AH93" s="2">
        <v>3544.06</v>
      </c>
      <c r="AI93" s="2">
        <v>843.6</v>
      </c>
      <c r="AJ93" s="2">
        <v>2848.54</v>
      </c>
      <c r="AK93" s="2">
        <v>817.57</v>
      </c>
      <c r="AL93" s="2">
        <v>326.14</v>
      </c>
      <c r="AM93" s="2">
        <v>1667.23</v>
      </c>
      <c r="AN93" s="2">
        <v>2058.2800000000002</v>
      </c>
      <c r="AO93" s="2">
        <v>3688.52</v>
      </c>
      <c r="AP93" s="2">
        <v>2815.61</v>
      </c>
      <c r="AQ93" s="2">
        <v>3968.19</v>
      </c>
      <c r="AR93" s="2">
        <v>2190.79</v>
      </c>
      <c r="AU93" s="1" t="s">
        <v>21</v>
      </c>
      <c r="AV93" s="2">
        <v>868.43</v>
      </c>
      <c r="AW93" s="2">
        <v>4400.2299999999996</v>
      </c>
      <c r="AX93" s="2">
        <v>901.46</v>
      </c>
      <c r="AY93" s="2">
        <v>256.58999999999997</v>
      </c>
      <c r="AZ93" s="2">
        <v>876.26</v>
      </c>
      <c r="BA93" s="2">
        <v>2496.1999999999998</v>
      </c>
      <c r="BB93" s="2">
        <v>4620.92</v>
      </c>
      <c r="BC93" s="2">
        <v>3565.69</v>
      </c>
      <c r="BD93" s="2">
        <v>4526.26</v>
      </c>
      <c r="BE93" s="2">
        <v>3544.06</v>
      </c>
      <c r="BF93" s="2">
        <v>843.6</v>
      </c>
      <c r="BG93" s="2">
        <v>2848.54</v>
      </c>
      <c r="BH93" s="2">
        <v>817.57</v>
      </c>
      <c r="BI93" s="2">
        <v>326.14</v>
      </c>
      <c r="BJ93" s="2">
        <v>1667.23</v>
      </c>
      <c r="BK93" s="2">
        <v>2058.2800000000002</v>
      </c>
      <c r="BL93" s="2">
        <v>3688.52</v>
      </c>
      <c r="BM93" s="2">
        <v>2815.61</v>
      </c>
      <c r="BN93" s="2">
        <v>3968.19</v>
      </c>
      <c r="BO93" s="2">
        <v>2190.79</v>
      </c>
      <c r="BR93" s="1" t="s">
        <v>21</v>
      </c>
      <c r="BS93" s="2">
        <v>0.26</v>
      </c>
      <c r="BT93" s="2">
        <v>0.26</v>
      </c>
      <c r="BU93" s="2">
        <v>0.26</v>
      </c>
      <c r="BV93" s="2">
        <v>0.26</v>
      </c>
      <c r="BW93" s="2">
        <v>0.1</v>
      </c>
      <c r="BX93" s="2">
        <v>0.1</v>
      </c>
      <c r="BY93" s="2">
        <v>0.32</v>
      </c>
      <c r="BZ93" s="2">
        <v>0.86</v>
      </c>
      <c r="CA93" s="2">
        <v>1.08</v>
      </c>
      <c r="CB93" s="2">
        <v>1.08</v>
      </c>
      <c r="CC93" s="2">
        <v>1.94</v>
      </c>
      <c r="CD93" s="2">
        <v>1.94</v>
      </c>
      <c r="CE93" s="2">
        <v>1.57</v>
      </c>
      <c r="CF93" s="2">
        <v>1.57</v>
      </c>
      <c r="CG93" s="2">
        <v>2.0499999999999998</v>
      </c>
      <c r="CH93" s="2">
        <v>2.0499999999999998</v>
      </c>
      <c r="CI93" s="2">
        <v>1.84</v>
      </c>
      <c r="CJ93" s="2">
        <v>1.84</v>
      </c>
      <c r="CK93" s="2">
        <v>2.4300000000000002</v>
      </c>
      <c r="CL93" s="2">
        <v>2.4300000000000002</v>
      </c>
    </row>
    <row r="94" spans="2:90" x14ac:dyDescent="0.3">
      <c r="B94" s="1" t="s">
        <v>22</v>
      </c>
      <c r="C94" s="2">
        <v>49.38</v>
      </c>
      <c r="D94" s="2">
        <v>31.72</v>
      </c>
      <c r="E94" s="2">
        <v>20.79</v>
      </c>
      <c r="F94" s="2">
        <v>16.739999999999998</v>
      </c>
      <c r="G94" s="2">
        <v>12.42</v>
      </c>
      <c r="H94" s="2">
        <v>10.039999999999999</v>
      </c>
      <c r="I94" s="2">
        <v>42.82</v>
      </c>
      <c r="J94" s="2">
        <v>79.63</v>
      </c>
      <c r="K94" s="2">
        <v>61.02</v>
      </c>
      <c r="L94" s="2">
        <v>66.36</v>
      </c>
      <c r="M94" s="2">
        <v>138.58000000000001</v>
      </c>
      <c r="N94" s="2">
        <v>135.54</v>
      </c>
      <c r="O94" s="2">
        <v>137.18</v>
      </c>
      <c r="P94" s="2">
        <v>120.36</v>
      </c>
      <c r="Q94" s="2">
        <v>168.07</v>
      </c>
      <c r="R94" s="2">
        <v>115.82</v>
      </c>
      <c r="S94" s="2">
        <v>136.6</v>
      </c>
      <c r="T94" s="2">
        <v>103.9</v>
      </c>
      <c r="U94" s="2">
        <v>190.8</v>
      </c>
      <c r="V94" s="2">
        <v>99.55</v>
      </c>
      <c r="X94" s="1" t="s">
        <v>22</v>
      </c>
      <c r="Y94" s="2">
        <v>1317.61</v>
      </c>
      <c r="Z94" s="2">
        <v>4286.1099999999997</v>
      </c>
      <c r="AA94" s="2">
        <v>1454.48</v>
      </c>
      <c r="AB94" s="2">
        <v>349.95</v>
      </c>
      <c r="AC94" s="2">
        <v>1912.98</v>
      </c>
      <c r="AD94" s="2">
        <v>2216.81</v>
      </c>
      <c r="AE94" s="2">
        <v>3828.83</v>
      </c>
      <c r="AF94" s="2">
        <v>2622.55</v>
      </c>
      <c r="AG94" s="2">
        <v>3242.33</v>
      </c>
      <c r="AH94" s="2">
        <v>2861.6</v>
      </c>
      <c r="AI94" s="2">
        <v>765.23</v>
      </c>
      <c r="AJ94" s="2">
        <v>2484.1</v>
      </c>
      <c r="AK94" s="2">
        <v>884.87</v>
      </c>
      <c r="AL94" s="2">
        <v>411.76</v>
      </c>
      <c r="AM94" s="2">
        <v>1162.73</v>
      </c>
      <c r="AN94" s="2">
        <v>1348.24</v>
      </c>
      <c r="AO94" s="2">
        <v>2439.6999999999998</v>
      </c>
      <c r="AP94" s="2">
        <v>2206.96</v>
      </c>
      <c r="AQ94" s="2">
        <v>2850.37</v>
      </c>
      <c r="AR94" s="2">
        <v>1989.35</v>
      </c>
      <c r="AU94" s="1" t="s">
        <v>22</v>
      </c>
      <c r="AV94" s="2">
        <v>1317.61</v>
      </c>
      <c r="AW94" s="2">
        <v>4286.1099999999997</v>
      </c>
      <c r="AX94" s="2">
        <v>1454.48</v>
      </c>
      <c r="AY94" s="2">
        <v>349.95</v>
      </c>
      <c r="AZ94" s="2">
        <v>1912.98</v>
      </c>
      <c r="BA94" s="2">
        <v>2216.81</v>
      </c>
      <c r="BB94" s="2">
        <v>3828.83</v>
      </c>
      <c r="BC94" s="2">
        <v>2622.55</v>
      </c>
      <c r="BD94" s="2">
        <v>3242.33</v>
      </c>
      <c r="BE94" s="2">
        <v>2861.6</v>
      </c>
      <c r="BF94" s="2">
        <v>765.23</v>
      </c>
      <c r="BG94" s="2">
        <v>2484.1</v>
      </c>
      <c r="BH94" s="2">
        <v>884.87</v>
      </c>
      <c r="BI94" s="2">
        <v>411.76</v>
      </c>
      <c r="BJ94" s="2">
        <v>1162.73</v>
      </c>
      <c r="BK94" s="2">
        <v>1348.24</v>
      </c>
      <c r="BL94" s="2">
        <v>2439.6999999999998</v>
      </c>
      <c r="BM94" s="2">
        <v>2206.96</v>
      </c>
      <c r="BN94" s="2">
        <v>2850.37</v>
      </c>
      <c r="BO94" s="2">
        <v>1989.35</v>
      </c>
      <c r="BR94" s="1" t="s">
        <v>22</v>
      </c>
      <c r="BS94" s="2">
        <v>1.1599999999999999</v>
      </c>
      <c r="BT94" s="2">
        <v>0.72</v>
      </c>
      <c r="BU94" s="2">
        <v>0.9</v>
      </c>
      <c r="BV94" s="2">
        <v>0.6</v>
      </c>
      <c r="BW94" s="2">
        <v>0.41</v>
      </c>
      <c r="BX94" s="2">
        <v>0.28999999999999998</v>
      </c>
      <c r="BY94" s="2">
        <v>1.31</v>
      </c>
      <c r="BZ94" s="2">
        <v>1.8</v>
      </c>
      <c r="CA94" s="2">
        <v>1.82</v>
      </c>
      <c r="CB94" s="2">
        <v>1.72</v>
      </c>
      <c r="CC94" s="2">
        <v>4.24</v>
      </c>
      <c r="CD94" s="2">
        <v>3.22</v>
      </c>
      <c r="CE94" s="2">
        <v>3.55</v>
      </c>
      <c r="CF94" s="2">
        <v>2.88</v>
      </c>
      <c r="CG94" s="2">
        <v>4.25</v>
      </c>
      <c r="CH94" s="2">
        <v>2.98</v>
      </c>
      <c r="CI94" s="2">
        <v>3.56</v>
      </c>
      <c r="CJ94" s="2">
        <v>2.42</v>
      </c>
      <c r="CK94" s="2">
        <v>3.52</v>
      </c>
      <c r="CL94" s="2">
        <v>2.1</v>
      </c>
    </row>
    <row r="95" spans="2:90" x14ac:dyDescent="0.3">
      <c r="B95" s="1" t="s">
        <v>23</v>
      </c>
      <c r="C95" s="2">
        <v>1625.87</v>
      </c>
      <c r="D95" s="2">
        <v>118.49</v>
      </c>
      <c r="E95" s="2">
        <v>732.63</v>
      </c>
      <c r="F95" s="2">
        <v>43.09</v>
      </c>
      <c r="G95" s="2">
        <v>404.13</v>
      </c>
      <c r="H95" s="2">
        <v>257.07</v>
      </c>
      <c r="I95" s="2">
        <v>1034.9000000000001</v>
      </c>
      <c r="J95" s="2">
        <v>545.65</v>
      </c>
      <c r="K95" s="2">
        <v>1439.46</v>
      </c>
      <c r="L95" s="2">
        <v>589</v>
      </c>
      <c r="M95" s="2">
        <v>2707.79</v>
      </c>
      <c r="N95" s="2">
        <v>1135.5999999999999</v>
      </c>
      <c r="O95" s="2">
        <v>2511.08</v>
      </c>
      <c r="P95" s="2">
        <v>995.34</v>
      </c>
      <c r="Q95" s="2">
        <v>3229.8</v>
      </c>
      <c r="R95" s="2">
        <v>1073.71</v>
      </c>
      <c r="S95" s="2">
        <v>1128.78</v>
      </c>
      <c r="T95" s="2">
        <v>857.76</v>
      </c>
      <c r="U95" s="2">
        <v>992.34</v>
      </c>
      <c r="V95" s="2">
        <v>859.71</v>
      </c>
      <c r="X95" s="1" t="s">
        <v>23</v>
      </c>
      <c r="Y95" s="2">
        <v>5946.57</v>
      </c>
      <c r="Z95" s="2">
        <v>8167.27</v>
      </c>
      <c r="AA95" s="2">
        <v>5997.82</v>
      </c>
      <c r="AB95" s="2">
        <v>2285.52</v>
      </c>
      <c r="AC95" s="2">
        <v>8607.25</v>
      </c>
      <c r="AD95" s="2">
        <v>11167.44</v>
      </c>
      <c r="AE95" s="2">
        <v>20718.41</v>
      </c>
      <c r="AF95" s="2">
        <v>15246.47</v>
      </c>
      <c r="AG95" s="2">
        <v>19354.21</v>
      </c>
      <c r="AH95" s="2">
        <v>8449.3700000000008</v>
      </c>
      <c r="AI95" s="2">
        <v>1865.81</v>
      </c>
      <c r="AJ95" s="2">
        <v>7145.31</v>
      </c>
      <c r="AK95" s="2">
        <v>1973.89</v>
      </c>
      <c r="AL95" s="2">
        <v>2104.15</v>
      </c>
      <c r="AM95" s="2">
        <v>3846.08</v>
      </c>
      <c r="AN95" s="2">
        <v>4191.51</v>
      </c>
      <c r="AO95" s="2">
        <v>7368.99</v>
      </c>
      <c r="AP95" s="2">
        <v>6101.93</v>
      </c>
      <c r="AQ95" s="2">
        <v>8040.62</v>
      </c>
      <c r="AR95" s="2">
        <v>5832.36</v>
      </c>
      <c r="AU95" s="1" t="s">
        <v>23</v>
      </c>
      <c r="AV95" s="2">
        <v>5946.57</v>
      </c>
      <c r="AW95" s="2">
        <v>8167.27</v>
      </c>
      <c r="AX95" s="2">
        <v>5997.82</v>
      </c>
      <c r="AY95" s="2">
        <v>2285.52</v>
      </c>
      <c r="AZ95" s="2">
        <v>8607.25</v>
      </c>
      <c r="BA95" s="2">
        <v>11167.44</v>
      </c>
      <c r="BB95" s="2">
        <v>20718.41</v>
      </c>
      <c r="BC95" s="2">
        <v>15246.47</v>
      </c>
      <c r="BD95" s="2">
        <v>19354.21</v>
      </c>
      <c r="BE95" s="2">
        <v>8449.3700000000008</v>
      </c>
      <c r="BF95" s="2">
        <v>1865.81</v>
      </c>
      <c r="BG95" s="2">
        <v>7145.31</v>
      </c>
      <c r="BH95" s="2">
        <v>1973.89</v>
      </c>
      <c r="BI95" s="2">
        <v>2104.15</v>
      </c>
      <c r="BJ95" s="2">
        <v>3846.08</v>
      </c>
      <c r="BK95" s="2">
        <v>4191.51</v>
      </c>
      <c r="BL95" s="2">
        <v>7368.99</v>
      </c>
      <c r="BM95" s="2">
        <v>6101.93</v>
      </c>
      <c r="BN95" s="2">
        <v>8040.62</v>
      </c>
      <c r="BO95" s="2">
        <v>5832.36</v>
      </c>
      <c r="BR95" s="1" t="s">
        <v>23</v>
      </c>
      <c r="BS95" s="2">
        <v>4.68</v>
      </c>
      <c r="BT95" s="2">
        <v>0.91</v>
      </c>
      <c r="BU95" s="2">
        <v>5.31</v>
      </c>
      <c r="BV95" s="2">
        <v>0.67</v>
      </c>
      <c r="BW95" s="2">
        <v>0.9</v>
      </c>
      <c r="BX95" s="2">
        <v>0.9</v>
      </c>
      <c r="BY95" s="2">
        <v>2.88</v>
      </c>
      <c r="BZ95" s="2">
        <v>2.86</v>
      </c>
      <c r="CA95" s="2">
        <v>3.6</v>
      </c>
      <c r="CB95" s="2">
        <v>3.3</v>
      </c>
      <c r="CC95" s="2">
        <v>6.48</v>
      </c>
      <c r="CD95" s="2">
        <v>6.05</v>
      </c>
      <c r="CE95" s="2">
        <v>5.22</v>
      </c>
      <c r="CF95" s="2">
        <v>5</v>
      </c>
      <c r="CG95" s="2">
        <v>6.84</v>
      </c>
      <c r="CH95" s="2">
        <v>6.04</v>
      </c>
      <c r="CI95" s="2">
        <v>6.12</v>
      </c>
      <c r="CJ95" s="2">
        <v>4.58</v>
      </c>
      <c r="CK95" s="2">
        <v>5.84</v>
      </c>
      <c r="CL95" s="2">
        <v>5.16</v>
      </c>
    </row>
    <row r="96" spans="2:90" x14ac:dyDescent="0.3">
      <c r="B96" s="1" t="s">
        <v>24</v>
      </c>
      <c r="C96" s="2">
        <v>338.87</v>
      </c>
      <c r="D96" s="2">
        <v>67.489999999999995</v>
      </c>
      <c r="E96" s="2">
        <v>144.46</v>
      </c>
      <c r="F96" s="2">
        <v>20.21</v>
      </c>
      <c r="G96" s="2">
        <v>108.79</v>
      </c>
      <c r="H96" s="2">
        <v>120.79</v>
      </c>
      <c r="I96" s="2">
        <v>308.02999999999997</v>
      </c>
      <c r="J96" s="2">
        <v>192.04</v>
      </c>
      <c r="K96" s="2">
        <v>380.48</v>
      </c>
      <c r="L96" s="2">
        <v>181.8</v>
      </c>
      <c r="M96" s="2">
        <v>689.19</v>
      </c>
      <c r="N96" s="2">
        <v>328.39</v>
      </c>
      <c r="O96" s="2">
        <v>599.19000000000005</v>
      </c>
      <c r="P96" s="2">
        <v>277.61</v>
      </c>
      <c r="Q96" s="2">
        <v>560.52</v>
      </c>
      <c r="R96" s="2">
        <v>292.23</v>
      </c>
      <c r="S96" s="2">
        <v>235.65</v>
      </c>
      <c r="T96" s="2">
        <v>260.67</v>
      </c>
      <c r="U96" s="2">
        <v>304.29000000000002</v>
      </c>
      <c r="V96" s="2">
        <v>284.25</v>
      </c>
      <c r="X96" s="1" t="s">
        <v>24</v>
      </c>
      <c r="Y96" s="2">
        <v>1651.58</v>
      </c>
      <c r="Z96" s="2">
        <v>2643.78</v>
      </c>
      <c r="AA96" s="2">
        <v>1841.8</v>
      </c>
      <c r="AB96" s="2">
        <v>554.78</v>
      </c>
      <c r="AC96" s="2">
        <v>2019.87</v>
      </c>
      <c r="AD96" s="2">
        <v>2363.1</v>
      </c>
      <c r="AE96" s="2">
        <v>4235.4399999999996</v>
      </c>
      <c r="AF96" s="2">
        <v>3331.16</v>
      </c>
      <c r="AG96" s="2">
        <v>3305.16</v>
      </c>
      <c r="AH96" s="2">
        <v>2264.44</v>
      </c>
      <c r="AI96" s="2">
        <v>657.51</v>
      </c>
      <c r="AJ96" s="2">
        <v>2485.94</v>
      </c>
      <c r="AK96" s="2">
        <v>776.83</v>
      </c>
      <c r="AL96" s="2">
        <v>535.16</v>
      </c>
      <c r="AM96" s="2">
        <v>1319.56</v>
      </c>
      <c r="AN96" s="2">
        <v>1424.6</v>
      </c>
      <c r="AO96" s="2">
        <v>2417.91</v>
      </c>
      <c r="AP96" s="2">
        <v>1994.42</v>
      </c>
      <c r="AQ96" s="2">
        <v>2467.5500000000002</v>
      </c>
      <c r="AR96" s="2">
        <v>1987.17</v>
      </c>
      <c r="AU96" s="1" t="s">
        <v>24</v>
      </c>
      <c r="AV96" s="2">
        <v>1651.58</v>
      </c>
      <c r="AW96" s="2">
        <v>2643.78</v>
      </c>
      <c r="AX96" s="2">
        <v>1841.8</v>
      </c>
      <c r="AY96" s="2">
        <v>554.78</v>
      </c>
      <c r="AZ96" s="2">
        <v>2019.87</v>
      </c>
      <c r="BA96" s="2">
        <v>2363.1</v>
      </c>
      <c r="BB96" s="2">
        <v>4235.4399999999996</v>
      </c>
      <c r="BC96" s="2">
        <v>3331.16</v>
      </c>
      <c r="BD96" s="2">
        <v>3305.16</v>
      </c>
      <c r="BE96" s="2">
        <v>2264.44</v>
      </c>
      <c r="BF96" s="2">
        <v>657.51</v>
      </c>
      <c r="BG96" s="2">
        <v>2485.94</v>
      </c>
      <c r="BH96" s="2">
        <v>776.83</v>
      </c>
      <c r="BI96" s="2">
        <v>535.16</v>
      </c>
      <c r="BJ96" s="2">
        <v>1319.56</v>
      </c>
      <c r="BK96" s="2">
        <v>1424.6</v>
      </c>
      <c r="BL96" s="2">
        <v>2417.91</v>
      </c>
      <c r="BM96" s="2">
        <v>1994.42</v>
      </c>
      <c r="BN96" s="2">
        <v>2467.5500000000002</v>
      </c>
      <c r="BO96" s="2">
        <v>1987.17</v>
      </c>
      <c r="BR96" s="1" t="s">
        <v>24</v>
      </c>
      <c r="BS96" s="2">
        <v>2.34</v>
      </c>
      <c r="BT96" s="2">
        <v>1.0900000000000001</v>
      </c>
      <c r="BU96" s="2">
        <v>2.34</v>
      </c>
      <c r="BV96" s="2">
        <v>0.59</v>
      </c>
      <c r="BW96" s="2">
        <v>0.9</v>
      </c>
      <c r="BX96" s="2">
        <v>1.4</v>
      </c>
      <c r="BY96" s="2">
        <v>2.88</v>
      </c>
      <c r="BZ96" s="2">
        <v>2.3199999999999998</v>
      </c>
      <c r="CA96" s="2">
        <v>3.6</v>
      </c>
      <c r="CB96" s="2">
        <v>2.48</v>
      </c>
      <c r="CC96" s="2">
        <v>6.48</v>
      </c>
      <c r="CD96" s="2">
        <v>4.28</v>
      </c>
      <c r="CE96" s="2">
        <v>5.22</v>
      </c>
      <c r="CF96" s="2">
        <v>3.5</v>
      </c>
      <c r="CG96" s="2">
        <v>6.84</v>
      </c>
      <c r="CH96" s="2">
        <v>4.1100000000000003</v>
      </c>
      <c r="CI96" s="2">
        <v>3.61</v>
      </c>
      <c r="CJ96" s="2">
        <v>3.33</v>
      </c>
      <c r="CK96" s="2">
        <v>4.25</v>
      </c>
      <c r="CL96" s="2">
        <v>3.95</v>
      </c>
    </row>
    <row r="97" spans="2:90" x14ac:dyDescent="0.3">
      <c r="B97" s="1" t="s">
        <v>25</v>
      </c>
      <c r="C97" s="2">
        <v>1029.3</v>
      </c>
      <c r="D97" s="2">
        <v>1026.76</v>
      </c>
      <c r="E97" s="2">
        <v>522.92999999999995</v>
      </c>
      <c r="F97" s="2">
        <v>191.12</v>
      </c>
      <c r="G97" s="2">
        <v>332.28</v>
      </c>
      <c r="H97" s="2">
        <v>315.16000000000003</v>
      </c>
      <c r="I97" s="2">
        <v>364.85</v>
      </c>
      <c r="J97" s="2">
        <v>1057.1400000000001</v>
      </c>
      <c r="K97" s="2">
        <v>1034.6099999999999</v>
      </c>
      <c r="L97" s="2">
        <v>1243.6400000000001</v>
      </c>
      <c r="M97" s="2">
        <v>1549.15</v>
      </c>
      <c r="N97" s="2">
        <v>1353.64</v>
      </c>
      <c r="O97" s="2">
        <v>1098.69</v>
      </c>
      <c r="P97" s="2">
        <v>988.03</v>
      </c>
      <c r="Q97" s="2">
        <v>1308.32</v>
      </c>
      <c r="R97" s="2">
        <v>1122.43</v>
      </c>
      <c r="S97" s="2">
        <v>1058.46</v>
      </c>
      <c r="T97" s="2">
        <v>801.11</v>
      </c>
      <c r="U97" s="2">
        <v>1304.93</v>
      </c>
      <c r="V97" s="2">
        <v>984.41</v>
      </c>
      <c r="X97" s="1" t="s">
        <v>25</v>
      </c>
      <c r="Y97" s="2">
        <v>5869.55</v>
      </c>
      <c r="Z97" s="2">
        <v>14736.5</v>
      </c>
      <c r="AA97" s="2">
        <v>8147.39</v>
      </c>
      <c r="AB97" s="2">
        <v>2280.2600000000002</v>
      </c>
      <c r="AC97" s="2">
        <v>7092.37</v>
      </c>
      <c r="AD97" s="2">
        <v>9144.64</v>
      </c>
      <c r="AE97" s="2">
        <v>15430.04</v>
      </c>
      <c r="AF97" s="2">
        <v>11637.09</v>
      </c>
      <c r="AG97" s="2">
        <v>14212.28</v>
      </c>
      <c r="AH97" s="2">
        <v>11571.19</v>
      </c>
      <c r="AI97" s="2">
        <v>6328.16</v>
      </c>
      <c r="AJ97" s="2">
        <v>16910.310000000001</v>
      </c>
      <c r="AK97" s="2">
        <v>7275.36</v>
      </c>
      <c r="AL97" s="2">
        <v>2535.61</v>
      </c>
      <c r="AM97" s="2">
        <v>7979.96</v>
      </c>
      <c r="AN97" s="2">
        <v>9973.0300000000007</v>
      </c>
      <c r="AO97" s="2">
        <v>15842.87</v>
      </c>
      <c r="AP97" s="2">
        <v>12540.03</v>
      </c>
      <c r="AQ97" s="2">
        <v>14017.69</v>
      </c>
      <c r="AR97" s="2">
        <v>11912.07</v>
      </c>
      <c r="AU97" s="1" t="s">
        <v>25</v>
      </c>
      <c r="AV97" s="2">
        <v>5869.55</v>
      </c>
      <c r="AW97" s="2">
        <v>14736.5</v>
      </c>
      <c r="AX97" s="2">
        <v>8147.39</v>
      </c>
      <c r="AY97" s="2">
        <v>2280.2600000000002</v>
      </c>
      <c r="AZ97" s="2">
        <v>7092.37</v>
      </c>
      <c r="BA97" s="2">
        <v>9144.64</v>
      </c>
      <c r="BB97" s="2">
        <v>15430.04</v>
      </c>
      <c r="BC97" s="2">
        <v>11637.09</v>
      </c>
      <c r="BD97" s="2">
        <v>14212.28</v>
      </c>
      <c r="BE97" s="2">
        <v>11571.19</v>
      </c>
      <c r="BF97" s="2">
        <v>6328.16</v>
      </c>
      <c r="BG97" s="2">
        <v>16910.310000000001</v>
      </c>
      <c r="BH97" s="2">
        <v>7275.36</v>
      </c>
      <c r="BI97" s="2">
        <v>2535.61</v>
      </c>
      <c r="BJ97" s="2">
        <v>7979.96</v>
      </c>
      <c r="BK97" s="2">
        <v>9973.0300000000007</v>
      </c>
      <c r="BL97" s="2">
        <v>15842.87</v>
      </c>
      <c r="BM97" s="2">
        <v>12540.03</v>
      </c>
      <c r="BN97" s="2">
        <v>14017.69</v>
      </c>
      <c r="BO97" s="2">
        <v>11912.07</v>
      </c>
      <c r="BR97" s="1" t="s">
        <v>25</v>
      </c>
      <c r="BS97" s="2">
        <v>2.34</v>
      </c>
      <c r="BT97" s="2">
        <v>2.34</v>
      </c>
      <c r="BU97" s="2">
        <v>2.34</v>
      </c>
      <c r="BV97" s="2">
        <v>1.01</v>
      </c>
      <c r="BW97" s="2">
        <v>0.9</v>
      </c>
      <c r="BX97" s="2">
        <v>0.9</v>
      </c>
      <c r="BY97" s="2">
        <v>1.28</v>
      </c>
      <c r="BZ97" s="2">
        <v>2.88</v>
      </c>
      <c r="CA97" s="2">
        <v>3.36</v>
      </c>
      <c r="CB97" s="2">
        <v>3.6</v>
      </c>
      <c r="CC97" s="2">
        <v>5.18</v>
      </c>
      <c r="CD97" s="2">
        <v>4.4800000000000004</v>
      </c>
      <c r="CE97" s="2">
        <v>3.64</v>
      </c>
      <c r="CF97" s="2">
        <v>3.27</v>
      </c>
      <c r="CG97" s="2">
        <v>4.29</v>
      </c>
      <c r="CH97" s="2">
        <v>3.95</v>
      </c>
      <c r="CI97" s="2">
        <v>3.51</v>
      </c>
      <c r="CJ97" s="2">
        <v>2.84</v>
      </c>
      <c r="CK97" s="2">
        <v>4.05</v>
      </c>
      <c r="CL97" s="2">
        <v>2.85</v>
      </c>
    </row>
    <row r="98" spans="2:90" x14ac:dyDescent="0.3">
      <c r="B98" s="1" t="s">
        <v>26</v>
      </c>
      <c r="C98" s="2">
        <v>199.77</v>
      </c>
      <c r="D98" s="2">
        <v>191.44</v>
      </c>
      <c r="E98" s="2">
        <v>95.51</v>
      </c>
      <c r="F98" s="2">
        <v>60</v>
      </c>
      <c r="G98" s="2">
        <v>56.97</v>
      </c>
      <c r="H98" s="2">
        <v>51.59</v>
      </c>
      <c r="I98" s="2">
        <v>53.97</v>
      </c>
      <c r="J98" s="2">
        <v>147.63999999999999</v>
      </c>
      <c r="K98" s="2">
        <v>67.84</v>
      </c>
      <c r="L98" s="2">
        <v>222.29</v>
      </c>
      <c r="M98" s="2">
        <v>169.65</v>
      </c>
      <c r="N98" s="2">
        <v>355.14</v>
      </c>
      <c r="O98" s="2">
        <v>134.86000000000001</v>
      </c>
      <c r="P98" s="2">
        <v>210.56</v>
      </c>
      <c r="Q98" s="2">
        <v>180.8</v>
      </c>
      <c r="R98" s="2">
        <v>317</v>
      </c>
      <c r="S98" s="2">
        <v>162.25</v>
      </c>
      <c r="T98" s="2">
        <v>195.37</v>
      </c>
      <c r="U98" s="2">
        <v>197.82</v>
      </c>
      <c r="V98" s="2">
        <v>107.08</v>
      </c>
      <c r="X98" s="1" t="s">
        <v>26</v>
      </c>
      <c r="Y98" s="2">
        <v>1612.08</v>
      </c>
      <c r="Z98" s="2">
        <v>4013.93</v>
      </c>
      <c r="AA98" s="2">
        <v>2046.16</v>
      </c>
      <c r="AB98" s="2">
        <v>554.64</v>
      </c>
      <c r="AC98" s="2">
        <v>1772.29</v>
      </c>
      <c r="AD98" s="2">
        <v>2073.1999999999998</v>
      </c>
      <c r="AE98" s="2">
        <v>3854.21</v>
      </c>
      <c r="AF98" s="2">
        <v>3107.59</v>
      </c>
      <c r="AG98" s="2">
        <v>3967.74</v>
      </c>
      <c r="AH98" s="2">
        <v>3320.38</v>
      </c>
      <c r="AI98" s="2">
        <v>1394.41</v>
      </c>
      <c r="AJ98" s="2">
        <v>4120</v>
      </c>
      <c r="AK98" s="2">
        <v>2112.9699999999998</v>
      </c>
      <c r="AL98" s="2">
        <v>640.41</v>
      </c>
      <c r="AM98" s="2">
        <v>1674.92</v>
      </c>
      <c r="AN98" s="2">
        <v>2627.05</v>
      </c>
      <c r="AO98" s="2">
        <v>4792.59</v>
      </c>
      <c r="AP98" s="2">
        <v>3853.59</v>
      </c>
      <c r="AQ98" s="2">
        <v>4788.72</v>
      </c>
      <c r="AR98" s="2">
        <v>4318.5600000000004</v>
      </c>
      <c r="AU98" s="1" t="s">
        <v>26</v>
      </c>
      <c r="AV98" s="2">
        <v>1612.08</v>
      </c>
      <c r="AW98" s="2">
        <v>4013.93</v>
      </c>
      <c r="AX98" s="2">
        <v>2046.16</v>
      </c>
      <c r="AY98" s="2">
        <v>554.64</v>
      </c>
      <c r="AZ98" s="2">
        <v>1772.29</v>
      </c>
      <c r="BA98" s="2">
        <v>2073.1999999999998</v>
      </c>
      <c r="BB98" s="2">
        <v>3854.21</v>
      </c>
      <c r="BC98" s="2">
        <v>3107.59</v>
      </c>
      <c r="BD98" s="2">
        <v>3967.74</v>
      </c>
      <c r="BE98" s="2">
        <v>3320.38</v>
      </c>
      <c r="BF98" s="2">
        <v>1394.41</v>
      </c>
      <c r="BG98" s="2">
        <v>4120</v>
      </c>
      <c r="BH98" s="2">
        <v>2112.9699999999998</v>
      </c>
      <c r="BI98" s="2">
        <v>640.41</v>
      </c>
      <c r="BJ98" s="2">
        <v>1674.92</v>
      </c>
      <c r="BK98" s="2">
        <v>2627.05</v>
      </c>
      <c r="BL98" s="2">
        <v>4792.59</v>
      </c>
      <c r="BM98" s="2">
        <v>3853.59</v>
      </c>
      <c r="BN98" s="2">
        <v>4788.72</v>
      </c>
      <c r="BO98" s="2">
        <v>4318.5600000000004</v>
      </c>
      <c r="BR98" s="1" t="s">
        <v>26</v>
      </c>
      <c r="BS98" s="2">
        <v>2.34</v>
      </c>
      <c r="BT98" s="2">
        <v>3.24</v>
      </c>
      <c r="BU98" s="2">
        <v>2.6</v>
      </c>
      <c r="BV98" s="2">
        <v>2.52</v>
      </c>
      <c r="BW98" s="2">
        <v>0.9</v>
      </c>
      <c r="BX98" s="2">
        <v>0.9</v>
      </c>
      <c r="BY98" s="2">
        <v>1.32</v>
      </c>
      <c r="BZ98" s="2">
        <v>2.88</v>
      </c>
      <c r="CA98" s="2">
        <v>1.65</v>
      </c>
      <c r="CB98" s="2">
        <v>3.93</v>
      </c>
      <c r="CC98" s="2">
        <v>3.62</v>
      </c>
      <c r="CD98" s="2">
        <v>7.3</v>
      </c>
      <c r="CE98" s="2">
        <v>2.84</v>
      </c>
      <c r="CF98" s="2">
        <v>4.74</v>
      </c>
      <c r="CG98" s="2">
        <v>3.72</v>
      </c>
      <c r="CH98" s="2">
        <v>6.36</v>
      </c>
      <c r="CI98" s="2">
        <v>3.08</v>
      </c>
      <c r="CJ98" s="2">
        <v>4.5999999999999996</v>
      </c>
      <c r="CK98" s="2">
        <v>3.58</v>
      </c>
      <c r="CL98" s="2">
        <v>2.99</v>
      </c>
    </row>
    <row r="99" spans="2:90" x14ac:dyDescent="0.3">
      <c r="B99" s="1" t="s">
        <v>27</v>
      </c>
      <c r="C99" s="2">
        <v>1225.19</v>
      </c>
      <c r="D99" s="2">
        <v>1360.14</v>
      </c>
      <c r="E99" s="2">
        <v>303.29000000000002</v>
      </c>
      <c r="F99" s="2">
        <v>504.29</v>
      </c>
      <c r="G99" s="2">
        <v>185.92</v>
      </c>
      <c r="H99" s="2">
        <v>417.59</v>
      </c>
      <c r="I99" s="2">
        <v>405.44</v>
      </c>
      <c r="J99" s="2">
        <v>891.35</v>
      </c>
      <c r="K99" s="2">
        <v>417.45</v>
      </c>
      <c r="L99" s="2">
        <v>1547.94</v>
      </c>
      <c r="M99" s="2">
        <v>903.67</v>
      </c>
      <c r="N99" s="2">
        <v>1993.01</v>
      </c>
      <c r="O99" s="2">
        <v>752.21</v>
      </c>
      <c r="P99" s="2">
        <v>1434.98</v>
      </c>
      <c r="Q99" s="2">
        <v>1244.94</v>
      </c>
      <c r="R99" s="2">
        <v>1575.61</v>
      </c>
      <c r="S99" s="2">
        <v>869.45</v>
      </c>
      <c r="T99" s="2">
        <v>795.67</v>
      </c>
      <c r="U99" s="2">
        <v>1033.6199999999999</v>
      </c>
      <c r="V99" s="2">
        <v>884.29</v>
      </c>
      <c r="X99" s="1" t="s">
        <v>27</v>
      </c>
      <c r="Y99" s="2">
        <v>6235.15</v>
      </c>
      <c r="Z99" s="2">
        <v>12698.92</v>
      </c>
      <c r="AA99" s="2">
        <v>5854.25</v>
      </c>
      <c r="AB99" s="2">
        <v>2013.56</v>
      </c>
      <c r="AC99" s="2">
        <v>5968</v>
      </c>
      <c r="AD99" s="2">
        <v>6693.5</v>
      </c>
      <c r="AE99" s="2">
        <v>12176.43</v>
      </c>
      <c r="AF99" s="2">
        <v>9934.44</v>
      </c>
      <c r="AG99" s="2">
        <v>13341.86</v>
      </c>
      <c r="AH99" s="2">
        <v>10272.73</v>
      </c>
      <c r="AI99" s="2">
        <v>6442.31</v>
      </c>
      <c r="AJ99" s="2">
        <v>12793.11</v>
      </c>
      <c r="AK99" s="2">
        <v>7117.17</v>
      </c>
      <c r="AL99" s="2">
        <v>2437.84</v>
      </c>
      <c r="AM99" s="2">
        <v>8341.36</v>
      </c>
      <c r="AN99" s="2">
        <v>9870.02</v>
      </c>
      <c r="AO99" s="2">
        <v>23537.66</v>
      </c>
      <c r="AP99" s="2">
        <v>17021.04</v>
      </c>
      <c r="AQ99" s="2">
        <v>13977.69</v>
      </c>
      <c r="AR99" s="2">
        <v>10969</v>
      </c>
      <c r="AU99" s="1" t="s">
        <v>27</v>
      </c>
      <c r="AV99" s="2">
        <v>6235.15</v>
      </c>
      <c r="AW99" s="2">
        <v>12698.92</v>
      </c>
      <c r="AX99" s="2">
        <v>5854.25</v>
      </c>
      <c r="AY99" s="2">
        <v>2013.56</v>
      </c>
      <c r="AZ99" s="2">
        <v>5968</v>
      </c>
      <c r="BA99" s="2">
        <v>6693.5</v>
      </c>
      <c r="BB99" s="2">
        <v>12176.43</v>
      </c>
      <c r="BC99" s="2">
        <v>9934.44</v>
      </c>
      <c r="BD99" s="2">
        <v>13341.86</v>
      </c>
      <c r="BE99" s="2">
        <v>10272.73</v>
      </c>
      <c r="BF99" s="2">
        <v>6442.31</v>
      </c>
      <c r="BG99" s="2">
        <v>12793.11</v>
      </c>
      <c r="BH99" s="2">
        <v>7117.17</v>
      </c>
      <c r="BI99" s="2">
        <v>2437.84</v>
      </c>
      <c r="BJ99" s="2">
        <v>8341.36</v>
      </c>
      <c r="BK99" s="2">
        <v>9870.02</v>
      </c>
      <c r="BL99" s="2">
        <v>23537.66</v>
      </c>
      <c r="BM99" s="2">
        <v>17021.04</v>
      </c>
      <c r="BN99" s="2">
        <v>13977.69</v>
      </c>
      <c r="BO99" s="2">
        <v>10969</v>
      </c>
      <c r="BR99" s="1" t="s">
        <v>27</v>
      </c>
      <c r="BS99" s="2">
        <v>4.68</v>
      </c>
      <c r="BT99" s="2">
        <v>4.68</v>
      </c>
      <c r="BU99" s="2">
        <v>2.94</v>
      </c>
      <c r="BV99" s="2">
        <v>4.68</v>
      </c>
      <c r="BW99" s="2">
        <v>0.9</v>
      </c>
      <c r="BX99" s="2">
        <v>1.8</v>
      </c>
      <c r="BY99" s="2">
        <v>2.66</v>
      </c>
      <c r="BZ99" s="2">
        <v>2.88</v>
      </c>
      <c r="CA99" s="2">
        <v>2.87</v>
      </c>
      <c r="CB99" s="2">
        <v>7.2</v>
      </c>
      <c r="CC99" s="2">
        <v>5.85</v>
      </c>
      <c r="CD99" s="2">
        <v>6.48</v>
      </c>
      <c r="CE99" s="2">
        <v>4.6900000000000004</v>
      </c>
      <c r="CF99" s="2">
        <v>5.22</v>
      </c>
      <c r="CG99" s="2">
        <v>6.84</v>
      </c>
      <c r="CH99" s="2">
        <v>8.64</v>
      </c>
      <c r="CI99" s="2">
        <v>4.78</v>
      </c>
      <c r="CJ99" s="2">
        <v>4.91</v>
      </c>
      <c r="CK99" s="2">
        <v>5.73</v>
      </c>
      <c r="CL99" s="2">
        <v>5.5</v>
      </c>
    </row>
    <row r="100" spans="2:90" x14ac:dyDescent="0.3">
      <c r="B100" s="1" t="s">
        <v>28</v>
      </c>
      <c r="C100" s="2">
        <v>155.85</v>
      </c>
      <c r="D100" s="2">
        <v>219.43</v>
      </c>
      <c r="E100" s="2">
        <v>20.92</v>
      </c>
      <c r="F100" s="2">
        <v>23.34</v>
      </c>
      <c r="G100" s="2">
        <v>9.61</v>
      </c>
      <c r="H100" s="2">
        <v>17.809999999999999</v>
      </c>
      <c r="I100" s="2">
        <v>127.21</v>
      </c>
      <c r="J100" s="2">
        <v>294.87</v>
      </c>
      <c r="K100" s="2">
        <v>213.34</v>
      </c>
      <c r="L100" s="2">
        <v>345.63</v>
      </c>
      <c r="M100" s="2">
        <v>574.4</v>
      </c>
      <c r="N100" s="2">
        <v>655.79</v>
      </c>
      <c r="O100" s="2">
        <v>524.62</v>
      </c>
      <c r="P100" s="2">
        <v>494.03</v>
      </c>
      <c r="Q100" s="2">
        <v>597.66999999999996</v>
      </c>
      <c r="R100" s="2">
        <v>529.46</v>
      </c>
      <c r="S100" s="2">
        <v>481.59</v>
      </c>
      <c r="T100" s="2">
        <v>378.6</v>
      </c>
      <c r="U100" s="2">
        <v>563.91999999999996</v>
      </c>
      <c r="V100" s="2">
        <v>509.79</v>
      </c>
      <c r="X100" s="1" t="s">
        <v>28</v>
      </c>
      <c r="Y100" s="2">
        <v>2675.23</v>
      </c>
      <c r="Z100" s="2">
        <v>6831.96</v>
      </c>
      <c r="AA100" s="2">
        <v>2831.41</v>
      </c>
      <c r="AB100" s="2">
        <v>159.27000000000001</v>
      </c>
      <c r="AC100" s="2">
        <v>976.37</v>
      </c>
      <c r="AD100" s="2">
        <v>3390.77</v>
      </c>
      <c r="AE100" s="2">
        <v>6025.57</v>
      </c>
      <c r="AF100" s="2">
        <v>4779.3599999999997</v>
      </c>
      <c r="AG100" s="2">
        <v>6029.84</v>
      </c>
      <c r="AH100" s="2">
        <v>4986.79</v>
      </c>
      <c r="AI100" s="2">
        <v>3480.69</v>
      </c>
      <c r="AJ100" s="2">
        <v>7025.97</v>
      </c>
      <c r="AK100" s="2">
        <v>3009.61</v>
      </c>
      <c r="AL100" s="2">
        <v>1185.78</v>
      </c>
      <c r="AM100" s="2">
        <v>4004.55</v>
      </c>
      <c r="AN100" s="2">
        <v>4817.7299999999996</v>
      </c>
      <c r="AO100" s="2">
        <v>8881.5</v>
      </c>
      <c r="AP100" s="2">
        <v>6657.41</v>
      </c>
      <c r="AQ100" s="2">
        <v>6721.35</v>
      </c>
      <c r="AR100" s="2">
        <v>5164.41</v>
      </c>
      <c r="AU100" s="1" t="s">
        <v>28</v>
      </c>
      <c r="AV100" s="2">
        <v>2675.23</v>
      </c>
      <c r="AW100" s="2">
        <v>6831.96</v>
      </c>
      <c r="AX100" s="2">
        <v>2831.41</v>
      </c>
      <c r="AY100" s="2">
        <v>159.27000000000001</v>
      </c>
      <c r="AZ100" s="2">
        <v>976.37</v>
      </c>
      <c r="BA100" s="2">
        <v>3390.77</v>
      </c>
      <c r="BB100" s="2">
        <v>6025.57</v>
      </c>
      <c r="BC100" s="2">
        <v>4779.3599999999997</v>
      </c>
      <c r="BD100" s="2">
        <v>6029.84</v>
      </c>
      <c r="BE100" s="2">
        <v>4986.79</v>
      </c>
      <c r="BF100" s="2">
        <v>3480.69</v>
      </c>
      <c r="BG100" s="2">
        <v>7025.97</v>
      </c>
      <c r="BH100" s="2">
        <v>3009.61</v>
      </c>
      <c r="BI100" s="2">
        <v>1185.78</v>
      </c>
      <c r="BJ100" s="2">
        <v>4004.55</v>
      </c>
      <c r="BK100" s="2">
        <v>4817.7299999999996</v>
      </c>
      <c r="BL100" s="2">
        <v>8881.5</v>
      </c>
      <c r="BM100" s="2">
        <v>6657.41</v>
      </c>
      <c r="BN100" s="2">
        <v>6721.35</v>
      </c>
      <c r="BO100" s="2">
        <v>5164.41</v>
      </c>
      <c r="BR100" s="1" t="s">
        <v>28</v>
      </c>
      <c r="BS100" s="2">
        <v>1.1299999999999999</v>
      </c>
      <c r="BT100" s="2">
        <v>1.48</v>
      </c>
      <c r="BU100" s="2">
        <v>0.35</v>
      </c>
      <c r="BV100" s="2">
        <v>0.37</v>
      </c>
      <c r="BW100" s="2">
        <v>0.1</v>
      </c>
      <c r="BX100" s="2">
        <v>0.17</v>
      </c>
      <c r="BY100" s="2">
        <v>1.1100000000000001</v>
      </c>
      <c r="BZ100" s="2">
        <v>2.52</v>
      </c>
      <c r="CA100" s="2">
        <v>1.8</v>
      </c>
      <c r="CB100" s="2">
        <v>3.07</v>
      </c>
      <c r="CC100" s="2">
        <v>4.75</v>
      </c>
      <c r="CD100" s="2">
        <v>5.52</v>
      </c>
      <c r="CE100" s="2">
        <v>4.28</v>
      </c>
      <c r="CF100" s="2">
        <v>3.91</v>
      </c>
      <c r="CG100" s="2">
        <v>4.93</v>
      </c>
      <c r="CH100" s="2">
        <v>4.3499999999999996</v>
      </c>
      <c r="CI100" s="2">
        <v>4.04</v>
      </c>
      <c r="CJ100" s="2">
        <v>3.25</v>
      </c>
      <c r="CK100" s="2">
        <v>4.4800000000000004</v>
      </c>
      <c r="CL100" s="2">
        <v>3.5</v>
      </c>
    </row>
    <row r="103" spans="2:90" x14ac:dyDescent="0.3">
      <c r="B103" t="s">
        <v>53</v>
      </c>
      <c r="X103" t="s">
        <v>54</v>
      </c>
      <c r="AU103" t="s">
        <v>55</v>
      </c>
      <c r="BR103" t="s">
        <v>56</v>
      </c>
    </row>
    <row r="104" spans="2:90" x14ac:dyDescent="0.3">
      <c r="B104" s="1" t="s">
        <v>16</v>
      </c>
      <c r="C104" s="1" t="s">
        <v>17</v>
      </c>
      <c r="D104" s="1" t="s">
        <v>18</v>
      </c>
      <c r="E104" s="1" t="s">
        <v>17</v>
      </c>
      <c r="F104" s="1" t="s">
        <v>18</v>
      </c>
      <c r="G104" s="1" t="s">
        <v>17</v>
      </c>
      <c r="H104" s="1" t="s">
        <v>18</v>
      </c>
      <c r="I104" s="1" t="s">
        <v>17</v>
      </c>
      <c r="J104" s="1" t="s">
        <v>18</v>
      </c>
      <c r="K104" s="1" t="s">
        <v>17</v>
      </c>
      <c r="L104" s="1" t="s">
        <v>18</v>
      </c>
      <c r="M104" s="1" t="s">
        <v>17</v>
      </c>
      <c r="N104" s="1" t="s">
        <v>18</v>
      </c>
      <c r="O104" s="1" t="s">
        <v>17</v>
      </c>
      <c r="P104" s="1" t="s">
        <v>18</v>
      </c>
      <c r="Q104" s="1" t="s">
        <v>17</v>
      </c>
      <c r="R104" s="1" t="s">
        <v>18</v>
      </c>
      <c r="S104" s="1" t="s">
        <v>17</v>
      </c>
      <c r="T104" s="1" t="s">
        <v>18</v>
      </c>
      <c r="U104" s="1" t="s">
        <v>17</v>
      </c>
      <c r="V104" s="1" t="s">
        <v>18</v>
      </c>
      <c r="X104" s="1" t="s">
        <v>16</v>
      </c>
      <c r="Y104" s="1" t="s">
        <v>17</v>
      </c>
      <c r="Z104" s="1" t="s">
        <v>18</v>
      </c>
      <c r="AA104" s="1" t="s">
        <v>17</v>
      </c>
      <c r="AB104" s="1" t="s">
        <v>18</v>
      </c>
      <c r="AC104" s="1" t="s">
        <v>17</v>
      </c>
      <c r="AD104" s="1" t="s">
        <v>18</v>
      </c>
      <c r="AE104" s="1" t="s">
        <v>17</v>
      </c>
      <c r="AF104" s="1" t="s">
        <v>18</v>
      </c>
      <c r="AG104" s="1" t="s">
        <v>17</v>
      </c>
      <c r="AH104" s="1" t="s">
        <v>18</v>
      </c>
      <c r="AI104" s="1" t="s">
        <v>17</v>
      </c>
      <c r="AJ104" s="1" t="s">
        <v>18</v>
      </c>
      <c r="AK104" s="1" t="s">
        <v>17</v>
      </c>
      <c r="AL104" s="1" t="s">
        <v>18</v>
      </c>
      <c r="AM104" s="1" t="s">
        <v>17</v>
      </c>
      <c r="AN104" s="1" t="s">
        <v>18</v>
      </c>
      <c r="AO104" s="1" t="s">
        <v>17</v>
      </c>
      <c r="AP104" s="1" t="s">
        <v>18</v>
      </c>
      <c r="AQ104" s="1" t="s">
        <v>17</v>
      </c>
      <c r="AR104" s="1" t="s">
        <v>18</v>
      </c>
      <c r="AU104" s="1" t="s">
        <v>16</v>
      </c>
      <c r="AV104" s="1" t="s">
        <v>17</v>
      </c>
      <c r="AW104" s="1" t="s">
        <v>18</v>
      </c>
      <c r="AX104" s="1" t="s">
        <v>17</v>
      </c>
      <c r="AY104" s="1" t="s">
        <v>18</v>
      </c>
      <c r="AZ104" s="1" t="s">
        <v>17</v>
      </c>
      <c r="BA104" s="1" t="s">
        <v>18</v>
      </c>
      <c r="BB104" s="1" t="s">
        <v>17</v>
      </c>
      <c r="BC104" s="1" t="s">
        <v>18</v>
      </c>
      <c r="BD104" s="1" t="s">
        <v>17</v>
      </c>
      <c r="BE104" s="1" t="s">
        <v>18</v>
      </c>
      <c r="BF104" s="1" t="s">
        <v>17</v>
      </c>
      <c r="BG104" s="1" t="s">
        <v>18</v>
      </c>
      <c r="BH104" s="1" t="s">
        <v>17</v>
      </c>
      <c r="BI104" s="1" t="s">
        <v>18</v>
      </c>
      <c r="BJ104" s="1" t="s">
        <v>17</v>
      </c>
      <c r="BK104" s="1" t="s">
        <v>18</v>
      </c>
      <c r="BL104" s="1" t="s">
        <v>17</v>
      </c>
      <c r="BM104" s="1" t="s">
        <v>18</v>
      </c>
      <c r="BN104" s="1" t="s">
        <v>17</v>
      </c>
      <c r="BO104" s="1" t="s">
        <v>18</v>
      </c>
      <c r="BR104" s="1" t="s">
        <v>16</v>
      </c>
      <c r="BS104" s="1" t="s">
        <v>17</v>
      </c>
      <c r="BT104" s="1" t="s">
        <v>18</v>
      </c>
      <c r="BU104" s="1" t="s">
        <v>17</v>
      </c>
      <c r="BV104" s="1" t="s">
        <v>18</v>
      </c>
      <c r="BW104" s="1" t="s">
        <v>17</v>
      </c>
      <c r="BX104" s="1" t="s">
        <v>18</v>
      </c>
      <c r="BY104" s="1" t="s">
        <v>17</v>
      </c>
      <c r="BZ104" s="1" t="s">
        <v>18</v>
      </c>
      <c r="CA104" s="1" t="s">
        <v>17</v>
      </c>
      <c r="CB104" s="1" t="s">
        <v>18</v>
      </c>
      <c r="CC104" s="1" t="s">
        <v>17</v>
      </c>
      <c r="CD104" s="1" t="s">
        <v>18</v>
      </c>
      <c r="CE104" s="1" t="s">
        <v>17</v>
      </c>
      <c r="CF104" s="1" t="s">
        <v>18</v>
      </c>
      <c r="CG104" s="1" t="s">
        <v>17</v>
      </c>
      <c r="CH104" s="1" t="s">
        <v>18</v>
      </c>
      <c r="CI104" s="1" t="s">
        <v>17</v>
      </c>
      <c r="CJ104" s="1" t="s">
        <v>18</v>
      </c>
      <c r="CK104" s="1" t="s">
        <v>17</v>
      </c>
      <c r="CL104" s="1" t="s">
        <v>18</v>
      </c>
    </row>
    <row r="105" spans="2:90" x14ac:dyDescent="0.3">
      <c r="B105" s="1" t="s">
        <v>19</v>
      </c>
      <c r="C105" s="1" t="s">
        <v>1</v>
      </c>
      <c r="D105" s="1" t="s">
        <v>1</v>
      </c>
      <c r="E105" s="1" t="s">
        <v>2</v>
      </c>
      <c r="F105" s="1" t="s">
        <v>2</v>
      </c>
      <c r="G105" s="1" t="s">
        <v>3</v>
      </c>
      <c r="H105" s="1" t="s">
        <v>3</v>
      </c>
      <c r="I105" s="1" t="s">
        <v>4</v>
      </c>
      <c r="J105" s="1" t="s">
        <v>4</v>
      </c>
      <c r="K105" s="1" t="s">
        <v>5</v>
      </c>
      <c r="L105" s="1" t="s">
        <v>5</v>
      </c>
      <c r="M105" s="1" t="s">
        <v>6</v>
      </c>
      <c r="N105" s="1" t="s">
        <v>6</v>
      </c>
      <c r="O105" s="1" t="s">
        <v>7</v>
      </c>
      <c r="P105" s="1" t="s">
        <v>7</v>
      </c>
      <c r="Q105" s="1" t="s">
        <v>8</v>
      </c>
      <c r="R105" s="1" t="s">
        <v>8</v>
      </c>
      <c r="S105" s="1" t="s">
        <v>9</v>
      </c>
      <c r="T105" s="1" t="s">
        <v>9</v>
      </c>
      <c r="U105" s="1" t="s">
        <v>10</v>
      </c>
      <c r="V105" s="1" t="s">
        <v>10</v>
      </c>
      <c r="X105" s="1" t="s">
        <v>19</v>
      </c>
      <c r="Y105" s="1" t="s">
        <v>1</v>
      </c>
      <c r="Z105" s="1" t="s">
        <v>1</v>
      </c>
      <c r="AA105" s="1" t="s">
        <v>2</v>
      </c>
      <c r="AB105" s="1" t="s">
        <v>2</v>
      </c>
      <c r="AC105" s="1" t="s">
        <v>3</v>
      </c>
      <c r="AD105" s="1" t="s">
        <v>3</v>
      </c>
      <c r="AE105" s="1" t="s">
        <v>4</v>
      </c>
      <c r="AF105" s="1" t="s">
        <v>4</v>
      </c>
      <c r="AG105" s="1" t="s">
        <v>5</v>
      </c>
      <c r="AH105" s="1" t="s">
        <v>5</v>
      </c>
      <c r="AI105" s="1" t="s">
        <v>6</v>
      </c>
      <c r="AJ105" s="1" t="s">
        <v>6</v>
      </c>
      <c r="AK105" s="1" t="s">
        <v>7</v>
      </c>
      <c r="AL105" s="1" t="s">
        <v>7</v>
      </c>
      <c r="AM105" s="1" t="s">
        <v>8</v>
      </c>
      <c r="AN105" s="1" t="s">
        <v>8</v>
      </c>
      <c r="AO105" s="1" t="s">
        <v>9</v>
      </c>
      <c r="AP105" s="1" t="s">
        <v>9</v>
      </c>
      <c r="AQ105" s="1" t="s">
        <v>10</v>
      </c>
      <c r="AR105" s="1" t="s">
        <v>10</v>
      </c>
      <c r="AU105" s="1" t="s">
        <v>19</v>
      </c>
      <c r="AV105" s="1" t="s">
        <v>1</v>
      </c>
      <c r="AW105" s="1" t="s">
        <v>1</v>
      </c>
      <c r="AX105" s="1" t="s">
        <v>2</v>
      </c>
      <c r="AY105" s="1" t="s">
        <v>2</v>
      </c>
      <c r="AZ105" s="1" t="s">
        <v>3</v>
      </c>
      <c r="BA105" s="1" t="s">
        <v>3</v>
      </c>
      <c r="BB105" s="1" t="s">
        <v>4</v>
      </c>
      <c r="BC105" s="1" t="s">
        <v>4</v>
      </c>
      <c r="BD105" s="1" t="s">
        <v>5</v>
      </c>
      <c r="BE105" s="1" t="s">
        <v>5</v>
      </c>
      <c r="BF105" s="1" t="s">
        <v>6</v>
      </c>
      <c r="BG105" s="1" t="s">
        <v>6</v>
      </c>
      <c r="BH105" s="1" t="s">
        <v>7</v>
      </c>
      <c r="BI105" s="1" t="s">
        <v>7</v>
      </c>
      <c r="BJ105" s="1" t="s">
        <v>8</v>
      </c>
      <c r="BK105" s="1" t="s">
        <v>8</v>
      </c>
      <c r="BL105" s="1" t="s">
        <v>9</v>
      </c>
      <c r="BM105" s="1" t="s">
        <v>9</v>
      </c>
      <c r="BN105" s="1" t="s">
        <v>10</v>
      </c>
      <c r="BO105" s="1" t="s">
        <v>10</v>
      </c>
      <c r="BR105" s="1" t="s">
        <v>19</v>
      </c>
      <c r="BS105" s="1" t="s">
        <v>1</v>
      </c>
      <c r="BT105" s="1" t="s">
        <v>1</v>
      </c>
      <c r="BU105" s="1" t="s">
        <v>2</v>
      </c>
      <c r="BV105" s="1" t="s">
        <v>2</v>
      </c>
      <c r="BW105" s="1" t="s">
        <v>3</v>
      </c>
      <c r="BX105" s="1" t="s">
        <v>3</v>
      </c>
      <c r="BY105" s="1" t="s">
        <v>4</v>
      </c>
      <c r="BZ105" s="1" t="s">
        <v>4</v>
      </c>
      <c r="CA105" s="1" t="s">
        <v>5</v>
      </c>
      <c r="CB105" s="1" t="s">
        <v>5</v>
      </c>
      <c r="CC105" s="1" t="s">
        <v>6</v>
      </c>
      <c r="CD105" s="1" t="s">
        <v>6</v>
      </c>
      <c r="CE105" s="1" t="s">
        <v>7</v>
      </c>
      <c r="CF105" s="1" t="s">
        <v>7</v>
      </c>
      <c r="CG105" s="1" t="s">
        <v>8</v>
      </c>
      <c r="CH105" s="1" t="s">
        <v>8</v>
      </c>
      <c r="CI105" s="1" t="s">
        <v>9</v>
      </c>
      <c r="CJ105" s="1" t="s">
        <v>9</v>
      </c>
      <c r="CK105" s="1" t="s">
        <v>10</v>
      </c>
      <c r="CL105" s="1" t="s">
        <v>10</v>
      </c>
    </row>
    <row r="106" spans="2:90" x14ac:dyDescent="0.3">
      <c r="B106" s="1" t="s">
        <v>20</v>
      </c>
      <c r="X106" s="1" t="s">
        <v>20</v>
      </c>
      <c r="AU106" s="1" t="s">
        <v>20</v>
      </c>
      <c r="BR106" s="1" t="s">
        <v>20</v>
      </c>
    </row>
    <row r="107" spans="2:90" x14ac:dyDescent="0.3">
      <c r="B107" s="1" t="s">
        <v>21</v>
      </c>
      <c r="C107" s="2">
        <v>3.5665552713932038E-3</v>
      </c>
      <c r="D107" s="2">
        <v>5.2113948714178184E-3</v>
      </c>
      <c r="E107" s="2">
        <v>3.3488453948507259E-3</v>
      </c>
      <c r="F107" s="2">
        <v>5.2140095068227308E-3</v>
      </c>
      <c r="G107" s="2">
        <v>4.6404824231500458E-3</v>
      </c>
      <c r="H107" s="2">
        <v>4.034868040039585E-3</v>
      </c>
      <c r="I107" s="2">
        <v>5.9702347583057468E-3</v>
      </c>
      <c r="J107" s="2">
        <v>2.4980435368578281E-2</v>
      </c>
      <c r="K107" s="2">
        <v>2.9710683866386429E-2</v>
      </c>
      <c r="L107" s="2">
        <v>2.0302870564973478E-2</v>
      </c>
      <c r="M107" s="2">
        <v>2.9698072091900271E-2</v>
      </c>
      <c r="N107" s="2">
        <v>2.6385434806900171E-2</v>
      </c>
      <c r="O107" s="2">
        <v>3.0648645132340391E-2</v>
      </c>
      <c r="P107" s="2">
        <v>2.8450902283597271E-2</v>
      </c>
      <c r="Q107" s="2">
        <v>3.1329071221695627E-2</v>
      </c>
      <c r="R107" s="2">
        <v>3.5366018756725702E-2</v>
      </c>
      <c r="S107" s="2">
        <v>4.2011340797575882E-2</v>
      </c>
      <c r="T107" s="2">
        <v>3.8312960156987853E-2</v>
      </c>
      <c r="U107" s="2">
        <v>5.576438617160958E-2</v>
      </c>
      <c r="V107" s="2">
        <v>5.422673350138385E-2</v>
      </c>
      <c r="X107" s="1" t="s">
        <v>21</v>
      </c>
      <c r="Y107" s="2">
        <v>668.03</v>
      </c>
      <c r="Z107" s="2">
        <v>648.91999999999996</v>
      </c>
      <c r="AA107" s="2">
        <v>693.43</v>
      </c>
      <c r="AB107" s="2">
        <v>628.9</v>
      </c>
      <c r="AC107" s="2">
        <v>513.17999999999995</v>
      </c>
      <c r="AD107" s="2">
        <v>652.28</v>
      </c>
      <c r="AE107" s="2">
        <v>547.66</v>
      </c>
      <c r="AF107" s="2">
        <v>1042.02</v>
      </c>
      <c r="AG107" s="2">
        <v>1248.0999999999999</v>
      </c>
      <c r="AH107" s="2">
        <v>1029.1400000000001</v>
      </c>
      <c r="AI107" s="2">
        <v>1283.5899999999999</v>
      </c>
      <c r="AJ107" s="2">
        <v>1024.5899999999999</v>
      </c>
      <c r="AK107" s="2">
        <v>1229.55</v>
      </c>
      <c r="AL107" s="2">
        <v>970.9</v>
      </c>
      <c r="AM107" s="2">
        <v>1191.1199999999999</v>
      </c>
      <c r="AN107" s="2">
        <v>1044.26</v>
      </c>
      <c r="AO107" s="2">
        <v>1042.3699999999999</v>
      </c>
      <c r="AP107" s="2">
        <v>644.35</v>
      </c>
      <c r="AQ107" s="2">
        <v>977.83</v>
      </c>
      <c r="AR107" s="2">
        <v>633.01</v>
      </c>
      <c r="AU107" s="1" t="s">
        <v>21</v>
      </c>
      <c r="AV107" s="2">
        <v>10803.89</v>
      </c>
      <c r="AW107" s="2">
        <v>10494.48</v>
      </c>
      <c r="AX107" s="2">
        <v>10449.17</v>
      </c>
      <c r="AY107" s="2">
        <v>9475.6</v>
      </c>
      <c r="AZ107" s="2">
        <v>7743.32</v>
      </c>
      <c r="BA107" s="2">
        <v>9845.41</v>
      </c>
      <c r="BB107" s="2">
        <v>10405.549999999999</v>
      </c>
      <c r="BC107" s="2">
        <v>9378.18</v>
      </c>
      <c r="BD107" s="2">
        <v>11232.9</v>
      </c>
      <c r="BE107" s="2">
        <v>9262.26</v>
      </c>
      <c r="BF107" s="2">
        <v>11552.31</v>
      </c>
      <c r="BG107" s="2">
        <v>9221.31</v>
      </c>
      <c r="BH107" s="2">
        <v>11065.95</v>
      </c>
      <c r="BI107" s="2">
        <v>8738.1</v>
      </c>
      <c r="BJ107" s="2">
        <v>10720.08</v>
      </c>
      <c r="BK107" s="2">
        <v>9398.34</v>
      </c>
      <c r="BL107" s="2">
        <v>9381.33</v>
      </c>
      <c r="BM107" s="2">
        <v>5799.15</v>
      </c>
      <c r="BN107" s="2">
        <v>8800.4699999999993</v>
      </c>
      <c r="BO107" s="2">
        <v>5697.09</v>
      </c>
      <c r="BR107" s="1" t="s">
        <v>21</v>
      </c>
      <c r="BS107" s="2">
        <v>0.78</v>
      </c>
      <c r="BT107" s="2">
        <v>0.78</v>
      </c>
      <c r="BU107" s="2">
        <v>0.78</v>
      </c>
      <c r="BV107" s="2">
        <v>0.78</v>
      </c>
      <c r="BW107" s="2">
        <v>0.3</v>
      </c>
      <c r="BX107" s="2">
        <v>0.3</v>
      </c>
      <c r="BY107" s="2">
        <v>0.96</v>
      </c>
      <c r="BZ107" s="2">
        <v>2.59</v>
      </c>
      <c r="CA107" s="2">
        <v>3.24</v>
      </c>
      <c r="CB107" s="2">
        <v>3.24</v>
      </c>
      <c r="CC107" s="2">
        <v>5.83</v>
      </c>
      <c r="CD107" s="2">
        <v>5.83</v>
      </c>
      <c r="CE107" s="2">
        <v>4.7</v>
      </c>
      <c r="CF107" s="2">
        <v>4.7</v>
      </c>
      <c r="CG107" s="2">
        <v>6.16</v>
      </c>
      <c r="CH107" s="2">
        <v>6.16</v>
      </c>
      <c r="CI107" s="2">
        <v>5.51</v>
      </c>
      <c r="CJ107" s="2">
        <v>5.51</v>
      </c>
      <c r="CK107" s="2">
        <v>7.29</v>
      </c>
      <c r="CL107" s="2">
        <v>7.29</v>
      </c>
    </row>
    <row r="108" spans="2:90" x14ac:dyDescent="0.3">
      <c r="B108" s="1" t="s">
        <v>22</v>
      </c>
      <c r="C108" s="2">
        <v>1.8199012808918939E-2</v>
      </c>
      <c r="D108" s="2">
        <v>1.014881130896292E-2</v>
      </c>
      <c r="E108" s="2">
        <v>1.5845383310445112E-2</v>
      </c>
      <c r="F108" s="2">
        <v>1.1306335344354931E-2</v>
      </c>
      <c r="G108" s="2">
        <v>1.912358002114517E-2</v>
      </c>
      <c r="H108" s="2">
        <v>1.1878182880227741E-2</v>
      </c>
      <c r="I108" s="2">
        <v>3.7668410219587743E-2</v>
      </c>
      <c r="J108" s="2">
        <v>2.7909201405647371E-2</v>
      </c>
      <c r="K108" s="2">
        <v>3.2333270752259981E-2</v>
      </c>
      <c r="L108" s="2">
        <v>1.621013523351798E-2</v>
      </c>
      <c r="M108" s="2">
        <v>3.9493019981372918E-2</v>
      </c>
      <c r="N108" s="2">
        <v>2.2380030908234969E-2</v>
      </c>
      <c r="O108" s="2">
        <v>3.8156857526864978E-2</v>
      </c>
      <c r="P108" s="2">
        <v>2.9390877520476769E-2</v>
      </c>
      <c r="Q108" s="2">
        <v>3.4819230516061082E-2</v>
      </c>
      <c r="R108" s="2">
        <v>2.6953057621943392E-2</v>
      </c>
      <c r="S108" s="2">
        <v>4.8447872589418239E-2</v>
      </c>
      <c r="T108" s="2">
        <v>2.9791369105079631E-2</v>
      </c>
      <c r="U108" s="2">
        <v>5.460313382781342E-2</v>
      </c>
      <c r="V108" s="2">
        <v>2.48987326143057E-2</v>
      </c>
      <c r="X108" s="1" t="s">
        <v>22</v>
      </c>
      <c r="Y108" s="2">
        <v>1013.54</v>
      </c>
      <c r="Z108" s="2">
        <v>588.64</v>
      </c>
      <c r="AA108" s="2">
        <v>1118.83</v>
      </c>
      <c r="AB108" s="2">
        <v>680.67</v>
      </c>
      <c r="AC108" s="2">
        <v>699.9</v>
      </c>
      <c r="AD108" s="2">
        <v>823.51</v>
      </c>
      <c r="AE108" s="2">
        <v>1195.6099999999999</v>
      </c>
      <c r="AF108" s="2">
        <v>726.71</v>
      </c>
      <c r="AG108" s="2">
        <v>1108.4100000000001</v>
      </c>
      <c r="AH108" s="2">
        <v>674.12</v>
      </c>
      <c r="AI108" s="2">
        <v>1063.56</v>
      </c>
      <c r="AJ108" s="2">
        <v>677.69</v>
      </c>
      <c r="AK108" s="2">
        <v>904.33</v>
      </c>
      <c r="AL108" s="2">
        <v>761.02</v>
      </c>
      <c r="AM108" s="2">
        <v>853.24</v>
      </c>
      <c r="AN108" s="2">
        <v>750.1</v>
      </c>
      <c r="AO108" s="2">
        <v>841.65</v>
      </c>
      <c r="AP108" s="2">
        <v>585.1</v>
      </c>
      <c r="AQ108" s="2">
        <v>952.47</v>
      </c>
      <c r="AR108" s="2">
        <v>552.02</v>
      </c>
      <c r="AU108" s="1" t="s">
        <v>22</v>
      </c>
      <c r="AV108" s="2">
        <v>5178.08</v>
      </c>
      <c r="AW108" s="2">
        <v>2977.56</v>
      </c>
      <c r="AX108" s="2">
        <v>5318.65</v>
      </c>
      <c r="AY108" s="2">
        <v>3201.22</v>
      </c>
      <c r="AZ108" s="2">
        <v>3280.7</v>
      </c>
      <c r="BA108" s="2">
        <v>3866.16</v>
      </c>
      <c r="BB108" s="2">
        <v>5735.68</v>
      </c>
      <c r="BC108" s="2">
        <v>3428.69</v>
      </c>
      <c r="BD108" s="2">
        <v>5737.01</v>
      </c>
      <c r="BE108" s="2">
        <v>3426.18</v>
      </c>
      <c r="BF108" s="2">
        <v>5615.03</v>
      </c>
      <c r="BG108" s="2">
        <v>3466.91</v>
      </c>
      <c r="BH108" s="2">
        <v>4673.57</v>
      </c>
      <c r="BI108" s="2">
        <v>3895.08</v>
      </c>
      <c r="BJ108" s="2">
        <v>4418.18</v>
      </c>
      <c r="BK108" s="2">
        <v>3850.56</v>
      </c>
      <c r="BL108" s="2">
        <v>4335.43</v>
      </c>
      <c r="BM108" s="2">
        <v>2974.75</v>
      </c>
      <c r="BN108" s="2">
        <v>5002.32</v>
      </c>
      <c r="BO108" s="2">
        <v>2815.92</v>
      </c>
      <c r="BR108" s="1" t="s">
        <v>22</v>
      </c>
      <c r="BS108" s="2">
        <v>3.48</v>
      </c>
      <c r="BT108" s="2">
        <v>2.15</v>
      </c>
      <c r="BU108" s="2">
        <v>2.7</v>
      </c>
      <c r="BV108" s="2">
        <v>1.79</v>
      </c>
      <c r="BW108" s="2">
        <v>1.22</v>
      </c>
      <c r="BX108" s="2">
        <v>0.86</v>
      </c>
      <c r="BY108" s="2">
        <v>3.92</v>
      </c>
      <c r="BZ108" s="2">
        <v>5.41</v>
      </c>
      <c r="CA108" s="2">
        <v>5.47</v>
      </c>
      <c r="CB108" s="2">
        <v>5.16</v>
      </c>
      <c r="CC108" s="2">
        <v>12.71</v>
      </c>
      <c r="CD108" s="2">
        <v>9.66</v>
      </c>
      <c r="CE108" s="2">
        <v>10.66</v>
      </c>
      <c r="CF108" s="2">
        <v>8.65</v>
      </c>
      <c r="CG108" s="2">
        <v>12.74</v>
      </c>
      <c r="CH108" s="2">
        <v>8.93</v>
      </c>
      <c r="CI108" s="2">
        <v>10.67</v>
      </c>
      <c r="CJ108" s="2">
        <v>7.27</v>
      </c>
      <c r="CK108" s="2">
        <v>10.57</v>
      </c>
      <c r="CL108" s="2">
        <v>6.31</v>
      </c>
    </row>
    <row r="109" spans="2:90" x14ac:dyDescent="0.3">
      <c r="B109" s="1" t="s">
        <v>23</v>
      </c>
      <c r="C109" s="2">
        <v>0.34499368344255421</v>
      </c>
      <c r="D109" s="2">
        <v>3.2128228098655447E-2</v>
      </c>
      <c r="E109" s="2">
        <v>0.4028116452979123</v>
      </c>
      <c r="F109" s="2">
        <v>2.8883502395977569E-2</v>
      </c>
      <c r="G109" s="2">
        <v>0.30303285332977992</v>
      </c>
      <c r="H109" s="2">
        <v>0.2040171697926646</v>
      </c>
      <c r="I109" s="2">
        <v>0.40848199334898488</v>
      </c>
      <c r="J109" s="2">
        <v>0.15150623446227571</v>
      </c>
      <c r="K109" s="2">
        <v>0.35614065784486387</v>
      </c>
      <c r="L109" s="2">
        <v>0.1023455881526882</v>
      </c>
      <c r="M109" s="2">
        <v>0.35955282846901448</v>
      </c>
      <c r="N109" s="2">
        <v>0.13572692642976811</v>
      </c>
      <c r="O109" s="2">
        <v>0.36037642571223188</v>
      </c>
      <c r="P109" s="2">
        <v>0.1546410339992263</v>
      </c>
      <c r="Q109" s="2">
        <v>0.36757693193786212</v>
      </c>
      <c r="R109" s="2">
        <v>0.16826370819463971</v>
      </c>
      <c r="S109" s="2">
        <v>0.26757374822786828</v>
      </c>
      <c r="T109" s="2">
        <v>0.18296284915156411</v>
      </c>
      <c r="U109" s="2">
        <v>0.1907639936316988</v>
      </c>
      <c r="V109" s="2">
        <v>0.18423946484153511</v>
      </c>
      <c r="X109" s="1" t="s">
        <v>23</v>
      </c>
      <c r="Y109" s="2">
        <v>4574.28</v>
      </c>
      <c r="Z109" s="2">
        <v>1435.24</v>
      </c>
      <c r="AA109" s="2">
        <v>4613.71</v>
      </c>
      <c r="AB109" s="2">
        <v>1518.38</v>
      </c>
      <c r="AC109" s="2">
        <v>4571.05</v>
      </c>
      <c r="AD109" s="2">
        <v>4208.3100000000004</v>
      </c>
      <c r="AE109" s="2">
        <v>5379.53</v>
      </c>
      <c r="AF109" s="2">
        <v>2403.8000000000002</v>
      </c>
      <c r="AG109" s="2">
        <v>5583.72</v>
      </c>
      <c r="AH109" s="2">
        <v>2095.75</v>
      </c>
      <c r="AI109" s="2">
        <v>5755.11</v>
      </c>
      <c r="AJ109" s="2">
        <v>2046.94</v>
      </c>
      <c r="AK109" s="2">
        <v>5257.4</v>
      </c>
      <c r="AL109" s="2">
        <v>2104.11</v>
      </c>
      <c r="AM109" s="2">
        <v>5093.21</v>
      </c>
      <c r="AN109" s="2">
        <v>2115.9499999999998</v>
      </c>
      <c r="AO109" s="2">
        <v>2485.11</v>
      </c>
      <c r="AP109" s="2">
        <v>1715.4</v>
      </c>
      <c r="AQ109" s="2">
        <v>1814.95</v>
      </c>
      <c r="AR109" s="2">
        <v>1587.85</v>
      </c>
      <c r="AU109" s="1" t="s">
        <v>23</v>
      </c>
      <c r="AV109" s="2">
        <v>16262.18</v>
      </c>
      <c r="AW109" s="2">
        <v>7260.96</v>
      </c>
      <c r="AX109" s="2">
        <v>18370.759999999998</v>
      </c>
      <c r="AY109" s="2">
        <v>7161.3</v>
      </c>
      <c r="AZ109" s="2">
        <v>10453.82</v>
      </c>
      <c r="BA109" s="2">
        <v>13132.41</v>
      </c>
      <c r="BB109" s="2">
        <v>15830.4</v>
      </c>
      <c r="BC109" s="2">
        <v>11439.19</v>
      </c>
      <c r="BD109" s="2">
        <v>16065.02</v>
      </c>
      <c r="BE109" s="2">
        <v>10709.18</v>
      </c>
      <c r="BF109" s="2">
        <v>16288.01</v>
      </c>
      <c r="BG109" s="2">
        <v>10556.29</v>
      </c>
      <c r="BH109" s="2">
        <v>14049.13</v>
      </c>
      <c r="BI109" s="2">
        <v>10803.6</v>
      </c>
      <c r="BJ109" s="2">
        <v>13333.15</v>
      </c>
      <c r="BK109" s="2">
        <v>10922.74</v>
      </c>
      <c r="BL109" s="2">
        <v>12418.47</v>
      </c>
      <c r="BM109" s="2">
        <v>8752.7900000000009</v>
      </c>
      <c r="BN109" s="2">
        <v>9310.11</v>
      </c>
      <c r="BO109" s="2">
        <v>8101.27</v>
      </c>
      <c r="BR109" s="1" t="s">
        <v>23</v>
      </c>
      <c r="BS109" s="2">
        <v>14.04</v>
      </c>
      <c r="BT109" s="2">
        <v>2.72</v>
      </c>
      <c r="BU109" s="2">
        <v>15.93</v>
      </c>
      <c r="BV109" s="2">
        <v>2.02</v>
      </c>
      <c r="BW109" s="2">
        <v>2.7</v>
      </c>
      <c r="BX109" s="2">
        <v>2.7</v>
      </c>
      <c r="BY109" s="2">
        <v>8.64</v>
      </c>
      <c r="BZ109" s="2">
        <v>8.58</v>
      </c>
      <c r="CA109" s="2">
        <v>10.8</v>
      </c>
      <c r="CB109" s="2">
        <v>9.89</v>
      </c>
      <c r="CC109" s="2">
        <v>19.440000000000001</v>
      </c>
      <c r="CD109" s="2">
        <v>18.149999999999999</v>
      </c>
      <c r="CE109" s="2">
        <v>15.66</v>
      </c>
      <c r="CF109" s="2">
        <v>15.01</v>
      </c>
      <c r="CG109" s="2">
        <v>20.52</v>
      </c>
      <c r="CH109" s="2">
        <v>18.13</v>
      </c>
      <c r="CI109" s="2">
        <v>18.36</v>
      </c>
      <c r="CJ109" s="2">
        <v>13.75</v>
      </c>
      <c r="CK109" s="2">
        <v>17.53</v>
      </c>
      <c r="CL109" s="2">
        <v>15.49</v>
      </c>
    </row>
    <row r="110" spans="2:90" x14ac:dyDescent="0.3">
      <c r="B110" s="1" t="s">
        <v>24</v>
      </c>
      <c r="C110" s="2">
        <v>5.0308026073821357E-2</v>
      </c>
      <c r="D110" s="2">
        <v>1.379353712736708E-2</v>
      </c>
      <c r="E110" s="2">
        <v>5.5147831004119872E-2</v>
      </c>
      <c r="F110" s="2">
        <v>1.01579716722507E-2</v>
      </c>
      <c r="G110" s="2">
        <v>7.4075892343145558E-2</v>
      </c>
      <c r="H110" s="2">
        <v>7.7159788584879721E-2</v>
      </c>
      <c r="I110" s="2">
        <v>0.1011614616726694</v>
      </c>
      <c r="J110" s="2">
        <v>4.1205635549077253E-2</v>
      </c>
      <c r="K110" s="2">
        <v>7.8254297411087706E-2</v>
      </c>
      <c r="L110" s="2">
        <v>2.5900574694540011E-2</v>
      </c>
      <c r="M110" s="2">
        <v>7.7233891704717866E-2</v>
      </c>
      <c r="N110" s="2">
        <v>3.1311873449697068E-2</v>
      </c>
      <c r="O110" s="2">
        <v>8.1337401736951948E-2</v>
      </c>
      <c r="P110" s="2">
        <v>3.5051570720234522E-2</v>
      </c>
      <c r="Q110" s="2">
        <v>6.5208662453923122E-2</v>
      </c>
      <c r="R110" s="2">
        <v>3.6508393795820902E-2</v>
      </c>
      <c r="S110" s="2">
        <v>4.4869015493021462E-2</v>
      </c>
      <c r="T110" s="2">
        <v>4.3966167015906672E-2</v>
      </c>
      <c r="U110" s="2">
        <v>4.6687559591858371E-2</v>
      </c>
      <c r="V110" s="2">
        <v>4.9740492226331458E-2</v>
      </c>
      <c r="X110" s="1" t="s">
        <v>24</v>
      </c>
      <c r="Y110" s="2">
        <v>1270.45</v>
      </c>
      <c r="Z110" s="2">
        <v>505.77</v>
      </c>
      <c r="AA110" s="2">
        <v>1416.77</v>
      </c>
      <c r="AB110" s="2">
        <v>597.55999999999995</v>
      </c>
      <c r="AC110" s="2">
        <v>1109.57</v>
      </c>
      <c r="AD110" s="2">
        <v>1070.32</v>
      </c>
      <c r="AE110" s="2">
        <v>1262.42</v>
      </c>
      <c r="AF110" s="2">
        <v>824.73</v>
      </c>
      <c r="AG110" s="2">
        <v>1181.55</v>
      </c>
      <c r="AH110" s="2">
        <v>712.3</v>
      </c>
      <c r="AI110" s="2">
        <v>1176.51</v>
      </c>
      <c r="AJ110" s="2">
        <v>671.64</v>
      </c>
      <c r="AK110" s="2">
        <v>1148.68</v>
      </c>
      <c r="AL110" s="2">
        <v>687.73</v>
      </c>
      <c r="AM110" s="2">
        <v>869.78</v>
      </c>
      <c r="AN110" s="2">
        <v>649.35</v>
      </c>
      <c r="AO110" s="2">
        <v>666.01</v>
      </c>
      <c r="AP110" s="2">
        <v>584.46</v>
      </c>
      <c r="AQ110" s="2">
        <v>587.51</v>
      </c>
      <c r="AR110" s="2">
        <v>552.42999999999995</v>
      </c>
      <c r="AU110" s="1" t="s">
        <v>24</v>
      </c>
      <c r="AV110" s="2">
        <v>4320.3500000000004</v>
      </c>
      <c r="AW110" s="2">
        <v>2552.4699999999998</v>
      </c>
      <c r="AX110" s="2">
        <v>5072.9399999999996</v>
      </c>
      <c r="AY110" s="2">
        <v>2806.95</v>
      </c>
      <c r="AZ110" s="2">
        <v>3485.29</v>
      </c>
      <c r="BA110" s="2">
        <v>5067</v>
      </c>
      <c r="BB110" s="2">
        <v>4678.79</v>
      </c>
      <c r="BC110" s="2">
        <v>3903.65</v>
      </c>
      <c r="BD110" s="2">
        <v>4685.72</v>
      </c>
      <c r="BE110" s="2">
        <v>3624.62</v>
      </c>
      <c r="BF110" s="2">
        <v>4672.96</v>
      </c>
      <c r="BG110" s="2">
        <v>3431.84</v>
      </c>
      <c r="BH110" s="2">
        <v>4509.34</v>
      </c>
      <c r="BI110" s="2">
        <v>3504.45</v>
      </c>
      <c r="BJ110" s="2">
        <v>4276.8999999999996</v>
      </c>
      <c r="BK110" s="2">
        <v>3315.42</v>
      </c>
      <c r="BL110" s="2">
        <v>3399.72</v>
      </c>
      <c r="BM110" s="2">
        <v>2965.67</v>
      </c>
      <c r="BN110" s="2">
        <v>2991.54</v>
      </c>
      <c r="BO110" s="2">
        <v>2805.87</v>
      </c>
      <c r="BR110" s="1" t="s">
        <v>24</v>
      </c>
      <c r="BS110" s="2">
        <v>7.02</v>
      </c>
      <c r="BT110" s="2">
        <v>3.28</v>
      </c>
      <c r="BU110" s="2">
        <v>7.02</v>
      </c>
      <c r="BV110" s="2">
        <v>1.76</v>
      </c>
      <c r="BW110" s="2">
        <v>2.7</v>
      </c>
      <c r="BX110" s="2">
        <v>4.2</v>
      </c>
      <c r="BY110" s="2">
        <v>8.64</v>
      </c>
      <c r="BZ110" s="2">
        <v>6.97</v>
      </c>
      <c r="CA110" s="2">
        <v>10.8</v>
      </c>
      <c r="CB110" s="2">
        <v>7.44</v>
      </c>
      <c r="CC110" s="2">
        <v>19.440000000000001</v>
      </c>
      <c r="CD110" s="2">
        <v>12.85</v>
      </c>
      <c r="CE110" s="2">
        <v>15.66</v>
      </c>
      <c r="CF110" s="2">
        <v>10.51</v>
      </c>
      <c r="CG110" s="2">
        <v>20.52</v>
      </c>
      <c r="CH110" s="2">
        <v>12.32</v>
      </c>
      <c r="CI110" s="2">
        <v>10.84</v>
      </c>
      <c r="CJ110" s="2">
        <v>9.98</v>
      </c>
      <c r="CK110" s="2">
        <v>12.76</v>
      </c>
      <c r="CL110" s="2">
        <v>11.86</v>
      </c>
    </row>
    <row r="111" spans="2:90" x14ac:dyDescent="0.3">
      <c r="B111" s="1" t="s">
        <v>25</v>
      </c>
      <c r="C111" s="2">
        <v>0.17162111620014461</v>
      </c>
      <c r="D111" s="2">
        <v>0.26907410381383401</v>
      </c>
      <c r="E111" s="2">
        <v>0.2412270781161644</v>
      </c>
      <c r="F111" s="2">
        <v>0.15469521026112451</v>
      </c>
      <c r="G111" s="2">
        <v>0.29029022886228112</v>
      </c>
      <c r="H111" s="2">
        <v>0.22672867423509091</v>
      </c>
      <c r="I111" s="2">
        <v>0.15201517229170139</v>
      </c>
      <c r="J111" s="2">
        <v>0.2978196166033662</v>
      </c>
      <c r="K111" s="2">
        <v>0.27215160683646428</v>
      </c>
      <c r="L111" s="2">
        <v>0.24328529930529569</v>
      </c>
      <c r="M111" s="2">
        <v>0.21493083514654929</v>
      </c>
      <c r="N111" s="2">
        <v>0.19400722321659439</v>
      </c>
      <c r="O111" s="2">
        <v>0.18748870913831411</v>
      </c>
      <c r="P111" s="2">
        <v>0.19005595741837189</v>
      </c>
      <c r="Q111" s="2">
        <v>0.1669480647709321</v>
      </c>
      <c r="R111" s="2">
        <v>0.1849928864063691</v>
      </c>
      <c r="S111" s="2">
        <v>0.21632315622560919</v>
      </c>
      <c r="T111" s="2">
        <v>0.20478874938381789</v>
      </c>
      <c r="U111" s="2">
        <v>0.23430110834961521</v>
      </c>
      <c r="V111" s="2">
        <v>0.22608179826523159</v>
      </c>
      <c r="X111" s="1" t="s">
        <v>25</v>
      </c>
      <c r="Y111" s="2">
        <v>4515.04</v>
      </c>
      <c r="Z111" s="2">
        <v>4867.82</v>
      </c>
      <c r="AA111" s="2">
        <v>6267.22</v>
      </c>
      <c r="AB111" s="2">
        <v>5596.43</v>
      </c>
      <c r="AC111" s="2">
        <v>4560.53</v>
      </c>
      <c r="AD111" s="2">
        <v>5071.21</v>
      </c>
      <c r="AE111" s="2">
        <v>4432.7299999999996</v>
      </c>
      <c r="AF111" s="2">
        <v>4987.47</v>
      </c>
      <c r="AG111" s="2">
        <v>4572.32</v>
      </c>
      <c r="AH111" s="2">
        <v>4986.5200000000004</v>
      </c>
      <c r="AI111" s="2">
        <v>4286.12</v>
      </c>
      <c r="AJ111" s="2">
        <v>4400.8</v>
      </c>
      <c r="AK111" s="2">
        <v>4012.79</v>
      </c>
      <c r="AL111" s="2">
        <v>4324.1499999999996</v>
      </c>
      <c r="AM111" s="2">
        <v>3740.07</v>
      </c>
      <c r="AN111" s="2">
        <v>3688.87</v>
      </c>
      <c r="AO111" s="2">
        <v>3403.29</v>
      </c>
      <c r="AP111" s="2">
        <v>3503.55</v>
      </c>
      <c r="AQ111" s="2">
        <v>3274.78</v>
      </c>
      <c r="AR111" s="2">
        <v>3757.85</v>
      </c>
      <c r="AU111" s="1" t="s">
        <v>25</v>
      </c>
      <c r="AV111" s="2">
        <v>15575.62</v>
      </c>
      <c r="AW111" s="2">
        <v>20823.18</v>
      </c>
      <c r="AX111" s="2">
        <v>24313.95</v>
      </c>
      <c r="AY111" s="2">
        <v>26299.34</v>
      </c>
      <c r="AZ111" s="2">
        <v>15431.62</v>
      </c>
      <c r="BA111" s="2">
        <v>17864.77</v>
      </c>
      <c r="BB111" s="2">
        <v>20745.59</v>
      </c>
      <c r="BC111" s="2">
        <v>20567.03</v>
      </c>
      <c r="BD111" s="2">
        <v>23272.46</v>
      </c>
      <c r="BE111" s="2">
        <v>23641.98</v>
      </c>
      <c r="BF111" s="2">
        <v>21989.22</v>
      </c>
      <c r="BG111" s="2">
        <v>22554.98</v>
      </c>
      <c r="BH111" s="2">
        <v>20357.97</v>
      </c>
      <c r="BI111" s="2">
        <v>21993.23</v>
      </c>
      <c r="BJ111" s="2">
        <v>18981.12</v>
      </c>
      <c r="BK111" s="2">
        <v>18692.57</v>
      </c>
      <c r="BL111" s="2">
        <v>17160.71</v>
      </c>
      <c r="BM111" s="2">
        <v>17662.93</v>
      </c>
      <c r="BN111" s="2">
        <v>16530.82</v>
      </c>
      <c r="BO111" s="2">
        <v>19132.400000000001</v>
      </c>
      <c r="BR111" s="1" t="s">
        <v>25</v>
      </c>
      <c r="BS111" s="2">
        <v>7.02</v>
      </c>
      <c r="BT111" s="2">
        <v>7.02</v>
      </c>
      <c r="BU111" s="2">
        <v>7.02</v>
      </c>
      <c r="BV111" s="2">
        <v>3.03</v>
      </c>
      <c r="BW111" s="2">
        <v>2.7</v>
      </c>
      <c r="BX111" s="2">
        <v>2.7</v>
      </c>
      <c r="BY111" s="2">
        <v>3.85</v>
      </c>
      <c r="BZ111" s="2">
        <v>8.64</v>
      </c>
      <c r="CA111" s="2">
        <v>10.08</v>
      </c>
      <c r="CB111" s="2">
        <v>10.8</v>
      </c>
      <c r="CC111" s="2">
        <v>15.54</v>
      </c>
      <c r="CD111" s="2">
        <v>13.44</v>
      </c>
      <c r="CE111" s="2">
        <v>10.92</v>
      </c>
      <c r="CF111" s="2">
        <v>9.8000000000000007</v>
      </c>
      <c r="CG111" s="2">
        <v>12.86</v>
      </c>
      <c r="CH111" s="2">
        <v>11.85</v>
      </c>
      <c r="CI111" s="2">
        <v>10.52</v>
      </c>
      <c r="CJ111" s="2">
        <v>8.5299999999999994</v>
      </c>
      <c r="CK111" s="2">
        <v>12.14</v>
      </c>
      <c r="CL111" s="2">
        <v>8.56</v>
      </c>
    </row>
    <row r="112" spans="2:90" x14ac:dyDescent="0.3">
      <c r="B112" s="1" t="s">
        <v>26</v>
      </c>
      <c r="C112" s="2">
        <v>4.4646450695664773E-2</v>
      </c>
      <c r="D112" s="2">
        <v>7.6143753543241557E-2</v>
      </c>
      <c r="E112" s="2">
        <v>6.4617930135136684E-2</v>
      </c>
      <c r="F112" s="2">
        <v>0.1068414241540364</v>
      </c>
      <c r="G112" s="2">
        <v>6.7450054908479037E-2</v>
      </c>
      <c r="H112" s="2">
        <v>5.3338612341079297E-2</v>
      </c>
      <c r="I112" s="2">
        <v>3.6266790948744201E-2</v>
      </c>
      <c r="J112" s="2">
        <v>5.7132731870525727E-2</v>
      </c>
      <c r="K112" s="2">
        <v>2.79632386571095E-2</v>
      </c>
      <c r="L112" s="2">
        <v>6.4949470540434026E-2</v>
      </c>
      <c r="M112" s="2">
        <v>3.5281137108715568E-2</v>
      </c>
      <c r="N112" s="2">
        <v>8.8731725637174755E-2</v>
      </c>
      <c r="O112" s="2">
        <v>3.6217867445871008E-2</v>
      </c>
      <c r="P112" s="2">
        <v>7.7680726890658067E-2</v>
      </c>
      <c r="Q112" s="2">
        <v>3.7408339915745131E-2</v>
      </c>
      <c r="R112" s="2">
        <v>9.3558334118295672E-2</v>
      </c>
      <c r="S112" s="2">
        <v>5.0523773162066382E-2</v>
      </c>
      <c r="T112" s="2">
        <v>0.1090346520892235</v>
      </c>
      <c r="U112" s="2">
        <v>5.2718526136084021E-2</v>
      </c>
      <c r="V112" s="2">
        <v>5.3187443898599619E-2</v>
      </c>
      <c r="X112" s="1" t="s">
        <v>26</v>
      </c>
      <c r="Y112" s="2">
        <v>1240.06</v>
      </c>
      <c r="Z112" s="2">
        <v>1072.6199999999999</v>
      </c>
      <c r="AA112" s="2">
        <v>1573.97</v>
      </c>
      <c r="AB112" s="2">
        <v>1625.37</v>
      </c>
      <c r="AC112" s="2">
        <v>1109.27</v>
      </c>
      <c r="AD112" s="2">
        <v>1280.82</v>
      </c>
      <c r="AE112" s="2">
        <v>1107.68</v>
      </c>
      <c r="AF112" s="2">
        <v>1046.83</v>
      </c>
      <c r="AG112" s="2">
        <v>1036.5999999999999</v>
      </c>
      <c r="AH112" s="2">
        <v>1313.52</v>
      </c>
      <c r="AI112" s="2">
        <v>1070.6099999999999</v>
      </c>
      <c r="AJ112" s="2">
        <v>1331.27</v>
      </c>
      <c r="AK112" s="2">
        <v>1071.58</v>
      </c>
      <c r="AL112" s="2">
        <v>1328.82</v>
      </c>
      <c r="AM112" s="2">
        <v>1044.1400000000001</v>
      </c>
      <c r="AN112" s="2">
        <v>1260.19</v>
      </c>
      <c r="AO112" s="2">
        <v>976.58</v>
      </c>
      <c r="AP112" s="2">
        <v>1270.1600000000001</v>
      </c>
      <c r="AQ112" s="2">
        <v>891.99</v>
      </c>
      <c r="AR112" s="2">
        <v>915.56</v>
      </c>
      <c r="AU112" s="1" t="s">
        <v>26</v>
      </c>
      <c r="AV112" s="2">
        <v>3783.29</v>
      </c>
      <c r="AW112" s="2">
        <v>4282.57</v>
      </c>
      <c r="AX112" s="2">
        <v>6024.16</v>
      </c>
      <c r="AY112" s="2">
        <v>6251.05</v>
      </c>
      <c r="AZ112" s="2">
        <v>3228.44</v>
      </c>
      <c r="BA112" s="2">
        <v>3941.98</v>
      </c>
      <c r="BB112" s="2">
        <v>4071.79</v>
      </c>
      <c r="BC112" s="2">
        <v>3270.06</v>
      </c>
      <c r="BD112" s="2">
        <v>4123.74</v>
      </c>
      <c r="BE112" s="2">
        <v>5407.65</v>
      </c>
      <c r="BF112" s="2">
        <v>4359.78</v>
      </c>
      <c r="BG112" s="2">
        <v>5790.45</v>
      </c>
      <c r="BH112" s="2">
        <v>4323.1899999999996</v>
      </c>
      <c r="BI112" s="2">
        <v>5575.68</v>
      </c>
      <c r="BJ112" s="2">
        <v>4245.8900000000003</v>
      </c>
      <c r="BK112" s="2">
        <v>5372.68</v>
      </c>
      <c r="BL112" s="2">
        <v>3927.51</v>
      </c>
      <c r="BM112" s="2">
        <v>5299.64</v>
      </c>
      <c r="BN112" s="2">
        <v>3583.96</v>
      </c>
      <c r="BO112" s="2">
        <v>3684.06</v>
      </c>
      <c r="BR112" s="1" t="s">
        <v>26</v>
      </c>
      <c r="BS112" s="2">
        <v>7.02</v>
      </c>
      <c r="BT112" s="2">
        <v>9.73</v>
      </c>
      <c r="BU112" s="2">
        <v>7.8</v>
      </c>
      <c r="BV112" s="2">
        <v>7.57</v>
      </c>
      <c r="BW112" s="2">
        <v>2.7</v>
      </c>
      <c r="BX112" s="2">
        <v>2.7</v>
      </c>
      <c r="BY112" s="2">
        <v>3.96</v>
      </c>
      <c r="BZ112" s="2">
        <v>8.64</v>
      </c>
      <c r="CA112" s="2">
        <v>4.95</v>
      </c>
      <c r="CB112" s="2">
        <v>11.79</v>
      </c>
      <c r="CC112" s="2">
        <v>10.85</v>
      </c>
      <c r="CD112" s="2">
        <v>21.89</v>
      </c>
      <c r="CE112" s="2">
        <v>8.51</v>
      </c>
      <c r="CF112" s="2">
        <v>14.23</v>
      </c>
      <c r="CG112" s="2">
        <v>11.15</v>
      </c>
      <c r="CH112" s="2">
        <v>19.07</v>
      </c>
      <c r="CI112" s="2">
        <v>9.23</v>
      </c>
      <c r="CJ112" s="2">
        <v>13.79</v>
      </c>
      <c r="CK112" s="2">
        <v>10.74</v>
      </c>
      <c r="CL112" s="2">
        <v>8.98</v>
      </c>
    </row>
    <row r="113" spans="2:90" x14ac:dyDescent="0.3">
      <c r="B113" s="1" t="s">
        <v>27</v>
      </c>
      <c r="C113" s="2">
        <v>0.33219359424902029</v>
      </c>
      <c r="D113" s="2">
        <v>0.50952017011429307</v>
      </c>
      <c r="E113" s="2">
        <v>0.20537214522290051</v>
      </c>
      <c r="F113" s="2">
        <v>0.66135942939791725</v>
      </c>
      <c r="G113" s="2">
        <v>0.23887204717161431</v>
      </c>
      <c r="H113" s="2">
        <v>0.40525372057874109</v>
      </c>
      <c r="I113" s="2">
        <v>0.240185811469286</v>
      </c>
      <c r="J113" s="2">
        <v>0.28585705109984461</v>
      </c>
      <c r="K113" s="2">
        <v>0.15460746411982981</v>
      </c>
      <c r="L113" s="2">
        <v>0.43927906884020701</v>
      </c>
      <c r="M113" s="2">
        <v>0.17456329822444719</v>
      </c>
      <c r="N113" s="2">
        <v>0.38300135823580223</v>
      </c>
      <c r="O113" s="2">
        <v>0.18469934930936441</v>
      </c>
      <c r="P113" s="2">
        <v>0.37650772072105049</v>
      </c>
      <c r="Q113" s="2">
        <v>0.22485600974196951</v>
      </c>
      <c r="R113" s="2">
        <v>0.36753505927179148</v>
      </c>
      <c r="S113" s="2">
        <v>0.23533190665662071</v>
      </c>
      <c r="T113" s="2">
        <v>0.29847453041285787</v>
      </c>
      <c r="U113" s="2">
        <v>0.25765279442643257</v>
      </c>
      <c r="V113" s="2">
        <v>0.30188514310767828</v>
      </c>
      <c r="X113" s="1" t="s">
        <v>27</v>
      </c>
      <c r="Y113" s="2">
        <v>4796.2700000000004</v>
      </c>
      <c r="Z113" s="2">
        <v>4955.63</v>
      </c>
      <c r="AA113" s="2">
        <v>4503.2700000000004</v>
      </c>
      <c r="AB113" s="2">
        <v>5474.75</v>
      </c>
      <c r="AC113" s="2">
        <v>4027.12</v>
      </c>
      <c r="AD113" s="2">
        <v>4875.67</v>
      </c>
      <c r="AE113" s="2">
        <v>3730</v>
      </c>
      <c r="AF113" s="2">
        <v>5213.3500000000004</v>
      </c>
      <c r="AG113" s="2">
        <v>3346.75</v>
      </c>
      <c r="AH113" s="2">
        <v>4935.01</v>
      </c>
      <c r="AI113" s="2">
        <v>3382.34</v>
      </c>
      <c r="AJ113" s="2">
        <v>6538.24</v>
      </c>
      <c r="AK113" s="2">
        <v>3425.67</v>
      </c>
      <c r="AL113" s="2">
        <v>5869.32</v>
      </c>
      <c r="AM113" s="2">
        <v>3511.01</v>
      </c>
      <c r="AN113" s="2">
        <v>3678.34</v>
      </c>
      <c r="AO113" s="2">
        <v>3021.39</v>
      </c>
      <c r="AP113" s="2">
        <v>3226.18</v>
      </c>
      <c r="AQ113" s="2">
        <v>2821.98</v>
      </c>
      <c r="AR113" s="2">
        <v>2842.91</v>
      </c>
      <c r="AU113" s="1" t="s">
        <v>27</v>
      </c>
      <c r="AV113" s="2">
        <v>15529.69</v>
      </c>
      <c r="AW113" s="2">
        <v>16142.78</v>
      </c>
      <c r="AX113" s="2">
        <v>17260.71</v>
      </c>
      <c r="AY113" s="2">
        <v>20807.12</v>
      </c>
      <c r="AZ113" s="2">
        <v>10318.25</v>
      </c>
      <c r="BA113" s="2">
        <v>15555.18</v>
      </c>
      <c r="BB113" s="2">
        <v>13993.16</v>
      </c>
      <c r="BC113" s="2">
        <v>11125.79</v>
      </c>
      <c r="BD113" s="2">
        <v>13506.99</v>
      </c>
      <c r="BE113" s="2">
        <v>18936.84</v>
      </c>
      <c r="BF113" s="2">
        <v>14105.25</v>
      </c>
      <c r="BG113" s="2">
        <v>17695.02</v>
      </c>
      <c r="BH113" s="2">
        <v>14097.27</v>
      </c>
      <c r="BI113" s="2">
        <v>17132.47</v>
      </c>
      <c r="BJ113" s="2">
        <v>14430.96</v>
      </c>
      <c r="BK113" s="2">
        <v>15889.81</v>
      </c>
      <c r="BL113" s="2">
        <v>12307.63</v>
      </c>
      <c r="BM113" s="2">
        <v>13229.63</v>
      </c>
      <c r="BN113" s="2">
        <v>11526.52</v>
      </c>
      <c r="BO113" s="2">
        <v>11622.29</v>
      </c>
      <c r="BR113" s="1" t="s">
        <v>27</v>
      </c>
      <c r="BS113" s="2">
        <v>14.04</v>
      </c>
      <c r="BT113" s="2">
        <v>14.04</v>
      </c>
      <c r="BU113" s="2">
        <v>8.81</v>
      </c>
      <c r="BV113" s="2">
        <v>14.04</v>
      </c>
      <c r="BW113" s="2">
        <v>2.7</v>
      </c>
      <c r="BX113" s="2">
        <v>5.4</v>
      </c>
      <c r="BY113" s="2">
        <v>7.97</v>
      </c>
      <c r="BZ113" s="2">
        <v>8.64</v>
      </c>
      <c r="CA113" s="2">
        <v>8.61</v>
      </c>
      <c r="CB113" s="2">
        <v>21.6</v>
      </c>
      <c r="CC113" s="2">
        <v>17.55</v>
      </c>
      <c r="CD113" s="2">
        <v>19.440000000000001</v>
      </c>
      <c r="CE113" s="2">
        <v>14.06</v>
      </c>
      <c r="CF113" s="2">
        <v>15.66</v>
      </c>
      <c r="CG113" s="2">
        <v>20.52</v>
      </c>
      <c r="CH113" s="2">
        <v>25.92</v>
      </c>
      <c r="CI113" s="2">
        <v>14.35</v>
      </c>
      <c r="CJ113" s="2">
        <v>14.73</v>
      </c>
      <c r="CK113" s="2">
        <v>17.18</v>
      </c>
      <c r="CL113" s="2">
        <v>16.5</v>
      </c>
    </row>
    <row r="114" spans="2:90" x14ac:dyDescent="0.3">
      <c r="B114" s="1" t="s">
        <v>28</v>
      </c>
      <c r="C114" s="2">
        <v>3.4471561258482809E-2</v>
      </c>
      <c r="D114" s="2">
        <v>8.3980001122228032E-2</v>
      </c>
      <c r="E114" s="2">
        <v>1.1629141518470221E-2</v>
      </c>
      <c r="F114" s="2">
        <v>2.1542117267515981E-2</v>
      </c>
      <c r="G114" s="2">
        <v>2.514860940404868E-3</v>
      </c>
      <c r="H114" s="2">
        <v>1.7588983547277171E-2</v>
      </c>
      <c r="I114" s="2">
        <v>1.825012529072078E-2</v>
      </c>
      <c r="J114" s="2">
        <v>0.1135890936406848</v>
      </c>
      <c r="K114" s="2">
        <v>4.8838780511998317E-2</v>
      </c>
      <c r="L114" s="2">
        <v>8.7726992668343606E-2</v>
      </c>
      <c r="M114" s="2">
        <v>6.9246917273282346E-2</v>
      </c>
      <c r="N114" s="2">
        <v>0.11845542731582839</v>
      </c>
      <c r="O114" s="2">
        <v>8.1074743998061319E-2</v>
      </c>
      <c r="P114" s="2">
        <v>0.10822121044638459</v>
      </c>
      <c r="Q114" s="2">
        <v>7.1853689441811475E-2</v>
      </c>
      <c r="R114" s="2">
        <v>8.6822541834414152E-2</v>
      </c>
      <c r="S114" s="2">
        <v>9.4919186847819956E-2</v>
      </c>
      <c r="T114" s="2">
        <v>9.2668722684562305E-2</v>
      </c>
      <c r="U114" s="2">
        <v>0.1075084978648881</v>
      </c>
      <c r="V114" s="2">
        <v>0.1057401915449344</v>
      </c>
      <c r="X114" s="1" t="s">
        <v>28</v>
      </c>
      <c r="Y114" s="2">
        <v>2057.87</v>
      </c>
      <c r="Z114" s="2">
        <v>2677.45</v>
      </c>
      <c r="AA114" s="2">
        <v>2178.0100000000002</v>
      </c>
      <c r="AB114" s="2">
        <v>2315.08</v>
      </c>
      <c r="AC114" s="2">
        <v>318.52999999999997</v>
      </c>
      <c r="AD114" s="2">
        <v>2371.5700000000002</v>
      </c>
      <c r="AE114" s="2">
        <v>610.23</v>
      </c>
      <c r="AF114" s="2">
        <v>2502.84</v>
      </c>
      <c r="AG114" s="2">
        <v>1695.39</v>
      </c>
      <c r="AH114" s="2">
        <v>2408.87</v>
      </c>
      <c r="AI114" s="2">
        <v>1673.77</v>
      </c>
      <c r="AJ114" s="2">
        <v>2467.08</v>
      </c>
      <c r="AK114" s="2">
        <v>1648.06</v>
      </c>
      <c r="AL114" s="2">
        <v>2295.66</v>
      </c>
      <c r="AM114" s="2">
        <v>1586.8</v>
      </c>
      <c r="AN114" s="2">
        <v>1768.78</v>
      </c>
      <c r="AO114" s="2">
        <v>1466.7</v>
      </c>
      <c r="AP114" s="2">
        <v>1518.94</v>
      </c>
      <c r="AQ114" s="2">
        <v>1518.21</v>
      </c>
      <c r="AR114" s="2">
        <v>1561.33</v>
      </c>
      <c r="AU114" s="1" t="s">
        <v>28</v>
      </c>
      <c r="AV114" s="2">
        <v>8044.33</v>
      </c>
      <c r="AW114" s="2">
        <v>10510.55</v>
      </c>
      <c r="AX114" s="2">
        <v>7915.55</v>
      </c>
      <c r="AY114" s="2">
        <v>8394.08</v>
      </c>
      <c r="AZ114" s="2">
        <v>6052.07</v>
      </c>
      <c r="BA114" s="2">
        <v>8569.8700000000008</v>
      </c>
      <c r="BB114" s="2">
        <v>6470.31</v>
      </c>
      <c r="BC114" s="2">
        <v>9116.67</v>
      </c>
      <c r="BD114" s="2">
        <v>6623.61</v>
      </c>
      <c r="BE114" s="2">
        <v>9495.14</v>
      </c>
      <c r="BF114" s="2">
        <v>6550.13</v>
      </c>
      <c r="BG114" s="2">
        <v>9821.43</v>
      </c>
      <c r="BH114" s="2">
        <v>6446.24</v>
      </c>
      <c r="BI114" s="2">
        <v>9056.64</v>
      </c>
      <c r="BJ114" s="2">
        <v>6202.4</v>
      </c>
      <c r="BK114" s="2">
        <v>6928.82</v>
      </c>
      <c r="BL114" s="2">
        <v>5725.2</v>
      </c>
      <c r="BM114" s="2">
        <v>5931.26</v>
      </c>
      <c r="BN114" s="2">
        <v>5930.49</v>
      </c>
      <c r="BO114" s="2">
        <v>6103.67</v>
      </c>
      <c r="BR114" s="1" t="s">
        <v>28</v>
      </c>
      <c r="BS114" s="2">
        <v>3.38</v>
      </c>
      <c r="BT114" s="2">
        <v>4.4400000000000004</v>
      </c>
      <c r="BU114" s="2">
        <v>1.05</v>
      </c>
      <c r="BV114" s="2">
        <v>1.1000000000000001</v>
      </c>
      <c r="BW114" s="2">
        <v>0.3</v>
      </c>
      <c r="BX114" s="2">
        <v>0.5</v>
      </c>
      <c r="BY114" s="2">
        <v>3.33</v>
      </c>
      <c r="BZ114" s="2">
        <v>7.55</v>
      </c>
      <c r="CA114" s="2">
        <v>5.39</v>
      </c>
      <c r="CB114" s="2">
        <v>9.2200000000000006</v>
      </c>
      <c r="CC114" s="2">
        <v>14.24</v>
      </c>
      <c r="CD114" s="2">
        <v>16.57</v>
      </c>
      <c r="CE114" s="2">
        <v>12.84</v>
      </c>
      <c r="CF114" s="2">
        <v>11.74</v>
      </c>
      <c r="CG114" s="2">
        <v>14.78</v>
      </c>
      <c r="CH114" s="2">
        <v>13.04</v>
      </c>
      <c r="CI114" s="2">
        <v>12.12</v>
      </c>
      <c r="CJ114" s="2">
        <v>9.74</v>
      </c>
      <c r="CK114" s="2">
        <v>13.45</v>
      </c>
      <c r="CL114" s="2">
        <v>10.49</v>
      </c>
    </row>
    <row r="117" spans="2:90" x14ac:dyDescent="0.3">
      <c r="B117" s="5"/>
      <c r="X117" t="s">
        <v>57</v>
      </c>
      <c r="AU117" t="s">
        <v>58</v>
      </c>
      <c r="BR117" t="s">
        <v>59</v>
      </c>
    </row>
    <row r="118" spans="2:90" x14ac:dyDescent="0.3">
      <c r="B118" s="5"/>
      <c r="X118" s="1" t="s">
        <v>16</v>
      </c>
      <c r="Y118" s="13" t="s">
        <v>17</v>
      </c>
      <c r="Z118" s="13"/>
      <c r="AA118" s="13"/>
      <c r="AB118" s="13"/>
      <c r="AC118" s="13"/>
      <c r="AD118" s="13"/>
      <c r="AE118" s="13"/>
      <c r="AF118" s="13"/>
      <c r="AG118" s="13"/>
      <c r="AH118" s="13"/>
      <c r="AI118" s="13" t="s">
        <v>18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U118" s="1" t="s">
        <v>16</v>
      </c>
      <c r="AV118" s="13" t="s">
        <v>17</v>
      </c>
      <c r="AW118" s="13"/>
      <c r="AX118" s="13"/>
      <c r="AY118" s="13"/>
      <c r="AZ118" s="13"/>
      <c r="BA118" s="13"/>
      <c r="BB118" s="13"/>
      <c r="BC118" s="13"/>
      <c r="BD118" s="13"/>
      <c r="BE118" s="13"/>
      <c r="BF118" s="13" t="s">
        <v>18</v>
      </c>
      <c r="BG118" s="13"/>
      <c r="BH118" s="13"/>
      <c r="BI118" s="13"/>
      <c r="BJ118" s="13"/>
      <c r="BK118" s="13"/>
      <c r="BL118" s="13"/>
      <c r="BM118" s="13"/>
      <c r="BN118" s="13"/>
      <c r="BO118" s="13"/>
      <c r="BR118" s="1" t="s">
        <v>16</v>
      </c>
      <c r="BS118" s="1" t="s">
        <v>17</v>
      </c>
      <c r="BT118" s="1" t="s">
        <v>18</v>
      </c>
      <c r="BU118" s="1" t="s">
        <v>17</v>
      </c>
      <c r="BV118" s="1" t="s">
        <v>18</v>
      </c>
      <c r="BW118" s="1" t="s">
        <v>17</v>
      </c>
      <c r="BX118" s="1" t="s">
        <v>18</v>
      </c>
      <c r="BY118" s="1" t="s">
        <v>17</v>
      </c>
      <c r="BZ118" s="1" t="s">
        <v>18</v>
      </c>
      <c r="CA118" s="1" t="s">
        <v>17</v>
      </c>
      <c r="CB118" s="1" t="s">
        <v>18</v>
      </c>
      <c r="CC118" s="1" t="s">
        <v>17</v>
      </c>
      <c r="CD118" s="1" t="s">
        <v>18</v>
      </c>
      <c r="CE118" s="1" t="s">
        <v>17</v>
      </c>
      <c r="CF118" s="1" t="s">
        <v>18</v>
      </c>
      <c r="CG118" s="1" t="s">
        <v>17</v>
      </c>
      <c r="CH118" s="1" t="s">
        <v>18</v>
      </c>
      <c r="CI118" s="1" t="s">
        <v>17</v>
      </c>
      <c r="CJ118" s="1" t="s">
        <v>18</v>
      </c>
      <c r="CK118" s="1" t="s">
        <v>17</v>
      </c>
      <c r="CL118" s="1" t="s">
        <v>18</v>
      </c>
    </row>
    <row r="119" spans="2:90" x14ac:dyDescent="0.3">
      <c r="B119" s="5"/>
      <c r="X119" s="1" t="s">
        <v>19</v>
      </c>
      <c r="Y119" s="1" t="s">
        <v>1</v>
      </c>
      <c r="Z119" s="1" t="s">
        <v>10</v>
      </c>
      <c r="AA119" s="1" t="s">
        <v>2</v>
      </c>
      <c r="AB119" s="1" t="s">
        <v>3</v>
      </c>
      <c r="AC119" s="1" t="s">
        <v>4</v>
      </c>
      <c r="AD119" s="1" t="s">
        <v>5</v>
      </c>
      <c r="AE119" s="1" t="s">
        <v>6</v>
      </c>
      <c r="AF119" s="1" t="s">
        <v>7</v>
      </c>
      <c r="AG119" s="1" t="s">
        <v>8</v>
      </c>
      <c r="AH119" s="1" t="s">
        <v>9</v>
      </c>
      <c r="AI119" s="1" t="s">
        <v>1</v>
      </c>
      <c r="AJ119" s="1" t="s">
        <v>10</v>
      </c>
      <c r="AK119" s="1" t="s">
        <v>2</v>
      </c>
      <c r="AL119" s="1" t="s">
        <v>3</v>
      </c>
      <c r="AM119" s="1" t="s">
        <v>4</v>
      </c>
      <c r="AN119" s="1" t="s">
        <v>5</v>
      </c>
      <c r="AO119" s="1" t="s">
        <v>6</v>
      </c>
      <c r="AP119" s="1" t="s">
        <v>7</v>
      </c>
      <c r="AQ119" s="1" t="s">
        <v>8</v>
      </c>
      <c r="AR119" s="1" t="s">
        <v>9</v>
      </c>
      <c r="AU119" s="1" t="s">
        <v>19</v>
      </c>
      <c r="AV119" s="1" t="s">
        <v>1</v>
      </c>
      <c r="AW119" s="1" t="s">
        <v>10</v>
      </c>
      <c r="AX119" s="1" t="s">
        <v>2</v>
      </c>
      <c r="AY119" s="1" t="s">
        <v>3</v>
      </c>
      <c r="AZ119" s="1" t="s">
        <v>4</v>
      </c>
      <c r="BA119" s="1" t="s">
        <v>5</v>
      </c>
      <c r="BB119" s="1" t="s">
        <v>6</v>
      </c>
      <c r="BC119" s="1" t="s">
        <v>7</v>
      </c>
      <c r="BD119" s="1" t="s">
        <v>8</v>
      </c>
      <c r="BE119" s="1" t="s">
        <v>9</v>
      </c>
      <c r="BF119" s="1" t="s">
        <v>1</v>
      </c>
      <c r="BG119" s="1" t="s">
        <v>10</v>
      </c>
      <c r="BH119" s="1" t="s">
        <v>2</v>
      </c>
      <c r="BI119" s="1" t="s">
        <v>3</v>
      </c>
      <c r="BJ119" s="1" t="s">
        <v>4</v>
      </c>
      <c r="BK119" s="1" t="s">
        <v>5</v>
      </c>
      <c r="BL119" s="1" t="s">
        <v>6</v>
      </c>
      <c r="BM119" s="1" t="s">
        <v>7</v>
      </c>
      <c r="BN119" s="1" t="s">
        <v>8</v>
      </c>
      <c r="BO119" s="1" t="s">
        <v>9</v>
      </c>
      <c r="BR119" s="1" t="s">
        <v>19</v>
      </c>
      <c r="BS119" s="1" t="s">
        <v>1</v>
      </c>
      <c r="BT119" s="1" t="s">
        <v>1</v>
      </c>
      <c r="BU119" s="1" t="s">
        <v>2</v>
      </c>
      <c r="BV119" s="1" t="s">
        <v>2</v>
      </c>
      <c r="BW119" s="1" t="s">
        <v>3</v>
      </c>
      <c r="BX119" s="1" t="s">
        <v>3</v>
      </c>
      <c r="BY119" s="1" t="s">
        <v>4</v>
      </c>
      <c r="BZ119" s="1" t="s">
        <v>4</v>
      </c>
      <c r="CA119" s="1" t="s">
        <v>5</v>
      </c>
      <c r="CB119" s="1" t="s">
        <v>5</v>
      </c>
      <c r="CC119" s="1" t="s">
        <v>6</v>
      </c>
      <c r="CD119" s="1" t="s">
        <v>6</v>
      </c>
      <c r="CE119" s="1" t="s">
        <v>7</v>
      </c>
      <c r="CF119" s="1" t="s">
        <v>7</v>
      </c>
      <c r="CG119" s="1" t="s">
        <v>8</v>
      </c>
      <c r="CH119" s="1" t="s">
        <v>8</v>
      </c>
      <c r="CI119" s="1" t="s">
        <v>9</v>
      </c>
      <c r="CJ119" s="1" t="s">
        <v>9</v>
      </c>
      <c r="CK119" s="1" t="s">
        <v>10</v>
      </c>
      <c r="CL119" s="1" t="s">
        <v>10</v>
      </c>
    </row>
    <row r="120" spans="2:90" x14ac:dyDescent="0.3">
      <c r="B120" s="5"/>
      <c r="X120" s="1" t="s">
        <v>20</v>
      </c>
      <c r="AU120" s="1" t="s">
        <v>20</v>
      </c>
      <c r="BR120" s="1" t="s">
        <v>20</v>
      </c>
    </row>
    <row r="121" spans="2:90" x14ac:dyDescent="0.3">
      <c r="B121" s="5"/>
      <c r="X121" s="1" t="s">
        <v>21</v>
      </c>
      <c r="Y121" s="2">
        <v>23.03</v>
      </c>
      <c r="Z121" s="2">
        <v>141.12</v>
      </c>
      <c r="AA121" s="2">
        <v>17.41</v>
      </c>
      <c r="AB121" s="2">
        <v>7.14</v>
      </c>
      <c r="AC121" s="2">
        <v>20.75</v>
      </c>
      <c r="AD121" s="2">
        <v>63.84</v>
      </c>
      <c r="AE121" s="2">
        <v>108.86</v>
      </c>
      <c r="AF121" s="2">
        <v>103.53</v>
      </c>
      <c r="AG121" s="2">
        <v>105.6</v>
      </c>
      <c r="AH121" s="2">
        <v>105.43</v>
      </c>
      <c r="AI121" s="2">
        <v>24.29</v>
      </c>
      <c r="AJ121" s="2">
        <v>125.37</v>
      </c>
      <c r="AK121" s="2">
        <v>17.41</v>
      </c>
      <c r="AL121" s="2">
        <v>10.71</v>
      </c>
      <c r="AM121" s="2">
        <v>63.39</v>
      </c>
      <c r="AN121" s="2">
        <v>58.66</v>
      </c>
      <c r="AO121" s="2">
        <v>108.86</v>
      </c>
      <c r="AP121" s="2">
        <v>80.790000000000006</v>
      </c>
      <c r="AQ121" s="2">
        <v>102.41</v>
      </c>
      <c r="AR121" s="2">
        <v>84.97</v>
      </c>
      <c r="AU121" s="1" t="s">
        <v>21</v>
      </c>
      <c r="AV121" s="2">
        <v>23.03</v>
      </c>
      <c r="AW121" s="2">
        <v>141.12</v>
      </c>
      <c r="AX121" s="2">
        <v>17.41</v>
      </c>
      <c r="AY121" s="2">
        <v>7.14</v>
      </c>
      <c r="AZ121" s="2">
        <v>20.75</v>
      </c>
      <c r="BA121" s="2">
        <v>63.84</v>
      </c>
      <c r="BB121" s="2">
        <v>108.86</v>
      </c>
      <c r="BC121" s="2">
        <v>103.53</v>
      </c>
      <c r="BD121" s="2">
        <v>105.6</v>
      </c>
      <c r="BE121" s="2">
        <v>105.43</v>
      </c>
      <c r="BF121" s="2">
        <v>24.29</v>
      </c>
      <c r="BG121" s="2">
        <v>125.37</v>
      </c>
      <c r="BH121" s="2">
        <v>17.41</v>
      </c>
      <c r="BI121" s="2">
        <v>10.71</v>
      </c>
      <c r="BJ121" s="2">
        <v>63.39</v>
      </c>
      <c r="BK121" s="2">
        <v>58.66</v>
      </c>
      <c r="BL121" s="2">
        <v>108.86</v>
      </c>
      <c r="BM121" s="2">
        <v>80.790000000000006</v>
      </c>
      <c r="BN121" s="2">
        <v>102.41</v>
      </c>
      <c r="BO121" s="2">
        <v>84.97</v>
      </c>
      <c r="BR121" s="1" t="s">
        <v>21</v>
      </c>
      <c r="BS121" s="2">
        <v>131.27000000000001</v>
      </c>
      <c r="BT121" s="2">
        <v>131.27000000000001</v>
      </c>
      <c r="BU121" s="2">
        <v>131.13</v>
      </c>
      <c r="BV121" s="2">
        <v>131.13</v>
      </c>
      <c r="BW121" s="2">
        <v>131.18</v>
      </c>
      <c r="BX121" s="2">
        <v>131.18</v>
      </c>
      <c r="BY121" s="2">
        <v>180.85</v>
      </c>
      <c r="BZ121" s="2">
        <v>153.65</v>
      </c>
      <c r="CA121" s="2">
        <v>409.98</v>
      </c>
      <c r="CB121" s="2">
        <v>257.77</v>
      </c>
      <c r="CC121" s="2">
        <v>137.72</v>
      </c>
      <c r="CD121" s="2">
        <v>287.81</v>
      </c>
      <c r="CE121" s="2">
        <v>128.54</v>
      </c>
      <c r="CF121" s="2">
        <v>343.55</v>
      </c>
      <c r="CG121" s="2">
        <v>209.73</v>
      </c>
      <c r="CH121" s="2">
        <v>311.76</v>
      </c>
      <c r="CI121" s="2">
        <v>385.81</v>
      </c>
      <c r="CJ121" s="2">
        <v>1821.77</v>
      </c>
      <c r="CK121" s="2">
        <v>344.63</v>
      </c>
      <c r="CL121" s="2">
        <v>1340.93</v>
      </c>
    </row>
    <row r="122" spans="2:90" x14ac:dyDescent="0.3">
      <c r="B122" s="5"/>
      <c r="X122" s="1" t="s">
        <v>22</v>
      </c>
      <c r="Y122" s="2">
        <v>37.78</v>
      </c>
      <c r="Z122" s="2">
        <v>126.72</v>
      </c>
      <c r="AA122" s="2">
        <v>20.91</v>
      </c>
      <c r="AB122" s="2">
        <v>8.7799999999999994</v>
      </c>
      <c r="AC122" s="2">
        <v>40.020000000000003</v>
      </c>
      <c r="AD122" s="2">
        <v>50.6</v>
      </c>
      <c r="AE122" s="2">
        <v>90.7</v>
      </c>
      <c r="AF122" s="2">
        <v>77.569999999999993</v>
      </c>
      <c r="AG122" s="2">
        <v>95.09</v>
      </c>
      <c r="AH122" s="2">
        <v>72.290000000000006</v>
      </c>
      <c r="AI122" s="2">
        <v>29.96</v>
      </c>
      <c r="AJ122" s="2">
        <v>102.15</v>
      </c>
      <c r="AK122" s="2">
        <v>23.28</v>
      </c>
      <c r="AL122" s="2">
        <v>15.18</v>
      </c>
      <c r="AM122" s="2">
        <v>56.39</v>
      </c>
      <c r="AN122" s="2">
        <v>65.27</v>
      </c>
      <c r="AO122" s="2">
        <v>129.57</v>
      </c>
      <c r="AP122" s="2">
        <v>86.33</v>
      </c>
      <c r="AQ122" s="2">
        <v>92.37</v>
      </c>
      <c r="AR122" s="2">
        <v>81.28</v>
      </c>
      <c r="AU122" s="1" t="s">
        <v>22</v>
      </c>
      <c r="AV122" s="2">
        <v>37.78</v>
      </c>
      <c r="AW122" s="2">
        <v>126.72</v>
      </c>
      <c r="AX122" s="2">
        <v>20.91</v>
      </c>
      <c r="AY122" s="2">
        <v>8.7799999999999994</v>
      </c>
      <c r="AZ122" s="2">
        <v>40.020000000000003</v>
      </c>
      <c r="BA122" s="2">
        <v>50.6</v>
      </c>
      <c r="BB122" s="2">
        <v>90.7</v>
      </c>
      <c r="BC122" s="2">
        <v>77.569999999999993</v>
      </c>
      <c r="BD122" s="2">
        <v>95.09</v>
      </c>
      <c r="BE122" s="2">
        <v>72.290000000000006</v>
      </c>
      <c r="BF122" s="2">
        <v>29.96</v>
      </c>
      <c r="BG122" s="2">
        <v>102.15</v>
      </c>
      <c r="BH122" s="2">
        <v>23.28</v>
      </c>
      <c r="BI122" s="2">
        <v>15.18</v>
      </c>
      <c r="BJ122" s="2">
        <v>56.39</v>
      </c>
      <c r="BK122" s="2">
        <v>65.27</v>
      </c>
      <c r="BL122" s="2">
        <v>129.57</v>
      </c>
      <c r="BM122" s="2">
        <v>86.33</v>
      </c>
      <c r="BN122" s="2">
        <v>92.37</v>
      </c>
      <c r="BO122" s="2">
        <v>81.28</v>
      </c>
      <c r="BR122" s="1" t="s">
        <v>22</v>
      </c>
      <c r="BS122" s="2">
        <v>312.33999999999997</v>
      </c>
      <c r="BT122" s="2">
        <v>339.27</v>
      </c>
      <c r="BU122" s="2">
        <v>304.87</v>
      </c>
      <c r="BV122" s="2">
        <v>289.86</v>
      </c>
      <c r="BW122" s="2">
        <v>397.4</v>
      </c>
      <c r="BX122" s="2">
        <v>321</v>
      </c>
      <c r="BY122" s="2">
        <v>338.48</v>
      </c>
      <c r="BZ122" s="2">
        <v>403.02</v>
      </c>
      <c r="CA122" s="2">
        <v>524.41999999999996</v>
      </c>
      <c r="CB122" s="2">
        <v>982.26</v>
      </c>
      <c r="CC122" s="2">
        <v>428.93</v>
      </c>
      <c r="CD122" s="2">
        <v>912.5</v>
      </c>
      <c r="CE122" s="2">
        <v>462.33</v>
      </c>
      <c r="CF122" s="2">
        <v>699.6</v>
      </c>
      <c r="CG122" s="2">
        <v>547.77</v>
      </c>
      <c r="CH122" s="2">
        <v>1104.17</v>
      </c>
      <c r="CI122" s="2">
        <v>617.9</v>
      </c>
      <c r="CJ122" s="2">
        <v>1846.21</v>
      </c>
      <c r="CK122" s="2">
        <v>761.11</v>
      </c>
      <c r="CL122" s="2">
        <v>5223.5200000000004</v>
      </c>
    </row>
    <row r="123" spans="2:90" x14ac:dyDescent="0.3">
      <c r="B123" s="5"/>
      <c r="X123" s="1" t="s">
        <v>23</v>
      </c>
      <c r="Y123" s="2">
        <v>233.39</v>
      </c>
      <c r="Z123" s="2">
        <v>426.06</v>
      </c>
      <c r="AA123" s="2">
        <v>174.55</v>
      </c>
      <c r="AB123" s="2">
        <v>104.13</v>
      </c>
      <c r="AC123" s="2">
        <v>337.95</v>
      </c>
      <c r="AD123" s="2">
        <v>520.99</v>
      </c>
      <c r="AE123" s="2">
        <v>908.53</v>
      </c>
      <c r="AF123" s="2">
        <v>776.43</v>
      </c>
      <c r="AG123" s="2">
        <v>953.83</v>
      </c>
      <c r="AH123" s="2">
        <v>391.94</v>
      </c>
      <c r="AI123" s="2">
        <v>84.62</v>
      </c>
      <c r="AJ123" s="2">
        <v>396.69</v>
      </c>
      <c r="AK123" s="2">
        <v>66.37</v>
      </c>
      <c r="AL123" s="2">
        <v>125.07</v>
      </c>
      <c r="AM123" s="2">
        <v>224.07</v>
      </c>
      <c r="AN123" s="2">
        <v>277.14</v>
      </c>
      <c r="AO123" s="2">
        <v>518.58000000000004</v>
      </c>
      <c r="AP123" s="2">
        <v>370.44</v>
      </c>
      <c r="AQ123" s="2">
        <v>424.02</v>
      </c>
      <c r="AR123" s="2">
        <v>410.99</v>
      </c>
      <c r="AU123" s="1" t="s">
        <v>23</v>
      </c>
      <c r="AV123" s="2">
        <v>233.39</v>
      </c>
      <c r="AW123" s="2">
        <v>426.06</v>
      </c>
      <c r="AX123" s="2">
        <v>174.55</v>
      </c>
      <c r="AY123" s="2">
        <v>104.13</v>
      </c>
      <c r="AZ123" s="2">
        <v>337.95</v>
      </c>
      <c r="BA123" s="2">
        <v>520.99</v>
      </c>
      <c r="BB123" s="2">
        <v>908.53</v>
      </c>
      <c r="BC123" s="2">
        <v>776.43</v>
      </c>
      <c r="BD123" s="2">
        <v>953.83</v>
      </c>
      <c r="BE123" s="2">
        <v>391.94</v>
      </c>
      <c r="BF123" s="2">
        <v>84.62</v>
      </c>
      <c r="BG123" s="2">
        <v>396.69</v>
      </c>
      <c r="BH123" s="2">
        <v>66.37</v>
      </c>
      <c r="BI123" s="2">
        <v>125.07</v>
      </c>
      <c r="BJ123" s="2">
        <v>224.07</v>
      </c>
      <c r="BK123" s="2">
        <v>277.14</v>
      </c>
      <c r="BL123" s="2">
        <v>518.58000000000004</v>
      </c>
      <c r="BM123" s="2">
        <v>370.44</v>
      </c>
      <c r="BN123" s="2">
        <v>424.02</v>
      </c>
      <c r="BO123" s="2">
        <v>410.99</v>
      </c>
      <c r="BR123" s="1" t="s">
        <v>23</v>
      </c>
      <c r="BS123" s="2">
        <v>162.85</v>
      </c>
      <c r="BT123" s="2">
        <v>448.56</v>
      </c>
      <c r="BU123" s="2">
        <v>178.23</v>
      </c>
      <c r="BV123" s="2">
        <v>339.17</v>
      </c>
      <c r="BW123" s="2">
        <v>162.30000000000001</v>
      </c>
      <c r="BX123" s="2">
        <v>201.38</v>
      </c>
      <c r="BY123" s="2">
        <v>179.72</v>
      </c>
      <c r="BZ123" s="2">
        <v>469.75</v>
      </c>
      <c r="CA123" s="2">
        <v>176.64</v>
      </c>
      <c r="CB123" s="2">
        <v>803.15</v>
      </c>
      <c r="CC123" s="2">
        <v>172.06</v>
      </c>
      <c r="CD123" s="2">
        <v>796.17</v>
      </c>
      <c r="CE123" s="2">
        <v>172.37</v>
      </c>
      <c r="CF123" s="2">
        <v>752.2</v>
      </c>
      <c r="CG123" s="2">
        <v>174.29</v>
      </c>
      <c r="CH123" s="2">
        <v>896.61</v>
      </c>
      <c r="CI123" s="2">
        <v>608.28</v>
      </c>
      <c r="CJ123" s="2">
        <v>1506.62</v>
      </c>
      <c r="CK123" s="2">
        <v>1660.43</v>
      </c>
      <c r="CL123" s="2">
        <v>2674.95</v>
      </c>
    </row>
    <row r="124" spans="2:90" x14ac:dyDescent="0.3">
      <c r="B124" s="5"/>
      <c r="X124" s="1" t="s">
        <v>24</v>
      </c>
      <c r="Y124" s="2">
        <v>73.290000000000006</v>
      </c>
      <c r="Z124" s="2">
        <v>141.84</v>
      </c>
      <c r="AA124" s="2">
        <v>49.88</v>
      </c>
      <c r="AB124" s="2">
        <v>23.66</v>
      </c>
      <c r="AC124" s="2">
        <v>98.07</v>
      </c>
      <c r="AD124" s="2">
        <v>111.21</v>
      </c>
      <c r="AE124" s="2">
        <v>211.91</v>
      </c>
      <c r="AF124" s="2">
        <v>178.5</v>
      </c>
      <c r="AG124" s="2">
        <v>180.33</v>
      </c>
      <c r="AH124" s="2">
        <v>116.77</v>
      </c>
      <c r="AI124" s="2">
        <v>26.56</v>
      </c>
      <c r="AJ124" s="2">
        <v>120.99</v>
      </c>
      <c r="AK124" s="2">
        <v>28.85</v>
      </c>
      <c r="AL124" s="2">
        <v>21.52</v>
      </c>
      <c r="AM124" s="2">
        <v>57.02</v>
      </c>
      <c r="AN124" s="2">
        <v>81.099999999999994</v>
      </c>
      <c r="AO124" s="2">
        <v>148.77000000000001</v>
      </c>
      <c r="AP124" s="2">
        <v>101.45</v>
      </c>
      <c r="AQ124" s="2">
        <v>136.24</v>
      </c>
      <c r="AR124" s="2">
        <v>101.4</v>
      </c>
      <c r="AU124" s="1" t="s">
        <v>24</v>
      </c>
      <c r="AV124" s="2">
        <v>73.290000000000006</v>
      </c>
      <c r="AW124" s="2">
        <v>141.84</v>
      </c>
      <c r="AX124" s="2">
        <v>49.88</v>
      </c>
      <c r="AY124" s="2">
        <v>23.66</v>
      </c>
      <c r="AZ124" s="2">
        <v>98.07</v>
      </c>
      <c r="BA124" s="2">
        <v>111.21</v>
      </c>
      <c r="BB124" s="2">
        <v>211.91</v>
      </c>
      <c r="BC124" s="2">
        <v>178.5</v>
      </c>
      <c r="BD124" s="2">
        <v>180.33</v>
      </c>
      <c r="BE124" s="2">
        <v>116.77</v>
      </c>
      <c r="BF124" s="2">
        <v>26.56</v>
      </c>
      <c r="BG124" s="2">
        <v>120.99</v>
      </c>
      <c r="BH124" s="2">
        <v>28.85</v>
      </c>
      <c r="BI124" s="2">
        <v>21.52</v>
      </c>
      <c r="BJ124" s="2">
        <v>57.02</v>
      </c>
      <c r="BK124" s="2">
        <v>81.099999999999994</v>
      </c>
      <c r="BL124" s="2">
        <v>148.77000000000001</v>
      </c>
      <c r="BM124" s="2">
        <v>101.45</v>
      </c>
      <c r="BN124" s="2">
        <v>136.24</v>
      </c>
      <c r="BO124" s="2">
        <v>101.4</v>
      </c>
      <c r="BR124" s="1" t="s">
        <v>24</v>
      </c>
      <c r="BS124" s="2">
        <v>165.2</v>
      </c>
      <c r="BT124" s="2">
        <v>433.3</v>
      </c>
      <c r="BU124" s="2">
        <v>177.07</v>
      </c>
      <c r="BV124" s="2">
        <v>288.68</v>
      </c>
      <c r="BW124" s="2">
        <v>177.14</v>
      </c>
      <c r="BX124" s="2">
        <v>195.16</v>
      </c>
      <c r="BY124" s="2">
        <v>190.29</v>
      </c>
      <c r="BZ124" s="2">
        <v>314.52999999999997</v>
      </c>
      <c r="CA124" s="2">
        <v>212.41</v>
      </c>
      <c r="CB124" s="2">
        <v>497.22</v>
      </c>
      <c r="CC124" s="2">
        <v>212.22</v>
      </c>
      <c r="CD124" s="2">
        <v>549.45000000000005</v>
      </c>
      <c r="CE124" s="2">
        <v>211.3</v>
      </c>
      <c r="CF124" s="2">
        <v>536.44000000000005</v>
      </c>
      <c r="CG124" s="2">
        <v>287.82</v>
      </c>
      <c r="CH124" s="2">
        <v>656.95</v>
      </c>
      <c r="CI124" s="2">
        <v>666.34</v>
      </c>
      <c r="CJ124" s="2">
        <v>871.28</v>
      </c>
      <c r="CK124" s="2">
        <v>920.58</v>
      </c>
      <c r="CL124" s="2">
        <v>1156.5</v>
      </c>
    </row>
    <row r="125" spans="2:90" x14ac:dyDescent="0.3">
      <c r="X125" s="1" t="s">
        <v>25</v>
      </c>
      <c r="Y125" s="2">
        <v>207.74</v>
      </c>
      <c r="Z125" s="2">
        <v>639.67999999999995</v>
      </c>
      <c r="AA125" s="2">
        <v>228.3</v>
      </c>
      <c r="AB125" s="2">
        <v>78.239999999999995</v>
      </c>
      <c r="AC125" s="2">
        <v>301.77</v>
      </c>
      <c r="AD125" s="2">
        <v>414.03</v>
      </c>
      <c r="AE125" s="2">
        <v>694.98</v>
      </c>
      <c r="AF125" s="2">
        <v>532.99</v>
      </c>
      <c r="AG125" s="2">
        <v>646.79999999999995</v>
      </c>
      <c r="AH125" s="2">
        <v>562.61</v>
      </c>
      <c r="AI125" s="2">
        <v>210.24</v>
      </c>
      <c r="AJ125" s="2">
        <v>617.79999999999995</v>
      </c>
      <c r="AK125" s="2">
        <v>212.44</v>
      </c>
      <c r="AL125" s="2">
        <v>77.97</v>
      </c>
      <c r="AM125" s="2">
        <v>332.58</v>
      </c>
      <c r="AN125" s="2">
        <v>393.71</v>
      </c>
      <c r="AO125" s="2">
        <v>609.24</v>
      </c>
      <c r="AP125" s="2">
        <v>460.89</v>
      </c>
      <c r="AQ125" s="2">
        <v>576.14</v>
      </c>
      <c r="AR125" s="2">
        <v>395.9</v>
      </c>
      <c r="AU125" s="1" t="s">
        <v>25</v>
      </c>
      <c r="AV125" s="2">
        <v>207.74</v>
      </c>
      <c r="AW125" s="2">
        <v>639.67999999999995</v>
      </c>
      <c r="AX125" s="2">
        <v>228.3</v>
      </c>
      <c r="AY125" s="2">
        <v>78.239999999999995</v>
      </c>
      <c r="AZ125" s="2">
        <v>301.77</v>
      </c>
      <c r="BA125" s="2">
        <v>414.03</v>
      </c>
      <c r="BB125" s="2">
        <v>694.98</v>
      </c>
      <c r="BC125" s="2">
        <v>532.99</v>
      </c>
      <c r="BD125" s="2">
        <v>646.79999999999995</v>
      </c>
      <c r="BE125" s="2">
        <v>562.61</v>
      </c>
      <c r="BF125" s="2">
        <v>210.24</v>
      </c>
      <c r="BG125" s="2">
        <v>617.79999999999995</v>
      </c>
      <c r="BH125" s="2">
        <v>212.44</v>
      </c>
      <c r="BI125" s="2">
        <v>77.97</v>
      </c>
      <c r="BJ125" s="2">
        <v>332.58</v>
      </c>
      <c r="BK125" s="2">
        <v>393.71</v>
      </c>
      <c r="BL125" s="2">
        <v>609.24</v>
      </c>
      <c r="BM125" s="2">
        <v>460.89</v>
      </c>
      <c r="BN125" s="2">
        <v>576.14</v>
      </c>
      <c r="BO125" s="2">
        <v>395.9</v>
      </c>
      <c r="BR125" s="1" t="s">
        <v>25</v>
      </c>
      <c r="BS125" s="2">
        <v>196.95</v>
      </c>
      <c r="BT125" s="2">
        <v>217.91</v>
      </c>
      <c r="BU125" s="2">
        <v>197.01</v>
      </c>
      <c r="BV125" s="2">
        <v>296.39999999999998</v>
      </c>
      <c r="BW125" s="2">
        <v>205.2</v>
      </c>
      <c r="BX125" s="2">
        <v>201.84</v>
      </c>
      <c r="BY125" s="2">
        <v>400.22</v>
      </c>
      <c r="BZ125" s="2">
        <v>233.13</v>
      </c>
      <c r="CA125" s="2">
        <v>312.89999999999998</v>
      </c>
      <c r="CB125" s="2">
        <v>270.56</v>
      </c>
      <c r="CC125" s="2">
        <v>379.15</v>
      </c>
      <c r="CD125" s="2">
        <v>438.68</v>
      </c>
      <c r="CE125" s="2">
        <v>457.3</v>
      </c>
      <c r="CF125" s="2">
        <v>498.41</v>
      </c>
      <c r="CG125" s="2">
        <v>557.22</v>
      </c>
      <c r="CH125" s="2">
        <v>646.36</v>
      </c>
      <c r="CI125" s="2">
        <v>688.97</v>
      </c>
      <c r="CJ125" s="2">
        <v>1014.14</v>
      </c>
      <c r="CK125" s="2">
        <v>921.28</v>
      </c>
      <c r="CL125" s="2">
        <v>1439.35</v>
      </c>
    </row>
    <row r="126" spans="2:90" x14ac:dyDescent="0.3">
      <c r="X126" s="1" t="s">
        <v>26</v>
      </c>
      <c r="Y126" s="2">
        <v>39.659999999999997</v>
      </c>
      <c r="Z126" s="2">
        <v>134.43</v>
      </c>
      <c r="AA126" s="2">
        <v>36.79</v>
      </c>
      <c r="AB126" s="2">
        <v>14.64</v>
      </c>
      <c r="AC126" s="2">
        <v>55.16</v>
      </c>
      <c r="AD126" s="2">
        <v>63.44</v>
      </c>
      <c r="AE126" s="2">
        <v>132.79</v>
      </c>
      <c r="AF126" s="2">
        <v>99.34</v>
      </c>
      <c r="AG126" s="2">
        <v>131.08000000000001</v>
      </c>
      <c r="AH126" s="2">
        <v>119.65</v>
      </c>
      <c r="AI126" s="2">
        <v>31.32</v>
      </c>
      <c r="AJ126" s="2">
        <v>111.79</v>
      </c>
      <c r="AK126" s="2">
        <v>42.83</v>
      </c>
      <c r="AL126" s="2">
        <v>11.95</v>
      </c>
      <c r="AM126" s="2">
        <v>38.880000000000003</v>
      </c>
      <c r="AN126" s="2">
        <v>70.88</v>
      </c>
      <c r="AO126" s="2">
        <v>127.97</v>
      </c>
      <c r="AP126" s="2">
        <v>88.31</v>
      </c>
      <c r="AQ126" s="2">
        <v>136.87</v>
      </c>
      <c r="AR126" s="2">
        <v>91.39</v>
      </c>
      <c r="AU126" s="1" t="s">
        <v>26</v>
      </c>
      <c r="AV126" s="2">
        <v>39.659999999999997</v>
      </c>
      <c r="AW126" s="2">
        <v>134.43</v>
      </c>
      <c r="AX126" s="2">
        <v>36.79</v>
      </c>
      <c r="AY126" s="2">
        <v>14.64</v>
      </c>
      <c r="AZ126" s="2">
        <v>55.16</v>
      </c>
      <c r="BA126" s="2">
        <v>63.44</v>
      </c>
      <c r="BB126" s="2">
        <v>132.79</v>
      </c>
      <c r="BC126" s="2">
        <v>99.34</v>
      </c>
      <c r="BD126" s="2">
        <v>131.08000000000001</v>
      </c>
      <c r="BE126" s="2">
        <v>119.65</v>
      </c>
      <c r="BF126" s="2">
        <v>31.32</v>
      </c>
      <c r="BG126" s="2">
        <v>111.79</v>
      </c>
      <c r="BH126" s="2">
        <v>42.83</v>
      </c>
      <c r="BI126" s="2">
        <v>11.95</v>
      </c>
      <c r="BJ126" s="2">
        <v>38.880000000000003</v>
      </c>
      <c r="BK126" s="2">
        <v>70.88</v>
      </c>
      <c r="BL126" s="2">
        <v>127.97</v>
      </c>
      <c r="BM126" s="2">
        <v>88.31</v>
      </c>
      <c r="BN126" s="2">
        <v>136.87</v>
      </c>
      <c r="BO126" s="2">
        <v>91.39</v>
      </c>
      <c r="BR126" s="1" t="s">
        <v>26</v>
      </c>
      <c r="BS126" s="2">
        <v>185.18</v>
      </c>
      <c r="BT126" s="2">
        <v>200.96</v>
      </c>
      <c r="BU126" s="2">
        <v>188.97</v>
      </c>
      <c r="BV126" s="2">
        <v>188.85</v>
      </c>
      <c r="BW126" s="2">
        <v>199.61</v>
      </c>
      <c r="BX126" s="2">
        <v>194.84</v>
      </c>
      <c r="BY126" s="2">
        <v>338.32</v>
      </c>
      <c r="BZ126" s="2">
        <v>227.81</v>
      </c>
      <c r="CA126" s="2">
        <v>581.84</v>
      </c>
      <c r="CB126" s="2">
        <v>232.88</v>
      </c>
      <c r="CC126" s="2">
        <v>444.38</v>
      </c>
      <c r="CD126" s="2">
        <v>234.12</v>
      </c>
      <c r="CE126" s="2">
        <v>455.43</v>
      </c>
      <c r="CF126" s="2">
        <v>261.52</v>
      </c>
      <c r="CG126" s="2">
        <v>470.61</v>
      </c>
      <c r="CH126" s="2">
        <v>265.07</v>
      </c>
      <c r="CI126" s="2">
        <v>544.54</v>
      </c>
      <c r="CJ126" s="2">
        <v>308.12</v>
      </c>
      <c r="CK126" s="2">
        <v>740.91</v>
      </c>
      <c r="CL126" s="2">
        <v>992.49</v>
      </c>
    </row>
    <row r="127" spans="2:90" x14ac:dyDescent="0.3">
      <c r="X127" s="1" t="s">
        <v>27</v>
      </c>
      <c r="Y127" s="2">
        <v>116.6</v>
      </c>
      <c r="Z127" s="2">
        <v>290.94</v>
      </c>
      <c r="AA127" s="2">
        <v>87.33</v>
      </c>
      <c r="AB127" s="2">
        <v>42.16</v>
      </c>
      <c r="AC127" s="2">
        <v>135.37</v>
      </c>
      <c r="AD127" s="2">
        <v>161.6</v>
      </c>
      <c r="AE127" s="2">
        <v>295.32</v>
      </c>
      <c r="AF127" s="2">
        <v>216.09</v>
      </c>
      <c r="AG127" s="2">
        <v>304.61</v>
      </c>
      <c r="AH127" s="2">
        <v>261.11</v>
      </c>
      <c r="AI127" s="2">
        <v>138.55000000000001</v>
      </c>
      <c r="AJ127" s="2">
        <v>281.51</v>
      </c>
      <c r="AK127" s="2">
        <v>101.9</v>
      </c>
      <c r="AL127" s="2">
        <v>40.909999999999997</v>
      </c>
      <c r="AM127" s="2">
        <v>187.35</v>
      </c>
      <c r="AN127" s="2">
        <v>217.97</v>
      </c>
      <c r="AO127" s="2">
        <v>482.41</v>
      </c>
      <c r="AP127" s="2">
        <v>308.32</v>
      </c>
      <c r="AQ127" s="2">
        <v>321.77999999999997</v>
      </c>
      <c r="AR127" s="2">
        <v>200.96</v>
      </c>
      <c r="AU127" s="1" t="s">
        <v>27</v>
      </c>
      <c r="AV127" s="2">
        <v>116.6</v>
      </c>
      <c r="AW127" s="2">
        <v>290.94</v>
      </c>
      <c r="AX127" s="2">
        <v>87.33</v>
      </c>
      <c r="AY127" s="2">
        <v>42.16</v>
      </c>
      <c r="AZ127" s="2">
        <v>135.37</v>
      </c>
      <c r="BA127" s="2">
        <v>161.6</v>
      </c>
      <c r="BB127" s="2">
        <v>295.32</v>
      </c>
      <c r="BC127" s="2">
        <v>216.09</v>
      </c>
      <c r="BD127" s="2">
        <v>304.61</v>
      </c>
      <c r="BE127" s="2">
        <v>261.11</v>
      </c>
      <c r="BF127" s="2">
        <v>138.55000000000001</v>
      </c>
      <c r="BG127" s="2">
        <v>281.51</v>
      </c>
      <c r="BH127" s="2">
        <v>101.9</v>
      </c>
      <c r="BI127" s="2">
        <v>40.909999999999997</v>
      </c>
      <c r="BJ127" s="2">
        <v>187.35</v>
      </c>
      <c r="BK127" s="2">
        <v>217.97</v>
      </c>
      <c r="BL127" s="2">
        <v>482.41</v>
      </c>
      <c r="BM127" s="2">
        <v>308.32</v>
      </c>
      <c r="BN127" s="2">
        <v>321.77999999999997</v>
      </c>
      <c r="BO127" s="2">
        <v>200.96</v>
      </c>
      <c r="BR127" s="1" t="s">
        <v>27</v>
      </c>
      <c r="BS127" s="2">
        <v>175.82</v>
      </c>
      <c r="BT127" s="2">
        <v>172.93</v>
      </c>
      <c r="BU127" s="2">
        <v>249.6</v>
      </c>
      <c r="BV127" s="2">
        <v>187.8</v>
      </c>
      <c r="BW127" s="2">
        <v>238.46</v>
      </c>
      <c r="BX127" s="2">
        <v>181.08</v>
      </c>
      <c r="BY127" s="2">
        <v>360.54</v>
      </c>
      <c r="BZ127" s="2">
        <v>187.67</v>
      </c>
      <c r="CA127" s="2">
        <v>603.47</v>
      </c>
      <c r="CB127" s="2">
        <v>203.95</v>
      </c>
      <c r="CC127" s="2">
        <v>523.45000000000005</v>
      </c>
      <c r="CD127" s="2">
        <v>188.75</v>
      </c>
      <c r="CE127" s="2">
        <v>517.70000000000005</v>
      </c>
      <c r="CF127" s="2">
        <v>212.74</v>
      </c>
      <c r="CG127" s="2">
        <v>439.45</v>
      </c>
      <c r="CH127" s="2">
        <v>347.36</v>
      </c>
      <c r="CI127" s="2">
        <v>709.41</v>
      </c>
      <c r="CJ127" s="2">
        <v>653.55999999999995</v>
      </c>
      <c r="CK127" s="2">
        <v>932.19</v>
      </c>
      <c r="CL127" s="2">
        <v>1004.04</v>
      </c>
    </row>
    <row r="128" spans="2:90" x14ac:dyDescent="0.3">
      <c r="X128" s="1" t="s">
        <v>28</v>
      </c>
      <c r="Y128" s="2">
        <v>50.08</v>
      </c>
      <c r="Z128" s="2">
        <v>112.99</v>
      </c>
      <c r="AA128" s="2">
        <v>22.48</v>
      </c>
      <c r="AB128" s="2">
        <v>2.34</v>
      </c>
      <c r="AC128" s="2">
        <v>15.5</v>
      </c>
      <c r="AD128" s="2">
        <v>58.74</v>
      </c>
      <c r="AE128" s="2">
        <v>75.98</v>
      </c>
      <c r="AF128" s="2">
        <v>66.19</v>
      </c>
      <c r="AG128" s="2">
        <v>69.34</v>
      </c>
      <c r="AH128" s="2">
        <v>87.07</v>
      </c>
      <c r="AI128" s="2">
        <v>38.22</v>
      </c>
      <c r="AJ128" s="2">
        <v>88.95</v>
      </c>
      <c r="AK128" s="2">
        <v>26.61</v>
      </c>
      <c r="AL128" s="2">
        <v>10.94</v>
      </c>
      <c r="AM128" s="2">
        <v>37.99</v>
      </c>
      <c r="AN128" s="2">
        <v>34.43</v>
      </c>
      <c r="AO128" s="2">
        <v>70.95</v>
      </c>
      <c r="AP128" s="2">
        <v>74.63</v>
      </c>
      <c r="AQ128" s="2">
        <v>80.84</v>
      </c>
      <c r="AR128" s="2">
        <v>61.42</v>
      </c>
      <c r="AU128" s="1" t="s">
        <v>28</v>
      </c>
      <c r="AV128" s="2">
        <v>50.08</v>
      </c>
      <c r="AW128" s="2">
        <v>112.99</v>
      </c>
      <c r="AX128" s="2">
        <v>22.48</v>
      </c>
      <c r="AY128" s="2">
        <v>2.34</v>
      </c>
      <c r="AZ128" s="2">
        <v>15.5</v>
      </c>
      <c r="BA128" s="2">
        <v>58.74</v>
      </c>
      <c r="BB128" s="2">
        <v>75.98</v>
      </c>
      <c r="BC128" s="2">
        <v>66.19</v>
      </c>
      <c r="BD128" s="2">
        <v>69.34</v>
      </c>
      <c r="BE128" s="2">
        <v>87.07</v>
      </c>
      <c r="BF128" s="2">
        <v>38.22</v>
      </c>
      <c r="BG128" s="2">
        <v>88.95</v>
      </c>
      <c r="BH128" s="2">
        <v>26.61</v>
      </c>
      <c r="BI128" s="2">
        <v>10.94</v>
      </c>
      <c r="BJ128" s="2">
        <v>37.99</v>
      </c>
      <c r="BK128" s="2">
        <v>34.43</v>
      </c>
      <c r="BL128" s="2">
        <v>70.95</v>
      </c>
      <c r="BM128" s="2">
        <v>74.63</v>
      </c>
      <c r="BN128" s="2">
        <v>80.84</v>
      </c>
      <c r="BO128" s="2">
        <v>61.42</v>
      </c>
      <c r="BR128" s="1" t="s">
        <v>28</v>
      </c>
      <c r="BS128" s="2">
        <v>392.62</v>
      </c>
      <c r="BT128" s="2">
        <v>319.31</v>
      </c>
      <c r="BU128" s="2">
        <v>176.85</v>
      </c>
      <c r="BV128" s="2">
        <v>183.25</v>
      </c>
      <c r="BW128" s="2">
        <v>131.13999999999999</v>
      </c>
      <c r="BX128" s="2">
        <v>214.03</v>
      </c>
      <c r="BY128" s="2">
        <v>625.58000000000004</v>
      </c>
      <c r="BZ128" s="2">
        <v>308.98</v>
      </c>
      <c r="CA128" s="2">
        <v>1191.2</v>
      </c>
      <c r="CB128" s="2">
        <v>383.49</v>
      </c>
      <c r="CC128" s="2">
        <v>576.41</v>
      </c>
      <c r="CD128" s="2">
        <v>380.13</v>
      </c>
      <c r="CE128" s="2">
        <v>486.65</v>
      </c>
      <c r="CF128" s="2">
        <v>458.46</v>
      </c>
      <c r="CG128" s="2">
        <v>613.66</v>
      </c>
      <c r="CH128" s="2">
        <v>714.04</v>
      </c>
      <c r="CI128" s="2">
        <v>750.6</v>
      </c>
      <c r="CJ128" s="2">
        <v>1184.52</v>
      </c>
      <c r="CK128" s="2">
        <v>1053.6500000000001</v>
      </c>
      <c r="CL128" s="2">
        <v>1845</v>
      </c>
    </row>
    <row r="131" spans="24:67" x14ac:dyDescent="0.3">
      <c r="X131" t="s">
        <v>60</v>
      </c>
      <c r="AU131" t="s">
        <v>61</v>
      </c>
    </row>
    <row r="132" spans="24:67" x14ac:dyDescent="0.3">
      <c r="X132" s="1" t="s">
        <v>16</v>
      </c>
      <c r="Y132" s="1" t="s">
        <v>17</v>
      </c>
      <c r="Z132" s="1" t="s">
        <v>18</v>
      </c>
      <c r="AA132" s="1" t="s">
        <v>17</v>
      </c>
      <c r="AB132" s="1" t="s">
        <v>18</v>
      </c>
      <c r="AC132" s="1" t="s">
        <v>17</v>
      </c>
      <c r="AD132" s="1" t="s">
        <v>18</v>
      </c>
      <c r="AE132" s="1" t="s">
        <v>17</v>
      </c>
      <c r="AF132" s="1" t="s">
        <v>18</v>
      </c>
      <c r="AG132" s="1" t="s">
        <v>17</v>
      </c>
      <c r="AH132" s="1" t="s">
        <v>18</v>
      </c>
      <c r="AI132" s="1" t="s">
        <v>17</v>
      </c>
      <c r="AJ132" s="1" t="s">
        <v>18</v>
      </c>
      <c r="AK132" s="1" t="s">
        <v>17</v>
      </c>
      <c r="AL132" s="1" t="s">
        <v>18</v>
      </c>
      <c r="AM132" s="1" t="s">
        <v>17</v>
      </c>
      <c r="AN132" s="1" t="s">
        <v>18</v>
      </c>
      <c r="AO132" s="1" t="s">
        <v>17</v>
      </c>
      <c r="AP132" s="1" t="s">
        <v>18</v>
      </c>
      <c r="AQ132" s="1" t="s">
        <v>17</v>
      </c>
      <c r="AR132" s="1" t="s">
        <v>18</v>
      </c>
      <c r="AU132" s="1" t="s">
        <v>16</v>
      </c>
      <c r="AV132" s="1" t="s">
        <v>17</v>
      </c>
      <c r="AW132" s="1" t="s">
        <v>18</v>
      </c>
      <c r="AX132" s="1" t="s">
        <v>17</v>
      </c>
      <c r="AY132" s="1" t="s">
        <v>18</v>
      </c>
      <c r="AZ132" s="1" t="s">
        <v>17</v>
      </c>
      <c r="BA132" s="1" t="s">
        <v>18</v>
      </c>
      <c r="BB132" s="1" t="s">
        <v>17</v>
      </c>
      <c r="BC132" s="1" t="s">
        <v>18</v>
      </c>
      <c r="BD132" s="1" t="s">
        <v>17</v>
      </c>
      <c r="BE132" s="1" t="s">
        <v>18</v>
      </c>
      <c r="BF132" s="1" t="s">
        <v>17</v>
      </c>
      <c r="BG132" s="1" t="s">
        <v>18</v>
      </c>
      <c r="BH132" s="1" t="s">
        <v>17</v>
      </c>
      <c r="BI132" s="1" t="s">
        <v>18</v>
      </c>
      <c r="BJ132" s="1" t="s">
        <v>17</v>
      </c>
      <c r="BK132" s="1" t="s">
        <v>18</v>
      </c>
      <c r="BL132" s="1" t="s">
        <v>17</v>
      </c>
      <c r="BM132" s="1" t="s">
        <v>18</v>
      </c>
      <c r="BN132" s="1" t="s">
        <v>17</v>
      </c>
      <c r="BO132" s="1" t="s">
        <v>18</v>
      </c>
    </row>
    <row r="133" spans="24:67" x14ac:dyDescent="0.3">
      <c r="X133" s="1" t="s">
        <v>19</v>
      </c>
      <c r="Y133" s="1" t="s">
        <v>1</v>
      </c>
      <c r="Z133" s="1" t="s">
        <v>1</v>
      </c>
      <c r="AA133" s="1" t="s">
        <v>2</v>
      </c>
      <c r="AB133" s="1" t="s">
        <v>2</v>
      </c>
      <c r="AC133" s="1" t="s">
        <v>3</v>
      </c>
      <c r="AD133" s="1" t="s">
        <v>3</v>
      </c>
      <c r="AE133" s="1" t="s">
        <v>4</v>
      </c>
      <c r="AF133" s="1" t="s">
        <v>4</v>
      </c>
      <c r="AG133" s="1" t="s">
        <v>5</v>
      </c>
      <c r="AH133" s="1" t="s">
        <v>5</v>
      </c>
      <c r="AI133" s="1" t="s">
        <v>6</v>
      </c>
      <c r="AJ133" s="1" t="s">
        <v>6</v>
      </c>
      <c r="AK133" s="1" t="s">
        <v>7</v>
      </c>
      <c r="AL133" s="1" t="s">
        <v>7</v>
      </c>
      <c r="AM133" s="1" t="s">
        <v>8</v>
      </c>
      <c r="AN133" s="1" t="s">
        <v>8</v>
      </c>
      <c r="AO133" s="1" t="s">
        <v>9</v>
      </c>
      <c r="AP133" s="1" t="s">
        <v>9</v>
      </c>
      <c r="AQ133" s="1" t="s">
        <v>10</v>
      </c>
      <c r="AR133" s="1" t="s">
        <v>10</v>
      </c>
      <c r="AU133" s="1" t="s">
        <v>19</v>
      </c>
      <c r="AV133" s="1" t="s">
        <v>1</v>
      </c>
      <c r="AW133" s="1" t="s">
        <v>1</v>
      </c>
      <c r="AX133" s="1" t="s">
        <v>2</v>
      </c>
      <c r="AY133" s="1" t="s">
        <v>2</v>
      </c>
      <c r="AZ133" s="1" t="s">
        <v>3</v>
      </c>
      <c r="BA133" s="1" t="s">
        <v>3</v>
      </c>
      <c r="BB133" s="1" t="s">
        <v>4</v>
      </c>
      <c r="BC133" s="1" t="s">
        <v>4</v>
      </c>
      <c r="BD133" s="1" t="s">
        <v>5</v>
      </c>
      <c r="BE133" s="1" t="s">
        <v>5</v>
      </c>
      <c r="BF133" s="1" t="s">
        <v>6</v>
      </c>
      <c r="BG133" s="1" t="s">
        <v>6</v>
      </c>
      <c r="BH133" s="1" t="s">
        <v>7</v>
      </c>
      <c r="BI133" s="1" t="s">
        <v>7</v>
      </c>
      <c r="BJ133" s="1" t="s">
        <v>8</v>
      </c>
      <c r="BK133" s="1" t="s">
        <v>8</v>
      </c>
      <c r="BL133" s="1" t="s">
        <v>9</v>
      </c>
      <c r="BM133" s="1" t="s">
        <v>9</v>
      </c>
      <c r="BN133" s="1" t="s">
        <v>10</v>
      </c>
      <c r="BO133" s="1" t="s">
        <v>10</v>
      </c>
    </row>
    <row r="134" spans="24:67" x14ac:dyDescent="0.3">
      <c r="X134" s="1" t="s">
        <v>20</v>
      </c>
      <c r="AU134" s="1" t="s">
        <v>20</v>
      </c>
    </row>
    <row r="135" spans="24:67" x14ac:dyDescent="0.3">
      <c r="X135" s="1" t="s">
        <v>21</v>
      </c>
      <c r="Y135" s="2">
        <v>17.71</v>
      </c>
      <c r="Z135" s="2">
        <v>18.68</v>
      </c>
      <c r="AA135" s="2">
        <v>13.39</v>
      </c>
      <c r="AB135" s="2">
        <v>13.39</v>
      </c>
      <c r="AC135" s="2">
        <v>14.28</v>
      </c>
      <c r="AD135" s="2">
        <v>21.42</v>
      </c>
      <c r="AE135" s="2">
        <v>12.97</v>
      </c>
      <c r="AF135" s="2">
        <v>39.619999999999997</v>
      </c>
      <c r="AG135" s="2">
        <v>31.92</v>
      </c>
      <c r="AH135" s="2">
        <v>29.33</v>
      </c>
      <c r="AI135" s="2">
        <v>30.24</v>
      </c>
      <c r="AJ135" s="2">
        <v>30.24</v>
      </c>
      <c r="AK135" s="2">
        <v>35.700000000000003</v>
      </c>
      <c r="AL135" s="2">
        <v>27.86</v>
      </c>
      <c r="AM135" s="2">
        <v>27.79</v>
      </c>
      <c r="AN135" s="2">
        <v>26.95</v>
      </c>
      <c r="AO135" s="2">
        <v>31.01</v>
      </c>
      <c r="AP135" s="2">
        <v>24.99</v>
      </c>
      <c r="AQ135" s="2">
        <v>31.36</v>
      </c>
      <c r="AR135" s="2">
        <v>27.86</v>
      </c>
      <c r="AU135" s="1" t="s">
        <v>21</v>
      </c>
      <c r="AV135" s="2">
        <v>286.19</v>
      </c>
      <c r="AW135" s="2">
        <v>301.85000000000002</v>
      </c>
      <c r="AX135" s="2">
        <v>201.51</v>
      </c>
      <c r="AY135" s="2">
        <v>201.51</v>
      </c>
      <c r="AZ135" s="2">
        <v>215.32</v>
      </c>
      <c r="BA135" s="2">
        <v>323.05</v>
      </c>
      <c r="BB135" s="2">
        <v>246.38</v>
      </c>
      <c r="BC135" s="2">
        <v>356.58</v>
      </c>
      <c r="BD135" s="2">
        <v>287.27999999999997</v>
      </c>
      <c r="BE135" s="2">
        <v>263.97000000000003</v>
      </c>
      <c r="BF135" s="2">
        <v>272.16000000000003</v>
      </c>
      <c r="BG135" s="2">
        <v>272.16000000000003</v>
      </c>
      <c r="BH135" s="2">
        <v>321.3</v>
      </c>
      <c r="BI135" s="2">
        <v>250.74</v>
      </c>
      <c r="BJ135" s="2">
        <v>250.11</v>
      </c>
      <c r="BK135" s="2">
        <v>242.55</v>
      </c>
      <c r="BL135" s="2">
        <v>279.08999999999997</v>
      </c>
      <c r="BM135" s="2">
        <v>224.91</v>
      </c>
      <c r="BN135" s="2">
        <v>282.24</v>
      </c>
      <c r="BO135" s="2">
        <v>250.74</v>
      </c>
    </row>
    <row r="136" spans="24:67" x14ac:dyDescent="0.3">
      <c r="X136" s="1" t="s">
        <v>22</v>
      </c>
      <c r="Y136" s="2">
        <v>29.06</v>
      </c>
      <c r="Z136" s="2">
        <v>23.05</v>
      </c>
      <c r="AA136" s="2">
        <v>16.09</v>
      </c>
      <c r="AB136" s="2">
        <v>17.899999999999999</v>
      </c>
      <c r="AC136" s="2">
        <v>17.55</v>
      </c>
      <c r="AD136" s="2">
        <v>30.36</v>
      </c>
      <c r="AE136" s="2">
        <v>25.02</v>
      </c>
      <c r="AF136" s="2">
        <v>35.24</v>
      </c>
      <c r="AG136" s="2">
        <v>25.3</v>
      </c>
      <c r="AH136" s="2">
        <v>32.630000000000003</v>
      </c>
      <c r="AI136" s="2">
        <v>25.2</v>
      </c>
      <c r="AJ136" s="2">
        <v>35.99</v>
      </c>
      <c r="AK136" s="2">
        <v>26.75</v>
      </c>
      <c r="AL136" s="2">
        <v>29.77</v>
      </c>
      <c r="AM136" s="2">
        <v>25.02</v>
      </c>
      <c r="AN136" s="2">
        <v>24.31</v>
      </c>
      <c r="AO136" s="2">
        <v>21.26</v>
      </c>
      <c r="AP136" s="2">
        <v>23.91</v>
      </c>
      <c r="AQ136" s="2">
        <v>28.16</v>
      </c>
      <c r="AR136" s="2">
        <v>22.7</v>
      </c>
      <c r="AU136" s="1" t="s">
        <v>22</v>
      </c>
      <c r="AV136" s="2">
        <v>148.11000000000001</v>
      </c>
      <c r="AW136" s="2">
        <v>116.51</v>
      </c>
      <c r="AX136" s="2">
        <v>76.25</v>
      </c>
      <c r="AY136" s="2">
        <v>84.13</v>
      </c>
      <c r="AZ136" s="2">
        <v>82.25</v>
      </c>
      <c r="BA136" s="2">
        <v>142.44999999999999</v>
      </c>
      <c r="BB136" s="2">
        <v>119.48</v>
      </c>
      <c r="BC136" s="2">
        <v>165.96</v>
      </c>
      <c r="BD136" s="2">
        <v>130.31</v>
      </c>
      <c r="BE136" s="2">
        <v>165.57</v>
      </c>
      <c r="BF136" s="2">
        <v>131.74</v>
      </c>
      <c r="BG136" s="2">
        <v>183.51</v>
      </c>
      <c r="BH136" s="2">
        <v>137.44999999999999</v>
      </c>
      <c r="BI136" s="2">
        <v>151.83000000000001</v>
      </c>
      <c r="BJ136" s="2">
        <v>128.75</v>
      </c>
      <c r="BK136" s="2">
        <v>124.27</v>
      </c>
      <c r="BL136" s="2">
        <v>108.94</v>
      </c>
      <c r="BM136" s="2">
        <v>121.28</v>
      </c>
      <c r="BN136" s="2">
        <v>146.72999999999999</v>
      </c>
      <c r="BO136" s="2">
        <v>115.53</v>
      </c>
    </row>
    <row r="137" spans="24:67" x14ac:dyDescent="0.3">
      <c r="X137" s="1" t="s">
        <v>23</v>
      </c>
      <c r="Y137" s="2">
        <v>179.53</v>
      </c>
      <c r="Z137" s="2">
        <v>65.09</v>
      </c>
      <c r="AA137" s="2">
        <v>134.27000000000001</v>
      </c>
      <c r="AB137" s="2">
        <v>51.05</v>
      </c>
      <c r="AC137" s="2">
        <v>208.26</v>
      </c>
      <c r="AD137" s="2">
        <v>250.13</v>
      </c>
      <c r="AE137" s="2">
        <v>211.22</v>
      </c>
      <c r="AF137" s="2">
        <v>140.04</v>
      </c>
      <c r="AG137" s="2">
        <v>260.49</v>
      </c>
      <c r="AH137" s="2">
        <v>138.57</v>
      </c>
      <c r="AI137" s="2">
        <v>252.37</v>
      </c>
      <c r="AJ137" s="2">
        <v>144.05000000000001</v>
      </c>
      <c r="AK137" s="2">
        <v>267.74</v>
      </c>
      <c r="AL137" s="2">
        <v>127.74</v>
      </c>
      <c r="AM137" s="2">
        <v>251.01</v>
      </c>
      <c r="AN137" s="2">
        <v>111.58</v>
      </c>
      <c r="AO137" s="2">
        <v>115.28</v>
      </c>
      <c r="AP137" s="2">
        <v>120.88</v>
      </c>
      <c r="AQ137" s="2">
        <v>94.68</v>
      </c>
      <c r="AR137" s="2">
        <v>88.15</v>
      </c>
      <c r="AU137" s="1" t="s">
        <v>23</v>
      </c>
      <c r="AV137" s="2">
        <v>634.59</v>
      </c>
      <c r="AW137" s="2">
        <v>329.06</v>
      </c>
      <c r="AX137" s="2">
        <v>530.28</v>
      </c>
      <c r="AY137" s="2">
        <v>240.5</v>
      </c>
      <c r="AZ137" s="2">
        <v>475.92</v>
      </c>
      <c r="BA137" s="2">
        <v>779.82</v>
      </c>
      <c r="BB137" s="2">
        <v>619.04999999999995</v>
      </c>
      <c r="BC137" s="2">
        <v>664.02</v>
      </c>
      <c r="BD137" s="2">
        <v>746.13</v>
      </c>
      <c r="BE137" s="2">
        <v>705.83</v>
      </c>
      <c r="BF137" s="2">
        <v>708.38</v>
      </c>
      <c r="BG137" s="2">
        <v>738.74</v>
      </c>
      <c r="BH137" s="2">
        <v>711.53</v>
      </c>
      <c r="BI137" s="2">
        <v>652.67999999999995</v>
      </c>
      <c r="BJ137" s="2">
        <v>652.64</v>
      </c>
      <c r="BK137" s="2">
        <v>572.42999999999995</v>
      </c>
      <c r="BL137" s="2">
        <v>572.76</v>
      </c>
      <c r="BM137" s="2">
        <v>614.71</v>
      </c>
      <c r="BN137" s="2">
        <v>483.26</v>
      </c>
      <c r="BO137" s="2">
        <v>448.1</v>
      </c>
    </row>
    <row r="138" spans="24:67" x14ac:dyDescent="0.3">
      <c r="X138" s="1" t="s">
        <v>24</v>
      </c>
      <c r="Y138" s="2">
        <v>56.38</v>
      </c>
      <c r="Z138" s="2">
        <v>20.43</v>
      </c>
      <c r="AA138" s="2">
        <v>38.369999999999997</v>
      </c>
      <c r="AB138" s="2">
        <v>22.19</v>
      </c>
      <c r="AC138" s="2">
        <v>47.32</v>
      </c>
      <c r="AD138" s="2">
        <v>43.05</v>
      </c>
      <c r="AE138" s="2">
        <v>61.3</v>
      </c>
      <c r="AF138" s="2">
        <v>35.64</v>
      </c>
      <c r="AG138" s="2">
        <v>55.61</v>
      </c>
      <c r="AH138" s="2">
        <v>40.549999999999997</v>
      </c>
      <c r="AI138" s="2">
        <v>58.86</v>
      </c>
      <c r="AJ138" s="2">
        <v>41.32</v>
      </c>
      <c r="AK138" s="2">
        <v>61.55</v>
      </c>
      <c r="AL138" s="2">
        <v>34.979999999999997</v>
      </c>
      <c r="AM138" s="2">
        <v>47.45</v>
      </c>
      <c r="AN138" s="2">
        <v>35.85</v>
      </c>
      <c r="AO138" s="2">
        <v>34.35</v>
      </c>
      <c r="AP138" s="2">
        <v>29.82</v>
      </c>
      <c r="AQ138" s="2">
        <v>31.52</v>
      </c>
      <c r="AR138" s="2">
        <v>26.89</v>
      </c>
      <c r="AU138" s="1" t="s">
        <v>24</v>
      </c>
      <c r="AV138" s="2">
        <v>191.29</v>
      </c>
      <c r="AW138" s="2">
        <v>103.05</v>
      </c>
      <c r="AX138" s="2">
        <v>136.94</v>
      </c>
      <c r="AY138" s="2">
        <v>104.16</v>
      </c>
      <c r="AZ138" s="2">
        <v>148.54</v>
      </c>
      <c r="BA138" s="2">
        <v>203.26</v>
      </c>
      <c r="BB138" s="2">
        <v>226.41</v>
      </c>
      <c r="BC138" s="2">
        <v>168.16</v>
      </c>
      <c r="BD138" s="2">
        <v>219.68</v>
      </c>
      <c r="BE138" s="2">
        <v>205.83</v>
      </c>
      <c r="BF138" s="2">
        <v>232.23</v>
      </c>
      <c r="BG138" s="2">
        <v>210.32</v>
      </c>
      <c r="BH138" s="2">
        <v>240.39</v>
      </c>
      <c r="BI138" s="2">
        <v>177.66</v>
      </c>
      <c r="BJ138" s="2">
        <v>231.83</v>
      </c>
      <c r="BK138" s="2">
        <v>182.38</v>
      </c>
      <c r="BL138" s="2">
        <v>174.71</v>
      </c>
      <c r="BM138" s="2">
        <v>150.94</v>
      </c>
      <c r="BN138" s="2">
        <v>159.96</v>
      </c>
      <c r="BO138" s="2">
        <v>136.16</v>
      </c>
    </row>
    <row r="139" spans="24:67" x14ac:dyDescent="0.3">
      <c r="X139" s="1" t="s">
        <v>25</v>
      </c>
      <c r="Y139" s="2">
        <v>159.80000000000001</v>
      </c>
      <c r="Z139" s="2">
        <v>161.72</v>
      </c>
      <c r="AA139" s="2">
        <v>175.62</v>
      </c>
      <c r="AB139" s="2">
        <v>163.41</v>
      </c>
      <c r="AC139" s="2">
        <v>156.49</v>
      </c>
      <c r="AD139" s="2">
        <v>155.94</v>
      </c>
      <c r="AE139" s="2">
        <v>188.6</v>
      </c>
      <c r="AF139" s="2">
        <v>207.86</v>
      </c>
      <c r="AG139" s="2">
        <v>207.02</v>
      </c>
      <c r="AH139" s="2">
        <v>196.86</v>
      </c>
      <c r="AI139" s="2">
        <v>193.05</v>
      </c>
      <c r="AJ139" s="2">
        <v>169.23</v>
      </c>
      <c r="AK139" s="2">
        <v>183.79</v>
      </c>
      <c r="AL139" s="2">
        <v>158.93</v>
      </c>
      <c r="AM139" s="2">
        <v>170.21</v>
      </c>
      <c r="AN139" s="2">
        <v>151.61000000000001</v>
      </c>
      <c r="AO139" s="2">
        <v>165.47</v>
      </c>
      <c r="AP139" s="2">
        <v>116.44</v>
      </c>
      <c r="AQ139" s="2">
        <v>142.15</v>
      </c>
      <c r="AR139" s="2">
        <v>137.29</v>
      </c>
      <c r="AU139" s="1" t="s">
        <v>25</v>
      </c>
      <c r="AV139" s="2">
        <v>550.41999999999996</v>
      </c>
      <c r="AW139" s="2">
        <v>690.28</v>
      </c>
      <c r="AX139" s="2">
        <v>679.29</v>
      </c>
      <c r="AY139" s="2">
        <v>765.69</v>
      </c>
      <c r="AZ139" s="2">
        <v>529.16999999999996</v>
      </c>
      <c r="BA139" s="2">
        <v>548.91</v>
      </c>
      <c r="BB139" s="2">
        <v>880.62</v>
      </c>
      <c r="BC139" s="2">
        <v>854.64</v>
      </c>
      <c r="BD139" s="2">
        <v>1048.43</v>
      </c>
      <c r="BE139" s="2">
        <v>929.64</v>
      </c>
      <c r="BF139" s="2">
        <v>983.37</v>
      </c>
      <c r="BG139" s="2">
        <v>861.52</v>
      </c>
      <c r="BH139" s="2">
        <v>928.19</v>
      </c>
      <c r="BI139" s="2">
        <v>804.37</v>
      </c>
      <c r="BJ139" s="2">
        <v>859.62</v>
      </c>
      <c r="BK139" s="2">
        <v>764.81</v>
      </c>
      <c r="BL139" s="2">
        <v>831.53</v>
      </c>
      <c r="BM139" s="2">
        <v>585.13</v>
      </c>
      <c r="BN139" s="2">
        <v>714.75</v>
      </c>
      <c r="BO139" s="2">
        <v>695.86</v>
      </c>
    </row>
    <row r="140" spans="24:67" x14ac:dyDescent="0.3">
      <c r="X140" s="1" t="s">
        <v>26</v>
      </c>
      <c r="Y140" s="2">
        <v>30.51</v>
      </c>
      <c r="Z140" s="2">
        <v>24.09</v>
      </c>
      <c r="AA140" s="2">
        <v>28.3</v>
      </c>
      <c r="AB140" s="2">
        <v>32.950000000000003</v>
      </c>
      <c r="AC140" s="2">
        <v>29.27</v>
      </c>
      <c r="AD140" s="2">
        <v>23.89</v>
      </c>
      <c r="AE140" s="2">
        <v>34.47</v>
      </c>
      <c r="AF140" s="2">
        <v>24.3</v>
      </c>
      <c r="AG140" s="2">
        <v>31.72</v>
      </c>
      <c r="AH140" s="2">
        <v>35.44</v>
      </c>
      <c r="AI140" s="2">
        <v>36.89</v>
      </c>
      <c r="AJ140" s="2">
        <v>35.549999999999997</v>
      </c>
      <c r="AK140" s="2">
        <v>34.25</v>
      </c>
      <c r="AL140" s="2">
        <v>30.45</v>
      </c>
      <c r="AM140" s="2">
        <v>34.5</v>
      </c>
      <c r="AN140" s="2">
        <v>36.020000000000003</v>
      </c>
      <c r="AO140" s="2">
        <v>35.19</v>
      </c>
      <c r="AP140" s="2">
        <v>26.88</v>
      </c>
      <c r="AQ140" s="2">
        <v>29.87</v>
      </c>
      <c r="AR140" s="2">
        <v>24.84</v>
      </c>
      <c r="AU140" s="1" t="s">
        <v>26</v>
      </c>
      <c r="AV140" s="2">
        <v>92.88</v>
      </c>
      <c r="AW140" s="2">
        <v>95.73</v>
      </c>
      <c r="AX140" s="2">
        <v>107.36</v>
      </c>
      <c r="AY140" s="2">
        <v>125.55</v>
      </c>
      <c r="AZ140" s="2">
        <v>85.13</v>
      </c>
      <c r="BA140" s="2">
        <v>73.459999999999994</v>
      </c>
      <c r="BB140" s="2">
        <v>126.37</v>
      </c>
      <c r="BC140" s="2">
        <v>75.73</v>
      </c>
      <c r="BD140" s="2">
        <v>125.8</v>
      </c>
      <c r="BE140" s="2">
        <v>144.61000000000001</v>
      </c>
      <c r="BF140" s="2">
        <v>149.22</v>
      </c>
      <c r="BG140" s="2">
        <v>151.9</v>
      </c>
      <c r="BH140" s="2">
        <v>137.47999999999999</v>
      </c>
      <c r="BI140" s="2">
        <v>126.29</v>
      </c>
      <c r="BJ140" s="2">
        <v>139.36000000000001</v>
      </c>
      <c r="BK140" s="2">
        <v>151.38999999999999</v>
      </c>
      <c r="BL140" s="2">
        <v>140.85</v>
      </c>
      <c r="BM140" s="2">
        <v>110.94</v>
      </c>
      <c r="BN140" s="2">
        <v>119.43</v>
      </c>
      <c r="BO140" s="2">
        <v>99.48</v>
      </c>
    </row>
    <row r="141" spans="24:67" x14ac:dyDescent="0.3">
      <c r="X141" s="1" t="s">
        <v>27</v>
      </c>
      <c r="Y141" s="2">
        <v>89.69</v>
      </c>
      <c r="Z141" s="2">
        <v>106.57</v>
      </c>
      <c r="AA141" s="2">
        <v>67.17</v>
      </c>
      <c r="AB141" s="2">
        <v>78.38</v>
      </c>
      <c r="AC141" s="2">
        <v>84.32</v>
      </c>
      <c r="AD141" s="2">
        <v>81.81</v>
      </c>
      <c r="AE141" s="2">
        <v>84.61</v>
      </c>
      <c r="AF141" s="2">
        <v>117.1</v>
      </c>
      <c r="AG141" s="2">
        <v>80.8</v>
      </c>
      <c r="AH141" s="2">
        <v>108.99</v>
      </c>
      <c r="AI141" s="2">
        <v>82.03</v>
      </c>
      <c r="AJ141" s="2">
        <v>134</v>
      </c>
      <c r="AK141" s="2">
        <v>74.510000000000005</v>
      </c>
      <c r="AL141" s="2">
        <v>106.32</v>
      </c>
      <c r="AM141" s="2">
        <v>80.16</v>
      </c>
      <c r="AN141" s="2">
        <v>84.68</v>
      </c>
      <c r="AO141" s="2">
        <v>76.8</v>
      </c>
      <c r="AP141" s="2">
        <v>59.11</v>
      </c>
      <c r="AQ141" s="2">
        <v>64.650000000000006</v>
      </c>
      <c r="AR141" s="2">
        <v>62.56</v>
      </c>
      <c r="AU141" s="1" t="s">
        <v>27</v>
      </c>
      <c r="AV141" s="2">
        <v>288.7</v>
      </c>
      <c r="AW141" s="2">
        <v>345.03</v>
      </c>
      <c r="AX141" s="2">
        <v>255.07</v>
      </c>
      <c r="AY141" s="2">
        <v>294</v>
      </c>
      <c r="AZ141" s="2">
        <v>215.87</v>
      </c>
      <c r="BA141" s="2">
        <v>260.33999999999997</v>
      </c>
      <c r="BB141" s="2">
        <v>315.44</v>
      </c>
      <c r="BC141" s="2">
        <v>249.16</v>
      </c>
      <c r="BD141" s="2">
        <v>324.27999999999997</v>
      </c>
      <c r="BE141" s="2">
        <v>413.44</v>
      </c>
      <c r="BF141" s="2">
        <v>338.24</v>
      </c>
      <c r="BG141" s="2">
        <v>359.09</v>
      </c>
      <c r="BH141" s="2">
        <v>303.83</v>
      </c>
      <c r="BI141" s="2">
        <v>307.95999999999998</v>
      </c>
      <c r="BJ141" s="2">
        <v>325.62</v>
      </c>
      <c r="BK141" s="2">
        <v>359.17</v>
      </c>
      <c r="BL141" s="2">
        <v>310.41000000000003</v>
      </c>
      <c r="BM141" s="2">
        <v>240.21</v>
      </c>
      <c r="BN141" s="2">
        <v>261.81</v>
      </c>
      <c r="BO141" s="2">
        <v>253.57</v>
      </c>
    </row>
    <row r="142" spans="24:67" x14ac:dyDescent="0.3">
      <c r="X142" s="1" t="s">
        <v>28</v>
      </c>
      <c r="Y142" s="2">
        <v>38.53</v>
      </c>
      <c r="Z142" s="2">
        <v>29.4</v>
      </c>
      <c r="AA142" s="2">
        <v>17.29</v>
      </c>
      <c r="AB142" s="2">
        <v>20.47</v>
      </c>
      <c r="AC142" s="2">
        <v>4.67</v>
      </c>
      <c r="AD142" s="2">
        <v>21.87</v>
      </c>
      <c r="AE142" s="2">
        <v>9.69</v>
      </c>
      <c r="AF142" s="2">
        <v>23.75</v>
      </c>
      <c r="AG142" s="2">
        <v>29.37</v>
      </c>
      <c r="AH142" s="2">
        <v>17.22</v>
      </c>
      <c r="AI142" s="2">
        <v>21.11</v>
      </c>
      <c r="AJ142" s="2">
        <v>19.71</v>
      </c>
      <c r="AK142" s="2">
        <v>22.82</v>
      </c>
      <c r="AL142" s="2">
        <v>25.73</v>
      </c>
      <c r="AM142" s="2">
        <v>18.25</v>
      </c>
      <c r="AN142" s="2">
        <v>21.27</v>
      </c>
      <c r="AO142" s="2">
        <v>25.61</v>
      </c>
      <c r="AP142" s="2">
        <v>18.059999999999999</v>
      </c>
      <c r="AQ142" s="2">
        <v>25.11</v>
      </c>
      <c r="AR142" s="2">
        <v>19.77</v>
      </c>
      <c r="AU142" s="1" t="s">
        <v>28</v>
      </c>
      <c r="AV142" s="2">
        <v>150.47</v>
      </c>
      <c r="AW142" s="2">
        <v>115.2</v>
      </c>
      <c r="AX142" s="2">
        <v>62.79</v>
      </c>
      <c r="AY142" s="2">
        <v>74.150000000000006</v>
      </c>
      <c r="AZ142" s="2">
        <v>88.81</v>
      </c>
      <c r="BA142" s="2">
        <v>79.02</v>
      </c>
      <c r="BB142" s="2">
        <v>94.34</v>
      </c>
      <c r="BC142" s="2">
        <v>86.27</v>
      </c>
      <c r="BD142" s="2">
        <v>114.63</v>
      </c>
      <c r="BE142" s="2">
        <v>67.66</v>
      </c>
      <c r="BF142" s="2">
        <v>82.39</v>
      </c>
      <c r="BG142" s="2">
        <v>78.02</v>
      </c>
      <c r="BH142" s="2">
        <v>89.08</v>
      </c>
      <c r="BI142" s="2">
        <v>101.17</v>
      </c>
      <c r="BJ142" s="2">
        <v>71.150000000000006</v>
      </c>
      <c r="BK142" s="2">
        <v>83.13</v>
      </c>
      <c r="BL142" s="2">
        <v>99.79</v>
      </c>
      <c r="BM142" s="2">
        <v>70.44</v>
      </c>
      <c r="BN142" s="2">
        <v>97.89</v>
      </c>
      <c r="BO142" s="2">
        <v>77.13</v>
      </c>
    </row>
    <row r="145" spans="24:67" x14ac:dyDescent="0.3">
      <c r="X145" t="s">
        <v>62</v>
      </c>
      <c r="AU145" t="s">
        <v>63</v>
      </c>
    </row>
    <row r="146" spans="24:67" x14ac:dyDescent="0.3">
      <c r="X146" s="1" t="s">
        <v>16</v>
      </c>
      <c r="Y146" s="13" t="s">
        <v>17</v>
      </c>
      <c r="Z146" s="13"/>
      <c r="AA146" s="13"/>
      <c r="AB146" s="13"/>
      <c r="AC146" s="13"/>
      <c r="AD146" s="13"/>
      <c r="AE146" s="13"/>
      <c r="AF146" s="13"/>
      <c r="AG146" s="13"/>
      <c r="AH146" s="13"/>
      <c r="AI146" s="13" t="s">
        <v>18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U146" s="1" t="s">
        <v>16</v>
      </c>
      <c r="AV146" s="13" t="s">
        <v>17</v>
      </c>
      <c r="AW146" s="13"/>
      <c r="AX146" s="13"/>
      <c r="AY146" s="13"/>
      <c r="AZ146" s="13"/>
      <c r="BA146" s="13"/>
      <c r="BB146" s="13"/>
      <c r="BC146" s="13"/>
      <c r="BD146" s="13"/>
      <c r="BE146" s="13"/>
      <c r="BF146" s="13" t="s">
        <v>18</v>
      </c>
      <c r="BG146" s="13"/>
      <c r="BH146" s="13"/>
      <c r="BI146" s="13"/>
      <c r="BJ146" s="13"/>
      <c r="BK146" s="13"/>
      <c r="BL146" s="13"/>
      <c r="BM146" s="13"/>
      <c r="BN146" s="13"/>
      <c r="BO146" s="13"/>
    </row>
    <row r="147" spans="24:67" x14ac:dyDescent="0.3">
      <c r="X147" s="1" t="s">
        <v>19</v>
      </c>
      <c r="Y147" s="1" t="s">
        <v>1</v>
      </c>
      <c r="Z147" s="1" t="s">
        <v>10</v>
      </c>
      <c r="AA147" s="1" t="s">
        <v>2</v>
      </c>
      <c r="AB147" s="1" t="s">
        <v>3</v>
      </c>
      <c r="AC147" s="1" t="s">
        <v>4</v>
      </c>
      <c r="AD147" s="1" t="s">
        <v>5</v>
      </c>
      <c r="AE147" s="1" t="s">
        <v>6</v>
      </c>
      <c r="AF147" s="1" t="s">
        <v>7</v>
      </c>
      <c r="AG147" s="1" t="s">
        <v>8</v>
      </c>
      <c r="AH147" s="1" t="s">
        <v>9</v>
      </c>
      <c r="AI147" s="1" t="s">
        <v>1</v>
      </c>
      <c r="AJ147" s="1" t="s">
        <v>10</v>
      </c>
      <c r="AK147" s="1" t="s">
        <v>2</v>
      </c>
      <c r="AL147" s="1" t="s">
        <v>3</v>
      </c>
      <c r="AM147" s="1" t="s">
        <v>4</v>
      </c>
      <c r="AN147" s="1" t="s">
        <v>5</v>
      </c>
      <c r="AO147" s="1" t="s">
        <v>6</v>
      </c>
      <c r="AP147" s="1" t="s">
        <v>7</v>
      </c>
      <c r="AQ147" s="1" t="s">
        <v>8</v>
      </c>
      <c r="AR147" s="1" t="s">
        <v>9</v>
      </c>
      <c r="AU147" s="1" t="s">
        <v>19</v>
      </c>
      <c r="AV147" s="1" t="s">
        <v>1</v>
      </c>
      <c r="AW147" s="1" t="s">
        <v>10</v>
      </c>
      <c r="AX147" s="1" t="s">
        <v>2</v>
      </c>
      <c r="AY147" s="1" t="s">
        <v>3</v>
      </c>
      <c r="AZ147" s="1" t="s">
        <v>4</v>
      </c>
      <c r="BA147" s="1" t="s">
        <v>5</v>
      </c>
      <c r="BB147" s="1" t="s">
        <v>6</v>
      </c>
      <c r="BC147" s="1" t="s">
        <v>7</v>
      </c>
      <c r="BD147" s="1" t="s">
        <v>8</v>
      </c>
      <c r="BE147" s="1" t="s">
        <v>9</v>
      </c>
      <c r="BF147" s="1" t="s">
        <v>1</v>
      </c>
      <c r="BG147" s="1" t="s">
        <v>10</v>
      </c>
      <c r="BH147" s="1" t="s">
        <v>2</v>
      </c>
      <c r="BI147" s="1" t="s">
        <v>3</v>
      </c>
      <c r="BJ147" s="1" t="s">
        <v>4</v>
      </c>
      <c r="BK147" s="1" t="s">
        <v>5</v>
      </c>
      <c r="BL147" s="1" t="s">
        <v>6</v>
      </c>
      <c r="BM147" s="1" t="s">
        <v>7</v>
      </c>
      <c r="BN147" s="1" t="s">
        <v>8</v>
      </c>
      <c r="BO147" s="1" t="s">
        <v>9</v>
      </c>
    </row>
    <row r="148" spans="24:67" x14ac:dyDescent="0.3">
      <c r="X148" s="1" t="s">
        <v>20</v>
      </c>
      <c r="AU148" s="1" t="s">
        <v>20</v>
      </c>
    </row>
    <row r="149" spans="24:67" x14ac:dyDescent="0.3">
      <c r="X149" s="1" t="s">
        <v>21</v>
      </c>
      <c r="Y149" s="2">
        <v>6.2</v>
      </c>
      <c r="Z149" s="2">
        <v>11.65</v>
      </c>
      <c r="AA149" s="2">
        <v>5.05</v>
      </c>
      <c r="AB149" s="2">
        <v>1.65</v>
      </c>
      <c r="AC149" s="2">
        <v>12.71</v>
      </c>
      <c r="AD149" s="2">
        <v>27.58</v>
      </c>
      <c r="AE149" s="2">
        <v>27.97</v>
      </c>
      <c r="AF149" s="2">
        <v>25.17</v>
      </c>
      <c r="AG149" s="2">
        <v>19.68</v>
      </c>
      <c r="AH149" s="2">
        <v>11.66</v>
      </c>
      <c r="AI149" s="2">
        <v>9.98</v>
      </c>
      <c r="AJ149" s="2">
        <v>15.75</v>
      </c>
      <c r="AK149" s="2">
        <v>5.05</v>
      </c>
      <c r="AL149" s="2">
        <v>3.39</v>
      </c>
      <c r="AM149" s="2">
        <v>12.66</v>
      </c>
      <c r="AN149" s="2">
        <v>36.26</v>
      </c>
      <c r="AO149" s="2">
        <v>40.32</v>
      </c>
      <c r="AP149" s="2">
        <v>27.81</v>
      </c>
      <c r="AQ149" s="2">
        <v>19.68</v>
      </c>
      <c r="AR149" s="2">
        <v>20.47</v>
      </c>
      <c r="AU149" s="1" t="s">
        <v>21</v>
      </c>
      <c r="AV149" s="2">
        <v>6.2</v>
      </c>
      <c r="AW149" s="2">
        <v>11.65</v>
      </c>
      <c r="AX149" s="2">
        <v>5.05</v>
      </c>
      <c r="AY149" s="2">
        <v>1.65</v>
      </c>
      <c r="AZ149" s="2">
        <v>12.71</v>
      </c>
      <c r="BA149" s="2">
        <v>27.58</v>
      </c>
      <c r="BB149" s="2">
        <v>27.97</v>
      </c>
      <c r="BC149" s="2">
        <v>25.17</v>
      </c>
      <c r="BD149" s="2">
        <v>19.68</v>
      </c>
      <c r="BE149" s="2">
        <v>11.66</v>
      </c>
      <c r="BF149" s="2">
        <v>9.98</v>
      </c>
      <c r="BG149" s="2">
        <v>15.75</v>
      </c>
      <c r="BH149" s="2">
        <v>5.05</v>
      </c>
      <c r="BI149" s="2">
        <v>3.39</v>
      </c>
      <c r="BJ149" s="2">
        <v>12.66</v>
      </c>
      <c r="BK149" s="2">
        <v>36.26</v>
      </c>
      <c r="BL149" s="2">
        <v>40.32</v>
      </c>
      <c r="BM149" s="2">
        <v>27.81</v>
      </c>
      <c r="BN149" s="2">
        <v>19.68</v>
      </c>
      <c r="BO149" s="2">
        <v>20.47</v>
      </c>
    </row>
    <row r="150" spans="24:67" x14ac:dyDescent="0.3">
      <c r="X150" s="1" t="s">
        <v>22</v>
      </c>
      <c r="Y150" s="2">
        <v>19.78</v>
      </c>
      <c r="Z150" s="2">
        <v>39.39</v>
      </c>
      <c r="AA150" s="2">
        <v>14.03</v>
      </c>
      <c r="AB150" s="2">
        <v>3.44</v>
      </c>
      <c r="AC150" s="2">
        <v>19.190000000000001</v>
      </c>
      <c r="AD150" s="2">
        <v>21.69</v>
      </c>
      <c r="AE150" s="2">
        <v>30.49</v>
      </c>
      <c r="AF150" s="2">
        <v>27.03</v>
      </c>
      <c r="AG150" s="2">
        <v>36.25</v>
      </c>
      <c r="AH150" s="2">
        <v>26.11</v>
      </c>
      <c r="AI150" s="2">
        <v>13.34</v>
      </c>
      <c r="AJ150" s="2">
        <v>42.83</v>
      </c>
      <c r="AK150" s="2">
        <v>10.53</v>
      </c>
      <c r="AL150" s="2">
        <v>7.38</v>
      </c>
      <c r="AM150" s="2">
        <v>26.43</v>
      </c>
      <c r="AN150" s="2">
        <v>29.61</v>
      </c>
      <c r="AO150" s="2">
        <v>40.04</v>
      </c>
      <c r="AP150" s="2">
        <v>31.34</v>
      </c>
      <c r="AQ150" s="2">
        <v>33.020000000000003</v>
      </c>
      <c r="AR150" s="2">
        <v>33.76</v>
      </c>
      <c r="AU150" s="1" t="s">
        <v>22</v>
      </c>
      <c r="AV150" s="2">
        <v>19.78</v>
      </c>
      <c r="AW150" s="2">
        <v>39.39</v>
      </c>
      <c r="AX150" s="2">
        <v>14.03</v>
      </c>
      <c r="AY150" s="2">
        <v>3.44</v>
      </c>
      <c r="AZ150" s="2">
        <v>19.190000000000001</v>
      </c>
      <c r="BA150" s="2">
        <v>21.69</v>
      </c>
      <c r="BB150" s="2">
        <v>30.49</v>
      </c>
      <c r="BC150" s="2">
        <v>27.03</v>
      </c>
      <c r="BD150" s="2">
        <v>36.25</v>
      </c>
      <c r="BE150" s="2">
        <v>26.11</v>
      </c>
      <c r="BF150" s="2">
        <v>13.34</v>
      </c>
      <c r="BG150" s="2">
        <v>42.83</v>
      </c>
      <c r="BH150" s="2">
        <v>10.53</v>
      </c>
      <c r="BI150" s="2">
        <v>7.38</v>
      </c>
      <c r="BJ150" s="2">
        <v>26.43</v>
      </c>
      <c r="BK150" s="2">
        <v>29.61</v>
      </c>
      <c r="BL150" s="2">
        <v>40.04</v>
      </c>
      <c r="BM150" s="2">
        <v>31.34</v>
      </c>
      <c r="BN150" s="2">
        <v>33.020000000000003</v>
      </c>
      <c r="BO150" s="2">
        <v>33.76</v>
      </c>
    </row>
    <row r="151" spans="24:67" x14ac:dyDescent="0.3">
      <c r="X151" s="1" t="s">
        <v>23</v>
      </c>
      <c r="Y151" s="2">
        <v>57.78</v>
      </c>
      <c r="Z151" s="2">
        <v>127.27</v>
      </c>
      <c r="AA151" s="2">
        <v>44.77</v>
      </c>
      <c r="AB151" s="2">
        <v>19.37</v>
      </c>
      <c r="AC151" s="2">
        <v>113.66</v>
      </c>
      <c r="AD151" s="2">
        <v>137.51</v>
      </c>
      <c r="AE151" s="2">
        <v>235.69</v>
      </c>
      <c r="AF151" s="2">
        <v>211.36</v>
      </c>
      <c r="AG151" s="2">
        <v>269.58999999999997</v>
      </c>
      <c r="AH151" s="2">
        <v>99.03</v>
      </c>
      <c r="AI151" s="2">
        <v>29.49</v>
      </c>
      <c r="AJ151" s="2">
        <v>119.35</v>
      </c>
      <c r="AK151" s="2">
        <v>19.07</v>
      </c>
      <c r="AL151" s="2">
        <v>35.340000000000003</v>
      </c>
      <c r="AM151" s="2">
        <v>84.21</v>
      </c>
      <c r="AN151" s="2">
        <v>85.15</v>
      </c>
      <c r="AO151" s="2">
        <v>137.41</v>
      </c>
      <c r="AP151" s="2">
        <v>113.48</v>
      </c>
      <c r="AQ151" s="2">
        <v>129.85</v>
      </c>
      <c r="AR151" s="2">
        <v>117.7</v>
      </c>
      <c r="AU151" s="1" t="s">
        <v>23</v>
      </c>
      <c r="AV151" s="2">
        <v>57.78</v>
      </c>
      <c r="AW151" s="2">
        <v>127.27</v>
      </c>
      <c r="AX151" s="2">
        <v>44.77</v>
      </c>
      <c r="AY151" s="2">
        <v>19.37</v>
      </c>
      <c r="AZ151" s="2">
        <v>113.66</v>
      </c>
      <c r="BA151" s="2">
        <v>137.51</v>
      </c>
      <c r="BB151" s="2">
        <v>235.69</v>
      </c>
      <c r="BC151" s="2">
        <v>211.36</v>
      </c>
      <c r="BD151" s="2">
        <v>269.58999999999997</v>
      </c>
      <c r="BE151" s="2">
        <v>99.03</v>
      </c>
      <c r="BF151" s="2">
        <v>29.49</v>
      </c>
      <c r="BG151" s="2">
        <v>119.35</v>
      </c>
      <c r="BH151" s="2">
        <v>19.07</v>
      </c>
      <c r="BI151" s="2">
        <v>35.340000000000003</v>
      </c>
      <c r="BJ151" s="2">
        <v>84.21</v>
      </c>
      <c r="BK151" s="2">
        <v>85.15</v>
      </c>
      <c r="BL151" s="2">
        <v>137.41</v>
      </c>
      <c r="BM151" s="2">
        <v>113.48</v>
      </c>
      <c r="BN151" s="2">
        <v>129.85</v>
      </c>
      <c r="BO151" s="2">
        <v>117.7</v>
      </c>
    </row>
    <row r="152" spans="24:67" x14ac:dyDescent="0.3">
      <c r="X152" s="1" t="s">
        <v>24</v>
      </c>
      <c r="Y152" s="2">
        <v>20.350000000000001</v>
      </c>
      <c r="Z152" s="2">
        <v>56.21</v>
      </c>
      <c r="AA152" s="2">
        <v>17.399999999999999</v>
      </c>
      <c r="AB152" s="2">
        <v>5.98</v>
      </c>
      <c r="AC152" s="2">
        <v>41.43</v>
      </c>
      <c r="AD152" s="2">
        <v>51.83</v>
      </c>
      <c r="AE152" s="2">
        <v>85.62</v>
      </c>
      <c r="AF152" s="2">
        <v>75.099999999999994</v>
      </c>
      <c r="AG152" s="2">
        <v>81.78</v>
      </c>
      <c r="AH152" s="2">
        <v>52.93</v>
      </c>
      <c r="AI152" s="2">
        <v>10.37</v>
      </c>
      <c r="AJ152" s="2">
        <v>52.64</v>
      </c>
      <c r="AK152" s="2">
        <v>8.59</v>
      </c>
      <c r="AL152" s="2">
        <v>6.89</v>
      </c>
      <c r="AM152" s="2">
        <v>25.34</v>
      </c>
      <c r="AN152" s="2">
        <v>27.17</v>
      </c>
      <c r="AO152" s="2">
        <v>40.880000000000003</v>
      </c>
      <c r="AP152" s="2">
        <v>34.4</v>
      </c>
      <c r="AQ152" s="2">
        <v>55.79</v>
      </c>
      <c r="AR152" s="2">
        <v>36.549999999999997</v>
      </c>
      <c r="AU152" s="1" t="s">
        <v>24</v>
      </c>
      <c r="AV152" s="2">
        <v>20.350000000000001</v>
      </c>
      <c r="AW152" s="2">
        <v>56.21</v>
      </c>
      <c r="AX152" s="2">
        <v>17.399999999999999</v>
      </c>
      <c r="AY152" s="2">
        <v>5.98</v>
      </c>
      <c r="AZ152" s="2">
        <v>41.43</v>
      </c>
      <c r="BA152" s="2">
        <v>51.83</v>
      </c>
      <c r="BB152" s="2">
        <v>85.62</v>
      </c>
      <c r="BC152" s="2">
        <v>75.099999999999994</v>
      </c>
      <c r="BD152" s="2">
        <v>81.78</v>
      </c>
      <c r="BE152" s="2">
        <v>52.93</v>
      </c>
      <c r="BF152" s="2">
        <v>10.37</v>
      </c>
      <c r="BG152" s="2">
        <v>52.64</v>
      </c>
      <c r="BH152" s="2">
        <v>8.59</v>
      </c>
      <c r="BI152" s="2">
        <v>6.89</v>
      </c>
      <c r="BJ152" s="2">
        <v>25.34</v>
      </c>
      <c r="BK152" s="2">
        <v>27.17</v>
      </c>
      <c r="BL152" s="2">
        <v>40.880000000000003</v>
      </c>
      <c r="BM152" s="2">
        <v>34.4</v>
      </c>
      <c r="BN152" s="2">
        <v>55.79</v>
      </c>
      <c r="BO152" s="2">
        <v>36.549999999999997</v>
      </c>
    </row>
    <row r="153" spans="24:67" x14ac:dyDescent="0.3">
      <c r="X153" s="1" t="s">
        <v>25</v>
      </c>
      <c r="Y153" s="2">
        <v>56.72</v>
      </c>
      <c r="Z153" s="2">
        <v>224.88</v>
      </c>
      <c r="AA153" s="2">
        <v>55.83</v>
      </c>
      <c r="AB153" s="2">
        <v>19.940000000000001</v>
      </c>
      <c r="AC153" s="2">
        <v>112.9</v>
      </c>
      <c r="AD153" s="2">
        <v>139.41999999999999</v>
      </c>
      <c r="AE153" s="2">
        <v>196.78</v>
      </c>
      <c r="AF153" s="2">
        <v>170.09</v>
      </c>
      <c r="AG153" s="2">
        <v>226.16</v>
      </c>
      <c r="AH153" s="2">
        <v>201.52</v>
      </c>
      <c r="AI153" s="2">
        <v>65.52</v>
      </c>
      <c r="AJ153" s="2">
        <v>214.92</v>
      </c>
      <c r="AK153" s="2">
        <v>38.89</v>
      </c>
      <c r="AL153" s="2">
        <v>29.09</v>
      </c>
      <c r="AM153" s="2">
        <v>114.12</v>
      </c>
      <c r="AN153" s="2">
        <v>142.11000000000001</v>
      </c>
      <c r="AO153" s="2">
        <v>190.45</v>
      </c>
      <c r="AP153" s="2">
        <v>166.86</v>
      </c>
      <c r="AQ153" s="2">
        <v>211.78</v>
      </c>
      <c r="AR153" s="2">
        <v>161.66</v>
      </c>
      <c r="AU153" s="1" t="s">
        <v>25</v>
      </c>
      <c r="AV153" s="2">
        <v>56.72</v>
      </c>
      <c r="AW153" s="2">
        <v>224.88</v>
      </c>
      <c r="AX153" s="2">
        <v>55.83</v>
      </c>
      <c r="AY153" s="2">
        <v>19.940000000000001</v>
      </c>
      <c r="AZ153" s="2">
        <v>112.9</v>
      </c>
      <c r="BA153" s="2">
        <v>139.41999999999999</v>
      </c>
      <c r="BB153" s="2">
        <v>196.78</v>
      </c>
      <c r="BC153" s="2">
        <v>170.09</v>
      </c>
      <c r="BD153" s="2">
        <v>226.16</v>
      </c>
      <c r="BE153" s="2">
        <v>201.52</v>
      </c>
      <c r="BF153" s="2">
        <v>65.52</v>
      </c>
      <c r="BG153" s="2">
        <v>214.92</v>
      </c>
      <c r="BH153" s="2">
        <v>38.89</v>
      </c>
      <c r="BI153" s="2">
        <v>29.09</v>
      </c>
      <c r="BJ153" s="2">
        <v>114.12</v>
      </c>
      <c r="BK153" s="2">
        <v>142.11000000000001</v>
      </c>
      <c r="BL153" s="2">
        <v>190.45</v>
      </c>
      <c r="BM153" s="2">
        <v>166.86</v>
      </c>
      <c r="BN153" s="2">
        <v>211.78</v>
      </c>
      <c r="BO153" s="2">
        <v>161.66</v>
      </c>
    </row>
    <row r="154" spans="24:67" x14ac:dyDescent="0.3">
      <c r="X154" s="1" t="s">
        <v>26</v>
      </c>
      <c r="Y154" s="2">
        <v>13.35</v>
      </c>
      <c r="Z154" s="2">
        <v>36.93</v>
      </c>
      <c r="AA154" s="2">
        <v>11.35</v>
      </c>
      <c r="AB154" s="2">
        <v>3.66</v>
      </c>
      <c r="AC154" s="2">
        <v>12.93</v>
      </c>
      <c r="AD154" s="2">
        <v>14.37</v>
      </c>
      <c r="AE154" s="2">
        <v>29.89</v>
      </c>
      <c r="AF154" s="2">
        <v>27.37</v>
      </c>
      <c r="AG154" s="2">
        <v>34.630000000000003</v>
      </c>
      <c r="AH154" s="2">
        <v>35.159999999999997</v>
      </c>
      <c r="AI154" s="2">
        <v>4.2300000000000004</v>
      </c>
      <c r="AJ154" s="2">
        <v>27.96</v>
      </c>
      <c r="AK154" s="2">
        <v>4.1399999999999997</v>
      </c>
      <c r="AL154" s="2">
        <v>2.78</v>
      </c>
      <c r="AM154" s="2">
        <v>8.99</v>
      </c>
      <c r="AN154" s="2">
        <v>16.14</v>
      </c>
      <c r="AO154" s="2">
        <v>25.12</v>
      </c>
      <c r="AP154" s="2">
        <v>19.62</v>
      </c>
      <c r="AQ154" s="2">
        <v>32.67</v>
      </c>
      <c r="AR154" s="2">
        <v>17.12</v>
      </c>
      <c r="AU154" s="1" t="s">
        <v>26</v>
      </c>
      <c r="AV154" s="2">
        <v>13.35</v>
      </c>
      <c r="AW154" s="2">
        <v>36.93</v>
      </c>
      <c r="AX154" s="2">
        <v>11.35</v>
      </c>
      <c r="AY154" s="2">
        <v>3.66</v>
      </c>
      <c r="AZ154" s="2">
        <v>12.93</v>
      </c>
      <c r="BA154" s="2">
        <v>14.37</v>
      </c>
      <c r="BB154" s="2">
        <v>29.89</v>
      </c>
      <c r="BC154" s="2">
        <v>27.37</v>
      </c>
      <c r="BD154" s="2">
        <v>34.630000000000003</v>
      </c>
      <c r="BE154" s="2">
        <v>35.159999999999997</v>
      </c>
      <c r="BF154" s="2">
        <v>4.2300000000000004</v>
      </c>
      <c r="BG154" s="2">
        <v>27.96</v>
      </c>
      <c r="BH154" s="2">
        <v>4.1399999999999997</v>
      </c>
      <c r="BI154" s="2">
        <v>2.78</v>
      </c>
      <c r="BJ154" s="2">
        <v>8.99</v>
      </c>
      <c r="BK154" s="2">
        <v>16.14</v>
      </c>
      <c r="BL154" s="2">
        <v>25.12</v>
      </c>
      <c r="BM154" s="2">
        <v>19.62</v>
      </c>
      <c r="BN154" s="2">
        <v>32.67</v>
      </c>
      <c r="BO154" s="2">
        <v>17.12</v>
      </c>
    </row>
    <row r="155" spans="24:67" x14ac:dyDescent="0.3">
      <c r="X155" s="1" t="s">
        <v>27</v>
      </c>
      <c r="Y155" s="2">
        <v>25.54</v>
      </c>
      <c r="Z155" s="2">
        <v>70.209999999999994</v>
      </c>
      <c r="AA155" s="2">
        <v>17.5</v>
      </c>
      <c r="AB155" s="2">
        <v>9.11</v>
      </c>
      <c r="AC155" s="2">
        <v>33.479999999999997</v>
      </c>
      <c r="AD155" s="2">
        <v>40.35</v>
      </c>
      <c r="AE155" s="2">
        <v>60.77</v>
      </c>
      <c r="AF155" s="2">
        <v>48.08</v>
      </c>
      <c r="AG155" s="2">
        <v>78.349999999999994</v>
      </c>
      <c r="AH155" s="2">
        <v>65.36</v>
      </c>
      <c r="AI155" s="2">
        <v>26.36</v>
      </c>
      <c r="AJ155" s="2">
        <v>53.63</v>
      </c>
      <c r="AK155" s="2">
        <v>21.04</v>
      </c>
      <c r="AL155" s="2">
        <v>11.01</v>
      </c>
      <c r="AM155" s="2">
        <v>36.89</v>
      </c>
      <c r="AN155" s="2">
        <v>41.59</v>
      </c>
      <c r="AO155" s="2">
        <v>93.76</v>
      </c>
      <c r="AP155" s="2">
        <v>75.03</v>
      </c>
      <c r="AQ155" s="2">
        <v>73.64</v>
      </c>
      <c r="AR155" s="2">
        <v>47.18</v>
      </c>
      <c r="AU155" s="1" t="s">
        <v>27</v>
      </c>
      <c r="AV155" s="2">
        <v>25.54</v>
      </c>
      <c r="AW155" s="2">
        <v>70.209999999999994</v>
      </c>
      <c r="AX155" s="2">
        <v>17.5</v>
      </c>
      <c r="AY155" s="2">
        <v>9.11</v>
      </c>
      <c r="AZ155" s="2">
        <v>33.479999999999997</v>
      </c>
      <c r="BA155" s="2">
        <v>40.35</v>
      </c>
      <c r="BB155" s="2">
        <v>60.77</v>
      </c>
      <c r="BC155" s="2">
        <v>48.08</v>
      </c>
      <c r="BD155" s="2">
        <v>78.349999999999994</v>
      </c>
      <c r="BE155" s="2">
        <v>65.36</v>
      </c>
      <c r="BF155" s="2">
        <v>26.36</v>
      </c>
      <c r="BG155" s="2">
        <v>53.63</v>
      </c>
      <c r="BH155" s="2">
        <v>21.04</v>
      </c>
      <c r="BI155" s="2">
        <v>11.01</v>
      </c>
      <c r="BJ155" s="2">
        <v>36.89</v>
      </c>
      <c r="BK155" s="2">
        <v>41.59</v>
      </c>
      <c r="BL155" s="2">
        <v>93.76</v>
      </c>
      <c r="BM155" s="2">
        <v>75.03</v>
      </c>
      <c r="BN155" s="2">
        <v>73.64</v>
      </c>
      <c r="BO155" s="2">
        <v>47.18</v>
      </c>
    </row>
    <row r="156" spans="24:67" x14ac:dyDescent="0.3">
      <c r="X156" s="1" t="s">
        <v>28</v>
      </c>
      <c r="Y156" s="2">
        <v>4.93</v>
      </c>
      <c r="Z156" s="2">
        <v>13.78</v>
      </c>
      <c r="AA156" s="2">
        <v>3.04</v>
      </c>
      <c r="AB156" s="2">
        <v>0.27</v>
      </c>
      <c r="AC156" s="2">
        <v>4.72</v>
      </c>
      <c r="AD156" s="2">
        <v>9.06</v>
      </c>
      <c r="AE156" s="2">
        <v>18.940000000000001</v>
      </c>
      <c r="AF156" s="2">
        <v>15.44</v>
      </c>
      <c r="AG156" s="2">
        <v>11.63</v>
      </c>
      <c r="AH156" s="2">
        <v>5.21</v>
      </c>
      <c r="AI156" s="2">
        <v>8.8000000000000007</v>
      </c>
      <c r="AJ156" s="2">
        <v>17.07</v>
      </c>
      <c r="AK156" s="2">
        <v>4.09</v>
      </c>
      <c r="AL156" s="2">
        <v>1.58</v>
      </c>
      <c r="AM156" s="2">
        <v>5.95</v>
      </c>
      <c r="AN156" s="2">
        <v>12.41</v>
      </c>
      <c r="AO156" s="2">
        <v>15.22</v>
      </c>
      <c r="AP156" s="2">
        <v>8.82</v>
      </c>
      <c r="AQ156" s="2">
        <v>5.81</v>
      </c>
      <c r="AR156" s="2">
        <v>5.21</v>
      </c>
      <c r="AU156" s="1" t="s">
        <v>28</v>
      </c>
      <c r="AV156" s="2">
        <v>4.93</v>
      </c>
      <c r="AW156" s="2">
        <v>13.78</v>
      </c>
      <c r="AX156" s="2">
        <v>3.04</v>
      </c>
      <c r="AY156" s="2">
        <v>0.27</v>
      </c>
      <c r="AZ156" s="2">
        <v>4.72</v>
      </c>
      <c r="BA156" s="2">
        <v>9.06</v>
      </c>
      <c r="BB156" s="2">
        <v>18.940000000000001</v>
      </c>
      <c r="BC156" s="2">
        <v>15.44</v>
      </c>
      <c r="BD156" s="2">
        <v>11.63</v>
      </c>
      <c r="BE156" s="2">
        <v>5.21</v>
      </c>
      <c r="BF156" s="2">
        <v>8.8000000000000007</v>
      </c>
      <c r="BG156" s="2">
        <v>17.07</v>
      </c>
      <c r="BH156" s="2">
        <v>4.09</v>
      </c>
      <c r="BI156" s="2">
        <v>1.58</v>
      </c>
      <c r="BJ156" s="2">
        <v>5.95</v>
      </c>
      <c r="BK156" s="2">
        <v>12.41</v>
      </c>
      <c r="BL156" s="2">
        <v>15.22</v>
      </c>
      <c r="BM156" s="2">
        <v>8.82</v>
      </c>
      <c r="BN156" s="2">
        <v>5.81</v>
      </c>
      <c r="BO156" s="2">
        <v>5.21</v>
      </c>
    </row>
    <row r="159" spans="24:67" x14ac:dyDescent="0.3">
      <c r="X159" t="s">
        <v>64</v>
      </c>
      <c r="AU159" t="s">
        <v>65</v>
      </c>
    </row>
    <row r="160" spans="24:67" x14ac:dyDescent="0.3">
      <c r="X160" s="1" t="s">
        <v>16</v>
      </c>
      <c r="Y160" s="1" t="s">
        <v>17</v>
      </c>
      <c r="Z160" s="1" t="s">
        <v>18</v>
      </c>
      <c r="AA160" s="1" t="s">
        <v>17</v>
      </c>
      <c r="AB160" s="1" t="s">
        <v>18</v>
      </c>
      <c r="AC160" s="1" t="s">
        <v>17</v>
      </c>
      <c r="AD160" s="1" t="s">
        <v>18</v>
      </c>
      <c r="AE160" s="1" t="s">
        <v>17</v>
      </c>
      <c r="AF160" s="1" t="s">
        <v>18</v>
      </c>
      <c r="AG160" s="1" t="s">
        <v>17</v>
      </c>
      <c r="AH160" s="1" t="s">
        <v>18</v>
      </c>
      <c r="AI160" s="1" t="s">
        <v>17</v>
      </c>
      <c r="AJ160" s="1" t="s">
        <v>18</v>
      </c>
      <c r="AK160" s="1" t="s">
        <v>17</v>
      </c>
      <c r="AL160" s="1" t="s">
        <v>18</v>
      </c>
      <c r="AM160" s="1" t="s">
        <v>17</v>
      </c>
      <c r="AN160" s="1" t="s">
        <v>18</v>
      </c>
      <c r="AO160" s="1" t="s">
        <v>17</v>
      </c>
      <c r="AP160" s="1" t="s">
        <v>18</v>
      </c>
      <c r="AQ160" s="1" t="s">
        <v>17</v>
      </c>
      <c r="AR160" s="1" t="s">
        <v>18</v>
      </c>
      <c r="AU160" s="1" t="s">
        <v>16</v>
      </c>
      <c r="AV160" s="1" t="s">
        <v>17</v>
      </c>
      <c r="AW160" s="1" t="s">
        <v>18</v>
      </c>
      <c r="AX160" s="1" t="s">
        <v>17</v>
      </c>
      <c r="AY160" s="1" t="s">
        <v>18</v>
      </c>
      <c r="AZ160" s="1" t="s">
        <v>17</v>
      </c>
      <c r="BA160" s="1" t="s">
        <v>18</v>
      </c>
      <c r="BB160" s="1" t="s">
        <v>17</v>
      </c>
      <c r="BC160" s="1" t="s">
        <v>18</v>
      </c>
      <c r="BD160" s="1" t="s">
        <v>17</v>
      </c>
      <c r="BE160" s="1" t="s">
        <v>18</v>
      </c>
      <c r="BF160" s="1" t="s">
        <v>17</v>
      </c>
      <c r="BG160" s="1" t="s">
        <v>18</v>
      </c>
      <c r="BH160" s="1" t="s">
        <v>17</v>
      </c>
      <c r="BI160" s="1" t="s">
        <v>18</v>
      </c>
      <c r="BJ160" s="1" t="s">
        <v>17</v>
      </c>
      <c r="BK160" s="1" t="s">
        <v>18</v>
      </c>
      <c r="BL160" s="1" t="s">
        <v>17</v>
      </c>
      <c r="BM160" s="1" t="s">
        <v>18</v>
      </c>
      <c r="BN160" s="1" t="s">
        <v>17</v>
      </c>
      <c r="BO160" s="1" t="s">
        <v>18</v>
      </c>
    </row>
    <row r="161" spans="24:67" x14ac:dyDescent="0.3">
      <c r="X161" s="1" t="s">
        <v>19</v>
      </c>
      <c r="Y161" s="1" t="s">
        <v>1</v>
      </c>
      <c r="Z161" s="1" t="s">
        <v>1</v>
      </c>
      <c r="AA161" s="1" t="s">
        <v>2</v>
      </c>
      <c r="AB161" s="1" t="s">
        <v>2</v>
      </c>
      <c r="AC161" s="1" t="s">
        <v>3</v>
      </c>
      <c r="AD161" s="1" t="s">
        <v>3</v>
      </c>
      <c r="AE161" s="1" t="s">
        <v>4</v>
      </c>
      <c r="AF161" s="1" t="s">
        <v>4</v>
      </c>
      <c r="AG161" s="1" t="s">
        <v>5</v>
      </c>
      <c r="AH161" s="1" t="s">
        <v>5</v>
      </c>
      <c r="AI161" s="1" t="s">
        <v>6</v>
      </c>
      <c r="AJ161" s="1" t="s">
        <v>6</v>
      </c>
      <c r="AK161" s="1" t="s">
        <v>7</v>
      </c>
      <c r="AL161" s="1" t="s">
        <v>7</v>
      </c>
      <c r="AM161" s="1" t="s">
        <v>8</v>
      </c>
      <c r="AN161" s="1" t="s">
        <v>8</v>
      </c>
      <c r="AO161" s="1" t="s">
        <v>9</v>
      </c>
      <c r="AP161" s="1" t="s">
        <v>9</v>
      </c>
      <c r="AQ161" s="1" t="s">
        <v>10</v>
      </c>
      <c r="AR161" s="1" t="s">
        <v>10</v>
      </c>
      <c r="AU161" s="1" t="s">
        <v>19</v>
      </c>
      <c r="AV161" s="1" t="s">
        <v>1</v>
      </c>
      <c r="AW161" s="1" t="s">
        <v>1</v>
      </c>
      <c r="AX161" s="1" t="s">
        <v>2</v>
      </c>
      <c r="AY161" s="1" t="s">
        <v>2</v>
      </c>
      <c r="AZ161" s="1" t="s">
        <v>3</v>
      </c>
      <c r="BA161" s="1" t="s">
        <v>3</v>
      </c>
      <c r="BB161" s="1" t="s">
        <v>4</v>
      </c>
      <c r="BC161" s="1" t="s">
        <v>4</v>
      </c>
      <c r="BD161" s="1" t="s">
        <v>5</v>
      </c>
      <c r="BE161" s="1" t="s">
        <v>5</v>
      </c>
      <c r="BF161" s="1" t="s">
        <v>6</v>
      </c>
      <c r="BG161" s="1" t="s">
        <v>6</v>
      </c>
      <c r="BH161" s="1" t="s">
        <v>7</v>
      </c>
      <c r="BI161" s="1" t="s">
        <v>7</v>
      </c>
      <c r="BJ161" s="1" t="s">
        <v>8</v>
      </c>
      <c r="BK161" s="1" t="s">
        <v>8</v>
      </c>
      <c r="BL161" s="1" t="s">
        <v>9</v>
      </c>
      <c r="BM161" s="1" t="s">
        <v>9</v>
      </c>
      <c r="BN161" s="1" t="s">
        <v>10</v>
      </c>
      <c r="BO161" s="1" t="s">
        <v>10</v>
      </c>
    </row>
    <row r="162" spans="24:67" x14ac:dyDescent="0.3">
      <c r="X162" s="1" t="s">
        <v>20</v>
      </c>
      <c r="AU162" s="1" t="s">
        <v>20</v>
      </c>
    </row>
    <row r="163" spans="24:67" x14ac:dyDescent="0.3">
      <c r="X163" s="1" t="s">
        <v>21</v>
      </c>
      <c r="Y163" s="2">
        <v>4.7699999999999996</v>
      </c>
      <c r="Z163" s="2">
        <v>7.67</v>
      </c>
      <c r="AA163" s="2">
        <v>3.88</v>
      </c>
      <c r="AB163" s="2">
        <v>3.88</v>
      </c>
      <c r="AC163" s="2">
        <v>3.31</v>
      </c>
      <c r="AD163" s="2">
        <v>6.78</v>
      </c>
      <c r="AE163" s="2">
        <v>7.95</v>
      </c>
      <c r="AF163" s="2">
        <v>7.91</v>
      </c>
      <c r="AG163" s="2">
        <v>13.79</v>
      </c>
      <c r="AH163" s="2">
        <v>18.13</v>
      </c>
      <c r="AI163" s="2">
        <v>7.77</v>
      </c>
      <c r="AJ163" s="2">
        <v>11.2</v>
      </c>
      <c r="AK163" s="2">
        <v>8.68</v>
      </c>
      <c r="AL163" s="2">
        <v>9.59</v>
      </c>
      <c r="AM163" s="2">
        <v>5.18</v>
      </c>
      <c r="AN163" s="2">
        <v>5.18</v>
      </c>
      <c r="AO163" s="2">
        <v>3.43</v>
      </c>
      <c r="AP163" s="2">
        <v>6.02</v>
      </c>
      <c r="AQ163" s="2">
        <v>2.59</v>
      </c>
      <c r="AR163" s="2">
        <v>3.5</v>
      </c>
      <c r="AU163" s="1" t="s">
        <v>21</v>
      </c>
      <c r="AV163" s="2">
        <v>4.7699999999999996</v>
      </c>
      <c r="AW163" s="2">
        <v>7.67</v>
      </c>
      <c r="AX163" s="2">
        <v>3.88</v>
      </c>
      <c r="AY163" s="2">
        <v>3.88</v>
      </c>
      <c r="AZ163" s="2">
        <v>3.31</v>
      </c>
      <c r="BA163" s="2">
        <v>6.78</v>
      </c>
      <c r="BB163" s="2">
        <v>7.95</v>
      </c>
      <c r="BC163" s="2">
        <v>7.91</v>
      </c>
      <c r="BD163" s="2">
        <v>13.79</v>
      </c>
      <c r="BE163" s="2">
        <v>18.13</v>
      </c>
      <c r="BF163" s="2">
        <v>7.77</v>
      </c>
      <c r="BG163" s="2">
        <v>11.2</v>
      </c>
      <c r="BH163" s="2">
        <v>8.68</v>
      </c>
      <c r="BI163" s="2">
        <v>9.59</v>
      </c>
      <c r="BJ163" s="2">
        <v>5.18</v>
      </c>
      <c r="BK163" s="2">
        <v>5.18</v>
      </c>
      <c r="BL163" s="2">
        <v>3.43</v>
      </c>
      <c r="BM163" s="2">
        <v>6.02</v>
      </c>
      <c r="BN163" s="2">
        <v>2.59</v>
      </c>
      <c r="BO163" s="2">
        <v>3.5</v>
      </c>
    </row>
    <row r="164" spans="24:67" x14ac:dyDescent="0.3">
      <c r="X164" s="1" t="s">
        <v>22</v>
      </c>
      <c r="Y164" s="2">
        <v>15.21</v>
      </c>
      <c r="Z164" s="2">
        <v>10.26</v>
      </c>
      <c r="AA164" s="2">
        <v>10.79</v>
      </c>
      <c r="AB164" s="2">
        <v>8.1</v>
      </c>
      <c r="AC164" s="2">
        <v>6.88</v>
      </c>
      <c r="AD164" s="2">
        <v>14.75</v>
      </c>
      <c r="AE164" s="2">
        <v>11.99</v>
      </c>
      <c r="AF164" s="2">
        <v>16.52</v>
      </c>
      <c r="AG164" s="2">
        <v>10.84</v>
      </c>
      <c r="AH164" s="2">
        <v>14.8</v>
      </c>
      <c r="AI164" s="2">
        <v>8.4700000000000006</v>
      </c>
      <c r="AJ164" s="2">
        <v>11.12</v>
      </c>
      <c r="AK164" s="2">
        <v>9.32</v>
      </c>
      <c r="AL164" s="2">
        <v>10.81</v>
      </c>
      <c r="AM164" s="2">
        <v>9.5399999999999991</v>
      </c>
      <c r="AN164" s="2">
        <v>8.69</v>
      </c>
      <c r="AO164" s="2">
        <v>7.68</v>
      </c>
      <c r="AP164" s="2">
        <v>9.93</v>
      </c>
      <c r="AQ164" s="2">
        <v>8.75</v>
      </c>
      <c r="AR164" s="2">
        <v>9.52</v>
      </c>
      <c r="AU164" s="1" t="s">
        <v>22</v>
      </c>
      <c r="AV164" s="2">
        <v>15.21</v>
      </c>
      <c r="AW164" s="2">
        <v>10.26</v>
      </c>
      <c r="AX164" s="2">
        <v>10.79</v>
      </c>
      <c r="AY164" s="2">
        <v>8.1</v>
      </c>
      <c r="AZ164" s="2">
        <v>6.88</v>
      </c>
      <c r="BA164" s="2">
        <v>14.75</v>
      </c>
      <c r="BB164" s="2">
        <v>11.99</v>
      </c>
      <c r="BC164" s="2">
        <v>16.52</v>
      </c>
      <c r="BD164" s="2">
        <v>10.84</v>
      </c>
      <c r="BE164" s="2">
        <v>14.8</v>
      </c>
      <c r="BF164" s="2">
        <v>8.4700000000000006</v>
      </c>
      <c r="BG164" s="2">
        <v>11.12</v>
      </c>
      <c r="BH164" s="2">
        <v>9.32</v>
      </c>
      <c r="BI164" s="2">
        <v>10.81</v>
      </c>
      <c r="BJ164" s="2">
        <v>9.5399999999999991</v>
      </c>
      <c r="BK164" s="2">
        <v>8.69</v>
      </c>
      <c r="BL164" s="2">
        <v>7.68</v>
      </c>
      <c r="BM164" s="2">
        <v>9.93</v>
      </c>
      <c r="BN164" s="2">
        <v>8.75</v>
      </c>
      <c r="BO164" s="2">
        <v>9.52</v>
      </c>
    </row>
    <row r="165" spans="24:67" x14ac:dyDescent="0.3">
      <c r="X165" s="1" t="s">
        <v>23</v>
      </c>
      <c r="Y165" s="2">
        <v>44.44</v>
      </c>
      <c r="Z165" s="2">
        <v>22.69</v>
      </c>
      <c r="AA165" s="2">
        <v>34.43</v>
      </c>
      <c r="AB165" s="2">
        <v>14.67</v>
      </c>
      <c r="AC165" s="2">
        <v>38.74</v>
      </c>
      <c r="AD165" s="2">
        <v>70.680000000000007</v>
      </c>
      <c r="AE165" s="2">
        <v>71.040000000000006</v>
      </c>
      <c r="AF165" s="2">
        <v>52.63</v>
      </c>
      <c r="AG165" s="2">
        <v>68.75</v>
      </c>
      <c r="AH165" s="2">
        <v>42.57</v>
      </c>
      <c r="AI165" s="2">
        <v>65.47</v>
      </c>
      <c r="AJ165" s="2">
        <v>38.17</v>
      </c>
      <c r="AK165" s="2">
        <v>72.88</v>
      </c>
      <c r="AL165" s="2">
        <v>39.130000000000003</v>
      </c>
      <c r="AM165" s="2">
        <v>70.94</v>
      </c>
      <c r="AN165" s="2">
        <v>34.17</v>
      </c>
      <c r="AO165" s="2">
        <v>29.13</v>
      </c>
      <c r="AP165" s="2">
        <v>34.619999999999997</v>
      </c>
      <c r="AQ165" s="2">
        <v>28.28</v>
      </c>
      <c r="AR165" s="2">
        <v>26.52</v>
      </c>
      <c r="AU165" s="1" t="s">
        <v>23</v>
      </c>
      <c r="AV165" s="2">
        <v>44.44</v>
      </c>
      <c r="AW165" s="2">
        <v>22.69</v>
      </c>
      <c r="AX165" s="2">
        <v>34.43</v>
      </c>
      <c r="AY165" s="2">
        <v>14.67</v>
      </c>
      <c r="AZ165" s="2">
        <v>38.74</v>
      </c>
      <c r="BA165" s="2">
        <v>70.680000000000007</v>
      </c>
      <c r="BB165" s="2">
        <v>71.040000000000006</v>
      </c>
      <c r="BC165" s="2">
        <v>52.63</v>
      </c>
      <c r="BD165" s="2">
        <v>68.75</v>
      </c>
      <c r="BE165" s="2">
        <v>42.57</v>
      </c>
      <c r="BF165" s="2">
        <v>65.47</v>
      </c>
      <c r="BG165" s="2">
        <v>38.17</v>
      </c>
      <c r="BH165" s="2">
        <v>72.88</v>
      </c>
      <c r="BI165" s="2">
        <v>39.130000000000003</v>
      </c>
      <c r="BJ165" s="2">
        <v>70.94</v>
      </c>
      <c r="BK165" s="2">
        <v>34.17</v>
      </c>
      <c r="BL165" s="2">
        <v>29.13</v>
      </c>
      <c r="BM165" s="2">
        <v>34.619999999999997</v>
      </c>
      <c r="BN165" s="2">
        <v>28.28</v>
      </c>
      <c r="BO165" s="2">
        <v>26.52</v>
      </c>
    </row>
    <row r="166" spans="24:67" x14ac:dyDescent="0.3">
      <c r="X166" s="1" t="s">
        <v>24</v>
      </c>
      <c r="Y166" s="2">
        <v>15.65</v>
      </c>
      <c r="Z166" s="2">
        <v>7.97</v>
      </c>
      <c r="AA166" s="2">
        <v>13.38</v>
      </c>
      <c r="AB166" s="2">
        <v>6.61</v>
      </c>
      <c r="AC166" s="2">
        <v>11.96</v>
      </c>
      <c r="AD166" s="2">
        <v>13.79</v>
      </c>
      <c r="AE166" s="2">
        <v>25.9</v>
      </c>
      <c r="AF166" s="2">
        <v>15.84</v>
      </c>
      <c r="AG166" s="2">
        <v>25.92</v>
      </c>
      <c r="AH166" s="2">
        <v>13.59</v>
      </c>
      <c r="AI166" s="2">
        <v>23.78</v>
      </c>
      <c r="AJ166" s="2">
        <v>11.36</v>
      </c>
      <c r="AK166" s="2">
        <v>25.9</v>
      </c>
      <c r="AL166" s="2">
        <v>11.86</v>
      </c>
      <c r="AM166" s="2">
        <v>21.52</v>
      </c>
      <c r="AN166" s="2">
        <v>14.68</v>
      </c>
      <c r="AO166" s="2">
        <v>15.57</v>
      </c>
      <c r="AP166" s="2">
        <v>10.75</v>
      </c>
      <c r="AQ166" s="2">
        <v>12.49</v>
      </c>
      <c r="AR166" s="2">
        <v>11.7</v>
      </c>
      <c r="AU166" s="1" t="s">
        <v>24</v>
      </c>
      <c r="AV166" s="2">
        <v>15.65</v>
      </c>
      <c r="AW166" s="2">
        <v>7.97</v>
      </c>
      <c r="AX166" s="2">
        <v>13.38</v>
      </c>
      <c r="AY166" s="2">
        <v>6.61</v>
      </c>
      <c r="AZ166" s="2">
        <v>11.96</v>
      </c>
      <c r="BA166" s="2">
        <v>13.79</v>
      </c>
      <c r="BB166" s="2">
        <v>25.9</v>
      </c>
      <c r="BC166" s="2">
        <v>15.84</v>
      </c>
      <c r="BD166" s="2">
        <v>25.92</v>
      </c>
      <c r="BE166" s="2">
        <v>13.59</v>
      </c>
      <c r="BF166" s="2">
        <v>23.78</v>
      </c>
      <c r="BG166" s="2">
        <v>11.36</v>
      </c>
      <c r="BH166" s="2">
        <v>25.9</v>
      </c>
      <c r="BI166" s="2">
        <v>11.86</v>
      </c>
      <c r="BJ166" s="2">
        <v>21.52</v>
      </c>
      <c r="BK166" s="2">
        <v>14.68</v>
      </c>
      <c r="BL166" s="2">
        <v>15.57</v>
      </c>
      <c r="BM166" s="2">
        <v>10.75</v>
      </c>
      <c r="BN166" s="2">
        <v>12.49</v>
      </c>
      <c r="BO166" s="2">
        <v>11.7</v>
      </c>
    </row>
    <row r="167" spans="24:67" x14ac:dyDescent="0.3">
      <c r="X167" s="1" t="s">
        <v>25</v>
      </c>
      <c r="Y167" s="2">
        <v>43.63</v>
      </c>
      <c r="Z167" s="2">
        <v>50.4</v>
      </c>
      <c r="AA167" s="2">
        <v>42.94</v>
      </c>
      <c r="AB167" s="2">
        <v>29.91</v>
      </c>
      <c r="AC167" s="2">
        <v>39.880000000000003</v>
      </c>
      <c r="AD167" s="2">
        <v>58.19</v>
      </c>
      <c r="AE167" s="2">
        <v>70.56</v>
      </c>
      <c r="AF167" s="2">
        <v>71.319999999999993</v>
      </c>
      <c r="AG167" s="2">
        <v>69.709999999999994</v>
      </c>
      <c r="AH167" s="2">
        <v>71.06</v>
      </c>
      <c r="AI167" s="2">
        <v>54.66</v>
      </c>
      <c r="AJ167" s="2">
        <v>52.9</v>
      </c>
      <c r="AK167" s="2">
        <v>58.65</v>
      </c>
      <c r="AL167" s="2">
        <v>57.54</v>
      </c>
      <c r="AM167" s="2">
        <v>59.52</v>
      </c>
      <c r="AN167" s="2">
        <v>55.73</v>
      </c>
      <c r="AO167" s="2">
        <v>59.27</v>
      </c>
      <c r="AP167" s="2">
        <v>47.55</v>
      </c>
      <c r="AQ167" s="2">
        <v>49.97</v>
      </c>
      <c r="AR167" s="2">
        <v>47.76</v>
      </c>
      <c r="AU167" s="1" t="s">
        <v>25</v>
      </c>
      <c r="AV167" s="2">
        <v>43.63</v>
      </c>
      <c r="AW167" s="2">
        <v>50.4</v>
      </c>
      <c r="AX167" s="2">
        <v>42.94</v>
      </c>
      <c r="AY167" s="2">
        <v>29.91</v>
      </c>
      <c r="AZ167" s="2">
        <v>39.880000000000003</v>
      </c>
      <c r="BA167" s="2">
        <v>58.19</v>
      </c>
      <c r="BB167" s="2">
        <v>70.56</v>
      </c>
      <c r="BC167" s="2">
        <v>71.319999999999993</v>
      </c>
      <c r="BD167" s="2">
        <v>69.709999999999994</v>
      </c>
      <c r="BE167" s="2">
        <v>71.06</v>
      </c>
      <c r="BF167" s="2">
        <v>54.66</v>
      </c>
      <c r="BG167" s="2">
        <v>52.9</v>
      </c>
      <c r="BH167" s="2">
        <v>58.65</v>
      </c>
      <c r="BI167" s="2">
        <v>57.54</v>
      </c>
      <c r="BJ167" s="2">
        <v>59.52</v>
      </c>
      <c r="BK167" s="2">
        <v>55.73</v>
      </c>
      <c r="BL167" s="2">
        <v>59.27</v>
      </c>
      <c r="BM167" s="2">
        <v>47.55</v>
      </c>
      <c r="BN167" s="2">
        <v>49.97</v>
      </c>
      <c r="BO167" s="2">
        <v>47.76</v>
      </c>
    </row>
    <row r="168" spans="24:67" x14ac:dyDescent="0.3">
      <c r="X168" s="1" t="s">
        <v>26</v>
      </c>
      <c r="Y168" s="2">
        <v>10.27</v>
      </c>
      <c r="Z168" s="2">
        <v>3.25</v>
      </c>
      <c r="AA168" s="2">
        <v>8.73</v>
      </c>
      <c r="AB168" s="2">
        <v>3.18</v>
      </c>
      <c r="AC168" s="2">
        <v>7.31</v>
      </c>
      <c r="AD168" s="2">
        <v>5.57</v>
      </c>
      <c r="AE168" s="2">
        <v>8.08</v>
      </c>
      <c r="AF168" s="2">
        <v>5.62</v>
      </c>
      <c r="AG168" s="2">
        <v>7.19</v>
      </c>
      <c r="AH168" s="2">
        <v>8.07</v>
      </c>
      <c r="AI168" s="2">
        <v>8.3000000000000007</v>
      </c>
      <c r="AJ168" s="2">
        <v>6.98</v>
      </c>
      <c r="AK168" s="2">
        <v>9.44</v>
      </c>
      <c r="AL168" s="2">
        <v>6.77</v>
      </c>
      <c r="AM168" s="2">
        <v>9.11</v>
      </c>
      <c r="AN168" s="2">
        <v>8.6</v>
      </c>
      <c r="AO168" s="2">
        <v>10.34</v>
      </c>
      <c r="AP168" s="2">
        <v>5.03</v>
      </c>
      <c r="AQ168" s="2">
        <v>8.2100000000000009</v>
      </c>
      <c r="AR168" s="2">
        <v>6.21</v>
      </c>
      <c r="AU168" s="1" t="s">
        <v>26</v>
      </c>
      <c r="AV168" s="2">
        <v>10.27</v>
      </c>
      <c r="AW168" s="2">
        <v>3.25</v>
      </c>
      <c r="AX168" s="2">
        <v>8.73</v>
      </c>
      <c r="AY168" s="2">
        <v>3.18</v>
      </c>
      <c r="AZ168" s="2">
        <v>7.31</v>
      </c>
      <c r="BA168" s="2">
        <v>5.57</v>
      </c>
      <c r="BB168" s="2">
        <v>8.08</v>
      </c>
      <c r="BC168" s="2">
        <v>5.62</v>
      </c>
      <c r="BD168" s="2">
        <v>7.19</v>
      </c>
      <c r="BE168" s="2">
        <v>8.07</v>
      </c>
      <c r="BF168" s="2">
        <v>8.3000000000000007</v>
      </c>
      <c r="BG168" s="2">
        <v>6.98</v>
      </c>
      <c r="BH168" s="2">
        <v>9.44</v>
      </c>
      <c r="BI168" s="2">
        <v>6.77</v>
      </c>
      <c r="BJ168" s="2">
        <v>9.11</v>
      </c>
      <c r="BK168" s="2">
        <v>8.6</v>
      </c>
      <c r="BL168" s="2">
        <v>10.34</v>
      </c>
      <c r="BM168" s="2">
        <v>5.03</v>
      </c>
      <c r="BN168" s="2">
        <v>8.2100000000000009</v>
      </c>
      <c r="BO168" s="2">
        <v>6.21</v>
      </c>
    </row>
    <row r="169" spans="24:67" x14ac:dyDescent="0.3">
      <c r="X169" s="1" t="s">
        <v>27</v>
      </c>
      <c r="Y169" s="2">
        <v>19.64</v>
      </c>
      <c r="Z169" s="2">
        <v>20.28</v>
      </c>
      <c r="AA169" s="2">
        <v>13.46</v>
      </c>
      <c r="AB169" s="2">
        <v>16.190000000000001</v>
      </c>
      <c r="AC169" s="2">
        <v>18.22</v>
      </c>
      <c r="AD169" s="2">
        <v>22.02</v>
      </c>
      <c r="AE169" s="2">
        <v>20.92</v>
      </c>
      <c r="AF169" s="2">
        <v>23.06</v>
      </c>
      <c r="AG169" s="2">
        <v>20.170000000000002</v>
      </c>
      <c r="AH169" s="2">
        <v>20.79</v>
      </c>
      <c r="AI169" s="2">
        <v>16.88</v>
      </c>
      <c r="AJ169" s="2">
        <v>26.04</v>
      </c>
      <c r="AK169" s="2">
        <v>16.579999999999998</v>
      </c>
      <c r="AL169" s="2">
        <v>25.87</v>
      </c>
      <c r="AM169" s="2">
        <v>20.62</v>
      </c>
      <c r="AN169" s="2">
        <v>19.38</v>
      </c>
      <c r="AO169" s="2">
        <v>19.22</v>
      </c>
      <c r="AP169" s="2">
        <v>13.88</v>
      </c>
      <c r="AQ169" s="2">
        <v>15.6</v>
      </c>
      <c r="AR169" s="2">
        <v>11.92</v>
      </c>
      <c r="AU169" s="1" t="s">
        <v>27</v>
      </c>
      <c r="AV169" s="2">
        <v>19.64</v>
      </c>
      <c r="AW169" s="2">
        <v>20.28</v>
      </c>
      <c r="AX169" s="2">
        <v>13.46</v>
      </c>
      <c r="AY169" s="2">
        <v>16.190000000000001</v>
      </c>
      <c r="AZ169" s="2">
        <v>18.22</v>
      </c>
      <c r="BA169" s="2">
        <v>22.02</v>
      </c>
      <c r="BB169" s="2">
        <v>20.92</v>
      </c>
      <c r="BC169" s="2">
        <v>23.06</v>
      </c>
      <c r="BD169" s="2">
        <v>20.170000000000002</v>
      </c>
      <c r="BE169" s="2">
        <v>20.79</v>
      </c>
      <c r="BF169" s="2">
        <v>16.88</v>
      </c>
      <c r="BG169" s="2">
        <v>26.04</v>
      </c>
      <c r="BH169" s="2">
        <v>16.579999999999998</v>
      </c>
      <c r="BI169" s="2">
        <v>25.87</v>
      </c>
      <c r="BJ169" s="2">
        <v>20.62</v>
      </c>
      <c r="BK169" s="2">
        <v>19.38</v>
      </c>
      <c r="BL169" s="2">
        <v>19.22</v>
      </c>
      <c r="BM169" s="2">
        <v>13.88</v>
      </c>
      <c r="BN169" s="2">
        <v>15.6</v>
      </c>
      <c r="BO169" s="2">
        <v>11.92</v>
      </c>
    </row>
    <row r="170" spans="24:67" x14ac:dyDescent="0.3">
      <c r="X170" s="1" t="s">
        <v>28</v>
      </c>
      <c r="Y170" s="2">
        <v>3.79</v>
      </c>
      <c r="Z170" s="2">
        <v>6.77</v>
      </c>
      <c r="AA170" s="2">
        <v>2.34</v>
      </c>
      <c r="AB170" s="2">
        <v>3.14</v>
      </c>
      <c r="AC170" s="2">
        <v>0.54</v>
      </c>
      <c r="AD170" s="2">
        <v>3.15</v>
      </c>
      <c r="AE170" s="2">
        <v>2.95</v>
      </c>
      <c r="AF170" s="2">
        <v>3.72</v>
      </c>
      <c r="AG170" s="2">
        <v>4.53</v>
      </c>
      <c r="AH170" s="2">
        <v>6.21</v>
      </c>
      <c r="AI170" s="2">
        <v>5.26</v>
      </c>
      <c r="AJ170" s="2">
        <v>4.2300000000000004</v>
      </c>
      <c r="AK170" s="2">
        <v>5.32</v>
      </c>
      <c r="AL170" s="2">
        <v>3.04</v>
      </c>
      <c r="AM170" s="2">
        <v>3.06</v>
      </c>
      <c r="AN170" s="2">
        <v>1.53</v>
      </c>
      <c r="AO170" s="2">
        <v>1.53</v>
      </c>
      <c r="AP170" s="2">
        <v>1.53</v>
      </c>
      <c r="AQ170" s="2">
        <v>3.06</v>
      </c>
      <c r="AR170" s="2">
        <v>3.79</v>
      </c>
      <c r="AU170" s="1" t="s">
        <v>28</v>
      </c>
      <c r="AV170" s="2">
        <v>3.79</v>
      </c>
      <c r="AW170" s="2">
        <v>6.77</v>
      </c>
      <c r="AX170" s="2">
        <v>2.34</v>
      </c>
      <c r="AY170" s="2">
        <v>3.14</v>
      </c>
      <c r="AZ170" s="2">
        <v>0.54</v>
      </c>
      <c r="BA170" s="2">
        <v>3.15</v>
      </c>
      <c r="BB170" s="2">
        <v>2.95</v>
      </c>
      <c r="BC170" s="2">
        <v>3.72</v>
      </c>
      <c r="BD170" s="2">
        <v>4.53</v>
      </c>
      <c r="BE170" s="2">
        <v>6.21</v>
      </c>
      <c r="BF170" s="2">
        <v>5.26</v>
      </c>
      <c r="BG170" s="2">
        <v>4.2300000000000004</v>
      </c>
      <c r="BH170" s="2">
        <v>5.32</v>
      </c>
      <c r="BI170" s="2">
        <v>3.04</v>
      </c>
      <c r="BJ170" s="2">
        <v>3.06</v>
      </c>
      <c r="BK170" s="2">
        <v>1.53</v>
      </c>
      <c r="BL170" s="2">
        <v>1.53</v>
      </c>
      <c r="BM170" s="2">
        <v>1.53</v>
      </c>
      <c r="BN170" s="2">
        <v>3.06</v>
      </c>
      <c r="BO170" s="2">
        <v>3.79</v>
      </c>
    </row>
    <row r="173" spans="24:67" x14ac:dyDescent="0.3">
      <c r="X173" t="s">
        <v>66</v>
      </c>
      <c r="AU173" t="s">
        <v>67</v>
      </c>
    </row>
    <row r="174" spans="24:67" x14ac:dyDescent="0.3">
      <c r="X174" s="1" t="s">
        <v>16</v>
      </c>
      <c r="Y174" s="13" t="s">
        <v>17</v>
      </c>
      <c r="Z174" s="13"/>
      <c r="AA174" s="13"/>
      <c r="AB174" s="13"/>
      <c r="AC174" s="13"/>
      <c r="AD174" s="13"/>
      <c r="AE174" s="13"/>
      <c r="AF174" s="13"/>
      <c r="AG174" s="13"/>
      <c r="AH174" s="13"/>
      <c r="AI174" s="13" t="s">
        <v>18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U174" s="1" t="s">
        <v>16</v>
      </c>
      <c r="AV174" s="13" t="s">
        <v>17</v>
      </c>
      <c r="AW174" s="13"/>
      <c r="AX174" s="13"/>
      <c r="AY174" s="13"/>
      <c r="AZ174" s="13"/>
      <c r="BA174" s="13"/>
      <c r="BB174" s="13"/>
      <c r="BC174" s="13"/>
      <c r="BD174" s="13"/>
      <c r="BE174" s="13"/>
      <c r="BF174" s="13" t="s">
        <v>18</v>
      </c>
      <c r="BG174" s="13"/>
      <c r="BH174" s="13"/>
      <c r="BI174" s="13"/>
      <c r="BJ174" s="13"/>
      <c r="BK174" s="13"/>
      <c r="BL174" s="13"/>
      <c r="BM174" s="13"/>
      <c r="BN174" s="13"/>
      <c r="BO174" s="13"/>
    </row>
    <row r="175" spans="24:67" x14ac:dyDescent="0.3">
      <c r="X175" s="1" t="s">
        <v>19</v>
      </c>
      <c r="Y175" s="1" t="s">
        <v>1</v>
      </c>
      <c r="Z175" s="1" t="s">
        <v>10</v>
      </c>
      <c r="AA175" s="1" t="s">
        <v>2</v>
      </c>
      <c r="AB175" s="1" t="s">
        <v>3</v>
      </c>
      <c r="AC175" s="1" t="s">
        <v>4</v>
      </c>
      <c r="AD175" s="1" t="s">
        <v>5</v>
      </c>
      <c r="AE175" s="1" t="s">
        <v>6</v>
      </c>
      <c r="AF175" s="1" t="s">
        <v>7</v>
      </c>
      <c r="AG175" s="1" t="s">
        <v>8</v>
      </c>
      <c r="AH175" s="1" t="s">
        <v>9</v>
      </c>
      <c r="AI175" s="1" t="s">
        <v>1</v>
      </c>
      <c r="AJ175" s="1" t="s">
        <v>10</v>
      </c>
      <c r="AK175" s="1" t="s">
        <v>2</v>
      </c>
      <c r="AL175" s="1" t="s">
        <v>3</v>
      </c>
      <c r="AM175" s="1" t="s">
        <v>4</v>
      </c>
      <c r="AN175" s="1" t="s">
        <v>5</v>
      </c>
      <c r="AO175" s="1" t="s">
        <v>6</v>
      </c>
      <c r="AP175" s="1" t="s">
        <v>7</v>
      </c>
      <c r="AQ175" s="1" t="s">
        <v>8</v>
      </c>
      <c r="AR175" s="1" t="s">
        <v>9</v>
      </c>
      <c r="AU175" s="1" t="s">
        <v>19</v>
      </c>
      <c r="AV175" s="1" t="s">
        <v>1</v>
      </c>
      <c r="AW175" s="1" t="s">
        <v>10</v>
      </c>
      <c r="AX175" s="1" t="s">
        <v>2</v>
      </c>
      <c r="AY175" s="1" t="s">
        <v>3</v>
      </c>
      <c r="AZ175" s="1" t="s">
        <v>4</v>
      </c>
      <c r="BA175" s="1" t="s">
        <v>5</v>
      </c>
      <c r="BB175" s="1" t="s">
        <v>6</v>
      </c>
      <c r="BC175" s="1" t="s">
        <v>7</v>
      </c>
      <c r="BD175" s="1" t="s">
        <v>8</v>
      </c>
      <c r="BE175" s="1" t="s">
        <v>9</v>
      </c>
      <c r="BF175" s="1" t="s">
        <v>1</v>
      </c>
      <c r="BG175" s="1" t="s">
        <v>10</v>
      </c>
      <c r="BH175" s="1" t="s">
        <v>2</v>
      </c>
      <c r="BI175" s="1" t="s">
        <v>3</v>
      </c>
      <c r="BJ175" s="1" t="s">
        <v>4</v>
      </c>
      <c r="BK175" s="1" t="s">
        <v>5</v>
      </c>
      <c r="BL175" s="1" t="s">
        <v>6</v>
      </c>
      <c r="BM175" s="1" t="s">
        <v>7</v>
      </c>
      <c r="BN175" s="1" t="s">
        <v>8</v>
      </c>
      <c r="BO175" s="1" t="s">
        <v>9</v>
      </c>
    </row>
    <row r="176" spans="24:67" x14ac:dyDescent="0.3">
      <c r="X176" s="1" t="s">
        <v>20</v>
      </c>
      <c r="AU176" s="1" t="s">
        <v>20</v>
      </c>
    </row>
    <row r="177" spans="24:67" x14ac:dyDescent="0.3">
      <c r="X177" s="1" t="s">
        <v>21</v>
      </c>
      <c r="Y177" s="2">
        <v>132.35</v>
      </c>
      <c r="Z177" s="2">
        <v>862.15</v>
      </c>
      <c r="AA177" s="2">
        <v>63.97</v>
      </c>
      <c r="AB177" s="2">
        <v>38.01</v>
      </c>
      <c r="AC177" s="2">
        <v>136.46</v>
      </c>
      <c r="AD177" s="2">
        <v>368.9</v>
      </c>
      <c r="AE177" s="2">
        <v>677.38</v>
      </c>
      <c r="AF177" s="2">
        <v>535.30999999999995</v>
      </c>
      <c r="AG177" s="2">
        <v>716.34</v>
      </c>
      <c r="AH177" s="2">
        <v>541.92999999999995</v>
      </c>
      <c r="AI177" s="2">
        <v>133.44</v>
      </c>
      <c r="AJ177" s="2">
        <v>877.59</v>
      </c>
      <c r="AK177" s="2">
        <v>65.75</v>
      </c>
      <c r="AL177" s="2">
        <v>39.049999999999997</v>
      </c>
      <c r="AM177" s="2">
        <v>291.54000000000002</v>
      </c>
      <c r="AN177" s="2">
        <v>356.86</v>
      </c>
      <c r="AO177" s="2">
        <v>640.08000000000004</v>
      </c>
      <c r="AP177" s="2">
        <v>545.46</v>
      </c>
      <c r="AQ177" s="2">
        <v>696.65</v>
      </c>
      <c r="AR177" s="2">
        <v>568.11</v>
      </c>
      <c r="AU177" s="1" t="s">
        <v>21</v>
      </c>
      <c r="AV177" s="2">
        <v>132.35</v>
      </c>
      <c r="AW177" s="2">
        <v>862.15</v>
      </c>
      <c r="AX177" s="2">
        <v>63.97</v>
      </c>
      <c r="AY177" s="2">
        <v>38.01</v>
      </c>
      <c r="AZ177" s="2">
        <v>136.46</v>
      </c>
      <c r="BA177" s="2">
        <v>368.9</v>
      </c>
      <c r="BB177" s="2">
        <v>677.38</v>
      </c>
      <c r="BC177" s="2">
        <v>535.30999999999995</v>
      </c>
      <c r="BD177" s="2">
        <v>716.34</v>
      </c>
      <c r="BE177" s="2">
        <v>541.92999999999995</v>
      </c>
      <c r="BF177" s="2">
        <v>133.44</v>
      </c>
      <c r="BG177" s="2">
        <v>877.59</v>
      </c>
      <c r="BH177" s="2">
        <v>65.75</v>
      </c>
      <c r="BI177" s="2">
        <v>39.049999999999997</v>
      </c>
      <c r="BJ177" s="2">
        <v>291.54000000000002</v>
      </c>
      <c r="BK177" s="2">
        <v>356.86</v>
      </c>
      <c r="BL177" s="2">
        <v>640.08000000000004</v>
      </c>
      <c r="BM177" s="2">
        <v>545.46</v>
      </c>
      <c r="BN177" s="2">
        <v>696.65</v>
      </c>
      <c r="BO177" s="2">
        <v>568.11</v>
      </c>
    </row>
    <row r="178" spans="24:67" x14ac:dyDescent="0.3">
      <c r="X178" s="1" t="s">
        <v>22</v>
      </c>
      <c r="Y178" s="2">
        <v>18.420000000000002</v>
      </c>
      <c r="Z178" s="2">
        <v>81.23</v>
      </c>
      <c r="AA178" s="2">
        <v>10.029999999999999</v>
      </c>
      <c r="AB178" s="2">
        <v>5.08</v>
      </c>
      <c r="AC178" s="2">
        <v>17.489999999999998</v>
      </c>
      <c r="AD178" s="2">
        <v>22.33</v>
      </c>
      <c r="AE178" s="2">
        <v>39.25</v>
      </c>
      <c r="AF178" s="2">
        <v>37.31</v>
      </c>
      <c r="AG178" s="2">
        <v>50.13</v>
      </c>
      <c r="AH178" s="2">
        <v>43.54</v>
      </c>
      <c r="AI178" s="2">
        <v>19.21</v>
      </c>
      <c r="AJ178" s="2">
        <v>70.989999999999995</v>
      </c>
      <c r="AK178" s="2">
        <v>12.16</v>
      </c>
      <c r="AL178" s="2">
        <v>5.82</v>
      </c>
      <c r="AM178" s="2">
        <v>23.54</v>
      </c>
      <c r="AN178" s="2">
        <v>25.7</v>
      </c>
      <c r="AO178" s="2">
        <v>50.49</v>
      </c>
      <c r="AP178" s="2">
        <v>40.36</v>
      </c>
      <c r="AQ178" s="2">
        <v>49.27</v>
      </c>
      <c r="AR178" s="2">
        <v>48.57</v>
      </c>
      <c r="AU178" s="1" t="s">
        <v>22</v>
      </c>
      <c r="AV178" s="2">
        <v>18.420000000000002</v>
      </c>
      <c r="AW178" s="2">
        <v>81.23</v>
      </c>
      <c r="AX178" s="2">
        <v>10.029999999999999</v>
      </c>
      <c r="AY178" s="2">
        <v>5.08</v>
      </c>
      <c r="AZ178" s="2">
        <v>17.489999999999998</v>
      </c>
      <c r="BA178" s="2">
        <v>22.33</v>
      </c>
      <c r="BB178" s="2">
        <v>39.25</v>
      </c>
      <c r="BC178" s="2">
        <v>37.31</v>
      </c>
      <c r="BD178" s="2">
        <v>50.13</v>
      </c>
      <c r="BE178" s="2">
        <v>43.54</v>
      </c>
      <c r="BF178" s="2">
        <v>19.21</v>
      </c>
      <c r="BG178" s="2">
        <v>70.989999999999995</v>
      </c>
      <c r="BH178" s="2">
        <v>12.16</v>
      </c>
      <c r="BI178" s="2">
        <v>5.82</v>
      </c>
      <c r="BJ178" s="2">
        <v>23.54</v>
      </c>
      <c r="BK178" s="2">
        <v>25.7</v>
      </c>
      <c r="BL178" s="2">
        <v>50.49</v>
      </c>
      <c r="BM178" s="2">
        <v>40.36</v>
      </c>
      <c r="BN178" s="2">
        <v>49.27</v>
      </c>
      <c r="BO178" s="2">
        <v>48.57</v>
      </c>
    </row>
    <row r="179" spans="24:67" x14ac:dyDescent="0.3">
      <c r="X179" s="1" t="s">
        <v>23</v>
      </c>
      <c r="Y179" s="2">
        <v>150.54</v>
      </c>
      <c r="Z179" s="2">
        <v>254.74</v>
      </c>
      <c r="AA179" s="2">
        <v>59.78</v>
      </c>
      <c r="AB179" s="2">
        <v>74.84</v>
      </c>
      <c r="AC179" s="2">
        <v>191.65</v>
      </c>
      <c r="AD179" s="2">
        <v>266.57</v>
      </c>
      <c r="AE179" s="2">
        <v>501.44</v>
      </c>
      <c r="AF179" s="2">
        <v>465.01</v>
      </c>
      <c r="AG179" s="2">
        <v>598.11</v>
      </c>
      <c r="AH179" s="2">
        <v>209.03</v>
      </c>
      <c r="AI179" s="2">
        <v>56.56</v>
      </c>
      <c r="AJ179" s="2">
        <v>249.79</v>
      </c>
      <c r="AK179" s="2">
        <v>27.71</v>
      </c>
      <c r="AL179" s="2">
        <v>47.61</v>
      </c>
      <c r="AM179" s="2">
        <v>101.77</v>
      </c>
      <c r="AN179" s="2">
        <v>119.07</v>
      </c>
      <c r="AO179" s="2">
        <v>225.3</v>
      </c>
      <c r="AP179" s="2">
        <v>192.37</v>
      </c>
      <c r="AQ179" s="2">
        <v>225.02</v>
      </c>
      <c r="AR179" s="2">
        <v>212.06</v>
      </c>
      <c r="AU179" s="1" t="s">
        <v>23</v>
      </c>
      <c r="AV179" s="2">
        <v>150.54</v>
      </c>
      <c r="AW179" s="2">
        <v>254.74</v>
      </c>
      <c r="AX179" s="2">
        <v>59.78</v>
      </c>
      <c r="AY179" s="2">
        <v>74.84</v>
      </c>
      <c r="AZ179" s="2">
        <v>191.65</v>
      </c>
      <c r="BA179" s="2">
        <v>266.57</v>
      </c>
      <c r="BB179" s="2">
        <v>501.44</v>
      </c>
      <c r="BC179" s="2">
        <v>465.01</v>
      </c>
      <c r="BD179" s="2">
        <v>598.11</v>
      </c>
      <c r="BE179" s="2">
        <v>209.03</v>
      </c>
      <c r="BF179" s="2">
        <v>56.56</v>
      </c>
      <c r="BG179" s="2">
        <v>249.79</v>
      </c>
      <c r="BH179" s="2">
        <v>27.71</v>
      </c>
      <c r="BI179" s="2">
        <v>47.61</v>
      </c>
      <c r="BJ179" s="2">
        <v>101.77</v>
      </c>
      <c r="BK179" s="2">
        <v>119.07</v>
      </c>
      <c r="BL179" s="2">
        <v>225.3</v>
      </c>
      <c r="BM179" s="2">
        <v>192.37</v>
      </c>
      <c r="BN179" s="2">
        <v>225.02</v>
      </c>
      <c r="BO179" s="2">
        <v>212.06</v>
      </c>
    </row>
    <row r="180" spans="24:67" x14ac:dyDescent="0.3">
      <c r="X180" s="1" t="s">
        <v>24</v>
      </c>
      <c r="Y180" s="2">
        <v>62.75</v>
      </c>
      <c r="Z180" s="2">
        <v>107.27</v>
      </c>
      <c r="AA180" s="2">
        <v>26.75</v>
      </c>
      <c r="AB180" s="2">
        <v>20.149999999999999</v>
      </c>
      <c r="AC180" s="2">
        <v>57.04</v>
      </c>
      <c r="AD180" s="2">
        <v>70.459999999999994</v>
      </c>
      <c r="AE180" s="2">
        <v>127.63</v>
      </c>
      <c r="AF180" s="2">
        <v>110.96</v>
      </c>
      <c r="AG180" s="2">
        <v>103.8</v>
      </c>
      <c r="AH180" s="2">
        <v>73.89</v>
      </c>
      <c r="AI180" s="2">
        <v>26.78</v>
      </c>
      <c r="AJ180" s="2">
        <v>107.89</v>
      </c>
      <c r="AK180" s="2">
        <v>14.92</v>
      </c>
      <c r="AL180" s="2">
        <v>14.39</v>
      </c>
      <c r="AM180" s="2">
        <v>44.08</v>
      </c>
      <c r="AN180" s="2">
        <v>48.86</v>
      </c>
      <c r="AO180" s="2">
        <v>92.03</v>
      </c>
      <c r="AP180" s="2">
        <v>76.62</v>
      </c>
      <c r="AQ180" s="2">
        <v>90.14</v>
      </c>
      <c r="AR180" s="2">
        <v>88.81</v>
      </c>
      <c r="AU180" s="1" t="s">
        <v>24</v>
      </c>
      <c r="AV180" s="2">
        <v>62.75</v>
      </c>
      <c r="AW180" s="2">
        <v>107.27</v>
      </c>
      <c r="AX180" s="2">
        <v>26.75</v>
      </c>
      <c r="AY180" s="2">
        <v>20.149999999999999</v>
      </c>
      <c r="AZ180" s="2">
        <v>57.04</v>
      </c>
      <c r="BA180" s="2">
        <v>70.459999999999994</v>
      </c>
      <c r="BB180" s="2">
        <v>127.63</v>
      </c>
      <c r="BC180" s="2">
        <v>110.96</v>
      </c>
      <c r="BD180" s="2">
        <v>103.8</v>
      </c>
      <c r="BE180" s="2">
        <v>73.89</v>
      </c>
      <c r="BF180" s="2">
        <v>26.78</v>
      </c>
      <c r="BG180" s="2">
        <v>107.89</v>
      </c>
      <c r="BH180" s="2">
        <v>14.92</v>
      </c>
      <c r="BI180" s="2">
        <v>14.39</v>
      </c>
      <c r="BJ180" s="2">
        <v>44.08</v>
      </c>
      <c r="BK180" s="2">
        <v>48.86</v>
      </c>
      <c r="BL180" s="2">
        <v>92.03</v>
      </c>
      <c r="BM180" s="2">
        <v>76.62</v>
      </c>
      <c r="BN180" s="2">
        <v>90.14</v>
      </c>
      <c r="BO180" s="2">
        <v>88.81</v>
      </c>
    </row>
    <row r="181" spans="24:67" x14ac:dyDescent="0.3">
      <c r="X181" s="1" t="s">
        <v>25</v>
      </c>
      <c r="Y181" s="2">
        <v>190.61</v>
      </c>
      <c r="Z181" s="2">
        <v>483.63</v>
      </c>
      <c r="AA181" s="2">
        <v>96.84</v>
      </c>
      <c r="AB181" s="2">
        <v>61.53</v>
      </c>
      <c r="AC181" s="2">
        <v>151.47</v>
      </c>
      <c r="AD181" s="2">
        <v>205.38</v>
      </c>
      <c r="AE181" s="2">
        <v>358.82</v>
      </c>
      <c r="AF181" s="2">
        <v>291.67</v>
      </c>
      <c r="AG181" s="2">
        <v>386.69</v>
      </c>
      <c r="AH181" s="2">
        <v>342.21</v>
      </c>
      <c r="AI181" s="2">
        <v>190.14</v>
      </c>
      <c r="AJ181" s="2">
        <v>517.39</v>
      </c>
      <c r="AK181" s="2">
        <v>82.1</v>
      </c>
      <c r="AL181" s="2">
        <v>58.36</v>
      </c>
      <c r="AM181" s="2">
        <v>195.77</v>
      </c>
      <c r="AN181" s="2">
        <v>230.3</v>
      </c>
      <c r="AO181" s="2">
        <v>362.71</v>
      </c>
      <c r="AP181" s="2">
        <v>292.38</v>
      </c>
      <c r="AQ181" s="2">
        <v>360.02</v>
      </c>
      <c r="AR181" s="2">
        <v>319.49</v>
      </c>
      <c r="AU181" s="1" t="s">
        <v>25</v>
      </c>
      <c r="AV181" s="2">
        <v>190.61</v>
      </c>
      <c r="AW181" s="2">
        <v>483.63</v>
      </c>
      <c r="AX181" s="2">
        <v>96.84</v>
      </c>
      <c r="AY181" s="2">
        <v>61.53</v>
      </c>
      <c r="AZ181" s="2">
        <v>151.47</v>
      </c>
      <c r="BA181" s="2">
        <v>205.38</v>
      </c>
      <c r="BB181" s="2">
        <v>358.82</v>
      </c>
      <c r="BC181" s="2">
        <v>291.67</v>
      </c>
      <c r="BD181" s="2">
        <v>386.69</v>
      </c>
      <c r="BE181" s="2">
        <v>342.21</v>
      </c>
      <c r="BF181" s="2">
        <v>190.14</v>
      </c>
      <c r="BG181" s="2">
        <v>517.39</v>
      </c>
      <c r="BH181" s="2">
        <v>82.1</v>
      </c>
      <c r="BI181" s="2">
        <v>58.36</v>
      </c>
      <c r="BJ181" s="2">
        <v>195.77</v>
      </c>
      <c r="BK181" s="2">
        <v>230.3</v>
      </c>
      <c r="BL181" s="2">
        <v>362.71</v>
      </c>
      <c r="BM181" s="2">
        <v>292.38</v>
      </c>
      <c r="BN181" s="2">
        <v>360.02</v>
      </c>
      <c r="BO181" s="2">
        <v>319.49</v>
      </c>
    </row>
    <row r="182" spans="24:67" x14ac:dyDescent="0.3">
      <c r="X182" s="1" t="s">
        <v>26</v>
      </c>
      <c r="Y182" s="2">
        <v>36.99</v>
      </c>
      <c r="Z182" s="2">
        <v>82.87</v>
      </c>
      <c r="AA182" s="2">
        <v>15.91</v>
      </c>
      <c r="AB182" s="2">
        <v>10.55</v>
      </c>
      <c r="AC182" s="2">
        <v>21.82</v>
      </c>
      <c r="AD182" s="2">
        <v>27.42</v>
      </c>
      <c r="AE182" s="2">
        <v>56.3</v>
      </c>
      <c r="AF182" s="2">
        <v>45.96</v>
      </c>
      <c r="AG182" s="2">
        <v>61.64</v>
      </c>
      <c r="AH182" s="2">
        <v>59.8</v>
      </c>
      <c r="AI182" s="2">
        <v>25.58</v>
      </c>
      <c r="AJ182" s="2">
        <v>53.65</v>
      </c>
      <c r="AK182" s="2">
        <v>10.3</v>
      </c>
      <c r="AL182" s="2">
        <v>9.5500000000000007</v>
      </c>
      <c r="AM182" s="2">
        <v>27.34</v>
      </c>
      <c r="AN182" s="2">
        <v>37.71</v>
      </c>
      <c r="AO182" s="2">
        <v>58.42</v>
      </c>
      <c r="AP182" s="2">
        <v>42.9</v>
      </c>
      <c r="AQ182" s="2">
        <v>63.17</v>
      </c>
      <c r="AR182" s="2">
        <v>48.18</v>
      </c>
      <c r="AU182" s="1" t="s">
        <v>26</v>
      </c>
      <c r="AV182" s="2">
        <v>36.99</v>
      </c>
      <c r="AW182" s="2">
        <v>82.87</v>
      </c>
      <c r="AX182" s="2">
        <v>15.91</v>
      </c>
      <c r="AY182" s="2">
        <v>10.55</v>
      </c>
      <c r="AZ182" s="2">
        <v>21.82</v>
      </c>
      <c r="BA182" s="2">
        <v>27.42</v>
      </c>
      <c r="BB182" s="2">
        <v>56.3</v>
      </c>
      <c r="BC182" s="2">
        <v>45.96</v>
      </c>
      <c r="BD182" s="2">
        <v>61.64</v>
      </c>
      <c r="BE182" s="2">
        <v>59.8</v>
      </c>
      <c r="BF182" s="2">
        <v>25.58</v>
      </c>
      <c r="BG182" s="2">
        <v>53.65</v>
      </c>
      <c r="BH182" s="2">
        <v>10.3</v>
      </c>
      <c r="BI182" s="2">
        <v>9.5500000000000007</v>
      </c>
      <c r="BJ182" s="2">
        <v>27.34</v>
      </c>
      <c r="BK182" s="2">
        <v>37.71</v>
      </c>
      <c r="BL182" s="2">
        <v>58.42</v>
      </c>
      <c r="BM182" s="2">
        <v>42.9</v>
      </c>
      <c r="BN182" s="2">
        <v>63.17</v>
      </c>
      <c r="BO182" s="2">
        <v>48.18</v>
      </c>
    </row>
    <row r="183" spans="24:67" x14ac:dyDescent="0.3">
      <c r="X183" s="1" t="s">
        <v>27</v>
      </c>
      <c r="Y183" s="2">
        <v>113.44</v>
      </c>
      <c r="Z183" s="2">
        <v>270.7</v>
      </c>
      <c r="AA183" s="2">
        <v>44.76</v>
      </c>
      <c r="AB183" s="2">
        <v>34.43</v>
      </c>
      <c r="AC183" s="2">
        <v>81.42</v>
      </c>
      <c r="AD183" s="2">
        <v>96.94</v>
      </c>
      <c r="AE183" s="2">
        <v>185.42</v>
      </c>
      <c r="AF183" s="2">
        <v>155.16999999999999</v>
      </c>
      <c r="AG183" s="2">
        <v>230.55</v>
      </c>
      <c r="AH183" s="2">
        <v>205.99</v>
      </c>
      <c r="AI183" s="2">
        <v>125.94</v>
      </c>
      <c r="AJ183" s="2">
        <v>241.15</v>
      </c>
      <c r="AK183" s="2">
        <v>46.69</v>
      </c>
      <c r="AL183" s="2">
        <v>38.67</v>
      </c>
      <c r="AM183" s="2">
        <v>165.06</v>
      </c>
      <c r="AN183" s="2">
        <v>143.33000000000001</v>
      </c>
      <c r="AO183" s="2">
        <v>369.08</v>
      </c>
      <c r="AP183" s="2">
        <v>265.74</v>
      </c>
      <c r="AQ183" s="2">
        <v>231</v>
      </c>
      <c r="AR183" s="2">
        <v>183.6</v>
      </c>
      <c r="AU183" s="1" t="s">
        <v>27</v>
      </c>
      <c r="AV183" s="2">
        <v>113.44</v>
      </c>
      <c r="AW183" s="2">
        <v>270.7</v>
      </c>
      <c r="AX183" s="2">
        <v>44.76</v>
      </c>
      <c r="AY183" s="2">
        <v>34.43</v>
      </c>
      <c r="AZ183" s="2">
        <v>81.42</v>
      </c>
      <c r="BA183" s="2">
        <v>96.94</v>
      </c>
      <c r="BB183" s="2">
        <v>185.42</v>
      </c>
      <c r="BC183" s="2">
        <v>155.16999999999999</v>
      </c>
      <c r="BD183" s="2">
        <v>230.55</v>
      </c>
      <c r="BE183" s="2">
        <v>205.99</v>
      </c>
      <c r="BF183" s="2">
        <v>125.94</v>
      </c>
      <c r="BG183" s="2">
        <v>241.15</v>
      </c>
      <c r="BH183" s="2">
        <v>46.69</v>
      </c>
      <c r="BI183" s="2">
        <v>38.67</v>
      </c>
      <c r="BJ183" s="2">
        <v>165.06</v>
      </c>
      <c r="BK183" s="2">
        <v>143.33000000000001</v>
      </c>
      <c r="BL183" s="2">
        <v>369.08</v>
      </c>
      <c r="BM183" s="2">
        <v>265.74</v>
      </c>
      <c r="BN183" s="2">
        <v>231</v>
      </c>
      <c r="BO183" s="2">
        <v>183.6</v>
      </c>
    </row>
    <row r="184" spans="24:67" x14ac:dyDescent="0.3">
      <c r="X184" s="1" t="s">
        <v>28</v>
      </c>
      <c r="Y184" s="2">
        <v>59.98</v>
      </c>
      <c r="Z184" s="2">
        <v>188.64</v>
      </c>
      <c r="AA184" s="2">
        <v>25.82</v>
      </c>
      <c r="AB184" s="2">
        <v>16.02</v>
      </c>
      <c r="AC184" s="2">
        <v>61.06</v>
      </c>
      <c r="AD184" s="2">
        <v>79.17</v>
      </c>
      <c r="AE184" s="2">
        <v>145.22999999999999</v>
      </c>
      <c r="AF184" s="2">
        <v>118.5</v>
      </c>
      <c r="AG184" s="2">
        <v>153.61000000000001</v>
      </c>
      <c r="AH184" s="2">
        <v>135.1</v>
      </c>
      <c r="AI184" s="2">
        <v>64.28</v>
      </c>
      <c r="AJ184" s="2">
        <v>218.65</v>
      </c>
      <c r="AK184" s="2">
        <v>27.71</v>
      </c>
      <c r="AL184" s="2">
        <v>17.91</v>
      </c>
      <c r="AM184" s="2">
        <v>62.49</v>
      </c>
      <c r="AN184" s="2">
        <v>74.97</v>
      </c>
      <c r="AO184" s="2">
        <v>142.44</v>
      </c>
      <c r="AP184" s="2">
        <v>122.06</v>
      </c>
      <c r="AQ184" s="2">
        <v>154.26</v>
      </c>
      <c r="AR184" s="2">
        <v>132.16999999999999</v>
      </c>
      <c r="AU184" s="1" t="s">
        <v>28</v>
      </c>
      <c r="AV184" s="2">
        <v>59.98</v>
      </c>
      <c r="AW184" s="2">
        <v>188.64</v>
      </c>
      <c r="AX184" s="2">
        <v>25.82</v>
      </c>
      <c r="AY184" s="2">
        <v>16.02</v>
      </c>
      <c r="AZ184" s="2">
        <v>61.06</v>
      </c>
      <c r="BA184" s="2">
        <v>79.17</v>
      </c>
      <c r="BB184" s="2">
        <v>145.22999999999999</v>
      </c>
      <c r="BC184" s="2">
        <v>118.5</v>
      </c>
      <c r="BD184" s="2">
        <v>153.61000000000001</v>
      </c>
      <c r="BE184" s="2">
        <v>135.1</v>
      </c>
      <c r="BF184" s="2">
        <v>64.28</v>
      </c>
      <c r="BG184" s="2">
        <v>218.65</v>
      </c>
      <c r="BH184" s="2">
        <v>27.71</v>
      </c>
      <c r="BI184" s="2">
        <v>17.91</v>
      </c>
      <c r="BJ184" s="2">
        <v>62.49</v>
      </c>
      <c r="BK184" s="2">
        <v>74.97</v>
      </c>
      <c r="BL184" s="2">
        <v>142.44</v>
      </c>
      <c r="BM184" s="2">
        <v>122.06</v>
      </c>
      <c r="BN184" s="2">
        <v>154.26</v>
      </c>
      <c r="BO184" s="2">
        <v>132.16999999999999</v>
      </c>
    </row>
    <row r="187" spans="24:67" x14ac:dyDescent="0.3">
      <c r="X187" t="s">
        <v>68</v>
      </c>
      <c r="AU187" t="s">
        <v>69</v>
      </c>
    </row>
    <row r="188" spans="24:67" x14ac:dyDescent="0.3">
      <c r="X188" s="1" t="s">
        <v>16</v>
      </c>
      <c r="Y188" s="1" t="s">
        <v>17</v>
      </c>
      <c r="Z188" s="1" t="s">
        <v>18</v>
      </c>
      <c r="AA188" s="1" t="s">
        <v>17</v>
      </c>
      <c r="AB188" s="1" t="s">
        <v>18</v>
      </c>
      <c r="AC188" s="1" t="s">
        <v>17</v>
      </c>
      <c r="AD188" s="1" t="s">
        <v>18</v>
      </c>
      <c r="AE188" s="1" t="s">
        <v>17</v>
      </c>
      <c r="AF188" s="1" t="s">
        <v>18</v>
      </c>
      <c r="AG188" s="1" t="s">
        <v>17</v>
      </c>
      <c r="AH188" s="1" t="s">
        <v>18</v>
      </c>
      <c r="AI188" s="1" t="s">
        <v>17</v>
      </c>
      <c r="AJ188" s="1" t="s">
        <v>18</v>
      </c>
      <c r="AK188" s="1" t="s">
        <v>17</v>
      </c>
      <c r="AL188" s="1" t="s">
        <v>18</v>
      </c>
      <c r="AM188" s="1" t="s">
        <v>17</v>
      </c>
      <c r="AN188" s="1" t="s">
        <v>18</v>
      </c>
      <c r="AO188" s="1" t="s">
        <v>17</v>
      </c>
      <c r="AP188" s="1" t="s">
        <v>18</v>
      </c>
      <c r="AQ188" s="1" t="s">
        <v>17</v>
      </c>
      <c r="AR188" s="1" t="s">
        <v>18</v>
      </c>
      <c r="AU188" s="1" t="s">
        <v>16</v>
      </c>
      <c r="AV188" s="1" t="s">
        <v>17</v>
      </c>
      <c r="AW188" s="1" t="s">
        <v>18</v>
      </c>
      <c r="AX188" s="1" t="s">
        <v>17</v>
      </c>
      <c r="AY188" s="1" t="s">
        <v>18</v>
      </c>
      <c r="AZ188" s="1" t="s">
        <v>17</v>
      </c>
      <c r="BA188" s="1" t="s">
        <v>18</v>
      </c>
      <c r="BB188" s="1" t="s">
        <v>17</v>
      </c>
      <c r="BC188" s="1" t="s">
        <v>18</v>
      </c>
      <c r="BD188" s="1" t="s">
        <v>17</v>
      </c>
      <c r="BE188" s="1" t="s">
        <v>18</v>
      </c>
      <c r="BF188" s="1" t="s">
        <v>17</v>
      </c>
      <c r="BG188" s="1" t="s">
        <v>18</v>
      </c>
      <c r="BH188" s="1" t="s">
        <v>17</v>
      </c>
      <c r="BI188" s="1" t="s">
        <v>18</v>
      </c>
      <c r="BJ188" s="1" t="s">
        <v>17</v>
      </c>
      <c r="BK188" s="1" t="s">
        <v>18</v>
      </c>
      <c r="BL188" s="1" t="s">
        <v>17</v>
      </c>
      <c r="BM188" s="1" t="s">
        <v>18</v>
      </c>
      <c r="BN188" s="1" t="s">
        <v>17</v>
      </c>
      <c r="BO188" s="1" t="s">
        <v>18</v>
      </c>
    </row>
    <row r="189" spans="24:67" x14ac:dyDescent="0.3">
      <c r="X189" s="1" t="s">
        <v>19</v>
      </c>
      <c r="Y189" s="1" t="s">
        <v>1</v>
      </c>
      <c r="Z189" s="1" t="s">
        <v>1</v>
      </c>
      <c r="AA189" s="1" t="s">
        <v>2</v>
      </c>
      <c r="AB189" s="1" t="s">
        <v>2</v>
      </c>
      <c r="AC189" s="1" t="s">
        <v>3</v>
      </c>
      <c r="AD189" s="1" t="s">
        <v>3</v>
      </c>
      <c r="AE189" s="1" t="s">
        <v>4</v>
      </c>
      <c r="AF189" s="1" t="s">
        <v>4</v>
      </c>
      <c r="AG189" s="1" t="s">
        <v>5</v>
      </c>
      <c r="AH189" s="1" t="s">
        <v>5</v>
      </c>
      <c r="AI189" s="1" t="s">
        <v>6</v>
      </c>
      <c r="AJ189" s="1" t="s">
        <v>6</v>
      </c>
      <c r="AK189" s="1" t="s">
        <v>7</v>
      </c>
      <c r="AL189" s="1" t="s">
        <v>7</v>
      </c>
      <c r="AM189" s="1" t="s">
        <v>8</v>
      </c>
      <c r="AN189" s="1" t="s">
        <v>8</v>
      </c>
      <c r="AO189" s="1" t="s">
        <v>9</v>
      </c>
      <c r="AP189" s="1" t="s">
        <v>9</v>
      </c>
      <c r="AQ189" s="1" t="s">
        <v>10</v>
      </c>
      <c r="AR189" s="1" t="s">
        <v>10</v>
      </c>
      <c r="AU189" s="1" t="s">
        <v>19</v>
      </c>
      <c r="AV189" s="1" t="s">
        <v>1</v>
      </c>
      <c r="AW189" s="1" t="s">
        <v>1</v>
      </c>
      <c r="AX189" s="1" t="s">
        <v>2</v>
      </c>
      <c r="AY189" s="1" t="s">
        <v>2</v>
      </c>
      <c r="AZ189" s="1" t="s">
        <v>3</v>
      </c>
      <c r="BA189" s="1" t="s">
        <v>3</v>
      </c>
      <c r="BB189" s="1" t="s">
        <v>4</v>
      </c>
      <c r="BC189" s="1" t="s">
        <v>4</v>
      </c>
      <c r="BD189" s="1" t="s">
        <v>5</v>
      </c>
      <c r="BE189" s="1" t="s">
        <v>5</v>
      </c>
      <c r="BF189" s="1" t="s">
        <v>6</v>
      </c>
      <c r="BG189" s="1" t="s">
        <v>6</v>
      </c>
      <c r="BH189" s="1" t="s">
        <v>7</v>
      </c>
      <c r="BI189" s="1" t="s">
        <v>7</v>
      </c>
      <c r="BJ189" s="1" t="s">
        <v>8</v>
      </c>
      <c r="BK189" s="1" t="s">
        <v>8</v>
      </c>
      <c r="BL189" s="1" t="s">
        <v>9</v>
      </c>
      <c r="BM189" s="1" t="s">
        <v>9</v>
      </c>
      <c r="BN189" s="1" t="s">
        <v>10</v>
      </c>
      <c r="BO189" s="1" t="s">
        <v>10</v>
      </c>
    </row>
    <row r="190" spans="24:67" x14ac:dyDescent="0.3">
      <c r="X190" s="1" t="s">
        <v>20</v>
      </c>
      <c r="AU190" s="1" t="s">
        <v>20</v>
      </c>
    </row>
    <row r="191" spans="24:67" x14ac:dyDescent="0.3">
      <c r="X191" s="1" t="s">
        <v>21</v>
      </c>
      <c r="Y191" s="2">
        <v>101.81</v>
      </c>
      <c r="Z191" s="2">
        <v>102.64</v>
      </c>
      <c r="AA191" s="2">
        <v>49.21</v>
      </c>
      <c r="AB191" s="2">
        <v>50.58</v>
      </c>
      <c r="AC191" s="2">
        <v>76.02</v>
      </c>
      <c r="AD191" s="2">
        <v>78.099999999999994</v>
      </c>
      <c r="AE191" s="2">
        <v>85.29</v>
      </c>
      <c r="AF191" s="2">
        <v>182.21</v>
      </c>
      <c r="AG191" s="2">
        <v>184.45</v>
      </c>
      <c r="AH191" s="2">
        <v>178.43</v>
      </c>
      <c r="AI191" s="2">
        <v>188.16</v>
      </c>
      <c r="AJ191" s="2">
        <v>177.8</v>
      </c>
      <c r="AK191" s="2">
        <v>184.59</v>
      </c>
      <c r="AL191" s="2">
        <v>188.09</v>
      </c>
      <c r="AM191" s="2">
        <v>188.51</v>
      </c>
      <c r="AN191" s="2">
        <v>183.33</v>
      </c>
      <c r="AO191" s="2">
        <v>159.38999999999999</v>
      </c>
      <c r="AP191" s="2">
        <v>167.09</v>
      </c>
      <c r="AQ191" s="2">
        <v>191.59</v>
      </c>
      <c r="AR191" s="2">
        <v>195.02</v>
      </c>
      <c r="AU191" s="1" t="s">
        <v>21</v>
      </c>
      <c r="AV191" s="2">
        <v>101.81</v>
      </c>
      <c r="AW191" s="2">
        <v>102.64</v>
      </c>
      <c r="AX191" s="2">
        <v>49.21</v>
      </c>
      <c r="AY191" s="2">
        <v>50.58</v>
      </c>
      <c r="AZ191" s="2">
        <v>76.02</v>
      </c>
      <c r="BA191" s="2">
        <v>78.099999999999994</v>
      </c>
      <c r="BB191" s="2">
        <v>85.29</v>
      </c>
      <c r="BC191" s="2">
        <v>182.21</v>
      </c>
      <c r="BD191" s="2">
        <v>184.45</v>
      </c>
      <c r="BE191" s="2">
        <v>178.43</v>
      </c>
      <c r="BF191" s="2">
        <v>188.16</v>
      </c>
      <c r="BG191" s="2">
        <v>177.8</v>
      </c>
      <c r="BH191" s="2">
        <v>184.59</v>
      </c>
      <c r="BI191" s="2">
        <v>188.09</v>
      </c>
      <c r="BJ191" s="2">
        <v>188.51</v>
      </c>
      <c r="BK191" s="2">
        <v>183.33</v>
      </c>
      <c r="BL191" s="2">
        <v>159.38999999999999</v>
      </c>
      <c r="BM191" s="2">
        <v>167.09</v>
      </c>
      <c r="BN191" s="2">
        <v>191.59</v>
      </c>
      <c r="BO191" s="2">
        <v>195.02</v>
      </c>
    </row>
    <row r="192" spans="24:67" x14ac:dyDescent="0.3">
      <c r="X192" s="1" t="s">
        <v>22</v>
      </c>
      <c r="Y192" s="2">
        <v>14.17</v>
      </c>
      <c r="Z192" s="2">
        <v>14.78</v>
      </c>
      <c r="AA192" s="2">
        <v>7.71</v>
      </c>
      <c r="AB192" s="2">
        <v>9.35</v>
      </c>
      <c r="AC192" s="2">
        <v>10.17</v>
      </c>
      <c r="AD192" s="2">
        <v>11.64</v>
      </c>
      <c r="AE192" s="2">
        <v>10.93</v>
      </c>
      <c r="AF192" s="2">
        <v>14.71</v>
      </c>
      <c r="AG192" s="2">
        <v>11.16</v>
      </c>
      <c r="AH192" s="2">
        <v>12.85</v>
      </c>
      <c r="AI192" s="2">
        <v>10.9</v>
      </c>
      <c r="AJ192" s="2">
        <v>14.03</v>
      </c>
      <c r="AK192" s="2">
        <v>12.86</v>
      </c>
      <c r="AL192" s="2">
        <v>13.92</v>
      </c>
      <c r="AM192" s="2">
        <v>13.19</v>
      </c>
      <c r="AN192" s="2">
        <v>12.97</v>
      </c>
      <c r="AO192" s="2">
        <v>12.81</v>
      </c>
      <c r="AP192" s="2">
        <v>14.29</v>
      </c>
      <c r="AQ192" s="2">
        <v>18.05</v>
      </c>
      <c r="AR192" s="2">
        <v>15.77</v>
      </c>
      <c r="AU192" s="1" t="s">
        <v>22</v>
      </c>
      <c r="AV192" s="2">
        <v>14.17</v>
      </c>
      <c r="AW192" s="2">
        <v>14.78</v>
      </c>
      <c r="AX192" s="2">
        <v>7.71</v>
      </c>
      <c r="AY192" s="2">
        <v>9.35</v>
      </c>
      <c r="AZ192" s="2">
        <v>10.17</v>
      </c>
      <c r="BA192" s="2">
        <v>11.64</v>
      </c>
      <c r="BB192" s="2">
        <v>10.93</v>
      </c>
      <c r="BC192" s="2">
        <v>14.71</v>
      </c>
      <c r="BD192" s="2">
        <v>11.16</v>
      </c>
      <c r="BE192" s="2">
        <v>12.85</v>
      </c>
      <c r="BF192" s="2">
        <v>10.9</v>
      </c>
      <c r="BG192" s="2">
        <v>14.03</v>
      </c>
      <c r="BH192" s="2">
        <v>12.86</v>
      </c>
      <c r="BI192" s="2">
        <v>13.92</v>
      </c>
      <c r="BJ192" s="2">
        <v>13.19</v>
      </c>
      <c r="BK192" s="2">
        <v>12.97</v>
      </c>
      <c r="BL192" s="2">
        <v>12.81</v>
      </c>
      <c r="BM192" s="2">
        <v>14.29</v>
      </c>
      <c r="BN192" s="2">
        <v>18.05</v>
      </c>
      <c r="BO192" s="2">
        <v>15.77</v>
      </c>
    </row>
    <row r="193" spans="24:67" x14ac:dyDescent="0.3">
      <c r="X193" s="1" t="s">
        <v>23</v>
      </c>
      <c r="Y193" s="2">
        <v>115.8</v>
      </c>
      <c r="Z193" s="2">
        <v>43.51</v>
      </c>
      <c r="AA193" s="2">
        <v>45.98</v>
      </c>
      <c r="AB193" s="2">
        <v>21.32</v>
      </c>
      <c r="AC193" s="2">
        <v>149.68</v>
      </c>
      <c r="AD193" s="2">
        <v>95.21</v>
      </c>
      <c r="AE193" s="2">
        <v>119.78</v>
      </c>
      <c r="AF193" s="2">
        <v>63.61</v>
      </c>
      <c r="AG193" s="2">
        <v>133.28</v>
      </c>
      <c r="AH193" s="2">
        <v>59.54</v>
      </c>
      <c r="AI193" s="2">
        <v>139.29</v>
      </c>
      <c r="AJ193" s="2">
        <v>62.58</v>
      </c>
      <c r="AK193" s="2">
        <v>160.35</v>
      </c>
      <c r="AL193" s="2">
        <v>66.33</v>
      </c>
      <c r="AM193" s="2">
        <v>157.4</v>
      </c>
      <c r="AN193" s="2">
        <v>59.22</v>
      </c>
      <c r="AO193" s="2">
        <v>61.48</v>
      </c>
      <c r="AP193" s="2">
        <v>62.37</v>
      </c>
      <c r="AQ193" s="2">
        <v>56.61</v>
      </c>
      <c r="AR193" s="2">
        <v>55.51</v>
      </c>
      <c r="AU193" s="1" t="s">
        <v>23</v>
      </c>
      <c r="AV193" s="2">
        <v>115.8</v>
      </c>
      <c r="AW193" s="2">
        <v>43.51</v>
      </c>
      <c r="AX193" s="2">
        <v>45.98</v>
      </c>
      <c r="AY193" s="2">
        <v>21.32</v>
      </c>
      <c r="AZ193" s="2">
        <v>149.68</v>
      </c>
      <c r="BA193" s="2">
        <v>95.21</v>
      </c>
      <c r="BB193" s="2">
        <v>119.78</v>
      </c>
      <c r="BC193" s="2">
        <v>63.61</v>
      </c>
      <c r="BD193" s="2">
        <v>133.28</v>
      </c>
      <c r="BE193" s="2">
        <v>59.54</v>
      </c>
      <c r="BF193" s="2">
        <v>139.29</v>
      </c>
      <c r="BG193" s="2">
        <v>62.58</v>
      </c>
      <c r="BH193" s="2">
        <v>160.35</v>
      </c>
      <c r="BI193" s="2">
        <v>66.33</v>
      </c>
      <c r="BJ193" s="2">
        <v>157.4</v>
      </c>
      <c r="BK193" s="2">
        <v>59.22</v>
      </c>
      <c r="BL193" s="2">
        <v>61.48</v>
      </c>
      <c r="BM193" s="2">
        <v>62.37</v>
      </c>
      <c r="BN193" s="2">
        <v>56.61</v>
      </c>
      <c r="BO193" s="2">
        <v>55.51</v>
      </c>
    </row>
    <row r="194" spans="24:67" x14ac:dyDescent="0.3">
      <c r="X194" s="1" t="s">
        <v>24</v>
      </c>
      <c r="Y194" s="2">
        <v>48.27</v>
      </c>
      <c r="Z194" s="2">
        <v>20.6</v>
      </c>
      <c r="AA194" s="2">
        <v>20.58</v>
      </c>
      <c r="AB194" s="2">
        <v>11.48</v>
      </c>
      <c r="AC194" s="2">
        <v>40.29</v>
      </c>
      <c r="AD194" s="2">
        <v>28.77</v>
      </c>
      <c r="AE194" s="2">
        <v>35.65</v>
      </c>
      <c r="AF194" s="2">
        <v>27.55</v>
      </c>
      <c r="AG194" s="2">
        <v>35.229999999999997</v>
      </c>
      <c r="AH194" s="2">
        <v>24.43</v>
      </c>
      <c r="AI194" s="2">
        <v>35.450000000000003</v>
      </c>
      <c r="AJ194" s="2">
        <v>25.56</v>
      </c>
      <c r="AK194" s="2">
        <v>38.26</v>
      </c>
      <c r="AL194" s="2">
        <v>26.42</v>
      </c>
      <c r="AM194" s="2">
        <v>27.32</v>
      </c>
      <c r="AN194" s="2">
        <v>23.72</v>
      </c>
      <c r="AO194" s="2">
        <v>21.73</v>
      </c>
      <c r="AP194" s="2">
        <v>26.12</v>
      </c>
      <c r="AQ194" s="2">
        <v>23.84</v>
      </c>
      <c r="AR194" s="2">
        <v>23.98</v>
      </c>
      <c r="AU194" s="1" t="s">
        <v>24</v>
      </c>
      <c r="AV194" s="2">
        <v>48.27</v>
      </c>
      <c r="AW194" s="2">
        <v>20.6</v>
      </c>
      <c r="AX194" s="2">
        <v>20.58</v>
      </c>
      <c r="AY194" s="2">
        <v>11.48</v>
      </c>
      <c r="AZ194" s="2">
        <v>40.29</v>
      </c>
      <c r="BA194" s="2">
        <v>28.77</v>
      </c>
      <c r="BB194" s="2">
        <v>35.65</v>
      </c>
      <c r="BC194" s="2">
        <v>27.55</v>
      </c>
      <c r="BD194" s="2">
        <v>35.229999999999997</v>
      </c>
      <c r="BE194" s="2">
        <v>24.43</v>
      </c>
      <c r="BF194" s="2">
        <v>35.450000000000003</v>
      </c>
      <c r="BG194" s="2">
        <v>25.56</v>
      </c>
      <c r="BH194" s="2">
        <v>38.26</v>
      </c>
      <c r="BI194" s="2">
        <v>26.42</v>
      </c>
      <c r="BJ194" s="2">
        <v>27.32</v>
      </c>
      <c r="BK194" s="2">
        <v>23.72</v>
      </c>
      <c r="BL194" s="2">
        <v>21.73</v>
      </c>
      <c r="BM194" s="2">
        <v>26.12</v>
      </c>
      <c r="BN194" s="2">
        <v>23.84</v>
      </c>
      <c r="BO194" s="2">
        <v>23.98</v>
      </c>
    </row>
    <row r="195" spans="24:67" x14ac:dyDescent="0.3">
      <c r="X195" s="1" t="s">
        <v>25</v>
      </c>
      <c r="Y195" s="2">
        <v>146.62</v>
      </c>
      <c r="Z195" s="2">
        <v>146.26</v>
      </c>
      <c r="AA195" s="2">
        <v>74.489999999999995</v>
      </c>
      <c r="AB195" s="2">
        <v>63.15</v>
      </c>
      <c r="AC195" s="2">
        <v>123.07</v>
      </c>
      <c r="AD195" s="2">
        <v>116.72</v>
      </c>
      <c r="AE195" s="2">
        <v>94.67</v>
      </c>
      <c r="AF195" s="2">
        <v>122.36</v>
      </c>
      <c r="AG195" s="2">
        <v>102.69</v>
      </c>
      <c r="AH195" s="2">
        <v>115.15</v>
      </c>
      <c r="AI195" s="2">
        <v>99.67</v>
      </c>
      <c r="AJ195" s="2">
        <v>100.75</v>
      </c>
      <c r="AK195" s="2">
        <v>100.57</v>
      </c>
      <c r="AL195" s="2">
        <v>100.82</v>
      </c>
      <c r="AM195" s="2">
        <v>101.76</v>
      </c>
      <c r="AN195" s="2">
        <v>94.74</v>
      </c>
      <c r="AO195" s="2">
        <v>100.65</v>
      </c>
      <c r="AP195" s="2">
        <v>93.97</v>
      </c>
      <c r="AQ195" s="2">
        <v>107.47</v>
      </c>
      <c r="AR195" s="2">
        <v>114.98</v>
      </c>
      <c r="AU195" s="1" t="s">
        <v>25</v>
      </c>
      <c r="AV195" s="2">
        <v>146.62</v>
      </c>
      <c r="AW195" s="2">
        <v>146.26</v>
      </c>
      <c r="AX195" s="2">
        <v>74.489999999999995</v>
      </c>
      <c r="AY195" s="2">
        <v>63.15</v>
      </c>
      <c r="AZ195" s="2">
        <v>123.07</v>
      </c>
      <c r="BA195" s="2">
        <v>116.72</v>
      </c>
      <c r="BB195" s="2">
        <v>94.67</v>
      </c>
      <c r="BC195" s="2">
        <v>122.36</v>
      </c>
      <c r="BD195" s="2">
        <v>102.69</v>
      </c>
      <c r="BE195" s="2">
        <v>115.15</v>
      </c>
      <c r="BF195" s="2">
        <v>99.67</v>
      </c>
      <c r="BG195" s="2">
        <v>100.75</v>
      </c>
      <c r="BH195" s="2">
        <v>100.57</v>
      </c>
      <c r="BI195" s="2">
        <v>100.82</v>
      </c>
      <c r="BJ195" s="2">
        <v>101.76</v>
      </c>
      <c r="BK195" s="2">
        <v>94.74</v>
      </c>
      <c r="BL195" s="2">
        <v>100.65</v>
      </c>
      <c r="BM195" s="2">
        <v>93.97</v>
      </c>
      <c r="BN195" s="2">
        <v>107.47</v>
      </c>
      <c r="BO195" s="2">
        <v>114.98</v>
      </c>
    </row>
    <row r="196" spans="24:67" x14ac:dyDescent="0.3">
      <c r="X196" s="1" t="s">
        <v>26</v>
      </c>
      <c r="Y196" s="2">
        <v>28.46</v>
      </c>
      <c r="Z196" s="2">
        <v>19.68</v>
      </c>
      <c r="AA196" s="2">
        <v>12.24</v>
      </c>
      <c r="AB196" s="2">
        <v>7.93</v>
      </c>
      <c r="AC196" s="2">
        <v>21.1</v>
      </c>
      <c r="AD196" s="2">
        <v>19.11</v>
      </c>
      <c r="AE196" s="2">
        <v>13.64</v>
      </c>
      <c r="AF196" s="2">
        <v>17.09</v>
      </c>
      <c r="AG196" s="2">
        <v>13.71</v>
      </c>
      <c r="AH196" s="2">
        <v>18.86</v>
      </c>
      <c r="AI196" s="2">
        <v>15.64</v>
      </c>
      <c r="AJ196" s="2">
        <v>16.23</v>
      </c>
      <c r="AK196" s="2">
        <v>15.85</v>
      </c>
      <c r="AL196" s="2">
        <v>14.79</v>
      </c>
      <c r="AM196" s="2">
        <v>16.22</v>
      </c>
      <c r="AN196" s="2">
        <v>16.62</v>
      </c>
      <c r="AO196" s="2">
        <v>17.59</v>
      </c>
      <c r="AP196" s="2">
        <v>14.17</v>
      </c>
      <c r="AQ196" s="2">
        <v>18.420000000000002</v>
      </c>
      <c r="AR196" s="2">
        <v>11.92</v>
      </c>
      <c r="AU196" s="1" t="s">
        <v>26</v>
      </c>
      <c r="AV196" s="2">
        <v>28.46</v>
      </c>
      <c r="AW196" s="2">
        <v>19.68</v>
      </c>
      <c r="AX196" s="2">
        <v>12.24</v>
      </c>
      <c r="AY196" s="2">
        <v>7.93</v>
      </c>
      <c r="AZ196" s="2">
        <v>21.1</v>
      </c>
      <c r="BA196" s="2">
        <v>19.11</v>
      </c>
      <c r="BB196" s="2">
        <v>13.64</v>
      </c>
      <c r="BC196" s="2">
        <v>17.09</v>
      </c>
      <c r="BD196" s="2">
        <v>13.71</v>
      </c>
      <c r="BE196" s="2">
        <v>18.86</v>
      </c>
      <c r="BF196" s="2">
        <v>15.64</v>
      </c>
      <c r="BG196" s="2">
        <v>16.23</v>
      </c>
      <c r="BH196" s="2">
        <v>15.85</v>
      </c>
      <c r="BI196" s="2">
        <v>14.79</v>
      </c>
      <c r="BJ196" s="2">
        <v>16.22</v>
      </c>
      <c r="BK196" s="2">
        <v>16.62</v>
      </c>
      <c r="BL196" s="2">
        <v>17.59</v>
      </c>
      <c r="BM196" s="2">
        <v>14.17</v>
      </c>
      <c r="BN196" s="2">
        <v>18.420000000000002</v>
      </c>
      <c r="BO196" s="2">
        <v>11.92</v>
      </c>
    </row>
    <row r="197" spans="24:67" x14ac:dyDescent="0.3">
      <c r="X197" s="1" t="s">
        <v>27</v>
      </c>
      <c r="Y197" s="2">
        <v>87.26</v>
      </c>
      <c r="Z197" s="2">
        <v>96.88</v>
      </c>
      <c r="AA197" s="2">
        <v>34.43</v>
      </c>
      <c r="AB197" s="2">
        <v>35.92</v>
      </c>
      <c r="AC197" s="2">
        <v>68.86</v>
      </c>
      <c r="AD197" s="2">
        <v>77.33</v>
      </c>
      <c r="AE197" s="2">
        <v>50.89</v>
      </c>
      <c r="AF197" s="2">
        <v>103.17</v>
      </c>
      <c r="AG197" s="2">
        <v>48.47</v>
      </c>
      <c r="AH197" s="2">
        <v>71.66</v>
      </c>
      <c r="AI197" s="2">
        <v>51.51</v>
      </c>
      <c r="AJ197" s="2">
        <v>102.52</v>
      </c>
      <c r="AK197" s="2">
        <v>53.51</v>
      </c>
      <c r="AL197" s="2">
        <v>91.63</v>
      </c>
      <c r="AM197" s="2">
        <v>60.67</v>
      </c>
      <c r="AN197" s="2">
        <v>60.79</v>
      </c>
      <c r="AO197" s="2">
        <v>60.58</v>
      </c>
      <c r="AP197" s="2">
        <v>54</v>
      </c>
      <c r="AQ197" s="2">
        <v>60.16</v>
      </c>
      <c r="AR197" s="2">
        <v>53.59</v>
      </c>
      <c r="AU197" s="1" t="s">
        <v>27</v>
      </c>
      <c r="AV197" s="2">
        <v>87.26</v>
      </c>
      <c r="AW197" s="2">
        <v>96.88</v>
      </c>
      <c r="AX197" s="2">
        <v>34.43</v>
      </c>
      <c r="AY197" s="2">
        <v>35.92</v>
      </c>
      <c r="AZ197" s="2">
        <v>68.86</v>
      </c>
      <c r="BA197" s="2">
        <v>77.33</v>
      </c>
      <c r="BB197" s="2">
        <v>50.89</v>
      </c>
      <c r="BC197" s="2">
        <v>103.17</v>
      </c>
      <c r="BD197" s="2">
        <v>48.47</v>
      </c>
      <c r="BE197" s="2">
        <v>71.66</v>
      </c>
      <c r="BF197" s="2">
        <v>51.51</v>
      </c>
      <c r="BG197" s="2">
        <v>102.52</v>
      </c>
      <c r="BH197" s="2">
        <v>53.51</v>
      </c>
      <c r="BI197" s="2">
        <v>91.63</v>
      </c>
      <c r="BJ197" s="2">
        <v>60.67</v>
      </c>
      <c r="BK197" s="2">
        <v>60.79</v>
      </c>
      <c r="BL197" s="2">
        <v>60.58</v>
      </c>
      <c r="BM197" s="2">
        <v>54</v>
      </c>
      <c r="BN197" s="2">
        <v>60.16</v>
      </c>
      <c r="BO197" s="2">
        <v>53.59</v>
      </c>
    </row>
    <row r="198" spans="24:67" x14ac:dyDescent="0.3">
      <c r="X198" s="1" t="s">
        <v>28</v>
      </c>
      <c r="Y198" s="2">
        <v>46.14</v>
      </c>
      <c r="Z198" s="2">
        <v>49.45</v>
      </c>
      <c r="AA198" s="2">
        <v>19.86</v>
      </c>
      <c r="AB198" s="2">
        <v>21.32</v>
      </c>
      <c r="AC198" s="2">
        <v>32.03</v>
      </c>
      <c r="AD198" s="2">
        <v>35.81</v>
      </c>
      <c r="AE198" s="2">
        <v>38.159999999999997</v>
      </c>
      <c r="AF198" s="2">
        <v>39.049999999999997</v>
      </c>
      <c r="AG198" s="2">
        <v>39.590000000000003</v>
      </c>
      <c r="AH198" s="2">
        <v>37.49</v>
      </c>
      <c r="AI198" s="2">
        <v>40.340000000000003</v>
      </c>
      <c r="AJ198" s="2">
        <v>39.57</v>
      </c>
      <c r="AK198" s="2">
        <v>40.86</v>
      </c>
      <c r="AL198" s="2">
        <v>42.09</v>
      </c>
      <c r="AM198" s="2">
        <v>40.42</v>
      </c>
      <c r="AN198" s="2">
        <v>40.590000000000003</v>
      </c>
      <c r="AO198" s="2">
        <v>39.729999999999997</v>
      </c>
      <c r="AP198" s="2">
        <v>38.869999999999997</v>
      </c>
      <c r="AQ198" s="2">
        <v>41.92</v>
      </c>
      <c r="AR198" s="2">
        <v>48.59</v>
      </c>
      <c r="AU198" s="1" t="s">
        <v>28</v>
      </c>
      <c r="AV198" s="2">
        <v>46.14</v>
      </c>
      <c r="AW198" s="2">
        <v>49.45</v>
      </c>
      <c r="AX198" s="2">
        <v>19.86</v>
      </c>
      <c r="AY198" s="2">
        <v>21.32</v>
      </c>
      <c r="AZ198" s="2">
        <v>32.03</v>
      </c>
      <c r="BA198" s="2">
        <v>35.81</v>
      </c>
      <c r="BB198" s="2">
        <v>38.159999999999997</v>
      </c>
      <c r="BC198" s="2">
        <v>39.049999999999997</v>
      </c>
      <c r="BD198" s="2">
        <v>39.590000000000003</v>
      </c>
      <c r="BE198" s="2">
        <v>37.49</v>
      </c>
      <c r="BF198" s="2">
        <v>40.340000000000003</v>
      </c>
      <c r="BG198" s="2">
        <v>39.57</v>
      </c>
      <c r="BH198" s="2">
        <v>40.86</v>
      </c>
      <c r="BI198" s="2">
        <v>42.09</v>
      </c>
      <c r="BJ198" s="2">
        <v>40.42</v>
      </c>
      <c r="BK198" s="2">
        <v>40.590000000000003</v>
      </c>
      <c r="BL198" s="2">
        <v>39.729999999999997</v>
      </c>
      <c r="BM198" s="2">
        <v>38.869999999999997</v>
      </c>
      <c r="BN198" s="2">
        <v>41.92</v>
      </c>
      <c r="BO198" s="2">
        <v>48.59</v>
      </c>
    </row>
    <row r="201" spans="24:67" x14ac:dyDescent="0.3">
      <c r="X201" t="s">
        <v>70</v>
      </c>
      <c r="AU201" t="s">
        <v>71</v>
      </c>
    </row>
    <row r="202" spans="24:67" x14ac:dyDescent="0.3">
      <c r="X202" s="1" t="s">
        <v>16</v>
      </c>
      <c r="Y202" s="1" t="s">
        <v>17</v>
      </c>
      <c r="Z202" s="1" t="s">
        <v>18</v>
      </c>
      <c r="AA202" s="1" t="s">
        <v>17</v>
      </c>
      <c r="AB202" s="1" t="s">
        <v>18</v>
      </c>
      <c r="AC202" s="1" t="s">
        <v>17</v>
      </c>
      <c r="AD202" s="1" t="s">
        <v>18</v>
      </c>
      <c r="AE202" s="1" t="s">
        <v>17</v>
      </c>
      <c r="AF202" s="1" t="s">
        <v>18</v>
      </c>
      <c r="AG202" s="1" t="s">
        <v>17</v>
      </c>
      <c r="AH202" s="1" t="s">
        <v>18</v>
      </c>
      <c r="AI202" s="1" t="s">
        <v>17</v>
      </c>
      <c r="AJ202" s="1" t="s">
        <v>18</v>
      </c>
      <c r="AK202" s="1" t="s">
        <v>17</v>
      </c>
      <c r="AL202" s="1" t="s">
        <v>18</v>
      </c>
      <c r="AM202" s="1" t="s">
        <v>17</v>
      </c>
      <c r="AN202" s="1" t="s">
        <v>18</v>
      </c>
      <c r="AO202" s="1" t="s">
        <v>17</v>
      </c>
      <c r="AP202" s="1" t="s">
        <v>18</v>
      </c>
      <c r="AQ202" s="1" t="s">
        <v>17</v>
      </c>
      <c r="AR202" s="1" t="s">
        <v>18</v>
      </c>
      <c r="AU202" s="1" t="s">
        <v>16</v>
      </c>
      <c r="AV202" s="13" t="s">
        <v>17</v>
      </c>
      <c r="AW202" s="13"/>
      <c r="AX202" s="13"/>
      <c r="AY202" s="13"/>
      <c r="AZ202" s="13"/>
      <c r="BA202" s="13"/>
      <c r="BB202" s="13"/>
      <c r="BC202" s="13"/>
      <c r="BD202" s="13"/>
      <c r="BE202" s="13"/>
      <c r="BF202" s="13" t="s">
        <v>18</v>
      </c>
      <c r="BG202" s="13"/>
      <c r="BH202" s="13"/>
      <c r="BI202" s="13"/>
      <c r="BJ202" s="13"/>
      <c r="BK202" s="13"/>
      <c r="BL202" s="13"/>
      <c r="BM202" s="13"/>
      <c r="BN202" s="13"/>
      <c r="BO202" s="13"/>
    </row>
    <row r="203" spans="24:67" x14ac:dyDescent="0.3">
      <c r="X203" s="1" t="s">
        <v>19</v>
      </c>
      <c r="Y203" s="1" t="s">
        <v>1</v>
      </c>
      <c r="Z203" s="1" t="s">
        <v>1</v>
      </c>
      <c r="AA203" s="1" t="s">
        <v>2</v>
      </c>
      <c r="AB203" s="1" t="s">
        <v>2</v>
      </c>
      <c r="AC203" s="1" t="s">
        <v>3</v>
      </c>
      <c r="AD203" s="1" t="s">
        <v>3</v>
      </c>
      <c r="AE203" s="1" t="s">
        <v>4</v>
      </c>
      <c r="AF203" s="1" t="s">
        <v>4</v>
      </c>
      <c r="AG203" s="1" t="s">
        <v>5</v>
      </c>
      <c r="AH203" s="1" t="s">
        <v>5</v>
      </c>
      <c r="AI203" s="1" t="s">
        <v>6</v>
      </c>
      <c r="AJ203" s="1" t="s">
        <v>6</v>
      </c>
      <c r="AK203" s="1" t="s">
        <v>7</v>
      </c>
      <c r="AL203" s="1" t="s">
        <v>7</v>
      </c>
      <c r="AM203" s="1" t="s">
        <v>8</v>
      </c>
      <c r="AN203" s="1" t="s">
        <v>8</v>
      </c>
      <c r="AO203" s="1" t="s">
        <v>9</v>
      </c>
      <c r="AP203" s="1" t="s">
        <v>9</v>
      </c>
      <c r="AQ203" s="1" t="s">
        <v>10</v>
      </c>
      <c r="AR203" s="1" t="s">
        <v>10</v>
      </c>
      <c r="AU203" s="1" t="s">
        <v>19</v>
      </c>
      <c r="AV203" s="1" t="s">
        <v>1</v>
      </c>
      <c r="AW203" s="1" t="s">
        <v>10</v>
      </c>
      <c r="AX203" s="1" t="s">
        <v>2</v>
      </c>
      <c r="AY203" s="1" t="s">
        <v>3</v>
      </c>
      <c r="AZ203" s="1" t="s">
        <v>4</v>
      </c>
      <c r="BA203" s="1" t="s">
        <v>5</v>
      </c>
      <c r="BB203" s="1" t="s">
        <v>6</v>
      </c>
      <c r="BC203" s="1" t="s">
        <v>7</v>
      </c>
      <c r="BD203" s="1" t="s">
        <v>8</v>
      </c>
      <c r="BE203" s="1" t="s">
        <v>9</v>
      </c>
      <c r="BF203" s="1" t="s">
        <v>1</v>
      </c>
      <c r="BG203" s="1" t="s">
        <v>10</v>
      </c>
      <c r="BH203" s="1" t="s">
        <v>2</v>
      </c>
      <c r="BI203" s="1" t="s">
        <v>3</v>
      </c>
      <c r="BJ203" s="1" t="s">
        <v>4</v>
      </c>
      <c r="BK203" s="1" t="s">
        <v>5</v>
      </c>
      <c r="BL203" s="1" t="s">
        <v>6</v>
      </c>
      <c r="BM203" s="1" t="s">
        <v>7</v>
      </c>
      <c r="BN203" s="1" t="s">
        <v>8</v>
      </c>
      <c r="BO203" s="1" t="s">
        <v>9</v>
      </c>
    </row>
    <row r="204" spans="24:67" x14ac:dyDescent="0.3">
      <c r="X204" s="1" t="s">
        <v>20</v>
      </c>
      <c r="AU204" s="1" t="s">
        <v>20</v>
      </c>
    </row>
    <row r="205" spans="24:67" x14ac:dyDescent="0.3">
      <c r="X205" s="1" t="s">
        <v>21</v>
      </c>
      <c r="Y205" s="2">
        <v>1</v>
      </c>
      <c r="Z205" s="2">
        <v>1</v>
      </c>
      <c r="AA205" s="2">
        <v>1</v>
      </c>
      <c r="AB205" s="2">
        <v>1</v>
      </c>
      <c r="AC205" s="2">
        <v>1</v>
      </c>
      <c r="AD205" s="2">
        <v>1</v>
      </c>
      <c r="AE205" s="2">
        <v>1</v>
      </c>
      <c r="AF205" s="2">
        <v>0.15</v>
      </c>
      <c r="AG205" s="2">
        <v>7.0000000000000007E-2</v>
      </c>
      <c r="AH205" s="2">
        <v>0.1</v>
      </c>
      <c r="AI205" s="2">
        <v>0.15</v>
      </c>
      <c r="AJ205" s="2">
        <v>0.09</v>
      </c>
      <c r="AK205" s="2">
        <v>0.16</v>
      </c>
      <c r="AL205" s="2">
        <v>0.08</v>
      </c>
      <c r="AM205" s="2">
        <v>0.11</v>
      </c>
      <c r="AN205" s="2">
        <v>0.09</v>
      </c>
      <c r="AO205" s="2">
        <v>7.0000000000000007E-2</v>
      </c>
      <c r="AP205" s="2">
        <v>0.02</v>
      </c>
      <c r="AQ205" s="2">
        <v>0.08</v>
      </c>
      <c r="AR205" s="2">
        <v>0.03</v>
      </c>
      <c r="AU205" s="1" t="s">
        <v>21</v>
      </c>
      <c r="AV205" s="2">
        <v>132.35</v>
      </c>
      <c r="AW205" s="2">
        <v>862.15</v>
      </c>
      <c r="AX205" s="2">
        <v>63.97</v>
      </c>
      <c r="AY205" s="2">
        <v>38.01</v>
      </c>
      <c r="AZ205" s="2">
        <v>136.46</v>
      </c>
      <c r="BA205" s="2">
        <v>368.9</v>
      </c>
      <c r="BB205" s="2">
        <v>677.38</v>
      </c>
      <c r="BC205" s="2">
        <v>535.30999999999995</v>
      </c>
      <c r="BD205" s="2">
        <v>716.34</v>
      </c>
      <c r="BE205" s="2">
        <v>541.92999999999995</v>
      </c>
      <c r="BF205" s="2">
        <v>133.44</v>
      </c>
      <c r="BG205" s="2">
        <v>877.59</v>
      </c>
      <c r="BH205" s="2">
        <v>65.75</v>
      </c>
      <c r="BI205" s="2">
        <v>39.049999999999997</v>
      </c>
      <c r="BJ205" s="2">
        <v>291.54000000000002</v>
      </c>
      <c r="BK205" s="2">
        <v>356.86</v>
      </c>
      <c r="BL205" s="2">
        <v>640.08000000000004</v>
      </c>
      <c r="BM205" s="2">
        <v>545.46</v>
      </c>
      <c r="BN205" s="2">
        <v>696.65</v>
      </c>
      <c r="BO205" s="2">
        <v>568.11</v>
      </c>
    </row>
    <row r="206" spans="24:67" x14ac:dyDescent="0.3">
      <c r="X206" s="1" t="s">
        <v>22</v>
      </c>
      <c r="Y206" s="2">
        <v>0.23</v>
      </c>
      <c r="Z206" s="2">
        <v>0.21</v>
      </c>
      <c r="AA206" s="2">
        <v>0.24</v>
      </c>
      <c r="AB206" s="2">
        <v>0.25</v>
      </c>
      <c r="AC206" s="2">
        <v>0.18</v>
      </c>
      <c r="AD206" s="2">
        <v>0.22</v>
      </c>
      <c r="AE206" s="2">
        <v>0.21</v>
      </c>
      <c r="AF206" s="2">
        <v>0.18</v>
      </c>
      <c r="AG206" s="2">
        <v>0.14000000000000001</v>
      </c>
      <c r="AH206" s="2">
        <v>7.0000000000000007E-2</v>
      </c>
      <c r="AI206" s="2">
        <v>0.17</v>
      </c>
      <c r="AJ206" s="2">
        <v>0.08</v>
      </c>
      <c r="AK206" s="2">
        <v>0.16</v>
      </c>
      <c r="AL206" s="2">
        <v>0.1</v>
      </c>
      <c r="AM206" s="2">
        <v>0.13</v>
      </c>
      <c r="AN206" s="2">
        <v>7.0000000000000007E-2</v>
      </c>
      <c r="AO206" s="2">
        <v>0.12</v>
      </c>
      <c r="AP206" s="2">
        <v>0.04</v>
      </c>
      <c r="AQ206" s="2">
        <v>0.1</v>
      </c>
      <c r="AR206" s="2">
        <v>0.01</v>
      </c>
      <c r="AU206" s="1" t="s">
        <v>22</v>
      </c>
      <c r="AV206" s="2">
        <v>18.420000000000002</v>
      </c>
      <c r="AW206" s="2">
        <v>81.23</v>
      </c>
      <c r="AX206" s="2">
        <v>10.029999999999999</v>
      </c>
      <c r="AY206" s="2">
        <v>5.08</v>
      </c>
      <c r="AZ206" s="2">
        <v>17.489999999999998</v>
      </c>
      <c r="BA206" s="2">
        <v>22.33</v>
      </c>
      <c r="BB206" s="2">
        <v>39.25</v>
      </c>
      <c r="BC206" s="2">
        <v>37.31</v>
      </c>
      <c r="BD206" s="2">
        <v>50.13</v>
      </c>
      <c r="BE206" s="2">
        <v>43.54</v>
      </c>
      <c r="BF206" s="2">
        <v>19.21</v>
      </c>
      <c r="BG206" s="2">
        <v>70.989999999999995</v>
      </c>
      <c r="BH206" s="2">
        <v>12.16</v>
      </c>
      <c r="BI206" s="2">
        <v>5.82</v>
      </c>
      <c r="BJ206" s="2">
        <v>23.54</v>
      </c>
      <c r="BK206" s="2">
        <v>25.7</v>
      </c>
      <c r="BL206" s="2">
        <v>50.49</v>
      </c>
      <c r="BM206" s="2">
        <v>40.36</v>
      </c>
      <c r="BN206" s="2">
        <v>49.27</v>
      </c>
      <c r="BO206" s="2">
        <v>48.57</v>
      </c>
    </row>
    <row r="207" spans="24:67" x14ac:dyDescent="0.3">
      <c r="X207" s="1" t="s">
        <v>23</v>
      </c>
      <c r="Y207" s="2">
        <v>0.38</v>
      </c>
      <c r="Z207" s="2">
        <v>0.16</v>
      </c>
      <c r="AA207" s="2">
        <v>0.38</v>
      </c>
      <c r="AB207" s="2">
        <v>0.21</v>
      </c>
      <c r="AC207" s="2">
        <v>0.33</v>
      </c>
      <c r="AD207" s="2">
        <v>0.3</v>
      </c>
      <c r="AE207" s="2">
        <v>0.33</v>
      </c>
      <c r="AF207" s="2">
        <v>0.15</v>
      </c>
      <c r="AG207" s="2">
        <v>0.32</v>
      </c>
      <c r="AH207" s="2">
        <v>0.09</v>
      </c>
      <c r="AI207" s="2">
        <v>0.33</v>
      </c>
      <c r="AJ207" s="2">
        <v>0.09</v>
      </c>
      <c r="AK207" s="2">
        <v>0.32</v>
      </c>
      <c r="AL207" s="2">
        <v>0.1</v>
      </c>
      <c r="AM207" s="2">
        <v>0.31</v>
      </c>
      <c r="AN207" s="2">
        <v>0.08</v>
      </c>
      <c r="AO207" s="2">
        <v>0.12</v>
      </c>
      <c r="AP207" s="2">
        <v>0.05</v>
      </c>
      <c r="AQ207" s="2">
        <v>0.04</v>
      </c>
      <c r="AR207" s="2">
        <v>0.03</v>
      </c>
      <c r="AU207" s="1" t="s">
        <v>23</v>
      </c>
      <c r="AV207" s="2">
        <v>150.54</v>
      </c>
      <c r="AW207" s="2">
        <v>254.74</v>
      </c>
      <c r="AX207" s="2">
        <v>59.78</v>
      </c>
      <c r="AY207" s="2">
        <v>74.84</v>
      </c>
      <c r="AZ207" s="2">
        <v>191.65</v>
      </c>
      <c r="BA207" s="2">
        <v>266.57</v>
      </c>
      <c r="BB207" s="2">
        <v>501.44</v>
      </c>
      <c r="BC207" s="2">
        <v>465.01</v>
      </c>
      <c r="BD207" s="2">
        <v>598.11</v>
      </c>
      <c r="BE207" s="2">
        <v>209.03</v>
      </c>
      <c r="BF207" s="2">
        <v>56.56</v>
      </c>
      <c r="BG207" s="2">
        <v>249.79</v>
      </c>
      <c r="BH207" s="2">
        <v>27.71</v>
      </c>
      <c r="BI207" s="2">
        <v>47.61</v>
      </c>
      <c r="BJ207" s="2">
        <v>101.77</v>
      </c>
      <c r="BK207" s="2">
        <v>119.07</v>
      </c>
      <c r="BL207" s="2">
        <v>225.3</v>
      </c>
      <c r="BM207" s="2">
        <v>192.37</v>
      </c>
      <c r="BN207" s="2">
        <v>225.02</v>
      </c>
      <c r="BO207" s="2">
        <v>212.06</v>
      </c>
    </row>
    <row r="208" spans="24:67" x14ac:dyDescent="0.3">
      <c r="X208" s="1" t="s">
        <v>24</v>
      </c>
      <c r="Y208" s="2">
        <v>0.37</v>
      </c>
      <c r="Z208" s="2">
        <v>0.17</v>
      </c>
      <c r="AA208" s="2">
        <v>0.36</v>
      </c>
      <c r="AB208" s="2">
        <v>0.25</v>
      </c>
      <c r="AC208" s="2">
        <v>0.35</v>
      </c>
      <c r="AD208" s="2">
        <v>0.37</v>
      </c>
      <c r="AE208" s="2">
        <v>0.34</v>
      </c>
      <c r="AF208" s="2">
        <v>0.23</v>
      </c>
      <c r="AG208" s="2">
        <v>0.31</v>
      </c>
      <c r="AH208" s="2">
        <v>0.15</v>
      </c>
      <c r="AI208" s="2">
        <v>0.31</v>
      </c>
      <c r="AJ208" s="2">
        <v>0.13</v>
      </c>
      <c r="AK208" s="2">
        <v>0.31</v>
      </c>
      <c r="AL208" s="2">
        <v>0.13</v>
      </c>
      <c r="AM208" s="2">
        <v>0.25</v>
      </c>
      <c r="AN208" s="2">
        <v>0.11</v>
      </c>
      <c r="AO208" s="2">
        <v>0.11</v>
      </c>
      <c r="AP208" s="2">
        <v>0.08</v>
      </c>
      <c r="AQ208" s="2">
        <v>0.08</v>
      </c>
      <c r="AR208" s="2">
        <v>0.06</v>
      </c>
      <c r="AU208" s="1" t="s">
        <v>24</v>
      </c>
      <c r="AV208" s="2">
        <v>62.75</v>
      </c>
      <c r="AW208" s="2">
        <v>107.27</v>
      </c>
      <c r="AX208" s="2">
        <v>26.75</v>
      </c>
      <c r="AY208" s="2">
        <v>20.149999999999999</v>
      </c>
      <c r="AZ208" s="2">
        <v>57.04</v>
      </c>
      <c r="BA208" s="2">
        <v>70.459999999999994</v>
      </c>
      <c r="BB208" s="2">
        <v>127.63</v>
      </c>
      <c r="BC208" s="2">
        <v>110.96</v>
      </c>
      <c r="BD208" s="2">
        <v>103.8</v>
      </c>
      <c r="BE208" s="2">
        <v>73.89</v>
      </c>
      <c r="BF208" s="2">
        <v>26.78</v>
      </c>
      <c r="BG208" s="2">
        <v>107.89</v>
      </c>
      <c r="BH208" s="2">
        <v>14.92</v>
      </c>
      <c r="BI208" s="2">
        <v>14.39</v>
      </c>
      <c r="BJ208" s="2">
        <v>44.08</v>
      </c>
      <c r="BK208" s="2">
        <v>48.86</v>
      </c>
      <c r="BL208" s="2">
        <v>92.03</v>
      </c>
      <c r="BM208" s="2">
        <v>76.62</v>
      </c>
      <c r="BN208" s="2">
        <v>90.14</v>
      </c>
      <c r="BO208" s="2">
        <v>88.81</v>
      </c>
    </row>
    <row r="209" spans="24:67" x14ac:dyDescent="0.3">
      <c r="X209" s="1" t="s">
        <v>25</v>
      </c>
      <c r="Y209" s="2">
        <v>0.31</v>
      </c>
      <c r="Z209" s="2">
        <v>0.31</v>
      </c>
      <c r="AA209" s="2">
        <v>0.34</v>
      </c>
      <c r="AB209" s="2">
        <v>0.24</v>
      </c>
      <c r="AC209" s="2">
        <v>0.31</v>
      </c>
      <c r="AD209" s="2">
        <v>0.32</v>
      </c>
      <c r="AE209" s="2">
        <v>0.18</v>
      </c>
      <c r="AF209" s="2">
        <v>0.28999999999999998</v>
      </c>
      <c r="AG209" s="2">
        <v>0.23</v>
      </c>
      <c r="AH209" s="2">
        <v>0.26</v>
      </c>
      <c r="AI209" s="2">
        <v>0.19</v>
      </c>
      <c r="AJ209" s="2">
        <v>0.16</v>
      </c>
      <c r="AK209" s="2">
        <v>0.16</v>
      </c>
      <c r="AL209" s="2">
        <v>0.14000000000000001</v>
      </c>
      <c r="AM209" s="2">
        <v>0.13</v>
      </c>
      <c r="AN209" s="2">
        <v>0.11</v>
      </c>
      <c r="AO209" s="2">
        <v>0.1</v>
      </c>
      <c r="AP209" s="2">
        <v>7.0000000000000007E-2</v>
      </c>
      <c r="AQ209" s="2">
        <v>0.08</v>
      </c>
      <c r="AR209" s="2">
        <v>0.05</v>
      </c>
      <c r="AU209" s="1" t="s">
        <v>25</v>
      </c>
      <c r="AV209" s="2">
        <v>190.61</v>
      </c>
      <c r="AW209" s="2">
        <v>483.63</v>
      </c>
      <c r="AX209" s="2">
        <v>96.84</v>
      </c>
      <c r="AY209" s="2">
        <v>61.53</v>
      </c>
      <c r="AZ209" s="2">
        <v>151.47</v>
      </c>
      <c r="BA209" s="2">
        <v>205.38</v>
      </c>
      <c r="BB209" s="2">
        <v>358.82</v>
      </c>
      <c r="BC209" s="2">
        <v>291.67</v>
      </c>
      <c r="BD209" s="2">
        <v>386.69</v>
      </c>
      <c r="BE209" s="2">
        <v>342.21</v>
      </c>
      <c r="BF209" s="2">
        <v>190.14</v>
      </c>
      <c r="BG209" s="2">
        <v>517.39</v>
      </c>
      <c r="BH209" s="2">
        <v>82.1</v>
      </c>
      <c r="BI209" s="2">
        <v>58.36</v>
      </c>
      <c r="BJ209" s="2">
        <v>195.77</v>
      </c>
      <c r="BK209" s="2">
        <v>230.3</v>
      </c>
      <c r="BL209" s="2">
        <v>362.71</v>
      </c>
      <c r="BM209" s="2">
        <v>292.38</v>
      </c>
      <c r="BN209" s="2">
        <v>360.02</v>
      </c>
      <c r="BO209" s="2">
        <v>319.49</v>
      </c>
    </row>
    <row r="210" spans="24:67" x14ac:dyDescent="0.3">
      <c r="X210" s="1" t="s">
        <v>26</v>
      </c>
      <c r="Y210" s="2">
        <v>0.34</v>
      </c>
      <c r="Z210" s="2">
        <v>0.35</v>
      </c>
      <c r="AA210" s="2">
        <v>0.38</v>
      </c>
      <c r="AB210" s="2">
        <v>0.38</v>
      </c>
      <c r="AC210" s="2">
        <v>0.32</v>
      </c>
      <c r="AD210" s="2">
        <v>0.34</v>
      </c>
      <c r="AE210" s="2">
        <v>0.21</v>
      </c>
      <c r="AF210" s="2">
        <v>0.28999999999999998</v>
      </c>
      <c r="AG210" s="2">
        <v>0.12</v>
      </c>
      <c r="AH210" s="2">
        <v>0.3</v>
      </c>
      <c r="AI210" s="2">
        <v>0.16</v>
      </c>
      <c r="AJ210" s="2">
        <v>0.31</v>
      </c>
      <c r="AK210" s="2">
        <v>0.15</v>
      </c>
      <c r="AL210" s="2">
        <v>0.27</v>
      </c>
      <c r="AM210" s="2">
        <v>0.15</v>
      </c>
      <c r="AN210" s="2">
        <v>0.27</v>
      </c>
      <c r="AO210" s="2">
        <v>0.13</v>
      </c>
      <c r="AP210" s="2">
        <v>0.23</v>
      </c>
      <c r="AQ210" s="2">
        <v>0.09</v>
      </c>
      <c r="AR210" s="2">
        <v>7.0000000000000007E-2</v>
      </c>
      <c r="AU210" s="1" t="s">
        <v>26</v>
      </c>
      <c r="AV210" s="2">
        <v>36.99</v>
      </c>
      <c r="AW210" s="2">
        <v>82.87</v>
      </c>
      <c r="AX210" s="2">
        <v>15.91</v>
      </c>
      <c r="AY210" s="2">
        <v>10.55</v>
      </c>
      <c r="AZ210" s="2">
        <v>21.82</v>
      </c>
      <c r="BA210" s="2">
        <v>27.42</v>
      </c>
      <c r="BB210" s="2">
        <v>56.3</v>
      </c>
      <c r="BC210" s="2">
        <v>45.96</v>
      </c>
      <c r="BD210" s="2">
        <v>61.64</v>
      </c>
      <c r="BE210" s="2">
        <v>59.8</v>
      </c>
      <c r="BF210" s="2">
        <v>25.58</v>
      </c>
      <c r="BG210" s="2">
        <v>53.65</v>
      </c>
      <c r="BH210" s="2">
        <v>10.3</v>
      </c>
      <c r="BI210" s="2">
        <v>9.5500000000000007</v>
      </c>
      <c r="BJ210" s="2">
        <v>27.34</v>
      </c>
      <c r="BK210" s="2">
        <v>37.71</v>
      </c>
      <c r="BL210" s="2">
        <v>58.42</v>
      </c>
      <c r="BM210" s="2">
        <v>42.9</v>
      </c>
      <c r="BN210" s="2">
        <v>63.17</v>
      </c>
      <c r="BO210" s="2">
        <v>48.18</v>
      </c>
    </row>
    <row r="211" spans="24:67" x14ac:dyDescent="0.3">
      <c r="X211" s="1" t="s">
        <v>27</v>
      </c>
      <c r="Y211" s="2">
        <v>0.37</v>
      </c>
      <c r="Z211" s="2">
        <v>0.38</v>
      </c>
      <c r="AA211" s="2">
        <v>0.28000000000000003</v>
      </c>
      <c r="AB211" s="2">
        <v>0.38</v>
      </c>
      <c r="AC211" s="2">
        <v>0.26</v>
      </c>
      <c r="AD211" s="2">
        <v>0.37</v>
      </c>
      <c r="AE211" s="2">
        <v>0.2</v>
      </c>
      <c r="AF211" s="2">
        <v>0.31</v>
      </c>
      <c r="AG211" s="2">
        <v>0.12</v>
      </c>
      <c r="AH211" s="2">
        <v>0.34</v>
      </c>
      <c r="AI211" s="2">
        <v>0.14000000000000001</v>
      </c>
      <c r="AJ211" s="2">
        <v>0.32</v>
      </c>
      <c r="AK211" s="2">
        <v>0.14000000000000001</v>
      </c>
      <c r="AL211" s="2">
        <v>0.28999999999999998</v>
      </c>
      <c r="AM211" s="2">
        <v>0.16</v>
      </c>
      <c r="AN211" s="2">
        <v>0.21</v>
      </c>
      <c r="AO211" s="2">
        <v>0.1</v>
      </c>
      <c r="AP211" s="2">
        <v>0.11</v>
      </c>
      <c r="AQ211" s="2">
        <v>0.08</v>
      </c>
      <c r="AR211" s="2">
        <v>7.0000000000000007E-2</v>
      </c>
      <c r="AU211" s="1" t="s">
        <v>27</v>
      </c>
      <c r="AV211" s="2">
        <v>113.44</v>
      </c>
      <c r="AW211" s="2">
        <v>270.7</v>
      </c>
      <c r="AX211" s="2">
        <v>44.76</v>
      </c>
      <c r="AY211" s="2">
        <v>34.43</v>
      </c>
      <c r="AZ211" s="2">
        <v>81.42</v>
      </c>
      <c r="BA211" s="2">
        <v>96.94</v>
      </c>
      <c r="BB211" s="2">
        <v>185.42</v>
      </c>
      <c r="BC211" s="2">
        <v>155.16999999999999</v>
      </c>
      <c r="BD211" s="2">
        <v>230.55</v>
      </c>
      <c r="BE211" s="2">
        <v>205.99</v>
      </c>
      <c r="BF211" s="2">
        <v>125.94</v>
      </c>
      <c r="BG211" s="2">
        <v>241.15</v>
      </c>
      <c r="BH211" s="2">
        <v>46.69</v>
      </c>
      <c r="BI211" s="2">
        <v>38.67</v>
      </c>
      <c r="BJ211" s="2">
        <v>165.06</v>
      </c>
      <c r="BK211" s="2">
        <v>143.33000000000001</v>
      </c>
      <c r="BL211" s="2">
        <v>369.08</v>
      </c>
      <c r="BM211" s="2">
        <v>265.74</v>
      </c>
      <c r="BN211" s="2">
        <v>231</v>
      </c>
      <c r="BO211" s="2">
        <v>183.6</v>
      </c>
    </row>
    <row r="212" spans="24:67" x14ac:dyDescent="0.3">
      <c r="X212" s="1" t="s">
        <v>28</v>
      </c>
      <c r="Y212" s="2">
        <v>0.18</v>
      </c>
      <c r="Z212" s="2">
        <v>0.22</v>
      </c>
      <c r="AA212" s="2">
        <v>0.39</v>
      </c>
      <c r="AB212" s="2">
        <v>0.38</v>
      </c>
      <c r="AC212" s="2">
        <v>1</v>
      </c>
      <c r="AD212" s="2">
        <v>0.33</v>
      </c>
      <c r="AE212" s="2">
        <v>0.15</v>
      </c>
      <c r="AF212" s="2">
        <v>0.23</v>
      </c>
      <c r="AG212" s="2">
        <v>0.06</v>
      </c>
      <c r="AH212" s="2">
        <v>0.18</v>
      </c>
      <c r="AI212" s="2">
        <v>0.12</v>
      </c>
      <c r="AJ212" s="2">
        <v>0.18</v>
      </c>
      <c r="AK212" s="2">
        <v>0.14000000000000001</v>
      </c>
      <c r="AL212" s="2">
        <v>0.15</v>
      </c>
      <c r="AM212" s="2">
        <v>0.11</v>
      </c>
      <c r="AN212" s="2">
        <v>0.1</v>
      </c>
      <c r="AO212" s="2">
        <v>0.09</v>
      </c>
      <c r="AP212" s="2">
        <v>0.06</v>
      </c>
      <c r="AQ212" s="2">
        <v>7.0000000000000007E-2</v>
      </c>
      <c r="AR212" s="2">
        <v>0.04</v>
      </c>
      <c r="AU212" s="1" t="s">
        <v>28</v>
      </c>
      <c r="AV212" s="2">
        <v>59.98</v>
      </c>
      <c r="AW212" s="2">
        <v>188.64</v>
      </c>
      <c r="AX212" s="2">
        <v>25.82</v>
      </c>
      <c r="AY212" s="2">
        <v>16.02</v>
      </c>
      <c r="AZ212" s="2">
        <v>61.06</v>
      </c>
      <c r="BA212" s="2">
        <v>79.17</v>
      </c>
      <c r="BB212" s="2">
        <v>145.22999999999999</v>
      </c>
      <c r="BC212" s="2">
        <v>118.5</v>
      </c>
      <c r="BD212" s="2">
        <v>153.61000000000001</v>
      </c>
      <c r="BE212" s="2">
        <v>135.1</v>
      </c>
      <c r="BF212" s="2">
        <v>64.28</v>
      </c>
      <c r="BG212" s="2">
        <v>218.65</v>
      </c>
      <c r="BH212" s="2">
        <v>27.71</v>
      </c>
      <c r="BI212" s="2">
        <v>17.91</v>
      </c>
      <c r="BJ212" s="2">
        <v>62.49</v>
      </c>
      <c r="BK212" s="2">
        <v>74.97</v>
      </c>
      <c r="BL212" s="2">
        <v>142.44</v>
      </c>
      <c r="BM212" s="2">
        <v>122.06</v>
      </c>
      <c r="BN212" s="2">
        <v>154.26</v>
      </c>
      <c r="BO212" s="2">
        <v>132.16999999999999</v>
      </c>
    </row>
    <row r="215" spans="24:67" x14ac:dyDescent="0.3">
      <c r="X215" t="s">
        <v>72</v>
      </c>
      <c r="AU215" t="s">
        <v>73</v>
      </c>
    </row>
    <row r="216" spans="24:67" x14ac:dyDescent="0.3">
      <c r="X216" s="1" t="s">
        <v>16</v>
      </c>
      <c r="Y216" s="1" t="s">
        <v>17</v>
      </c>
      <c r="Z216" s="1" t="s">
        <v>18</v>
      </c>
      <c r="AA216" s="1" t="s">
        <v>17</v>
      </c>
      <c r="AB216" s="1" t="s">
        <v>18</v>
      </c>
      <c r="AC216" s="1" t="s">
        <v>17</v>
      </c>
      <c r="AD216" s="1" t="s">
        <v>18</v>
      </c>
      <c r="AE216" s="1" t="s">
        <v>17</v>
      </c>
      <c r="AF216" s="1" t="s">
        <v>18</v>
      </c>
      <c r="AG216" s="1" t="s">
        <v>17</v>
      </c>
      <c r="AH216" s="1" t="s">
        <v>18</v>
      </c>
      <c r="AI216" s="1" t="s">
        <v>17</v>
      </c>
      <c r="AJ216" s="1" t="s">
        <v>18</v>
      </c>
      <c r="AK216" s="1" t="s">
        <v>17</v>
      </c>
      <c r="AL216" s="1" t="s">
        <v>18</v>
      </c>
      <c r="AM216" s="1" t="s">
        <v>17</v>
      </c>
      <c r="AN216" s="1" t="s">
        <v>18</v>
      </c>
      <c r="AO216" s="1" t="s">
        <v>17</v>
      </c>
      <c r="AP216" s="1" t="s">
        <v>18</v>
      </c>
      <c r="AQ216" s="1" t="s">
        <v>17</v>
      </c>
      <c r="AR216" s="1" t="s">
        <v>18</v>
      </c>
      <c r="AU216" s="1" t="s">
        <v>16</v>
      </c>
      <c r="AV216" s="1" t="s">
        <v>17</v>
      </c>
      <c r="AW216" s="1" t="s">
        <v>18</v>
      </c>
      <c r="AX216" s="1" t="s">
        <v>17</v>
      </c>
      <c r="AY216" s="1" t="s">
        <v>18</v>
      </c>
      <c r="AZ216" s="1" t="s">
        <v>17</v>
      </c>
      <c r="BA216" s="1" t="s">
        <v>18</v>
      </c>
      <c r="BB216" s="1" t="s">
        <v>17</v>
      </c>
      <c r="BC216" s="1" t="s">
        <v>18</v>
      </c>
      <c r="BD216" s="1" t="s">
        <v>17</v>
      </c>
      <c r="BE216" s="1" t="s">
        <v>18</v>
      </c>
      <c r="BF216" s="1" t="s">
        <v>17</v>
      </c>
      <c r="BG216" s="1" t="s">
        <v>18</v>
      </c>
      <c r="BH216" s="1" t="s">
        <v>17</v>
      </c>
      <c r="BI216" s="1" t="s">
        <v>18</v>
      </c>
      <c r="BJ216" s="1" t="s">
        <v>17</v>
      </c>
      <c r="BK216" s="1" t="s">
        <v>18</v>
      </c>
      <c r="BL216" s="1" t="s">
        <v>17</v>
      </c>
      <c r="BM216" s="1" t="s">
        <v>18</v>
      </c>
      <c r="BN216" s="1" t="s">
        <v>17</v>
      </c>
      <c r="BO216" s="1" t="s">
        <v>18</v>
      </c>
    </row>
    <row r="217" spans="24:67" x14ac:dyDescent="0.3">
      <c r="X217" s="1" t="s">
        <v>19</v>
      </c>
      <c r="Y217" s="1" t="s">
        <v>1</v>
      </c>
      <c r="Z217" s="1" t="s">
        <v>1</v>
      </c>
      <c r="AA217" s="1" t="s">
        <v>2</v>
      </c>
      <c r="AB217" s="1" t="s">
        <v>2</v>
      </c>
      <c r="AC217" s="1" t="s">
        <v>3</v>
      </c>
      <c r="AD217" s="1" t="s">
        <v>3</v>
      </c>
      <c r="AE217" s="1" t="s">
        <v>4</v>
      </c>
      <c r="AF217" s="1" t="s">
        <v>4</v>
      </c>
      <c r="AG217" s="1" t="s">
        <v>5</v>
      </c>
      <c r="AH217" s="1" t="s">
        <v>5</v>
      </c>
      <c r="AI217" s="1" t="s">
        <v>6</v>
      </c>
      <c r="AJ217" s="1" t="s">
        <v>6</v>
      </c>
      <c r="AK217" s="1" t="s">
        <v>7</v>
      </c>
      <c r="AL217" s="1" t="s">
        <v>7</v>
      </c>
      <c r="AM217" s="1" t="s">
        <v>8</v>
      </c>
      <c r="AN217" s="1" t="s">
        <v>8</v>
      </c>
      <c r="AO217" s="1" t="s">
        <v>9</v>
      </c>
      <c r="AP217" s="1" t="s">
        <v>9</v>
      </c>
      <c r="AQ217" s="1" t="s">
        <v>10</v>
      </c>
      <c r="AR217" s="1" t="s">
        <v>10</v>
      </c>
      <c r="AU217" s="1" t="s">
        <v>19</v>
      </c>
      <c r="AV217" s="1" t="s">
        <v>1</v>
      </c>
      <c r="AW217" s="1" t="s">
        <v>1</v>
      </c>
      <c r="AX217" s="1" t="s">
        <v>2</v>
      </c>
      <c r="AY217" s="1" t="s">
        <v>2</v>
      </c>
      <c r="AZ217" s="1" t="s">
        <v>3</v>
      </c>
      <c r="BA217" s="1" t="s">
        <v>3</v>
      </c>
      <c r="BB217" s="1" t="s">
        <v>4</v>
      </c>
      <c r="BC217" s="1" t="s">
        <v>4</v>
      </c>
      <c r="BD217" s="1" t="s">
        <v>5</v>
      </c>
      <c r="BE217" s="1" t="s">
        <v>5</v>
      </c>
      <c r="BF217" s="1" t="s">
        <v>6</v>
      </c>
      <c r="BG217" s="1" t="s">
        <v>6</v>
      </c>
      <c r="BH217" s="1" t="s">
        <v>7</v>
      </c>
      <c r="BI217" s="1" t="s">
        <v>7</v>
      </c>
      <c r="BJ217" s="1" t="s">
        <v>8</v>
      </c>
      <c r="BK217" s="1" t="s">
        <v>8</v>
      </c>
      <c r="BL217" s="1" t="s">
        <v>9</v>
      </c>
      <c r="BM217" s="1" t="s">
        <v>9</v>
      </c>
      <c r="BN217" s="1" t="s">
        <v>10</v>
      </c>
      <c r="BO217" s="1" t="s">
        <v>10</v>
      </c>
    </row>
    <row r="218" spans="24:67" x14ac:dyDescent="0.3">
      <c r="X218" s="1" t="s">
        <v>20</v>
      </c>
      <c r="AU218" s="1" t="s">
        <v>20</v>
      </c>
    </row>
    <row r="219" spans="24:67" x14ac:dyDescent="0.3">
      <c r="X219" s="1" t="s">
        <v>21</v>
      </c>
      <c r="Y219" s="2">
        <v>0</v>
      </c>
      <c r="Z219" s="2">
        <v>0</v>
      </c>
      <c r="AA219" s="2">
        <v>0</v>
      </c>
      <c r="AB219" s="2">
        <v>0</v>
      </c>
      <c r="AC219" s="2">
        <v>0</v>
      </c>
      <c r="AD219" s="2">
        <v>0</v>
      </c>
      <c r="AE219" s="2">
        <v>0</v>
      </c>
      <c r="AF219" s="2">
        <v>7.0000000000000007E-2</v>
      </c>
      <c r="AG219" s="2">
        <v>0.05</v>
      </c>
      <c r="AH219" s="2">
        <v>7.0000000000000007E-2</v>
      </c>
      <c r="AI219" s="2">
        <v>0.11</v>
      </c>
      <c r="AJ219" s="2">
        <v>0.06</v>
      </c>
      <c r="AK219" s="2">
        <v>0.11</v>
      </c>
      <c r="AL219" s="2">
        <v>0.06</v>
      </c>
      <c r="AM219" s="2">
        <v>0.08</v>
      </c>
      <c r="AN219" s="2">
        <v>0.06</v>
      </c>
      <c r="AO219" s="2">
        <v>0.05</v>
      </c>
      <c r="AP219" s="2">
        <v>0.02</v>
      </c>
      <c r="AQ219" s="2">
        <v>0.06</v>
      </c>
      <c r="AR219" s="2">
        <v>0.02</v>
      </c>
      <c r="AU219" s="1" t="s">
        <v>21</v>
      </c>
      <c r="AV219" s="2">
        <v>101.81</v>
      </c>
      <c r="AW219" s="2">
        <v>102.64</v>
      </c>
      <c r="AX219" s="2">
        <v>49.21</v>
      </c>
      <c r="AY219" s="2">
        <v>50.58</v>
      </c>
      <c r="AZ219" s="2">
        <v>76.02</v>
      </c>
      <c r="BA219" s="2">
        <v>78.099999999999994</v>
      </c>
      <c r="BB219" s="2">
        <v>85.29</v>
      </c>
      <c r="BC219" s="2">
        <v>182.21</v>
      </c>
      <c r="BD219" s="2">
        <v>184.45</v>
      </c>
      <c r="BE219" s="2">
        <v>178.43</v>
      </c>
      <c r="BF219" s="2">
        <v>188.16</v>
      </c>
      <c r="BG219" s="2">
        <v>177.8</v>
      </c>
      <c r="BH219" s="2">
        <v>184.59</v>
      </c>
      <c r="BI219" s="2">
        <v>188.09</v>
      </c>
      <c r="BJ219" s="2">
        <v>188.51</v>
      </c>
      <c r="BK219" s="2">
        <v>183.33</v>
      </c>
      <c r="BL219" s="2">
        <v>159.38999999999999</v>
      </c>
      <c r="BM219" s="2">
        <v>167.09</v>
      </c>
      <c r="BN219" s="2">
        <v>191.59</v>
      </c>
      <c r="BO219" s="2">
        <v>195.02</v>
      </c>
    </row>
    <row r="220" spans="24:67" x14ac:dyDescent="0.3">
      <c r="X220" s="1" t="s">
        <v>22</v>
      </c>
      <c r="Y220" s="2">
        <v>0.08</v>
      </c>
      <c r="Z220" s="2">
        <v>0.01</v>
      </c>
      <c r="AA220" s="2">
        <v>0.06</v>
      </c>
      <c r="AB220" s="2">
        <v>0.01</v>
      </c>
      <c r="AC220" s="2">
        <v>0.03</v>
      </c>
      <c r="AD220" s="2">
        <v>0.03</v>
      </c>
      <c r="AE220" s="2">
        <v>0.08</v>
      </c>
      <c r="AF220" s="2">
        <v>0.08</v>
      </c>
      <c r="AG220" s="2">
        <v>0.1</v>
      </c>
      <c r="AH220" s="2">
        <v>0.05</v>
      </c>
      <c r="AI220" s="2">
        <v>0.12</v>
      </c>
      <c r="AJ220" s="2">
        <v>0.06</v>
      </c>
      <c r="AK220" s="2">
        <v>0.11</v>
      </c>
      <c r="AL220" s="2">
        <v>7.0000000000000007E-2</v>
      </c>
      <c r="AM220" s="2">
        <v>0.09</v>
      </c>
      <c r="AN220" s="2">
        <v>0.05</v>
      </c>
      <c r="AO220" s="2">
        <v>0.08</v>
      </c>
      <c r="AP220" s="2">
        <v>0.03</v>
      </c>
      <c r="AQ220" s="2">
        <v>7.0000000000000007E-2</v>
      </c>
      <c r="AR220" s="2">
        <v>0.01</v>
      </c>
      <c r="AU220" s="1" t="s">
        <v>22</v>
      </c>
      <c r="AV220" s="2">
        <v>14.17</v>
      </c>
      <c r="AW220" s="2">
        <v>14.78</v>
      </c>
      <c r="AX220" s="2">
        <v>7.71</v>
      </c>
      <c r="AY220" s="2">
        <v>9.35</v>
      </c>
      <c r="AZ220" s="2">
        <v>10.17</v>
      </c>
      <c r="BA220" s="2">
        <v>11.64</v>
      </c>
      <c r="BB220" s="2">
        <v>10.93</v>
      </c>
      <c r="BC220" s="2">
        <v>14.71</v>
      </c>
      <c r="BD220" s="2">
        <v>11.16</v>
      </c>
      <c r="BE220" s="2">
        <v>12.85</v>
      </c>
      <c r="BF220" s="2">
        <v>10.9</v>
      </c>
      <c r="BG220" s="2">
        <v>14.03</v>
      </c>
      <c r="BH220" s="2">
        <v>12.86</v>
      </c>
      <c r="BI220" s="2">
        <v>13.92</v>
      </c>
      <c r="BJ220" s="2">
        <v>13.19</v>
      </c>
      <c r="BK220" s="2">
        <v>12.97</v>
      </c>
      <c r="BL220" s="2">
        <v>12.81</v>
      </c>
      <c r="BM220" s="2">
        <v>14.29</v>
      </c>
      <c r="BN220" s="2">
        <v>18.05</v>
      </c>
      <c r="BO220" s="2">
        <v>15.77</v>
      </c>
    </row>
    <row r="221" spans="24:67" x14ac:dyDescent="0.3">
      <c r="X221" s="1" t="s">
        <v>23</v>
      </c>
      <c r="Y221" s="2">
        <v>0.25</v>
      </c>
      <c r="Z221" s="2">
        <v>0</v>
      </c>
      <c r="AA221" s="2">
        <v>0.25</v>
      </c>
      <c r="AB221" s="2">
        <v>0</v>
      </c>
      <c r="AC221" s="2">
        <v>0.21</v>
      </c>
      <c r="AD221" s="2">
        <v>0.18</v>
      </c>
      <c r="AE221" s="2">
        <v>0.23</v>
      </c>
      <c r="AF221" s="2">
        <v>0.08</v>
      </c>
      <c r="AG221" s="2">
        <v>0.26</v>
      </c>
      <c r="AH221" s="2">
        <v>0.06</v>
      </c>
      <c r="AI221" s="2">
        <v>0.27</v>
      </c>
      <c r="AJ221" s="2">
        <v>0.06</v>
      </c>
      <c r="AK221" s="2">
        <v>0.25</v>
      </c>
      <c r="AL221" s="2">
        <v>7.0000000000000007E-2</v>
      </c>
      <c r="AM221" s="2">
        <v>0.24</v>
      </c>
      <c r="AN221" s="2">
        <v>0.06</v>
      </c>
      <c r="AO221" s="2">
        <v>0.08</v>
      </c>
      <c r="AP221" s="2">
        <v>0.03</v>
      </c>
      <c r="AQ221" s="2">
        <v>0.03</v>
      </c>
      <c r="AR221" s="2">
        <v>0.02</v>
      </c>
      <c r="AU221" s="1" t="s">
        <v>23</v>
      </c>
      <c r="AV221" s="2">
        <v>115.8</v>
      </c>
      <c r="AW221" s="2">
        <v>43.51</v>
      </c>
      <c r="AX221" s="2">
        <v>45.98</v>
      </c>
      <c r="AY221" s="2">
        <v>21.32</v>
      </c>
      <c r="AZ221" s="2">
        <v>149.68</v>
      </c>
      <c r="BA221" s="2">
        <v>95.21</v>
      </c>
      <c r="BB221" s="2">
        <v>119.78</v>
      </c>
      <c r="BC221" s="2">
        <v>63.61</v>
      </c>
      <c r="BD221" s="2">
        <v>133.28</v>
      </c>
      <c r="BE221" s="2">
        <v>59.54</v>
      </c>
      <c r="BF221" s="2">
        <v>139.29</v>
      </c>
      <c r="BG221" s="2">
        <v>62.58</v>
      </c>
      <c r="BH221" s="2">
        <v>160.35</v>
      </c>
      <c r="BI221" s="2">
        <v>66.33</v>
      </c>
      <c r="BJ221" s="2">
        <v>157.4</v>
      </c>
      <c r="BK221" s="2">
        <v>59.22</v>
      </c>
      <c r="BL221" s="2">
        <v>61.48</v>
      </c>
      <c r="BM221" s="2">
        <v>62.37</v>
      </c>
      <c r="BN221" s="2">
        <v>56.61</v>
      </c>
      <c r="BO221" s="2">
        <v>55.51</v>
      </c>
    </row>
    <row r="222" spans="24:67" x14ac:dyDescent="0.3">
      <c r="X222" s="1" t="s">
        <v>24</v>
      </c>
      <c r="Y222" s="2">
        <v>0.23</v>
      </c>
      <c r="Z222" s="2">
        <v>0.03</v>
      </c>
      <c r="AA222" s="2">
        <v>0.22</v>
      </c>
      <c r="AB222" s="2">
        <v>0.01</v>
      </c>
      <c r="AC222" s="2">
        <v>0.21</v>
      </c>
      <c r="AD222" s="2">
        <v>0.23</v>
      </c>
      <c r="AE222" s="2">
        <v>0.22</v>
      </c>
      <c r="AF222" s="2">
        <v>0.12</v>
      </c>
      <c r="AG222" s="2">
        <v>0.22</v>
      </c>
      <c r="AH222" s="2">
        <v>0.1</v>
      </c>
      <c r="AI222" s="2">
        <v>0.22</v>
      </c>
      <c r="AJ222" s="2">
        <v>0.09</v>
      </c>
      <c r="AK222" s="2">
        <v>0.22</v>
      </c>
      <c r="AL222" s="2">
        <v>0.09</v>
      </c>
      <c r="AM222" s="2">
        <v>0.17</v>
      </c>
      <c r="AN222" s="2">
        <v>0.08</v>
      </c>
      <c r="AO222" s="2">
        <v>0.08</v>
      </c>
      <c r="AP222" s="2">
        <v>0.06</v>
      </c>
      <c r="AQ222" s="2">
        <v>0.06</v>
      </c>
      <c r="AR222" s="2">
        <v>0.04</v>
      </c>
      <c r="AU222" s="1" t="s">
        <v>24</v>
      </c>
      <c r="AV222" s="2">
        <v>48.27</v>
      </c>
      <c r="AW222" s="2">
        <v>20.6</v>
      </c>
      <c r="AX222" s="2">
        <v>20.58</v>
      </c>
      <c r="AY222" s="2">
        <v>11.48</v>
      </c>
      <c r="AZ222" s="2">
        <v>40.29</v>
      </c>
      <c r="BA222" s="2">
        <v>28.77</v>
      </c>
      <c r="BB222" s="2">
        <v>35.65</v>
      </c>
      <c r="BC222" s="2">
        <v>27.55</v>
      </c>
      <c r="BD222" s="2">
        <v>35.229999999999997</v>
      </c>
      <c r="BE222" s="2">
        <v>24.43</v>
      </c>
      <c r="BF222" s="2">
        <v>35.450000000000003</v>
      </c>
      <c r="BG222" s="2">
        <v>25.56</v>
      </c>
      <c r="BH222" s="2">
        <v>38.26</v>
      </c>
      <c r="BI222" s="2">
        <v>26.42</v>
      </c>
      <c r="BJ222" s="2">
        <v>27.32</v>
      </c>
      <c r="BK222" s="2">
        <v>23.72</v>
      </c>
      <c r="BL222" s="2">
        <v>21.73</v>
      </c>
      <c r="BM222" s="2">
        <v>26.12</v>
      </c>
      <c r="BN222" s="2">
        <v>23.84</v>
      </c>
      <c r="BO222" s="2">
        <v>23.98</v>
      </c>
    </row>
    <row r="223" spans="24:67" x14ac:dyDescent="0.3">
      <c r="X223" s="1" t="s">
        <v>25</v>
      </c>
      <c r="Y223" s="2">
        <v>0.18</v>
      </c>
      <c r="Z223" s="2">
        <v>0.18</v>
      </c>
      <c r="AA223" s="2">
        <v>0.2</v>
      </c>
      <c r="AB223" s="2">
        <v>7.0000000000000007E-2</v>
      </c>
      <c r="AC223" s="2">
        <v>0.18</v>
      </c>
      <c r="AD223" s="2">
        <v>0.19</v>
      </c>
      <c r="AE223" s="2">
        <v>0.06</v>
      </c>
      <c r="AF223" s="2">
        <v>0.18</v>
      </c>
      <c r="AG223" s="2">
        <v>0.16</v>
      </c>
      <c r="AH223" s="2">
        <v>0.18</v>
      </c>
      <c r="AI223" s="2">
        <v>0.13</v>
      </c>
      <c r="AJ223" s="2">
        <v>0.12</v>
      </c>
      <c r="AK223" s="2">
        <v>0.11</v>
      </c>
      <c r="AL223" s="2">
        <v>0.1</v>
      </c>
      <c r="AM223" s="2">
        <v>0.09</v>
      </c>
      <c r="AN223" s="2">
        <v>0.08</v>
      </c>
      <c r="AO223" s="2">
        <v>7.0000000000000007E-2</v>
      </c>
      <c r="AP223" s="2">
        <v>0.05</v>
      </c>
      <c r="AQ223" s="2">
        <v>0.05</v>
      </c>
      <c r="AR223" s="2">
        <v>0.04</v>
      </c>
      <c r="AU223" s="1" t="s">
        <v>25</v>
      </c>
      <c r="AV223" s="2">
        <v>146.62</v>
      </c>
      <c r="AW223" s="2">
        <v>146.26</v>
      </c>
      <c r="AX223" s="2">
        <v>74.489999999999995</v>
      </c>
      <c r="AY223" s="2">
        <v>63.15</v>
      </c>
      <c r="AZ223" s="2">
        <v>123.07</v>
      </c>
      <c r="BA223" s="2">
        <v>116.72</v>
      </c>
      <c r="BB223" s="2">
        <v>94.67</v>
      </c>
      <c r="BC223" s="2">
        <v>122.36</v>
      </c>
      <c r="BD223" s="2">
        <v>102.69</v>
      </c>
      <c r="BE223" s="2">
        <v>115.15</v>
      </c>
      <c r="BF223" s="2">
        <v>99.67</v>
      </c>
      <c r="BG223" s="2">
        <v>100.75</v>
      </c>
      <c r="BH223" s="2">
        <v>100.57</v>
      </c>
      <c r="BI223" s="2">
        <v>100.82</v>
      </c>
      <c r="BJ223" s="2">
        <v>101.76</v>
      </c>
      <c r="BK223" s="2">
        <v>94.74</v>
      </c>
      <c r="BL223" s="2">
        <v>100.65</v>
      </c>
      <c r="BM223" s="2">
        <v>93.97</v>
      </c>
      <c r="BN223" s="2">
        <v>107.47</v>
      </c>
      <c r="BO223" s="2">
        <v>114.98</v>
      </c>
    </row>
    <row r="224" spans="24:67" x14ac:dyDescent="0.3">
      <c r="X224" s="1" t="s">
        <v>26</v>
      </c>
      <c r="Y224" s="2">
        <v>0.21</v>
      </c>
      <c r="Z224" s="2">
        <v>0.22</v>
      </c>
      <c r="AA224" s="2">
        <v>0.23</v>
      </c>
      <c r="AB224" s="2">
        <v>0.23</v>
      </c>
      <c r="AC224" s="2">
        <v>0.19</v>
      </c>
      <c r="AD224" s="2">
        <v>0.2</v>
      </c>
      <c r="AE224" s="2">
        <v>0.08</v>
      </c>
      <c r="AF224" s="2">
        <v>0.18</v>
      </c>
      <c r="AG224" s="2">
        <v>0.09</v>
      </c>
      <c r="AH224" s="2">
        <v>0.22</v>
      </c>
      <c r="AI224" s="2">
        <v>0.11</v>
      </c>
      <c r="AJ224" s="2">
        <v>0.22</v>
      </c>
      <c r="AK224" s="2">
        <v>0.11</v>
      </c>
      <c r="AL224" s="2">
        <v>0.19</v>
      </c>
      <c r="AM224" s="2">
        <v>0.11</v>
      </c>
      <c r="AN224" s="2">
        <v>0.19</v>
      </c>
      <c r="AO224" s="2">
        <v>0.09</v>
      </c>
      <c r="AP224" s="2">
        <v>0.16</v>
      </c>
      <c r="AQ224" s="2">
        <v>7.0000000000000007E-2</v>
      </c>
      <c r="AR224" s="2">
        <v>0.05</v>
      </c>
      <c r="AU224" s="1" t="s">
        <v>26</v>
      </c>
      <c r="AV224" s="2">
        <v>28.46</v>
      </c>
      <c r="AW224" s="2">
        <v>19.68</v>
      </c>
      <c r="AX224" s="2">
        <v>12.24</v>
      </c>
      <c r="AY224" s="2">
        <v>7.93</v>
      </c>
      <c r="AZ224" s="2">
        <v>21.1</v>
      </c>
      <c r="BA224" s="2">
        <v>19.11</v>
      </c>
      <c r="BB224" s="2">
        <v>13.64</v>
      </c>
      <c r="BC224" s="2">
        <v>17.09</v>
      </c>
      <c r="BD224" s="2">
        <v>13.71</v>
      </c>
      <c r="BE224" s="2">
        <v>18.86</v>
      </c>
      <c r="BF224" s="2">
        <v>15.64</v>
      </c>
      <c r="BG224" s="2">
        <v>16.23</v>
      </c>
      <c r="BH224" s="2">
        <v>15.85</v>
      </c>
      <c r="BI224" s="2">
        <v>14.79</v>
      </c>
      <c r="BJ224" s="2">
        <v>16.22</v>
      </c>
      <c r="BK224" s="2">
        <v>16.62</v>
      </c>
      <c r="BL224" s="2">
        <v>17.59</v>
      </c>
      <c r="BM224" s="2">
        <v>14.17</v>
      </c>
      <c r="BN224" s="2">
        <v>18.420000000000002</v>
      </c>
      <c r="BO224" s="2">
        <v>11.92</v>
      </c>
    </row>
    <row r="225" spans="24:67" x14ac:dyDescent="0.3">
      <c r="X225" s="1" t="s">
        <v>27</v>
      </c>
      <c r="Y225" s="2">
        <v>0.24</v>
      </c>
      <c r="Z225" s="2">
        <v>0.25</v>
      </c>
      <c r="AA225" s="2">
        <v>0.17</v>
      </c>
      <c r="AB225" s="2">
        <v>0.25</v>
      </c>
      <c r="AC225" s="2">
        <v>0.15</v>
      </c>
      <c r="AD225" s="2">
        <v>0.24</v>
      </c>
      <c r="AE225" s="2">
        <v>0.11</v>
      </c>
      <c r="AF225" s="2">
        <v>0.2</v>
      </c>
      <c r="AG225" s="2">
        <v>0.08</v>
      </c>
      <c r="AH225" s="2">
        <v>0.24</v>
      </c>
      <c r="AI225" s="2">
        <v>0.1</v>
      </c>
      <c r="AJ225" s="2">
        <v>0.27</v>
      </c>
      <c r="AK225" s="2">
        <v>0.1</v>
      </c>
      <c r="AL225" s="2">
        <v>0.23</v>
      </c>
      <c r="AM225" s="2">
        <v>0.11</v>
      </c>
      <c r="AN225" s="2">
        <v>0.15</v>
      </c>
      <c r="AO225" s="2">
        <v>7.0000000000000007E-2</v>
      </c>
      <c r="AP225" s="2">
        <v>0.08</v>
      </c>
      <c r="AQ225" s="2">
        <v>0.05</v>
      </c>
      <c r="AR225" s="2">
        <v>0.05</v>
      </c>
      <c r="AU225" s="1" t="s">
        <v>27</v>
      </c>
      <c r="AV225" s="2">
        <v>87.26</v>
      </c>
      <c r="AW225" s="2">
        <v>96.88</v>
      </c>
      <c r="AX225" s="2">
        <v>34.43</v>
      </c>
      <c r="AY225" s="2">
        <v>35.92</v>
      </c>
      <c r="AZ225" s="2">
        <v>68.86</v>
      </c>
      <c r="BA225" s="2">
        <v>77.33</v>
      </c>
      <c r="BB225" s="2">
        <v>50.89</v>
      </c>
      <c r="BC225" s="2">
        <v>103.17</v>
      </c>
      <c r="BD225" s="2">
        <v>48.47</v>
      </c>
      <c r="BE225" s="2">
        <v>71.66</v>
      </c>
      <c r="BF225" s="2">
        <v>51.51</v>
      </c>
      <c r="BG225" s="2">
        <v>102.52</v>
      </c>
      <c r="BH225" s="2">
        <v>53.51</v>
      </c>
      <c r="BI225" s="2">
        <v>91.63</v>
      </c>
      <c r="BJ225" s="2">
        <v>60.67</v>
      </c>
      <c r="BK225" s="2">
        <v>60.79</v>
      </c>
      <c r="BL225" s="2">
        <v>60.58</v>
      </c>
      <c r="BM225" s="2">
        <v>54</v>
      </c>
      <c r="BN225" s="2">
        <v>60.16</v>
      </c>
      <c r="BO225" s="2">
        <v>53.59</v>
      </c>
    </row>
    <row r="226" spans="24:67" x14ac:dyDescent="0.3">
      <c r="X226" s="1" t="s">
        <v>28</v>
      </c>
      <c r="Y226" s="2">
        <v>0.04</v>
      </c>
      <c r="Z226" s="2">
        <v>0.09</v>
      </c>
      <c r="AA226" s="2">
        <v>0</v>
      </c>
      <c r="AB226" s="2">
        <v>0</v>
      </c>
      <c r="AC226" s="2">
        <v>0</v>
      </c>
      <c r="AD226" s="2">
        <v>0.01</v>
      </c>
      <c r="AE226" s="2">
        <v>0</v>
      </c>
      <c r="AF226" s="2">
        <v>0.12</v>
      </c>
      <c r="AG226" s="2">
        <v>0.04</v>
      </c>
      <c r="AH226" s="2">
        <v>0.13</v>
      </c>
      <c r="AI226" s="2">
        <v>0.08</v>
      </c>
      <c r="AJ226" s="2">
        <v>0.13</v>
      </c>
      <c r="AK226" s="2">
        <v>0.1</v>
      </c>
      <c r="AL226" s="2">
        <v>0.11</v>
      </c>
      <c r="AM226" s="2">
        <v>0.08</v>
      </c>
      <c r="AN226" s="2">
        <v>7.0000000000000007E-2</v>
      </c>
      <c r="AO226" s="2">
        <v>0.06</v>
      </c>
      <c r="AP226" s="2">
        <v>0.04</v>
      </c>
      <c r="AQ226" s="2">
        <v>0.05</v>
      </c>
      <c r="AR226" s="2">
        <v>0.03</v>
      </c>
      <c r="AU226" s="1" t="s">
        <v>28</v>
      </c>
      <c r="AV226" s="2">
        <v>46.14</v>
      </c>
      <c r="AW226" s="2">
        <v>49.45</v>
      </c>
      <c r="AX226" s="2">
        <v>19.86</v>
      </c>
      <c r="AY226" s="2">
        <v>21.32</v>
      </c>
      <c r="AZ226" s="2">
        <v>32.03</v>
      </c>
      <c r="BA226" s="2">
        <v>35.81</v>
      </c>
      <c r="BB226" s="2">
        <v>38.159999999999997</v>
      </c>
      <c r="BC226" s="2">
        <v>39.049999999999997</v>
      </c>
      <c r="BD226" s="2">
        <v>39.590000000000003</v>
      </c>
      <c r="BE226" s="2">
        <v>37.49</v>
      </c>
      <c r="BF226" s="2">
        <v>40.340000000000003</v>
      </c>
      <c r="BG226" s="2">
        <v>39.57</v>
      </c>
      <c r="BH226" s="2">
        <v>40.86</v>
      </c>
      <c r="BI226" s="2">
        <v>42.09</v>
      </c>
      <c r="BJ226" s="2">
        <v>40.42</v>
      </c>
      <c r="BK226" s="2">
        <v>40.590000000000003</v>
      </c>
      <c r="BL226" s="2">
        <v>39.729999999999997</v>
      </c>
      <c r="BM226" s="2">
        <v>38.869999999999997</v>
      </c>
      <c r="BN226" s="2">
        <v>41.92</v>
      </c>
      <c r="BO226" s="2">
        <v>48.59</v>
      </c>
    </row>
    <row r="229" spans="24:67" x14ac:dyDescent="0.3">
      <c r="X229" t="s">
        <v>74</v>
      </c>
      <c r="AU229" t="s">
        <v>81</v>
      </c>
    </row>
    <row r="230" spans="24:67" x14ac:dyDescent="0.3">
      <c r="X230" s="1" t="s">
        <v>16</v>
      </c>
      <c r="Y230" s="1" t="s">
        <v>17</v>
      </c>
      <c r="Z230" s="1" t="s">
        <v>18</v>
      </c>
      <c r="AA230" s="1" t="s">
        <v>17</v>
      </c>
      <c r="AB230" s="1" t="s">
        <v>18</v>
      </c>
      <c r="AC230" s="1" t="s">
        <v>17</v>
      </c>
      <c r="AD230" s="1" t="s">
        <v>18</v>
      </c>
      <c r="AE230" s="1" t="s">
        <v>17</v>
      </c>
      <c r="AF230" s="1" t="s">
        <v>18</v>
      </c>
      <c r="AG230" s="1" t="s">
        <v>17</v>
      </c>
      <c r="AH230" s="1" t="s">
        <v>18</v>
      </c>
      <c r="AI230" s="1" t="s">
        <v>17</v>
      </c>
      <c r="AJ230" s="1" t="s">
        <v>18</v>
      </c>
      <c r="AK230" s="1" t="s">
        <v>17</v>
      </c>
      <c r="AL230" s="1" t="s">
        <v>18</v>
      </c>
      <c r="AM230" s="1" t="s">
        <v>17</v>
      </c>
      <c r="AN230" s="1" t="s">
        <v>18</v>
      </c>
      <c r="AO230" s="1" t="s">
        <v>17</v>
      </c>
      <c r="AP230" s="1" t="s">
        <v>18</v>
      </c>
      <c r="AQ230" s="1" t="s">
        <v>17</v>
      </c>
      <c r="AR230" s="1" t="s">
        <v>18</v>
      </c>
      <c r="AU230" s="1" t="s">
        <v>16</v>
      </c>
      <c r="AV230" s="1" t="s">
        <v>17</v>
      </c>
      <c r="AW230" s="1" t="s">
        <v>18</v>
      </c>
      <c r="AX230" s="1" t="s">
        <v>17</v>
      </c>
      <c r="AY230" s="1" t="s">
        <v>18</v>
      </c>
      <c r="AZ230" s="1" t="s">
        <v>17</v>
      </c>
      <c r="BA230" s="1" t="s">
        <v>18</v>
      </c>
      <c r="BB230" s="1" t="s">
        <v>17</v>
      </c>
      <c r="BC230" s="1" t="s">
        <v>18</v>
      </c>
      <c r="BD230" s="1" t="s">
        <v>17</v>
      </c>
      <c r="BE230" s="1" t="s">
        <v>18</v>
      </c>
      <c r="BF230" s="1" t="s">
        <v>17</v>
      </c>
      <c r="BG230" s="1" t="s">
        <v>18</v>
      </c>
      <c r="BH230" s="1" t="s">
        <v>17</v>
      </c>
      <c r="BI230" s="1" t="s">
        <v>18</v>
      </c>
      <c r="BJ230" s="1" t="s">
        <v>17</v>
      </c>
      <c r="BK230" s="1" t="s">
        <v>18</v>
      </c>
      <c r="BL230" s="1" t="s">
        <v>17</v>
      </c>
      <c r="BM230" s="1" t="s">
        <v>18</v>
      </c>
      <c r="BN230" s="1" t="s">
        <v>17</v>
      </c>
      <c r="BO230" s="1" t="s">
        <v>18</v>
      </c>
    </row>
    <row r="231" spans="24:67" x14ac:dyDescent="0.3">
      <c r="X231" s="1" t="s">
        <v>19</v>
      </c>
      <c r="Y231" s="1" t="s">
        <v>1</v>
      </c>
      <c r="Z231" s="1" t="s">
        <v>1</v>
      </c>
      <c r="AA231" s="1" t="s">
        <v>2</v>
      </c>
      <c r="AB231" s="1" t="s">
        <v>2</v>
      </c>
      <c r="AC231" s="1" t="s">
        <v>3</v>
      </c>
      <c r="AD231" s="1" t="s">
        <v>3</v>
      </c>
      <c r="AE231" s="1" t="s">
        <v>4</v>
      </c>
      <c r="AF231" s="1" t="s">
        <v>4</v>
      </c>
      <c r="AG231" s="1" t="s">
        <v>5</v>
      </c>
      <c r="AH231" s="1" t="s">
        <v>5</v>
      </c>
      <c r="AI231" s="1" t="s">
        <v>6</v>
      </c>
      <c r="AJ231" s="1" t="s">
        <v>6</v>
      </c>
      <c r="AK231" s="1" t="s">
        <v>7</v>
      </c>
      <c r="AL231" s="1" t="s">
        <v>7</v>
      </c>
      <c r="AM231" s="1" t="s">
        <v>8</v>
      </c>
      <c r="AN231" s="1" t="s">
        <v>8</v>
      </c>
      <c r="AO231" s="1" t="s">
        <v>9</v>
      </c>
      <c r="AP231" s="1" t="s">
        <v>9</v>
      </c>
      <c r="AQ231" s="1" t="s">
        <v>10</v>
      </c>
      <c r="AR231" s="1" t="s">
        <v>10</v>
      </c>
      <c r="AU231" s="1" t="s">
        <v>19</v>
      </c>
      <c r="AV231" s="1" t="s">
        <v>1</v>
      </c>
      <c r="AW231" s="1" t="s">
        <v>1</v>
      </c>
      <c r="AX231" s="1" t="s">
        <v>2</v>
      </c>
      <c r="AY231" s="1" t="s">
        <v>2</v>
      </c>
      <c r="AZ231" s="1" t="s">
        <v>3</v>
      </c>
      <c r="BA231" s="1" t="s">
        <v>3</v>
      </c>
      <c r="BB231" s="1" t="s">
        <v>4</v>
      </c>
      <c r="BC231" s="1" t="s">
        <v>4</v>
      </c>
      <c r="BD231" s="1" t="s">
        <v>5</v>
      </c>
      <c r="BE231" s="1" t="s">
        <v>5</v>
      </c>
      <c r="BF231" s="1" t="s">
        <v>6</v>
      </c>
      <c r="BG231" s="1" t="s">
        <v>6</v>
      </c>
      <c r="BH231" s="1" t="s">
        <v>7</v>
      </c>
      <c r="BI231" s="1" t="s">
        <v>7</v>
      </c>
      <c r="BJ231" s="1" t="s">
        <v>8</v>
      </c>
      <c r="BK231" s="1" t="s">
        <v>8</v>
      </c>
      <c r="BL231" s="1" t="s">
        <v>9</v>
      </c>
      <c r="BM231" s="1" t="s">
        <v>9</v>
      </c>
      <c r="BN231" s="1" t="s">
        <v>10</v>
      </c>
      <c r="BO231" s="1" t="s">
        <v>10</v>
      </c>
    </row>
    <row r="232" spans="24:67" x14ac:dyDescent="0.3">
      <c r="X232" s="1" t="s">
        <v>20</v>
      </c>
      <c r="AU232" s="1" t="s">
        <v>20</v>
      </c>
    </row>
    <row r="233" spans="24:67" x14ac:dyDescent="0.3">
      <c r="X233" s="1" t="s">
        <v>21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D233" s="2">
        <v>0</v>
      </c>
      <c r="AE233" s="2">
        <v>0</v>
      </c>
      <c r="AF233" s="2">
        <v>0.77</v>
      </c>
      <c r="AG233" s="2">
        <v>0.88</v>
      </c>
      <c r="AH233" s="2">
        <v>0.83</v>
      </c>
      <c r="AI233" s="2">
        <v>0.74</v>
      </c>
      <c r="AJ233" s="2">
        <v>0.84</v>
      </c>
      <c r="AK233" s="2">
        <v>0.73</v>
      </c>
      <c r="AL233" s="2">
        <v>0.86</v>
      </c>
      <c r="AM233" s="2">
        <v>0.81</v>
      </c>
      <c r="AN233" s="2">
        <v>0.85</v>
      </c>
      <c r="AO233" s="2">
        <v>0.87</v>
      </c>
      <c r="AP233" s="2">
        <v>0.96</v>
      </c>
      <c r="AQ233" s="2">
        <v>0.86</v>
      </c>
      <c r="AR233" s="2">
        <v>0.95</v>
      </c>
      <c r="AU233" s="1" t="s">
        <v>21</v>
      </c>
      <c r="AV233" s="2">
        <f>AV107+Y107</f>
        <v>11471.92</v>
      </c>
      <c r="AW233" s="2">
        <f t="shared" ref="AW233:BO240" si="4">AW107+Z107</f>
        <v>11143.4</v>
      </c>
      <c r="AX233" s="2">
        <f t="shared" si="4"/>
        <v>11142.6</v>
      </c>
      <c r="AY233" s="2">
        <f t="shared" si="4"/>
        <v>10104.5</v>
      </c>
      <c r="AZ233" s="2">
        <f t="shared" si="4"/>
        <v>8256.5</v>
      </c>
      <c r="BA233" s="2">
        <f t="shared" si="4"/>
        <v>10497.69</v>
      </c>
      <c r="BB233" s="2">
        <f t="shared" si="4"/>
        <v>10953.21</v>
      </c>
      <c r="BC233" s="2">
        <f t="shared" si="4"/>
        <v>10420.200000000001</v>
      </c>
      <c r="BD233" s="2">
        <f t="shared" si="4"/>
        <v>12481</v>
      </c>
      <c r="BE233" s="2">
        <f t="shared" si="4"/>
        <v>10291.4</v>
      </c>
      <c r="BF233" s="2">
        <f t="shared" si="4"/>
        <v>12835.9</v>
      </c>
      <c r="BG233" s="2">
        <f t="shared" si="4"/>
        <v>10245.9</v>
      </c>
      <c r="BH233" s="2">
        <f t="shared" si="4"/>
        <v>12295.5</v>
      </c>
      <c r="BI233" s="2">
        <f t="shared" si="4"/>
        <v>9709</v>
      </c>
      <c r="BJ233" s="2">
        <f t="shared" si="4"/>
        <v>11911.2</v>
      </c>
      <c r="BK233" s="2">
        <f t="shared" si="4"/>
        <v>10442.6</v>
      </c>
      <c r="BL233" s="2">
        <f t="shared" si="4"/>
        <v>10423.700000000001</v>
      </c>
      <c r="BM233" s="2">
        <f t="shared" si="4"/>
        <v>6443.5</v>
      </c>
      <c r="BN233" s="2">
        <f t="shared" si="4"/>
        <v>9778.2999999999993</v>
      </c>
      <c r="BO233" s="2">
        <f t="shared" si="4"/>
        <v>6330.1</v>
      </c>
    </row>
    <row r="234" spans="24:67" x14ac:dyDescent="0.3">
      <c r="X234" s="1" t="s">
        <v>22</v>
      </c>
      <c r="Y234" s="2">
        <v>0.69</v>
      </c>
      <c r="Z234" s="2">
        <v>0.78</v>
      </c>
      <c r="AA234" s="2">
        <v>0.71</v>
      </c>
      <c r="AB234" s="2">
        <v>0.74</v>
      </c>
      <c r="AC234" s="2">
        <v>0.79</v>
      </c>
      <c r="AD234" s="2">
        <v>0.75</v>
      </c>
      <c r="AE234" s="2">
        <v>0.7</v>
      </c>
      <c r="AF234" s="2">
        <v>0.74</v>
      </c>
      <c r="AG234" s="2">
        <v>0.76</v>
      </c>
      <c r="AH234" s="2">
        <v>0.87</v>
      </c>
      <c r="AI234" s="2">
        <v>0.71</v>
      </c>
      <c r="AJ234" s="2">
        <v>0.86</v>
      </c>
      <c r="AK234" s="2">
        <v>0.73</v>
      </c>
      <c r="AL234" s="2">
        <v>0.82</v>
      </c>
      <c r="AM234" s="2">
        <v>0.77</v>
      </c>
      <c r="AN234" s="2">
        <v>0.89</v>
      </c>
      <c r="AO234" s="2">
        <v>0.8</v>
      </c>
      <c r="AP234" s="2">
        <v>0.93</v>
      </c>
      <c r="AQ234" s="2">
        <v>0.84</v>
      </c>
      <c r="AR234" s="2">
        <v>0.98</v>
      </c>
      <c r="AU234" s="1" t="s">
        <v>22</v>
      </c>
      <c r="AV234" s="2">
        <f t="shared" ref="AV234:AV240" si="5">AV108+Y108</f>
        <v>6191.62</v>
      </c>
      <c r="AW234" s="2">
        <f t="shared" si="4"/>
        <v>3566.2</v>
      </c>
      <c r="AX234" s="2">
        <f t="shared" si="4"/>
        <v>6437.48</v>
      </c>
      <c r="AY234" s="2">
        <f t="shared" si="4"/>
        <v>3881.89</v>
      </c>
      <c r="AZ234" s="2">
        <f t="shared" si="4"/>
        <v>3980.6</v>
      </c>
      <c r="BA234" s="2">
        <f t="shared" si="4"/>
        <v>4689.67</v>
      </c>
      <c r="BB234" s="2">
        <f t="shared" si="4"/>
        <v>6931.29</v>
      </c>
      <c r="BC234" s="2">
        <f t="shared" si="4"/>
        <v>4155.3999999999996</v>
      </c>
      <c r="BD234" s="2">
        <f t="shared" si="4"/>
        <v>6845.42</v>
      </c>
      <c r="BE234" s="2">
        <f t="shared" si="4"/>
        <v>4100.3</v>
      </c>
      <c r="BF234" s="2">
        <f t="shared" si="4"/>
        <v>6678.59</v>
      </c>
      <c r="BG234" s="2">
        <f t="shared" si="4"/>
        <v>4144.6000000000004</v>
      </c>
      <c r="BH234" s="2">
        <f t="shared" si="4"/>
        <v>5577.9</v>
      </c>
      <c r="BI234" s="2">
        <f t="shared" si="4"/>
        <v>4656.1000000000004</v>
      </c>
      <c r="BJ234" s="2">
        <f t="shared" si="4"/>
        <v>5271.42</v>
      </c>
      <c r="BK234" s="2">
        <f t="shared" si="4"/>
        <v>4600.66</v>
      </c>
      <c r="BL234" s="2">
        <f t="shared" si="4"/>
        <v>5177.08</v>
      </c>
      <c r="BM234" s="2">
        <f t="shared" si="4"/>
        <v>3559.85</v>
      </c>
      <c r="BN234" s="2">
        <f t="shared" si="4"/>
        <v>5954.79</v>
      </c>
      <c r="BO234" s="2">
        <f t="shared" si="4"/>
        <v>3367.94</v>
      </c>
    </row>
    <row r="235" spans="24:67" x14ac:dyDescent="0.3">
      <c r="X235" s="1" t="s">
        <v>23</v>
      </c>
      <c r="Y235" s="2">
        <v>0.36</v>
      </c>
      <c r="Z235" s="2">
        <v>0.84</v>
      </c>
      <c r="AA235" s="2">
        <v>0.37</v>
      </c>
      <c r="AB235" s="2">
        <v>0.79</v>
      </c>
      <c r="AC235" s="2">
        <v>0.46</v>
      </c>
      <c r="AD235" s="2">
        <v>0.51</v>
      </c>
      <c r="AE235" s="2">
        <v>0.44</v>
      </c>
      <c r="AF235" s="2">
        <v>0.77</v>
      </c>
      <c r="AG235" s="2">
        <v>0.42</v>
      </c>
      <c r="AH235" s="2">
        <v>0.85</v>
      </c>
      <c r="AI235" s="2">
        <v>0.41</v>
      </c>
      <c r="AJ235" s="2">
        <v>0.85</v>
      </c>
      <c r="AK235" s="2">
        <v>0.43</v>
      </c>
      <c r="AL235" s="2">
        <v>0.84</v>
      </c>
      <c r="AM235" s="2">
        <v>0.45</v>
      </c>
      <c r="AN235" s="2">
        <v>0.86</v>
      </c>
      <c r="AO235" s="2">
        <v>0.8</v>
      </c>
      <c r="AP235" s="2">
        <v>0.92</v>
      </c>
      <c r="AQ235" s="2">
        <v>0.93</v>
      </c>
      <c r="AR235" s="2">
        <v>0.95</v>
      </c>
      <c r="AU235" s="1" t="s">
        <v>23</v>
      </c>
      <c r="AV235" s="2">
        <f t="shared" si="5"/>
        <v>20836.46</v>
      </c>
      <c r="AW235" s="2">
        <f t="shared" si="4"/>
        <v>8696.2000000000007</v>
      </c>
      <c r="AX235" s="2">
        <f t="shared" si="4"/>
        <v>22984.469999999998</v>
      </c>
      <c r="AY235" s="2">
        <f t="shared" si="4"/>
        <v>8679.68</v>
      </c>
      <c r="AZ235" s="2">
        <f t="shared" si="4"/>
        <v>15024.869999999999</v>
      </c>
      <c r="BA235" s="2">
        <f t="shared" si="4"/>
        <v>17340.72</v>
      </c>
      <c r="BB235" s="2">
        <f t="shared" si="4"/>
        <v>21209.93</v>
      </c>
      <c r="BC235" s="2">
        <f t="shared" si="4"/>
        <v>13842.990000000002</v>
      </c>
      <c r="BD235" s="2">
        <f t="shared" si="4"/>
        <v>21648.74</v>
      </c>
      <c r="BE235" s="2">
        <f t="shared" si="4"/>
        <v>12804.93</v>
      </c>
      <c r="BF235" s="2">
        <f t="shared" si="4"/>
        <v>22043.119999999999</v>
      </c>
      <c r="BG235" s="2">
        <f t="shared" si="4"/>
        <v>12603.230000000001</v>
      </c>
      <c r="BH235" s="2">
        <f t="shared" si="4"/>
        <v>19306.53</v>
      </c>
      <c r="BI235" s="2">
        <f t="shared" si="4"/>
        <v>12907.710000000001</v>
      </c>
      <c r="BJ235" s="2">
        <f t="shared" si="4"/>
        <v>18426.36</v>
      </c>
      <c r="BK235" s="2">
        <f t="shared" si="4"/>
        <v>13038.689999999999</v>
      </c>
      <c r="BL235" s="2">
        <f t="shared" si="4"/>
        <v>14903.58</v>
      </c>
      <c r="BM235" s="2">
        <f t="shared" si="4"/>
        <v>10468.19</v>
      </c>
      <c r="BN235" s="2">
        <f t="shared" si="4"/>
        <v>11125.060000000001</v>
      </c>
      <c r="BO235" s="2">
        <f t="shared" si="4"/>
        <v>9689.1200000000008</v>
      </c>
    </row>
    <row r="236" spans="24:67" x14ac:dyDescent="0.3">
      <c r="X236" s="1" t="s">
        <v>24</v>
      </c>
      <c r="Y236" s="2">
        <v>0.4</v>
      </c>
      <c r="Z236" s="2">
        <v>0.81</v>
      </c>
      <c r="AA236" s="2">
        <v>0.41</v>
      </c>
      <c r="AB236" s="2">
        <v>0.74</v>
      </c>
      <c r="AC236" s="2">
        <v>0.45</v>
      </c>
      <c r="AD236" s="2">
        <v>0.4</v>
      </c>
      <c r="AE236" s="2">
        <v>0.44</v>
      </c>
      <c r="AF236" s="2">
        <v>0.65</v>
      </c>
      <c r="AG236" s="2">
        <v>0.48</v>
      </c>
      <c r="AH236" s="2">
        <v>0.75</v>
      </c>
      <c r="AI236" s="2">
        <v>0.48</v>
      </c>
      <c r="AJ236" s="2">
        <v>0.78</v>
      </c>
      <c r="AK236" s="2">
        <v>0.48</v>
      </c>
      <c r="AL236" s="2">
        <v>0.77</v>
      </c>
      <c r="AM236" s="2">
        <v>0.57999999999999996</v>
      </c>
      <c r="AN236" s="2">
        <v>0.81</v>
      </c>
      <c r="AO236" s="2">
        <v>0.82</v>
      </c>
      <c r="AP236" s="2">
        <v>0.86</v>
      </c>
      <c r="AQ236" s="2">
        <v>0.87</v>
      </c>
      <c r="AR236" s="2">
        <v>0.89</v>
      </c>
      <c r="AU236" s="1" t="s">
        <v>24</v>
      </c>
      <c r="AV236" s="2">
        <f t="shared" si="5"/>
        <v>5590.8</v>
      </c>
      <c r="AW236" s="2">
        <f t="shared" si="4"/>
        <v>3058.24</v>
      </c>
      <c r="AX236" s="2">
        <f t="shared" si="4"/>
        <v>6489.7099999999991</v>
      </c>
      <c r="AY236" s="2">
        <f t="shared" si="4"/>
        <v>3404.5099999999998</v>
      </c>
      <c r="AZ236" s="2">
        <f t="shared" si="4"/>
        <v>4594.8599999999997</v>
      </c>
      <c r="BA236" s="2">
        <f t="shared" si="4"/>
        <v>6137.32</v>
      </c>
      <c r="BB236" s="2">
        <f t="shared" si="4"/>
        <v>5941.21</v>
      </c>
      <c r="BC236" s="2">
        <f t="shared" si="4"/>
        <v>4728.38</v>
      </c>
      <c r="BD236" s="2">
        <f t="shared" si="4"/>
        <v>5867.27</v>
      </c>
      <c r="BE236" s="2">
        <f t="shared" si="4"/>
        <v>4336.92</v>
      </c>
      <c r="BF236" s="2">
        <f t="shared" si="4"/>
        <v>5849.47</v>
      </c>
      <c r="BG236" s="2">
        <f t="shared" si="4"/>
        <v>4103.4800000000005</v>
      </c>
      <c r="BH236" s="2">
        <f t="shared" si="4"/>
        <v>5658.02</v>
      </c>
      <c r="BI236" s="2">
        <f t="shared" si="4"/>
        <v>4192.18</v>
      </c>
      <c r="BJ236" s="2">
        <f t="shared" si="4"/>
        <v>5146.6799999999994</v>
      </c>
      <c r="BK236" s="2">
        <f t="shared" si="4"/>
        <v>3964.77</v>
      </c>
      <c r="BL236" s="2">
        <f t="shared" si="4"/>
        <v>4065.7299999999996</v>
      </c>
      <c r="BM236" s="2">
        <f t="shared" si="4"/>
        <v>3550.13</v>
      </c>
      <c r="BN236" s="2">
        <f t="shared" si="4"/>
        <v>3579.05</v>
      </c>
      <c r="BO236" s="2">
        <f t="shared" si="4"/>
        <v>3358.2999999999997</v>
      </c>
    </row>
    <row r="237" spans="24:67" x14ac:dyDescent="0.3">
      <c r="X237" s="1" t="s">
        <v>25</v>
      </c>
      <c r="Y237" s="2">
        <v>0.51</v>
      </c>
      <c r="Z237" s="2">
        <v>0.52</v>
      </c>
      <c r="AA237" s="2">
        <v>0.46</v>
      </c>
      <c r="AB237" s="2">
        <v>0.68</v>
      </c>
      <c r="AC237" s="2">
        <v>0.51</v>
      </c>
      <c r="AD237" s="2">
        <v>0.5</v>
      </c>
      <c r="AE237" s="2">
        <v>0.76</v>
      </c>
      <c r="AF237" s="2">
        <v>0.53</v>
      </c>
      <c r="AG237" s="2">
        <v>0.61</v>
      </c>
      <c r="AH237" s="2">
        <v>0.56000000000000005</v>
      </c>
      <c r="AI237" s="2">
        <v>0.68</v>
      </c>
      <c r="AJ237" s="2">
        <v>0.72</v>
      </c>
      <c r="AK237" s="2">
        <v>0.73</v>
      </c>
      <c r="AL237" s="2">
        <v>0.75</v>
      </c>
      <c r="AM237" s="2">
        <v>0.78</v>
      </c>
      <c r="AN237" s="2">
        <v>0.81</v>
      </c>
      <c r="AO237" s="2">
        <v>0.82</v>
      </c>
      <c r="AP237" s="2">
        <v>0.88</v>
      </c>
      <c r="AQ237" s="2">
        <v>0.87</v>
      </c>
      <c r="AR237" s="2">
        <v>0.91</v>
      </c>
      <c r="AU237" s="1" t="s">
        <v>25</v>
      </c>
      <c r="AV237" s="2">
        <f t="shared" si="5"/>
        <v>20090.66</v>
      </c>
      <c r="AW237" s="2">
        <f t="shared" si="4"/>
        <v>25691</v>
      </c>
      <c r="AX237" s="2">
        <f t="shared" si="4"/>
        <v>30581.170000000002</v>
      </c>
      <c r="AY237" s="2">
        <f t="shared" si="4"/>
        <v>31895.77</v>
      </c>
      <c r="AZ237" s="2">
        <f t="shared" si="4"/>
        <v>19992.150000000001</v>
      </c>
      <c r="BA237" s="2">
        <f t="shared" si="4"/>
        <v>22935.98</v>
      </c>
      <c r="BB237" s="2">
        <f t="shared" si="4"/>
        <v>25178.32</v>
      </c>
      <c r="BC237" s="2">
        <f t="shared" si="4"/>
        <v>25554.5</v>
      </c>
      <c r="BD237" s="2">
        <f t="shared" si="4"/>
        <v>27844.78</v>
      </c>
      <c r="BE237" s="2">
        <f t="shared" si="4"/>
        <v>28628.5</v>
      </c>
      <c r="BF237" s="2">
        <f t="shared" si="4"/>
        <v>26275.34</v>
      </c>
      <c r="BG237" s="2">
        <f t="shared" si="4"/>
        <v>26955.78</v>
      </c>
      <c r="BH237" s="2">
        <f t="shared" si="4"/>
        <v>24370.760000000002</v>
      </c>
      <c r="BI237" s="2">
        <f t="shared" si="4"/>
        <v>26317.379999999997</v>
      </c>
      <c r="BJ237" s="2">
        <f t="shared" si="4"/>
        <v>22721.19</v>
      </c>
      <c r="BK237" s="2">
        <f t="shared" si="4"/>
        <v>22381.439999999999</v>
      </c>
      <c r="BL237" s="2">
        <f t="shared" si="4"/>
        <v>20564</v>
      </c>
      <c r="BM237" s="2">
        <f t="shared" si="4"/>
        <v>21166.48</v>
      </c>
      <c r="BN237" s="2">
        <f t="shared" si="4"/>
        <v>19805.599999999999</v>
      </c>
      <c r="BO237" s="2">
        <f t="shared" si="4"/>
        <v>22890.25</v>
      </c>
    </row>
    <row r="238" spans="24:67" x14ac:dyDescent="0.3">
      <c r="X238" s="1" t="s">
        <v>26</v>
      </c>
      <c r="Y238" s="2">
        <v>0.45</v>
      </c>
      <c r="Z238" s="2">
        <v>0.44</v>
      </c>
      <c r="AA238" s="2">
        <v>0.39</v>
      </c>
      <c r="AB238" s="2">
        <v>0.39</v>
      </c>
      <c r="AC238" s="2">
        <v>0.49</v>
      </c>
      <c r="AD238" s="2">
        <v>0.46</v>
      </c>
      <c r="AE238" s="2">
        <v>0.71</v>
      </c>
      <c r="AF238" s="2">
        <v>0.53</v>
      </c>
      <c r="AG238" s="2">
        <v>0.79</v>
      </c>
      <c r="AH238" s="2">
        <v>0.48</v>
      </c>
      <c r="AI238" s="2">
        <v>0.73</v>
      </c>
      <c r="AJ238" s="2">
        <v>0.48</v>
      </c>
      <c r="AK238" s="2">
        <v>0.74</v>
      </c>
      <c r="AL238" s="2">
        <v>0.53</v>
      </c>
      <c r="AM238" s="2">
        <v>0.74</v>
      </c>
      <c r="AN238" s="2">
        <v>0.54</v>
      </c>
      <c r="AO238" s="2">
        <v>0.78</v>
      </c>
      <c r="AP238" s="2">
        <v>0.61</v>
      </c>
      <c r="AQ238" s="2">
        <v>0.84</v>
      </c>
      <c r="AR238" s="2">
        <v>0.88</v>
      </c>
      <c r="AU238" s="1" t="s">
        <v>26</v>
      </c>
      <c r="AV238" s="2">
        <f t="shared" si="5"/>
        <v>5023.3500000000004</v>
      </c>
      <c r="AW238" s="2">
        <f t="shared" si="4"/>
        <v>5355.19</v>
      </c>
      <c r="AX238" s="2">
        <f t="shared" si="4"/>
        <v>7598.13</v>
      </c>
      <c r="AY238" s="2">
        <f t="shared" si="4"/>
        <v>7876.42</v>
      </c>
      <c r="AZ238" s="2">
        <f t="shared" si="4"/>
        <v>4337.71</v>
      </c>
      <c r="BA238" s="2">
        <f t="shared" si="4"/>
        <v>5222.8</v>
      </c>
      <c r="BB238" s="2">
        <f t="shared" si="4"/>
        <v>5179.47</v>
      </c>
      <c r="BC238" s="2">
        <f t="shared" si="4"/>
        <v>4316.8899999999994</v>
      </c>
      <c r="BD238" s="2">
        <f t="shared" si="4"/>
        <v>5160.34</v>
      </c>
      <c r="BE238" s="2">
        <f t="shared" si="4"/>
        <v>6721.17</v>
      </c>
      <c r="BF238" s="2">
        <f t="shared" si="4"/>
        <v>5430.3899999999994</v>
      </c>
      <c r="BG238" s="2">
        <f t="shared" si="4"/>
        <v>7121.7199999999993</v>
      </c>
      <c r="BH238" s="2">
        <f t="shared" si="4"/>
        <v>5394.7699999999995</v>
      </c>
      <c r="BI238" s="2">
        <f t="shared" si="4"/>
        <v>6904.5</v>
      </c>
      <c r="BJ238" s="2">
        <f t="shared" si="4"/>
        <v>5290.0300000000007</v>
      </c>
      <c r="BK238" s="2">
        <f t="shared" si="4"/>
        <v>6632.8700000000008</v>
      </c>
      <c r="BL238" s="2">
        <f t="shared" si="4"/>
        <v>4904.09</v>
      </c>
      <c r="BM238" s="2">
        <f t="shared" si="4"/>
        <v>6569.8</v>
      </c>
      <c r="BN238" s="2">
        <f t="shared" si="4"/>
        <v>4475.95</v>
      </c>
      <c r="BO238" s="2">
        <f t="shared" si="4"/>
        <v>4599.62</v>
      </c>
    </row>
    <row r="239" spans="24:67" x14ac:dyDescent="0.3">
      <c r="X239" s="1" t="s">
        <v>27</v>
      </c>
      <c r="Y239" s="2">
        <v>0.39</v>
      </c>
      <c r="Z239" s="2">
        <v>0.37</v>
      </c>
      <c r="AA239" s="2">
        <v>0.55000000000000004</v>
      </c>
      <c r="AB239" s="2">
        <v>0.37</v>
      </c>
      <c r="AC239" s="2">
        <v>0.59</v>
      </c>
      <c r="AD239" s="2">
        <v>0.39</v>
      </c>
      <c r="AE239" s="2">
        <v>0.7</v>
      </c>
      <c r="AF239" s="2">
        <v>0.49</v>
      </c>
      <c r="AG239" s="2">
        <v>0.8</v>
      </c>
      <c r="AH239" s="2">
        <v>0.42</v>
      </c>
      <c r="AI239" s="2">
        <v>0.77</v>
      </c>
      <c r="AJ239" s="2">
        <v>0.4</v>
      </c>
      <c r="AK239" s="2">
        <v>0.77</v>
      </c>
      <c r="AL239" s="2">
        <v>0.48</v>
      </c>
      <c r="AM239" s="2">
        <v>0.73</v>
      </c>
      <c r="AN239" s="2">
        <v>0.65</v>
      </c>
      <c r="AO239" s="2">
        <v>0.83</v>
      </c>
      <c r="AP239" s="2">
        <v>0.82</v>
      </c>
      <c r="AQ239" s="2">
        <v>0.87</v>
      </c>
      <c r="AR239" s="2">
        <v>0.88</v>
      </c>
      <c r="AU239" s="1" t="s">
        <v>27</v>
      </c>
      <c r="AV239" s="2">
        <f t="shared" si="5"/>
        <v>20325.96</v>
      </c>
      <c r="AW239" s="2">
        <f t="shared" si="4"/>
        <v>21098.41</v>
      </c>
      <c r="AX239" s="2">
        <f t="shared" si="4"/>
        <v>21763.98</v>
      </c>
      <c r="AY239" s="2">
        <f t="shared" si="4"/>
        <v>26281.87</v>
      </c>
      <c r="AZ239" s="2">
        <f t="shared" si="4"/>
        <v>14345.369999999999</v>
      </c>
      <c r="BA239" s="2">
        <f t="shared" si="4"/>
        <v>20430.849999999999</v>
      </c>
      <c r="BB239" s="2">
        <f t="shared" si="4"/>
        <v>17723.16</v>
      </c>
      <c r="BC239" s="2">
        <f t="shared" si="4"/>
        <v>16339.140000000001</v>
      </c>
      <c r="BD239" s="2">
        <f t="shared" si="4"/>
        <v>16853.739999999998</v>
      </c>
      <c r="BE239" s="2">
        <f t="shared" si="4"/>
        <v>23871.85</v>
      </c>
      <c r="BF239" s="2">
        <f t="shared" si="4"/>
        <v>17487.59</v>
      </c>
      <c r="BG239" s="2">
        <f t="shared" si="4"/>
        <v>24233.260000000002</v>
      </c>
      <c r="BH239" s="2">
        <f t="shared" si="4"/>
        <v>17522.940000000002</v>
      </c>
      <c r="BI239" s="2">
        <f t="shared" si="4"/>
        <v>23001.79</v>
      </c>
      <c r="BJ239" s="2">
        <f t="shared" si="4"/>
        <v>17941.97</v>
      </c>
      <c r="BK239" s="2">
        <f t="shared" si="4"/>
        <v>19568.150000000001</v>
      </c>
      <c r="BL239" s="2">
        <f t="shared" si="4"/>
        <v>15329.019999999999</v>
      </c>
      <c r="BM239" s="2">
        <f t="shared" si="4"/>
        <v>16455.809999999998</v>
      </c>
      <c r="BN239" s="2">
        <f t="shared" si="4"/>
        <v>14348.5</v>
      </c>
      <c r="BO239" s="2">
        <f t="shared" si="4"/>
        <v>14465.2</v>
      </c>
    </row>
    <row r="240" spans="24:67" x14ac:dyDescent="0.3">
      <c r="X240" s="1" t="s">
        <v>28</v>
      </c>
      <c r="Y240" s="2">
        <v>0.78</v>
      </c>
      <c r="Z240" s="2">
        <v>0.69</v>
      </c>
      <c r="AA240" s="2">
        <v>0.6</v>
      </c>
      <c r="AB240" s="2">
        <v>0.62</v>
      </c>
      <c r="AC240" s="2">
        <v>0</v>
      </c>
      <c r="AD240" s="2">
        <v>0.67</v>
      </c>
      <c r="AE240" s="2">
        <v>0.85</v>
      </c>
      <c r="AF240" s="2">
        <v>0.65</v>
      </c>
      <c r="AG240" s="2">
        <v>0.9</v>
      </c>
      <c r="AH240" s="2">
        <v>0.69</v>
      </c>
      <c r="AI240" s="2">
        <v>0.79</v>
      </c>
      <c r="AJ240" s="2">
        <v>0.69</v>
      </c>
      <c r="AK240" s="2">
        <v>0.76</v>
      </c>
      <c r="AL240" s="2">
        <v>0.74</v>
      </c>
      <c r="AM240" s="2">
        <v>0.81</v>
      </c>
      <c r="AN240" s="2">
        <v>0.83</v>
      </c>
      <c r="AO240" s="2">
        <v>0.84</v>
      </c>
      <c r="AP240" s="2">
        <v>0.9</v>
      </c>
      <c r="AQ240" s="2">
        <v>0.89</v>
      </c>
      <c r="AR240" s="2">
        <v>0.94</v>
      </c>
      <c r="AU240" s="1" t="s">
        <v>28</v>
      </c>
      <c r="AV240" s="2">
        <f t="shared" si="5"/>
        <v>10102.200000000001</v>
      </c>
      <c r="AW240" s="2">
        <f t="shared" si="4"/>
        <v>13188</v>
      </c>
      <c r="AX240" s="2">
        <f t="shared" si="4"/>
        <v>10093.560000000001</v>
      </c>
      <c r="AY240" s="2">
        <f t="shared" si="4"/>
        <v>10709.16</v>
      </c>
      <c r="AZ240" s="2">
        <f t="shared" si="4"/>
        <v>6370.5999999999995</v>
      </c>
      <c r="BA240" s="2">
        <f t="shared" si="4"/>
        <v>10941.44</v>
      </c>
      <c r="BB240" s="2">
        <f t="shared" si="4"/>
        <v>7080.5400000000009</v>
      </c>
      <c r="BC240" s="2">
        <f t="shared" si="4"/>
        <v>11619.51</v>
      </c>
      <c r="BD240" s="2">
        <f t="shared" si="4"/>
        <v>8319</v>
      </c>
      <c r="BE240" s="2">
        <f t="shared" si="4"/>
        <v>11904.009999999998</v>
      </c>
      <c r="BF240" s="2">
        <f t="shared" si="4"/>
        <v>8223.9</v>
      </c>
      <c r="BG240" s="2">
        <f t="shared" si="4"/>
        <v>12288.51</v>
      </c>
      <c r="BH240" s="2">
        <f t="shared" si="4"/>
        <v>8094.2999999999993</v>
      </c>
      <c r="BI240" s="2">
        <f t="shared" si="4"/>
        <v>11352.3</v>
      </c>
      <c r="BJ240" s="2">
        <f t="shared" si="4"/>
        <v>7789.2</v>
      </c>
      <c r="BK240" s="2">
        <f t="shared" si="4"/>
        <v>8697.6</v>
      </c>
      <c r="BL240" s="2">
        <f t="shared" si="4"/>
        <v>7191.9</v>
      </c>
      <c r="BM240" s="2">
        <f t="shared" si="4"/>
        <v>7450.2000000000007</v>
      </c>
      <c r="BN240" s="2">
        <f t="shared" si="4"/>
        <v>7448.7</v>
      </c>
      <c r="BO240" s="2">
        <f t="shared" si="4"/>
        <v>7665</v>
      </c>
    </row>
    <row r="242" spans="24:67" x14ac:dyDescent="0.3">
      <c r="AU242" s="5" t="s">
        <v>83</v>
      </c>
    </row>
    <row r="243" spans="24:67" x14ac:dyDescent="0.3">
      <c r="X243" t="s">
        <v>107</v>
      </c>
      <c r="AU243" s="1" t="s">
        <v>16</v>
      </c>
      <c r="AV243" s="1" t="s">
        <v>17</v>
      </c>
      <c r="AW243" s="1" t="s">
        <v>18</v>
      </c>
      <c r="AX243" s="1" t="s">
        <v>17</v>
      </c>
      <c r="AY243" s="1" t="s">
        <v>18</v>
      </c>
      <c r="AZ243" s="1" t="s">
        <v>17</v>
      </c>
      <c r="BA243" s="1" t="s">
        <v>18</v>
      </c>
      <c r="BB243" s="1" t="s">
        <v>17</v>
      </c>
      <c r="BC243" s="1" t="s">
        <v>18</v>
      </c>
      <c r="BD243" s="1" t="s">
        <v>17</v>
      </c>
      <c r="BE243" s="1" t="s">
        <v>18</v>
      </c>
      <c r="BF243" s="1" t="s">
        <v>17</v>
      </c>
      <c r="BG243" s="1" t="s">
        <v>18</v>
      </c>
      <c r="BH243" s="1" t="s">
        <v>17</v>
      </c>
      <c r="BI243" s="1" t="s">
        <v>18</v>
      </c>
      <c r="BJ243" s="1" t="s">
        <v>17</v>
      </c>
      <c r="BK243" s="1" t="s">
        <v>18</v>
      </c>
      <c r="BL243" s="1" t="s">
        <v>17</v>
      </c>
      <c r="BM243" s="1" t="s">
        <v>18</v>
      </c>
      <c r="BN243" s="1" t="s">
        <v>17</v>
      </c>
      <c r="BO243" s="1" t="s">
        <v>18</v>
      </c>
    </row>
    <row r="244" spans="24:67" x14ac:dyDescent="0.3">
      <c r="X244" s="1" t="s">
        <v>16</v>
      </c>
      <c r="Y244" s="1" t="s">
        <v>17</v>
      </c>
      <c r="Z244" s="1" t="s">
        <v>18</v>
      </c>
      <c r="AA244" s="1" t="s">
        <v>17</v>
      </c>
      <c r="AB244" s="1" t="s">
        <v>18</v>
      </c>
      <c r="AC244" s="1" t="s">
        <v>17</v>
      </c>
      <c r="AD244" s="1" t="s">
        <v>18</v>
      </c>
      <c r="AE244" s="1" t="s">
        <v>17</v>
      </c>
      <c r="AF244" s="1" t="s">
        <v>18</v>
      </c>
      <c r="AG244" s="1" t="s">
        <v>17</v>
      </c>
      <c r="AH244" s="1" t="s">
        <v>18</v>
      </c>
      <c r="AI244" s="1" t="s">
        <v>17</v>
      </c>
      <c r="AJ244" s="1" t="s">
        <v>18</v>
      </c>
      <c r="AK244" s="1" t="s">
        <v>17</v>
      </c>
      <c r="AL244" s="1" t="s">
        <v>18</v>
      </c>
      <c r="AM244" s="1" t="s">
        <v>17</v>
      </c>
      <c r="AN244" s="1" t="s">
        <v>18</v>
      </c>
      <c r="AO244" s="1" t="s">
        <v>17</v>
      </c>
      <c r="AP244" s="1" t="s">
        <v>18</v>
      </c>
      <c r="AQ244" s="1" t="s">
        <v>17</v>
      </c>
      <c r="AR244" s="1" t="s">
        <v>18</v>
      </c>
      <c r="AU244" s="1" t="s">
        <v>19</v>
      </c>
      <c r="AV244" s="1" t="s">
        <v>1</v>
      </c>
      <c r="AW244" s="1" t="s">
        <v>1</v>
      </c>
      <c r="AX244" s="1" t="s">
        <v>2</v>
      </c>
      <c r="AY244" s="1" t="s">
        <v>2</v>
      </c>
      <c r="AZ244" s="1" t="s">
        <v>3</v>
      </c>
      <c r="BA244" s="1" t="s">
        <v>3</v>
      </c>
      <c r="BB244" s="1" t="s">
        <v>4</v>
      </c>
      <c r="BC244" s="1" t="s">
        <v>4</v>
      </c>
      <c r="BD244" s="1" t="s">
        <v>5</v>
      </c>
      <c r="BE244" s="1" t="s">
        <v>5</v>
      </c>
      <c r="BF244" s="1" t="s">
        <v>6</v>
      </c>
      <c r="BG244" s="1" t="s">
        <v>6</v>
      </c>
      <c r="BH244" s="1" t="s">
        <v>7</v>
      </c>
      <c r="BI244" s="1" t="s">
        <v>7</v>
      </c>
      <c r="BJ244" s="1" t="s">
        <v>8</v>
      </c>
      <c r="BK244" s="1" t="s">
        <v>8</v>
      </c>
      <c r="BL244" s="1" t="s">
        <v>9</v>
      </c>
      <c r="BM244" s="1" t="s">
        <v>9</v>
      </c>
      <c r="BN244" s="1" t="s">
        <v>10</v>
      </c>
      <c r="BO244" s="1" t="s">
        <v>10</v>
      </c>
    </row>
    <row r="245" spans="24:67" x14ac:dyDescent="0.3">
      <c r="X245" s="1" t="s">
        <v>19</v>
      </c>
      <c r="Y245" s="1" t="s">
        <v>1</v>
      </c>
      <c r="Z245" s="1" t="s">
        <v>1</v>
      </c>
      <c r="AA245" s="1" t="s">
        <v>2</v>
      </c>
      <c r="AB245" s="1" t="s">
        <v>2</v>
      </c>
      <c r="AC245" s="1" t="s">
        <v>3</v>
      </c>
      <c r="AD245" s="1" t="s">
        <v>3</v>
      </c>
      <c r="AE245" s="1" t="s">
        <v>4</v>
      </c>
      <c r="AF245" s="1" t="s">
        <v>4</v>
      </c>
      <c r="AG245" s="1" t="s">
        <v>5</v>
      </c>
      <c r="AH245" s="1" t="s">
        <v>5</v>
      </c>
      <c r="AI245" s="1" t="s">
        <v>6</v>
      </c>
      <c r="AJ245" s="1" t="s">
        <v>6</v>
      </c>
      <c r="AK245" s="1" t="s">
        <v>7</v>
      </c>
      <c r="AL245" s="1" t="s">
        <v>7</v>
      </c>
      <c r="AM245" s="1" t="s">
        <v>8</v>
      </c>
      <c r="AN245" s="1" t="s">
        <v>8</v>
      </c>
      <c r="AO245" s="1" t="s">
        <v>9</v>
      </c>
      <c r="AP245" s="1" t="s">
        <v>9</v>
      </c>
      <c r="AQ245" s="1" t="s">
        <v>10</v>
      </c>
      <c r="AR245" s="1" t="s">
        <v>10</v>
      </c>
      <c r="AU245" s="1" t="s">
        <v>20</v>
      </c>
    </row>
    <row r="246" spans="24:67" x14ac:dyDescent="0.3">
      <c r="X246" s="1" t="s">
        <v>20</v>
      </c>
      <c r="AU246" s="1" t="s">
        <v>21</v>
      </c>
      <c r="AV246" s="2">
        <f>AV135+Y135</f>
        <v>303.89999999999998</v>
      </c>
      <c r="AW246" s="2">
        <f t="shared" ref="AW246:BO253" si="6">AW135+Z135</f>
        <v>320.53000000000003</v>
      </c>
      <c r="AX246" s="2">
        <f t="shared" si="6"/>
        <v>214.89999999999998</v>
      </c>
      <c r="AY246" s="2">
        <f t="shared" si="6"/>
        <v>214.89999999999998</v>
      </c>
      <c r="AZ246" s="2">
        <f t="shared" si="6"/>
        <v>229.6</v>
      </c>
      <c r="BA246" s="2">
        <f t="shared" si="6"/>
        <v>344.47</v>
      </c>
      <c r="BB246" s="2">
        <f t="shared" si="6"/>
        <v>259.35000000000002</v>
      </c>
      <c r="BC246" s="2">
        <f t="shared" si="6"/>
        <v>396.2</v>
      </c>
      <c r="BD246" s="2">
        <f t="shared" si="6"/>
        <v>319.2</v>
      </c>
      <c r="BE246" s="2">
        <f t="shared" si="6"/>
        <v>293.3</v>
      </c>
      <c r="BF246" s="2">
        <f t="shared" si="6"/>
        <v>302.40000000000003</v>
      </c>
      <c r="BG246" s="2">
        <f t="shared" si="6"/>
        <v>302.40000000000003</v>
      </c>
      <c r="BH246" s="2">
        <f t="shared" si="6"/>
        <v>357</v>
      </c>
      <c r="BI246" s="2">
        <f t="shared" si="6"/>
        <v>278.60000000000002</v>
      </c>
      <c r="BJ246" s="2">
        <f t="shared" si="6"/>
        <v>277.90000000000003</v>
      </c>
      <c r="BK246" s="2">
        <f t="shared" si="6"/>
        <v>269.5</v>
      </c>
      <c r="BL246" s="2">
        <f t="shared" si="6"/>
        <v>310.09999999999997</v>
      </c>
      <c r="BM246" s="2">
        <f t="shared" si="6"/>
        <v>249.9</v>
      </c>
      <c r="BN246" s="2">
        <f t="shared" si="6"/>
        <v>313.60000000000002</v>
      </c>
      <c r="BO246" s="2">
        <f t="shared" si="6"/>
        <v>278.60000000000002</v>
      </c>
    </row>
    <row r="247" spans="24:67" x14ac:dyDescent="0.3">
      <c r="X247" s="1" t="s">
        <v>21</v>
      </c>
      <c r="Y247" s="2">
        <f t="shared" ref="Y247:Y254" si="7">Y9</f>
        <v>1353.17</v>
      </c>
      <c r="Z247" s="2">
        <f t="shared" ref="Z247:AR254" si="8">Z9</f>
        <v>1346.69</v>
      </c>
      <c r="AA247" s="2">
        <f t="shared" si="8"/>
        <v>1160.75</v>
      </c>
      <c r="AB247" s="2">
        <f t="shared" si="8"/>
        <v>1082.19</v>
      </c>
      <c r="AC247" s="2">
        <f t="shared" si="8"/>
        <v>397.01</v>
      </c>
      <c r="AD247" s="2">
        <f t="shared" si="8"/>
        <v>485.61</v>
      </c>
      <c r="AE247" s="2">
        <f t="shared" si="8"/>
        <v>1386.03</v>
      </c>
      <c r="AF247" s="2">
        <f t="shared" si="8"/>
        <v>2769.98</v>
      </c>
      <c r="AG247" s="2">
        <f t="shared" si="8"/>
        <v>3877.16</v>
      </c>
      <c r="AH247" s="2">
        <f t="shared" si="8"/>
        <v>3413.62</v>
      </c>
      <c r="AI247" s="2">
        <f t="shared" si="8"/>
        <v>7063.56</v>
      </c>
      <c r="AJ247" s="2">
        <f t="shared" si="8"/>
        <v>6056.32</v>
      </c>
      <c r="AK247" s="2">
        <f t="shared" si="8"/>
        <v>5557.73</v>
      </c>
      <c r="AL247" s="2">
        <f t="shared" si="8"/>
        <v>4777.8100000000004</v>
      </c>
      <c r="AM247" s="2">
        <f t="shared" si="8"/>
        <v>7051.13</v>
      </c>
      <c r="AN247" s="2">
        <f t="shared" si="8"/>
        <v>6424.43</v>
      </c>
      <c r="AO247" s="2">
        <f t="shared" si="8"/>
        <v>5521.12</v>
      </c>
      <c r="AP247" s="2">
        <f t="shared" si="8"/>
        <v>4211.41</v>
      </c>
      <c r="AQ247" s="2">
        <f t="shared" si="8"/>
        <v>7445.02</v>
      </c>
      <c r="AR247" s="2">
        <f t="shared" si="8"/>
        <v>5904.67</v>
      </c>
      <c r="AU247" s="1" t="s">
        <v>22</v>
      </c>
      <c r="AV247" s="2">
        <f t="shared" ref="AV247:AV253" si="9">AV136+Y136</f>
        <v>177.17000000000002</v>
      </c>
      <c r="AW247" s="2">
        <f t="shared" si="6"/>
        <v>139.56</v>
      </c>
      <c r="AX247" s="2">
        <f t="shared" si="6"/>
        <v>92.34</v>
      </c>
      <c r="AY247" s="2">
        <f t="shared" si="6"/>
        <v>102.03</v>
      </c>
      <c r="AZ247" s="2">
        <f t="shared" si="6"/>
        <v>99.8</v>
      </c>
      <c r="BA247" s="2">
        <f t="shared" si="6"/>
        <v>172.81</v>
      </c>
      <c r="BB247" s="2">
        <f t="shared" si="6"/>
        <v>144.5</v>
      </c>
      <c r="BC247" s="2">
        <f t="shared" si="6"/>
        <v>201.20000000000002</v>
      </c>
      <c r="BD247" s="2">
        <f t="shared" si="6"/>
        <v>155.61000000000001</v>
      </c>
      <c r="BE247" s="2">
        <f t="shared" si="6"/>
        <v>198.2</v>
      </c>
      <c r="BF247" s="2">
        <f t="shared" si="6"/>
        <v>156.94</v>
      </c>
      <c r="BG247" s="2">
        <f t="shared" si="6"/>
        <v>219.5</v>
      </c>
      <c r="BH247" s="2">
        <f t="shared" si="6"/>
        <v>164.2</v>
      </c>
      <c r="BI247" s="2">
        <f t="shared" si="6"/>
        <v>181.60000000000002</v>
      </c>
      <c r="BJ247" s="2">
        <f t="shared" si="6"/>
        <v>153.77000000000001</v>
      </c>
      <c r="BK247" s="2">
        <f t="shared" si="6"/>
        <v>148.57999999999998</v>
      </c>
      <c r="BL247" s="2">
        <f t="shared" si="6"/>
        <v>130.19999999999999</v>
      </c>
      <c r="BM247" s="2">
        <f t="shared" si="6"/>
        <v>145.19</v>
      </c>
      <c r="BN247" s="2">
        <f t="shared" si="6"/>
        <v>174.89</v>
      </c>
      <c r="BO247" s="2">
        <f t="shared" si="6"/>
        <v>138.22999999999999</v>
      </c>
    </row>
    <row r="248" spans="24:67" x14ac:dyDescent="0.3">
      <c r="X248" s="1" t="s">
        <v>22</v>
      </c>
      <c r="Y248" s="2">
        <f t="shared" si="7"/>
        <v>1545.55</v>
      </c>
      <c r="Z248" s="2">
        <f t="shared" ref="Z248:AN248" si="10">Z10</f>
        <v>952.77</v>
      </c>
      <c r="AA248" s="2">
        <f t="shared" si="10"/>
        <v>1589.39</v>
      </c>
      <c r="AB248" s="2">
        <f t="shared" si="10"/>
        <v>1022.77</v>
      </c>
      <c r="AC248" s="2">
        <f t="shared" si="10"/>
        <v>401.84</v>
      </c>
      <c r="AD248" s="2">
        <f t="shared" si="10"/>
        <v>496.88</v>
      </c>
      <c r="AE248" s="2">
        <f t="shared" si="10"/>
        <v>2143.0700000000002</v>
      </c>
      <c r="AF248" s="2">
        <f t="shared" si="10"/>
        <v>1481.81</v>
      </c>
      <c r="AG248" s="2">
        <f t="shared" si="10"/>
        <v>2500.66</v>
      </c>
      <c r="AH248" s="2">
        <f t="shared" si="10"/>
        <v>1709.98</v>
      </c>
      <c r="AI248" s="2">
        <f t="shared" si="10"/>
        <v>4310.16</v>
      </c>
      <c r="AJ248" s="2">
        <f t="shared" si="10"/>
        <v>3099.98</v>
      </c>
      <c r="AK248" s="2">
        <f t="shared" si="10"/>
        <v>3048.28</v>
      </c>
      <c r="AL248" s="2">
        <f t="shared" si="10"/>
        <v>2681.05</v>
      </c>
      <c r="AM248" s="2">
        <f t="shared" si="10"/>
        <v>3786.73</v>
      </c>
      <c r="AN248" s="2">
        <f t="shared" si="10"/>
        <v>3374.35</v>
      </c>
      <c r="AO248" s="2">
        <f t="shared" si="8"/>
        <v>3287.41</v>
      </c>
      <c r="AP248" s="2">
        <f t="shared" si="8"/>
        <v>2480.1999999999998</v>
      </c>
      <c r="AQ248" s="2">
        <f t="shared" si="8"/>
        <v>5028.1499999999996</v>
      </c>
      <c r="AR248" s="2">
        <f t="shared" si="8"/>
        <v>3132.01</v>
      </c>
      <c r="AU248" s="1" t="s">
        <v>23</v>
      </c>
      <c r="AV248" s="2">
        <f t="shared" si="9"/>
        <v>814.12</v>
      </c>
      <c r="AW248" s="2">
        <f t="shared" si="6"/>
        <v>394.15</v>
      </c>
      <c r="AX248" s="2">
        <f t="shared" si="6"/>
        <v>664.55</v>
      </c>
      <c r="AY248" s="2">
        <f t="shared" si="6"/>
        <v>291.55</v>
      </c>
      <c r="AZ248" s="2">
        <f t="shared" si="6"/>
        <v>684.18000000000006</v>
      </c>
      <c r="BA248" s="2">
        <f t="shared" si="6"/>
        <v>1029.95</v>
      </c>
      <c r="BB248" s="2">
        <f t="shared" si="6"/>
        <v>830.27</v>
      </c>
      <c r="BC248" s="2">
        <f t="shared" si="6"/>
        <v>804.06</v>
      </c>
      <c r="BD248" s="2">
        <f t="shared" si="6"/>
        <v>1006.62</v>
      </c>
      <c r="BE248" s="2">
        <f t="shared" si="6"/>
        <v>844.40000000000009</v>
      </c>
      <c r="BF248" s="2">
        <f t="shared" si="6"/>
        <v>960.75</v>
      </c>
      <c r="BG248" s="2">
        <f t="shared" si="6"/>
        <v>882.79</v>
      </c>
      <c r="BH248" s="2">
        <f t="shared" si="6"/>
        <v>979.27</v>
      </c>
      <c r="BI248" s="2">
        <f t="shared" si="6"/>
        <v>780.42</v>
      </c>
      <c r="BJ248" s="2">
        <f t="shared" si="6"/>
        <v>903.65</v>
      </c>
      <c r="BK248" s="2">
        <f t="shared" si="6"/>
        <v>684.01</v>
      </c>
      <c r="BL248" s="2">
        <f t="shared" si="6"/>
        <v>688.04</v>
      </c>
      <c r="BM248" s="2">
        <f t="shared" si="6"/>
        <v>735.59</v>
      </c>
      <c r="BN248" s="2">
        <f t="shared" si="6"/>
        <v>577.94000000000005</v>
      </c>
      <c r="BO248" s="2">
        <f t="shared" si="6"/>
        <v>536.25</v>
      </c>
    </row>
    <row r="249" spans="24:67" x14ac:dyDescent="0.3">
      <c r="X249" s="1" t="s">
        <v>23</v>
      </c>
      <c r="Y249" s="2">
        <f t="shared" si="7"/>
        <v>7271.69</v>
      </c>
      <c r="Z249" s="2">
        <f t="shared" si="8"/>
        <v>2377.84</v>
      </c>
      <c r="AA249" s="2">
        <f t="shared" si="8"/>
        <v>6835.09</v>
      </c>
      <c r="AB249" s="2">
        <f t="shared" si="8"/>
        <v>2313.36</v>
      </c>
      <c r="AC249" s="2">
        <f t="shared" si="8"/>
        <v>2880.54</v>
      </c>
      <c r="AD249" s="2">
        <f t="shared" si="8"/>
        <v>2728.19</v>
      </c>
      <c r="AE249" s="2">
        <f t="shared" si="8"/>
        <v>10537.03</v>
      </c>
      <c r="AF249" s="2">
        <f t="shared" si="8"/>
        <v>5076.2299999999996</v>
      </c>
      <c r="AG249" s="2">
        <f t="shared" si="8"/>
        <v>13942.63</v>
      </c>
      <c r="AH249" s="2">
        <f t="shared" si="8"/>
        <v>5635.59</v>
      </c>
      <c r="AI249" s="2">
        <f t="shared" si="8"/>
        <v>25655.42</v>
      </c>
      <c r="AJ249" s="2">
        <f t="shared" si="8"/>
        <v>10012.870000000001</v>
      </c>
      <c r="AK249" s="2">
        <f t="shared" si="8"/>
        <v>19604.900000000001</v>
      </c>
      <c r="AL249" s="2">
        <f t="shared" si="8"/>
        <v>8130.79</v>
      </c>
      <c r="AM249" s="2">
        <f t="shared" si="8"/>
        <v>24818.799999999999</v>
      </c>
      <c r="AN249" s="2">
        <f t="shared" si="8"/>
        <v>10377.299999999999</v>
      </c>
      <c r="AO249" s="2">
        <f t="shared" si="8"/>
        <v>10549.37</v>
      </c>
      <c r="AP249" s="2">
        <f t="shared" si="8"/>
        <v>8054.62</v>
      </c>
      <c r="AQ249" s="2">
        <f t="shared" si="8"/>
        <v>10591.49</v>
      </c>
      <c r="AR249" s="2">
        <f t="shared" si="8"/>
        <v>9442.81</v>
      </c>
      <c r="AU249" s="1" t="s">
        <v>24</v>
      </c>
      <c r="AV249" s="2">
        <f t="shared" si="9"/>
        <v>247.67</v>
      </c>
      <c r="AW249" s="2">
        <f t="shared" si="6"/>
        <v>123.47999999999999</v>
      </c>
      <c r="AX249" s="2">
        <f t="shared" si="6"/>
        <v>175.31</v>
      </c>
      <c r="AY249" s="2">
        <f t="shared" si="6"/>
        <v>126.35</v>
      </c>
      <c r="AZ249" s="2">
        <f t="shared" si="6"/>
        <v>195.85999999999999</v>
      </c>
      <c r="BA249" s="2">
        <f t="shared" si="6"/>
        <v>246.31</v>
      </c>
      <c r="BB249" s="2">
        <f t="shared" si="6"/>
        <v>287.70999999999998</v>
      </c>
      <c r="BC249" s="2">
        <f t="shared" si="6"/>
        <v>203.8</v>
      </c>
      <c r="BD249" s="2">
        <f t="shared" si="6"/>
        <v>275.29000000000002</v>
      </c>
      <c r="BE249" s="2">
        <f t="shared" si="6"/>
        <v>246.38</v>
      </c>
      <c r="BF249" s="2">
        <f t="shared" si="6"/>
        <v>291.08999999999997</v>
      </c>
      <c r="BG249" s="2">
        <f t="shared" si="6"/>
        <v>251.64</v>
      </c>
      <c r="BH249" s="2">
        <f t="shared" si="6"/>
        <v>301.94</v>
      </c>
      <c r="BI249" s="2">
        <f t="shared" si="6"/>
        <v>212.64</v>
      </c>
      <c r="BJ249" s="2">
        <f t="shared" si="6"/>
        <v>279.28000000000003</v>
      </c>
      <c r="BK249" s="2">
        <f t="shared" si="6"/>
        <v>218.23</v>
      </c>
      <c r="BL249" s="2">
        <f t="shared" si="6"/>
        <v>209.06</v>
      </c>
      <c r="BM249" s="2">
        <f t="shared" si="6"/>
        <v>180.76</v>
      </c>
      <c r="BN249" s="2">
        <f t="shared" si="6"/>
        <v>191.48000000000002</v>
      </c>
      <c r="BO249" s="2">
        <f t="shared" si="6"/>
        <v>163.05000000000001</v>
      </c>
    </row>
    <row r="250" spans="24:67" x14ac:dyDescent="0.3">
      <c r="X250" s="1" t="s">
        <v>24</v>
      </c>
      <c r="Y250" s="2">
        <f t="shared" si="7"/>
        <v>2120.7600000000002</v>
      </c>
      <c r="Z250" s="2">
        <f t="shared" si="8"/>
        <v>848.64</v>
      </c>
      <c r="AA250" s="2">
        <f t="shared" si="8"/>
        <v>2123.88</v>
      </c>
      <c r="AB250" s="2">
        <f t="shared" si="8"/>
        <v>933.9</v>
      </c>
      <c r="AC250" s="2">
        <f t="shared" si="8"/>
        <v>704.15</v>
      </c>
      <c r="AD250" s="2">
        <f t="shared" si="8"/>
        <v>663.57</v>
      </c>
      <c r="AE250" s="2">
        <f t="shared" si="8"/>
        <v>2609.52</v>
      </c>
      <c r="AF250" s="2">
        <f t="shared" si="8"/>
        <v>1698.86</v>
      </c>
      <c r="AG250" s="2">
        <f t="shared" si="8"/>
        <v>3063.6</v>
      </c>
      <c r="AH250" s="2">
        <f t="shared" si="8"/>
        <v>1896</v>
      </c>
      <c r="AI250" s="2">
        <f t="shared" si="8"/>
        <v>5510.92</v>
      </c>
      <c r="AJ250" s="2">
        <f t="shared" si="8"/>
        <v>3262.93</v>
      </c>
      <c r="AK250" s="2">
        <f t="shared" si="8"/>
        <v>4424.8500000000004</v>
      </c>
      <c r="AL250" s="2">
        <f t="shared" si="8"/>
        <v>2631.83</v>
      </c>
      <c r="AM250" s="2">
        <f t="shared" si="8"/>
        <v>4402.8900000000003</v>
      </c>
      <c r="AN250" s="2">
        <f t="shared" si="8"/>
        <v>3314.08</v>
      </c>
      <c r="AO250" s="2">
        <f t="shared" si="8"/>
        <v>2995.22</v>
      </c>
      <c r="AP250" s="2">
        <f t="shared" si="8"/>
        <v>2667.46</v>
      </c>
      <c r="AQ250" s="2">
        <f t="shared" si="8"/>
        <v>3559.73</v>
      </c>
      <c r="AR250" s="2">
        <f t="shared" si="8"/>
        <v>3330.49</v>
      </c>
      <c r="AU250" s="1" t="s">
        <v>25</v>
      </c>
      <c r="AV250" s="2">
        <f t="shared" si="9"/>
        <v>710.22</v>
      </c>
      <c r="AW250" s="2">
        <f t="shared" si="6"/>
        <v>852</v>
      </c>
      <c r="AX250" s="2">
        <f t="shared" si="6"/>
        <v>854.91</v>
      </c>
      <c r="AY250" s="2">
        <f t="shared" si="6"/>
        <v>929.1</v>
      </c>
      <c r="AZ250" s="2">
        <f t="shared" si="6"/>
        <v>685.66</v>
      </c>
      <c r="BA250" s="2">
        <f t="shared" si="6"/>
        <v>704.84999999999991</v>
      </c>
      <c r="BB250" s="2">
        <f t="shared" si="6"/>
        <v>1069.22</v>
      </c>
      <c r="BC250" s="2">
        <f t="shared" si="6"/>
        <v>1062.5</v>
      </c>
      <c r="BD250" s="2">
        <f t="shared" si="6"/>
        <v>1255.45</v>
      </c>
      <c r="BE250" s="2">
        <f t="shared" si="6"/>
        <v>1126.5</v>
      </c>
      <c r="BF250" s="2">
        <f t="shared" si="6"/>
        <v>1176.42</v>
      </c>
      <c r="BG250" s="2">
        <f t="shared" si="6"/>
        <v>1030.75</v>
      </c>
      <c r="BH250" s="2">
        <f t="shared" si="6"/>
        <v>1111.98</v>
      </c>
      <c r="BI250" s="2">
        <f t="shared" si="6"/>
        <v>963.3</v>
      </c>
      <c r="BJ250" s="2">
        <f t="shared" si="6"/>
        <v>1029.83</v>
      </c>
      <c r="BK250" s="2">
        <f t="shared" si="6"/>
        <v>916.42</v>
      </c>
      <c r="BL250" s="2">
        <f t="shared" si="6"/>
        <v>997</v>
      </c>
      <c r="BM250" s="2">
        <f t="shared" si="6"/>
        <v>701.56999999999994</v>
      </c>
      <c r="BN250" s="2">
        <f t="shared" si="6"/>
        <v>856.9</v>
      </c>
      <c r="BO250" s="2">
        <f t="shared" si="6"/>
        <v>833.15</v>
      </c>
    </row>
    <row r="251" spans="24:67" x14ac:dyDescent="0.3">
      <c r="X251" s="1" t="s">
        <v>25</v>
      </c>
      <c r="Y251" s="2">
        <f t="shared" si="7"/>
        <v>7234.78</v>
      </c>
      <c r="Z251" s="2">
        <f t="shared" si="8"/>
        <v>7725.89</v>
      </c>
      <c r="AA251" s="2">
        <f t="shared" si="8"/>
        <v>9290.2999999999993</v>
      </c>
      <c r="AB251" s="2">
        <f t="shared" si="8"/>
        <v>8275.6299999999992</v>
      </c>
      <c r="AC251" s="2">
        <f t="shared" si="8"/>
        <v>2759.42</v>
      </c>
      <c r="AD251" s="2">
        <f t="shared" si="8"/>
        <v>3031.89</v>
      </c>
      <c r="AE251" s="2">
        <f t="shared" si="8"/>
        <v>8790.76</v>
      </c>
      <c r="AF251" s="2">
        <f t="shared" si="8"/>
        <v>9907.3700000000008</v>
      </c>
      <c r="AG251" s="2">
        <f t="shared" si="8"/>
        <v>11421.12</v>
      </c>
      <c r="AH251" s="2">
        <f t="shared" si="8"/>
        <v>12271.42</v>
      </c>
      <c r="AI251" s="2">
        <f t="shared" si="8"/>
        <v>19181.77</v>
      </c>
      <c r="AJ251" s="2">
        <f t="shared" si="8"/>
        <v>19330.05</v>
      </c>
      <c r="AK251" s="2">
        <f t="shared" si="8"/>
        <v>14621.34</v>
      </c>
      <c r="AL251" s="2">
        <f t="shared" si="8"/>
        <v>15300.42</v>
      </c>
      <c r="AM251" s="2">
        <f t="shared" si="8"/>
        <v>17991.240000000002</v>
      </c>
      <c r="AN251" s="2">
        <f t="shared" si="8"/>
        <v>17461.48</v>
      </c>
      <c r="AO251" s="2">
        <f t="shared" si="8"/>
        <v>14890.23</v>
      </c>
      <c r="AP251" s="2">
        <f t="shared" si="8"/>
        <v>14543.22</v>
      </c>
      <c r="AQ251" s="2">
        <f t="shared" si="8"/>
        <v>18781.060000000001</v>
      </c>
      <c r="AR251" s="2">
        <f t="shared" si="8"/>
        <v>20960.650000000001</v>
      </c>
      <c r="AU251" s="1" t="s">
        <v>26</v>
      </c>
      <c r="AV251" s="2">
        <f t="shared" si="9"/>
        <v>123.39</v>
      </c>
      <c r="AW251" s="2">
        <f t="shared" si="6"/>
        <v>119.82000000000001</v>
      </c>
      <c r="AX251" s="2">
        <f t="shared" si="6"/>
        <v>135.66</v>
      </c>
      <c r="AY251" s="2">
        <f t="shared" si="6"/>
        <v>158.5</v>
      </c>
      <c r="AZ251" s="2">
        <f t="shared" si="6"/>
        <v>114.39999999999999</v>
      </c>
      <c r="BA251" s="2">
        <f t="shared" si="6"/>
        <v>97.35</v>
      </c>
      <c r="BB251" s="2">
        <f t="shared" si="6"/>
        <v>160.84</v>
      </c>
      <c r="BC251" s="2">
        <f t="shared" si="6"/>
        <v>100.03</v>
      </c>
      <c r="BD251" s="2">
        <f t="shared" si="6"/>
        <v>157.51999999999998</v>
      </c>
      <c r="BE251" s="2">
        <f t="shared" si="6"/>
        <v>180.05</v>
      </c>
      <c r="BF251" s="2">
        <f t="shared" si="6"/>
        <v>186.11</v>
      </c>
      <c r="BG251" s="2">
        <f t="shared" si="6"/>
        <v>187.45</v>
      </c>
      <c r="BH251" s="2">
        <f t="shared" si="6"/>
        <v>171.73</v>
      </c>
      <c r="BI251" s="2">
        <f t="shared" si="6"/>
        <v>156.74</v>
      </c>
      <c r="BJ251" s="2">
        <f t="shared" si="6"/>
        <v>173.86</v>
      </c>
      <c r="BK251" s="2">
        <f t="shared" si="6"/>
        <v>187.41</v>
      </c>
      <c r="BL251" s="2">
        <f t="shared" si="6"/>
        <v>176.04</v>
      </c>
      <c r="BM251" s="2">
        <f t="shared" si="6"/>
        <v>137.82</v>
      </c>
      <c r="BN251" s="2">
        <f t="shared" si="6"/>
        <v>149.30000000000001</v>
      </c>
      <c r="BO251" s="2">
        <f t="shared" si="6"/>
        <v>124.32000000000001</v>
      </c>
    </row>
    <row r="252" spans="24:67" x14ac:dyDescent="0.3">
      <c r="X252" s="1" t="s">
        <v>26</v>
      </c>
      <c r="Y252" s="2">
        <f t="shared" si="7"/>
        <v>1882.09</v>
      </c>
      <c r="Z252" s="2">
        <f t="shared" si="8"/>
        <v>1577.81</v>
      </c>
      <c r="AA252" s="2">
        <f t="shared" si="8"/>
        <v>2238.3000000000002</v>
      </c>
      <c r="AB252" s="2">
        <f t="shared" si="8"/>
        <v>2284.79</v>
      </c>
      <c r="AC252" s="2">
        <f t="shared" si="8"/>
        <v>641.16</v>
      </c>
      <c r="AD252" s="2">
        <f t="shared" si="8"/>
        <v>713.26</v>
      </c>
      <c r="AE252" s="2">
        <f t="shared" si="8"/>
        <v>2041.98</v>
      </c>
      <c r="AF252" s="2">
        <f t="shared" si="8"/>
        <v>1900.57</v>
      </c>
      <c r="AG252" s="2">
        <f t="shared" si="8"/>
        <v>2388.87</v>
      </c>
      <c r="AH252" s="2">
        <f t="shared" si="8"/>
        <v>3001.23</v>
      </c>
      <c r="AI252" s="2">
        <f t="shared" si="8"/>
        <v>4511.1499999999996</v>
      </c>
      <c r="AJ252" s="2">
        <f t="shared" si="8"/>
        <v>5427.09</v>
      </c>
      <c r="AK252" s="2">
        <f t="shared" si="8"/>
        <v>3625.59</v>
      </c>
      <c r="AL252" s="2">
        <f t="shared" si="8"/>
        <v>4306.09</v>
      </c>
      <c r="AM252" s="2">
        <f t="shared" si="8"/>
        <v>4649.78</v>
      </c>
      <c r="AN252" s="2">
        <f t="shared" si="8"/>
        <v>5486.89</v>
      </c>
      <c r="AO252" s="2">
        <f t="shared" si="8"/>
        <v>3964.21</v>
      </c>
      <c r="AP252" s="2">
        <f t="shared" si="8"/>
        <v>4788.63</v>
      </c>
      <c r="AQ252" s="2">
        <f t="shared" si="8"/>
        <v>4776.6400000000003</v>
      </c>
      <c r="AR252" s="2">
        <f t="shared" si="8"/>
        <v>4700.18</v>
      </c>
      <c r="AU252" s="1" t="s">
        <v>27</v>
      </c>
      <c r="AV252" s="2">
        <f t="shared" si="9"/>
        <v>378.39</v>
      </c>
      <c r="AW252" s="2">
        <f t="shared" si="6"/>
        <v>451.59999999999997</v>
      </c>
      <c r="AX252" s="2">
        <f t="shared" si="6"/>
        <v>322.24</v>
      </c>
      <c r="AY252" s="2">
        <f t="shared" si="6"/>
        <v>372.38</v>
      </c>
      <c r="AZ252" s="2">
        <f t="shared" si="6"/>
        <v>300.19</v>
      </c>
      <c r="BA252" s="2">
        <f t="shared" si="6"/>
        <v>342.15</v>
      </c>
      <c r="BB252" s="2">
        <f t="shared" si="6"/>
        <v>400.05</v>
      </c>
      <c r="BC252" s="2">
        <f t="shared" si="6"/>
        <v>366.26</v>
      </c>
      <c r="BD252" s="2">
        <f t="shared" si="6"/>
        <v>405.08</v>
      </c>
      <c r="BE252" s="2">
        <f t="shared" si="6"/>
        <v>522.42999999999995</v>
      </c>
      <c r="BF252" s="2">
        <f t="shared" si="6"/>
        <v>420.27</v>
      </c>
      <c r="BG252" s="2">
        <f t="shared" si="6"/>
        <v>493.09</v>
      </c>
      <c r="BH252" s="2">
        <f t="shared" si="6"/>
        <v>378.34</v>
      </c>
      <c r="BI252" s="2">
        <f t="shared" si="6"/>
        <v>414.28</v>
      </c>
      <c r="BJ252" s="2">
        <f t="shared" si="6"/>
        <v>405.78</v>
      </c>
      <c r="BK252" s="2">
        <f t="shared" si="6"/>
        <v>443.85</v>
      </c>
      <c r="BL252" s="2">
        <f t="shared" si="6"/>
        <v>387.21000000000004</v>
      </c>
      <c r="BM252" s="2">
        <f t="shared" si="6"/>
        <v>299.32</v>
      </c>
      <c r="BN252" s="2">
        <f t="shared" si="6"/>
        <v>326.46000000000004</v>
      </c>
      <c r="BO252" s="2">
        <f t="shared" si="6"/>
        <v>316.13</v>
      </c>
    </row>
    <row r="253" spans="24:67" x14ac:dyDescent="0.3">
      <c r="X253" s="1" t="s">
        <v>27</v>
      </c>
      <c r="Y253" s="2">
        <f t="shared" si="7"/>
        <v>7001.9</v>
      </c>
      <c r="Z253" s="2">
        <f t="shared" si="8"/>
        <v>7314.86</v>
      </c>
      <c r="AA253" s="2">
        <f t="shared" si="8"/>
        <v>6303.02</v>
      </c>
      <c r="AB253" s="2">
        <f t="shared" si="8"/>
        <v>7626.07</v>
      </c>
      <c r="AC253" s="2">
        <f t="shared" si="8"/>
        <v>2270.65</v>
      </c>
      <c r="AD253" s="2">
        <f t="shared" si="8"/>
        <v>2709.59</v>
      </c>
      <c r="AE253" s="2">
        <f t="shared" si="8"/>
        <v>6718.82</v>
      </c>
      <c r="AF253" s="2">
        <f t="shared" si="8"/>
        <v>9509.27</v>
      </c>
      <c r="AG253" s="2">
        <f t="shared" si="8"/>
        <v>7590.17</v>
      </c>
      <c r="AH253" s="2">
        <f t="shared" si="8"/>
        <v>11078.69</v>
      </c>
      <c r="AI253" s="2">
        <f t="shared" si="8"/>
        <v>13800.96</v>
      </c>
      <c r="AJ253" s="2">
        <f t="shared" si="8"/>
        <v>26373.38</v>
      </c>
      <c r="AK253" s="2">
        <f t="shared" si="8"/>
        <v>11192.45</v>
      </c>
      <c r="AL253" s="2">
        <f t="shared" si="8"/>
        <v>18968.3</v>
      </c>
      <c r="AM253" s="2">
        <f t="shared" si="8"/>
        <v>15182.38</v>
      </c>
      <c r="AN253" s="2">
        <f t="shared" si="8"/>
        <v>15856.95</v>
      </c>
      <c r="AO253" s="2">
        <f t="shared" si="8"/>
        <v>11870.1</v>
      </c>
      <c r="AP253" s="2">
        <f t="shared" si="8"/>
        <v>12264.24</v>
      </c>
      <c r="AQ253" s="2">
        <f t="shared" si="8"/>
        <v>14594.47</v>
      </c>
      <c r="AR253" s="2">
        <f t="shared" si="8"/>
        <v>14521.96</v>
      </c>
      <c r="AU253" s="1" t="s">
        <v>28</v>
      </c>
      <c r="AV253" s="2">
        <f t="shared" si="9"/>
        <v>189</v>
      </c>
      <c r="AW253" s="2">
        <f t="shared" si="6"/>
        <v>144.6</v>
      </c>
      <c r="AX253" s="2">
        <f t="shared" si="6"/>
        <v>80.08</v>
      </c>
      <c r="AY253" s="2">
        <f t="shared" si="6"/>
        <v>94.62</v>
      </c>
      <c r="AZ253" s="2">
        <f t="shared" si="6"/>
        <v>93.48</v>
      </c>
      <c r="BA253" s="2">
        <f t="shared" si="6"/>
        <v>100.89</v>
      </c>
      <c r="BB253" s="2">
        <f t="shared" si="6"/>
        <v>104.03</v>
      </c>
      <c r="BC253" s="2">
        <f t="shared" si="6"/>
        <v>110.02</v>
      </c>
      <c r="BD253" s="2">
        <f t="shared" si="6"/>
        <v>144</v>
      </c>
      <c r="BE253" s="2">
        <f t="shared" si="6"/>
        <v>84.88</v>
      </c>
      <c r="BF253" s="2">
        <f t="shared" si="6"/>
        <v>103.5</v>
      </c>
      <c r="BG253" s="2">
        <f t="shared" si="6"/>
        <v>97.72999999999999</v>
      </c>
      <c r="BH253" s="2">
        <f t="shared" si="6"/>
        <v>111.9</v>
      </c>
      <c r="BI253" s="2">
        <f t="shared" si="6"/>
        <v>126.9</v>
      </c>
      <c r="BJ253" s="2">
        <f t="shared" si="6"/>
        <v>89.4</v>
      </c>
      <c r="BK253" s="2">
        <f t="shared" si="6"/>
        <v>104.39999999999999</v>
      </c>
      <c r="BL253" s="2">
        <f t="shared" si="6"/>
        <v>125.4</v>
      </c>
      <c r="BM253" s="2">
        <f t="shared" si="6"/>
        <v>88.5</v>
      </c>
      <c r="BN253" s="2">
        <f t="shared" si="6"/>
        <v>123</v>
      </c>
      <c r="BO253" s="2">
        <f t="shared" si="6"/>
        <v>96.899999999999991</v>
      </c>
    </row>
    <row r="254" spans="24:67" x14ac:dyDescent="0.3">
      <c r="X254" s="1" t="s">
        <v>28</v>
      </c>
      <c r="Y254" s="2">
        <f t="shared" si="7"/>
        <v>3020.22</v>
      </c>
      <c r="Z254" s="2">
        <f t="shared" si="8"/>
        <v>3814.59</v>
      </c>
      <c r="AA254" s="2">
        <f t="shared" si="8"/>
        <v>2985.45</v>
      </c>
      <c r="AB254" s="2">
        <f t="shared" si="8"/>
        <v>3184.83</v>
      </c>
      <c r="AC254" s="2">
        <f t="shared" si="8"/>
        <v>215.14</v>
      </c>
      <c r="AD254" s="2">
        <f t="shared" si="8"/>
        <v>1277.04</v>
      </c>
      <c r="AE254" s="2">
        <f t="shared" si="8"/>
        <v>1220.21</v>
      </c>
      <c r="AF254" s="2">
        <f t="shared" si="8"/>
        <v>4323.8500000000004</v>
      </c>
      <c r="AG254" s="2">
        <f t="shared" si="8"/>
        <v>3831.67</v>
      </c>
      <c r="AH254" s="2">
        <f t="shared" si="8"/>
        <v>5183.1899999999996</v>
      </c>
      <c r="AI254" s="2">
        <f t="shared" si="8"/>
        <v>6746.02</v>
      </c>
      <c r="AJ254" s="2">
        <f t="shared" si="8"/>
        <v>9567.34</v>
      </c>
      <c r="AK254" s="2">
        <f t="shared" si="8"/>
        <v>5379.74</v>
      </c>
      <c r="AL254" s="2">
        <f t="shared" si="8"/>
        <v>7273.93</v>
      </c>
      <c r="AM254" s="2">
        <f t="shared" si="8"/>
        <v>6733.59</v>
      </c>
      <c r="AN254" s="2">
        <f t="shared" si="8"/>
        <v>7444.06</v>
      </c>
      <c r="AO254" s="2">
        <f t="shared" si="8"/>
        <v>5668.91</v>
      </c>
      <c r="AP254" s="2">
        <f t="shared" si="8"/>
        <v>5760.79</v>
      </c>
      <c r="AQ254" s="2">
        <f t="shared" si="8"/>
        <v>7778.2</v>
      </c>
      <c r="AR254" s="2">
        <f t="shared" si="8"/>
        <v>7999.98</v>
      </c>
    </row>
    <row r="255" spans="24:67" x14ac:dyDescent="0.3">
      <c r="AU255" s="5" t="s">
        <v>84</v>
      </c>
    </row>
    <row r="256" spans="24:67" x14ac:dyDescent="0.3">
      <c r="AU256" s="1" t="s">
        <v>16</v>
      </c>
      <c r="AV256" s="1" t="s">
        <v>17</v>
      </c>
      <c r="AW256" s="1" t="s">
        <v>18</v>
      </c>
      <c r="AX256" s="1" t="s">
        <v>17</v>
      </c>
      <c r="AY256" s="1" t="s">
        <v>18</v>
      </c>
      <c r="AZ256" s="1" t="s">
        <v>17</v>
      </c>
      <c r="BA256" s="1" t="s">
        <v>18</v>
      </c>
      <c r="BB256" s="1" t="s">
        <v>17</v>
      </c>
      <c r="BC256" s="1" t="s">
        <v>18</v>
      </c>
      <c r="BD256" s="1" t="s">
        <v>17</v>
      </c>
      <c r="BE256" s="1" t="s">
        <v>18</v>
      </c>
      <c r="BF256" s="1" t="s">
        <v>17</v>
      </c>
      <c r="BG256" s="1" t="s">
        <v>18</v>
      </c>
      <c r="BH256" s="1" t="s">
        <v>17</v>
      </c>
      <c r="BI256" s="1" t="s">
        <v>18</v>
      </c>
      <c r="BJ256" s="1" t="s">
        <v>17</v>
      </c>
      <c r="BK256" s="1" t="s">
        <v>18</v>
      </c>
      <c r="BL256" s="1" t="s">
        <v>17</v>
      </c>
      <c r="BM256" s="1" t="s">
        <v>18</v>
      </c>
      <c r="BN256" s="1" t="s">
        <v>17</v>
      </c>
      <c r="BO256" s="1" t="s">
        <v>18</v>
      </c>
    </row>
    <row r="257" spans="47:67" x14ac:dyDescent="0.3">
      <c r="AU257" s="1" t="s">
        <v>19</v>
      </c>
      <c r="AV257" s="1" t="s">
        <v>1</v>
      </c>
      <c r="AW257" s="1" t="s">
        <v>1</v>
      </c>
      <c r="AX257" s="1" t="s">
        <v>2</v>
      </c>
      <c r="AY257" s="1" t="s">
        <v>2</v>
      </c>
      <c r="AZ257" s="1" t="s">
        <v>3</v>
      </c>
      <c r="BA257" s="1" t="s">
        <v>3</v>
      </c>
      <c r="BB257" s="1" t="s">
        <v>4</v>
      </c>
      <c r="BC257" s="1" t="s">
        <v>4</v>
      </c>
      <c r="BD257" s="1" t="s">
        <v>5</v>
      </c>
      <c r="BE257" s="1" t="s">
        <v>5</v>
      </c>
      <c r="BF257" s="1" t="s">
        <v>6</v>
      </c>
      <c r="BG257" s="1" t="s">
        <v>6</v>
      </c>
      <c r="BH257" s="1" t="s">
        <v>7</v>
      </c>
      <c r="BI257" s="1" t="s">
        <v>7</v>
      </c>
      <c r="BJ257" s="1" t="s">
        <v>8</v>
      </c>
      <c r="BK257" s="1" t="s">
        <v>8</v>
      </c>
      <c r="BL257" s="1" t="s">
        <v>9</v>
      </c>
      <c r="BM257" s="1" t="s">
        <v>9</v>
      </c>
      <c r="BN257" s="1" t="s">
        <v>10</v>
      </c>
      <c r="BO257" s="1" t="s">
        <v>10</v>
      </c>
    </row>
    <row r="258" spans="47:67" x14ac:dyDescent="0.3">
      <c r="AU258" s="1" t="s">
        <v>20</v>
      </c>
    </row>
    <row r="259" spans="47:67" x14ac:dyDescent="0.3">
      <c r="AU259" s="1" t="s">
        <v>21</v>
      </c>
      <c r="AV259" s="2">
        <f>AV191+Y191</f>
        <v>203.62</v>
      </c>
      <c r="AW259" s="2">
        <f t="shared" ref="AW259:BO266" si="11">AW191+Z191</f>
        <v>205.28</v>
      </c>
      <c r="AX259" s="2">
        <f>AX191+AA191</f>
        <v>98.42</v>
      </c>
      <c r="AY259" s="2">
        <f t="shared" si="11"/>
        <v>101.16</v>
      </c>
      <c r="AZ259" s="2">
        <f t="shared" si="11"/>
        <v>152.04</v>
      </c>
      <c r="BA259" s="2">
        <f t="shared" si="11"/>
        <v>156.19999999999999</v>
      </c>
      <c r="BB259" s="2">
        <f t="shared" si="11"/>
        <v>170.58</v>
      </c>
      <c r="BC259" s="2">
        <f t="shared" si="11"/>
        <v>364.42</v>
      </c>
      <c r="BD259" s="2">
        <f t="shared" si="11"/>
        <v>368.9</v>
      </c>
      <c r="BE259" s="2">
        <f t="shared" si="11"/>
        <v>356.86</v>
      </c>
      <c r="BF259" s="2">
        <f t="shared" si="11"/>
        <v>376.32</v>
      </c>
      <c r="BG259" s="2">
        <f t="shared" si="11"/>
        <v>355.6</v>
      </c>
      <c r="BH259" s="2">
        <f t="shared" si="11"/>
        <v>369.18</v>
      </c>
      <c r="BI259" s="2">
        <f t="shared" si="11"/>
        <v>376.18</v>
      </c>
      <c r="BJ259" s="2">
        <f t="shared" si="11"/>
        <v>377.02</v>
      </c>
      <c r="BK259" s="2">
        <f t="shared" si="11"/>
        <v>366.66</v>
      </c>
      <c r="BL259" s="2">
        <f t="shared" si="11"/>
        <v>318.77999999999997</v>
      </c>
      <c r="BM259" s="2">
        <f t="shared" si="11"/>
        <v>334.18</v>
      </c>
      <c r="BN259" s="2">
        <f t="shared" si="11"/>
        <v>383.18</v>
      </c>
      <c r="BO259" s="2">
        <f t="shared" si="11"/>
        <v>390.04</v>
      </c>
    </row>
    <row r="260" spans="47:67" x14ac:dyDescent="0.3">
      <c r="AU260" s="1" t="s">
        <v>22</v>
      </c>
      <c r="AV260" s="2">
        <f t="shared" ref="AV260:AV266" si="12">AV192+Y192</f>
        <v>28.34</v>
      </c>
      <c r="AW260" s="2">
        <f t="shared" si="11"/>
        <v>29.56</v>
      </c>
      <c r="AX260" s="2">
        <f t="shared" si="11"/>
        <v>15.42</v>
      </c>
      <c r="AY260" s="2">
        <f t="shared" si="11"/>
        <v>18.7</v>
      </c>
      <c r="AZ260" s="2">
        <f t="shared" si="11"/>
        <v>20.34</v>
      </c>
      <c r="BA260" s="2">
        <f t="shared" si="11"/>
        <v>23.28</v>
      </c>
      <c r="BB260" s="2">
        <f t="shared" si="11"/>
        <v>21.86</v>
      </c>
      <c r="BC260" s="2">
        <f t="shared" si="11"/>
        <v>29.42</v>
      </c>
      <c r="BD260" s="2">
        <f t="shared" si="11"/>
        <v>22.32</v>
      </c>
      <c r="BE260" s="2">
        <f t="shared" si="11"/>
        <v>25.7</v>
      </c>
      <c r="BF260" s="2">
        <f t="shared" si="11"/>
        <v>21.8</v>
      </c>
      <c r="BG260" s="2">
        <f t="shared" si="11"/>
        <v>28.06</v>
      </c>
      <c r="BH260" s="2">
        <f t="shared" si="11"/>
        <v>25.72</v>
      </c>
      <c r="BI260" s="2">
        <f t="shared" si="11"/>
        <v>27.84</v>
      </c>
      <c r="BJ260" s="2">
        <f t="shared" si="11"/>
        <v>26.38</v>
      </c>
      <c r="BK260" s="2">
        <f t="shared" si="11"/>
        <v>25.94</v>
      </c>
      <c r="BL260" s="2">
        <f t="shared" si="11"/>
        <v>25.62</v>
      </c>
      <c r="BM260" s="2">
        <f t="shared" si="11"/>
        <v>28.58</v>
      </c>
      <c r="BN260" s="2">
        <f t="shared" si="11"/>
        <v>36.1</v>
      </c>
      <c r="BO260" s="2">
        <f t="shared" si="11"/>
        <v>31.54</v>
      </c>
    </row>
    <row r="261" spans="47:67" x14ac:dyDescent="0.3">
      <c r="AU261" s="1" t="s">
        <v>23</v>
      </c>
      <c r="AV261" s="2">
        <f t="shared" si="12"/>
        <v>231.6</v>
      </c>
      <c r="AW261" s="2">
        <f t="shared" si="11"/>
        <v>87.02</v>
      </c>
      <c r="AX261" s="2">
        <f t="shared" si="11"/>
        <v>91.96</v>
      </c>
      <c r="AY261" s="2">
        <f t="shared" si="11"/>
        <v>42.64</v>
      </c>
      <c r="AZ261" s="2">
        <f t="shared" si="11"/>
        <v>299.36</v>
      </c>
      <c r="BA261" s="2">
        <f t="shared" si="11"/>
        <v>190.42</v>
      </c>
      <c r="BB261" s="2">
        <f t="shared" si="11"/>
        <v>239.56</v>
      </c>
      <c r="BC261" s="2">
        <f t="shared" si="11"/>
        <v>127.22</v>
      </c>
      <c r="BD261" s="2">
        <f t="shared" si="11"/>
        <v>266.56</v>
      </c>
      <c r="BE261" s="2">
        <f t="shared" si="11"/>
        <v>119.08</v>
      </c>
      <c r="BF261" s="2">
        <f t="shared" si="11"/>
        <v>278.58</v>
      </c>
      <c r="BG261" s="2">
        <f t="shared" si="11"/>
        <v>125.16</v>
      </c>
      <c r="BH261" s="2">
        <f t="shared" si="11"/>
        <v>320.7</v>
      </c>
      <c r="BI261" s="2">
        <f t="shared" si="11"/>
        <v>132.66</v>
      </c>
      <c r="BJ261" s="2">
        <f t="shared" si="11"/>
        <v>314.8</v>
      </c>
      <c r="BK261" s="2">
        <f t="shared" si="11"/>
        <v>118.44</v>
      </c>
      <c r="BL261" s="2">
        <f t="shared" si="11"/>
        <v>122.96</v>
      </c>
      <c r="BM261" s="2">
        <f t="shared" si="11"/>
        <v>124.74</v>
      </c>
      <c r="BN261" s="2">
        <f t="shared" si="11"/>
        <v>113.22</v>
      </c>
      <c r="BO261" s="2">
        <f t="shared" si="11"/>
        <v>111.02</v>
      </c>
    </row>
    <row r="262" spans="47:67" x14ac:dyDescent="0.3">
      <c r="AU262" s="1" t="s">
        <v>24</v>
      </c>
      <c r="AV262" s="2">
        <f t="shared" si="12"/>
        <v>96.54</v>
      </c>
      <c r="AW262" s="2">
        <f t="shared" si="11"/>
        <v>41.2</v>
      </c>
      <c r="AX262" s="2">
        <f t="shared" si="11"/>
        <v>41.16</v>
      </c>
      <c r="AY262" s="2">
        <f t="shared" si="11"/>
        <v>22.96</v>
      </c>
      <c r="AZ262" s="2">
        <f t="shared" si="11"/>
        <v>80.58</v>
      </c>
      <c r="BA262" s="2">
        <f t="shared" si="11"/>
        <v>57.54</v>
      </c>
      <c r="BB262" s="2">
        <f t="shared" si="11"/>
        <v>71.3</v>
      </c>
      <c r="BC262" s="2">
        <f t="shared" si="11"/>
        <v>55.1</v>
      </c>
      <c r="BD262" s="2">
        <f t="shared" si="11"/>
        <v>70.459999999999994</v>
      </c>
      <c r="BE262" s="2">
        <f t="shared" si="11"/>
        <v>48.86</v>
      </c>
      <c r="BF262" s="2">
        <f t="shared" si="11"/>
        <v>70.900000000000006</v>
      </c>
      <c r="BG262" s="2">
        <f t="shared" si="11"/>
        <v>51.12</v>
      </c>
      <c r="BH262" s="2">
        <f t="shared" si="11"/>
        <v>76.52</v>
      </c>
      <c r="BI262" s="2">
        <f t="shared" si="11"/>
        <v>52.84</v>
      </c>
      <c r="BJ262" s="2">
        <f t="shared" si="11"/>
        <v>54.64</v>
      </c>
      <c r="BK262" s="2">
        <f t="shared" si="11"/>
        <v>47.44</v>
      </c>
      <c r="BL262" s="2">
        <f t="shared" si="11"/>
        <v>43.46</v>
      </c>
      <c r="BM262" s="2">
        <f t="shared" si="11"/>
        <v>52.24</v>
      </c>
      <c r="BN262" s="2">
        <f t="shared" si="11"/>
        <v>47.68</v>
      </c>
      <c r="BO262" s="2">
        <f t="shared" si="11"/>
        <v>47.96</v>
      </c>
    </row>
    <row r="263" spans="47:67" x14ac:dyDescent="0.3">
      <c r="AU263" s="1" t="s">
        <v>25</v>
      </c>
      <c r="AV263" s="2">
        <f t="shared" si="12"/>
        <v>293.24</v>
      </c>
      <c r="AW263" s="2">
        <f t="shared" si="11"/>
        <v>292.52</v>
      </c>
      <c r="AX263" s="2">
        <f t="shared" si="11"/>
        <v>148.97999999999999</v>
      </c>
      <c r="AY263" s="2">
        <f t="shared" si="11"/>
        <v>126.3</v>
      </c>
      <c r="AZ263" s="2">
        <f t="shared" si="11"/>
        <v>246.14</v>
      </c>
      <c r="BA263" s="2">
        <f t="shared" si="11"/>
        <v>233.44</v>
      </c>
      <c r="BB263" s="2">
        <f t="shared" si="11"/>
        <v>189.34</v>
      </c>
      <c r="BC263" s="2">
        <f t="shared" si="11"/>
        <v>244.72</v>
      </c>
      <c r="BD263" s="2">
        <f t="shared" si="11"/>
        <v>205.38</v>
      </c>
      <c r="BE263" s="2">
        <f t="shared" si="11"/>
        <v>230.3</v>
      </c>
      <c r="BF263" s="2">
        <f t="shared" si="11"/>
        <v>199.34</v>
      </c>
      <c r="BG263" s="2">
        <f t="shared" si="11"/>
        <v>201.5</v>
      </c>
      <c r="BH263" s="2">
        <f t="shared" si="11"/>
        <v>201.14</v>
      </c>
      <c r="BI263" s="2">
        <f t="shared" si="11"/>
        <v>201.64</v>
      </c>
      <c r="BJ263" s="2">
        <f t="shared" si="11"/>
        <v>203.52</v>
      </c>
      <c r="BK263" s="2">
        <f t="shared" si="11"/>
        <v>189.48</v>
      </c>
      <c r="BL263" s="2">
        <f t="shared" si="11"/>
        <v>201.3</v>
      </c>
      <c r="BM263" s="2">
        <f t="shared" si="11"/>
        <v>187.94</v>
      </c>
      <c r="BN263" s="2">
        <f t="shared" si="11"/>
        <v>214.94</v>
      </c>
      <c r="BO263" s="2">
        <f t="shared" si="11"/>
        <v>229.96</v>
      </c>
    </row>
    <row r="264" spans="47:67" x14ac:dyDescent="0.3">
      <c r="AU264" s="1" t="s">
        <v>26</v>
      </c>
      <c r="AV264" s="2">
        <f t="shared" si="12"/>
        <v>56.92</v>
      </c>
      <c r="AW264" s="2">
        <f t="shared" si="11"/>
        <v>39.36</v>
      </c>
      <c r="AX264" s="2">
        <f t="shared" si="11"/>
        <v>24.48</v>
      </c>
      <c r="AY264" s="2">
        <f t="shared" si="11"/>
        <v>15.86</v>
      </c>
      <c r="AZ264" s="2">
        <f t="shared" si="11"/>
        <v>42.2</v>
      </c>
      <c r="BA264" s="2">
        <f t="shared" si="11"/>
        <v>38.22</v>
      </c>
      <c r="BB264" s="2">
        <f t="shared" si="11"/>
        <v>27.28</v>
      </c>
      <c r="BC264" s="2">
        <f t="shared" si="11"/>
        <v>34.18</v>
      </c>
      <c r="BD264" s="2">
        <f t="shared" si="11"/>
        <v>27.42</v>
      </c>
      <c r="BE264" s="2">
        <f t="shared" si="11"/>
        <v>37.72</v>
      </c>
      <c r="BF264" s="2">
        <f t="shared" si="11"/>
        <v>31.28</v>
      </c>
      <c r="BG264" s="2">
        <f t="shared" si="11"/>
        <v>32.46</v>
      </c>
      <c r="BH264" s="2">
        <f t="shared" si="11"/>
        <v>31.7</v>
      </c>
      <c r="BI264" s="2">
        <f t="shared" si="11"/>
        <v>29.58</v>
      </c>
      <c r="BJ264" s="2">
        <f t="shared" si="11"/>
        <v>32.44</v>
      </c>
      <c r="BK264" s="2">
        <f t="shared" si="11"/>
        <v>33.24</v>
      </c>
      <c r="BL264" s="2">
        <f t="shared" si="11"/>
        <v>35.18</v>
      </c>
      <c r="BM264" s="2">
        <f t="shared" si="11"/>
        <v>28.34</v>
      </c>
      <c r="BN264" s="2">
        <f t="shared" si="11"/>
        <v>36.840000000000003</v>
      </c>
      <c r="BO264" s="2">
        <f t="shared" si="11"/>
        <v>23.84</v>
      </c>
    </row>
    <row r="265" spans="47:67" x14ac:dyDescent="0.3">
      <c r="AU265" s="1" t="s">
        <v>27</v>
      </c>
      <c r="AV265" s="2">
        <f t="shared" si="12"/>
        <v>174.52</v>
      </c>
      <c r="AW265" s="2">
        <f t="shared" si="11"/>
        <v>193.76</v>
      </c>
      <c r="AX265" s="2">
        <f t="shared" si="11"/>
        <v>68.86</v>
      </c>
      <c r="AY265" s="2">
        <f t="shared" si="11"/>
        <v>71.84</v>
      </c>
      <c r="AZ265" s="2">
        <f t="shared" si="11"/>
        <v>137.72</v>
      </c>
      <c r="BA265" s="2">
        <f t="shared" si="11"/>
        <v>154.66</v>
      </c>
      <c r="BB265" s="2">
        <f t="shared" si="11"/>
        <v>101.78</v>
      </c>
      <c r="BC265" s="2">
        <f t="shared" si="11"/>
        <v>206.34</v>
      </c>
      <c r="BD265" s="2">
        <f t="shared" si="11"/>
        <v>96.94</v>
      </c>
      <c r="BE265" s="2">
        <f t="shared" si="11"/>
        <v>143.32</v>
      </c>
      <c r="BF265" s="2">
        <f t="shared" si="11"/>
        <v>103.02</v>
      </c>
      <c r="BG265" s="2">
        <f t="shared" si="11"/>
        <v>205.04</v>
      </c>
      <c r="BH265" s="2">
        <f t="shared" si="11"/>
        <v>107.02</v>
      </c>
      <c r="BI265" s="2">
        <f t="shared" si="11"/>
        <v>183.26</v>
      </c>
      <c r="BJ265" s="2">
        <f t="shared" si="11"/>
        <v>121.34</v>
      </c>
      <c r="BK265" s="2">
        <f t="shared" si="11"/>
        <v>121.58</v>
      </c>
      <c r="BL265" s="2">
        <f t="shared" si="11"/>
        <v>121.16</v>
      </c>
      <c r="BM265" s="2">
        <f t="shared" si="11"/>
        <v>108</v>
      </c>
      <c r="BN265" s="2">
        <f t="shared" si="11"/>
        <v>120.32</v>
      </c>
      <c r="BO265" s="2">
        <f t="shared" si="11"/>
        <v>107.18</v>
      </c>
    </row>
    <row r="266" spans="47:67" x14ac:dyDescent="0.3">
      <c r="AU266" s="1" t="s">
        <v>28</v>
      </c>
      <c r="AV266" s="2">
        <f t="shared" si="12"/>
        <v>92.28</v>
      </c>
      <c r="AW266" s="2">
        <f t="shared" si="11"/>
        <v>98.9</v>
      </c>
      <c r="AX266" s="2">
        <f t="shared" si="11"/>
        <v>39.72</v>
      </c>
      <c r="AY266" s="2">
        <f t="shared" si="11"/>
        <v>42.64</v>
      </c>
      <c r="AZ266" s="2">
        <f t="shared" si="11"/>
        <v>64.06</v>
      </c>
      <c r="BA266" s="2">
        <f t="shared" si="11"/>
        <v>71.62</v>
      </c>
      <c r="BB266" s="2">
        <f t="shared" si="11"/>
        <v>76.319999999999993</v>
      </c>
      <c r="BC266" s="2">
        <f t="shared" si="11"/>
        <v>78.099999999999994</v>
      </c>
      <c r="BD266" s="2">
        <f t="shared" si="11"/>
        <v>79.180000000000007</v>
      </c>
      <c r="BE266" s="2">
        <f t="shared" si="11"/>
        <v>74.98</v>
      </c>
      <c r="BF266" s="2">
        <f t="shared" si="11"/>
        <v>80.680000000000007</v>
      </c>
      <c r="BG266" s="2">
        <f t="shared" si="11"/>
        <v>79.14</v>
      </c>
      <c r="BH266" s="2">
        <f t="shared" si="11"/>
        <v>81.72</v>
      </c>
      <c r="BI266" s="2">
        <f t="shared" si="11"/>
        <v>84.18</v>
      </c>
      <c r="BJ266" s="2">
        <f t="shared" si="11"/>
        <v>80.84</v>
      </c>
      <c r="BK266" s="2">
        <f t="shared" si="11"/>
        <v>81.180000000000007</v>
      </c>
      <c r="BL266" s="2">
        <f t="shared" si="11"/>
        <v>79.459999999999994</v>
      </c>
      <c r="BM266" s="2">
        <f t="shared" si="11"/>
        <v>77.739999999999995</v>
      </c>
      <c r="BN266" s="2">
        <f t="shared" si="11"/>
        <v>83.84</v>
      </c>
      <c r="BO266" s="2">
        <f t="shared" si="11"/>
        <v>97.18</v>
      </c>
    </row>
  </sheetData>
  <mergeCells count="18">
    <mergeCell ref="BF202:BO202"/>
    <mergeCell ref="AV118:BE118"/>
    <mergeCell ref="AV202:BE202"/>
    <mergeCell ref="AI174:AR174"/>
    <mergeCell ref="BF174:BO174"/>
    <mergeCell ref="AI146:AR146"/>
    <mergeCell ref="AV146:BE146"/>
    <mergeCell ref="AI118:AR118"/>
    <mergeCell ref="BF146:BO146"/>
    <mergeCell ref="BF118:BO118"/>
    <mergeCell ref="Y174:AH174"/>
    <mergeCell ref="AV90:BE90"/>
    <mergeCell ref="AV174:BE174"/>
    <mergeCell ref="Y90:AH90"/>
    <mergeCell ref="AI90:AR90"/>
    <mergeCell ref="Y146:AH146"/>
    <mergeCell ref="BF90:BO90"/>
    <mergeCell ref="Y118:AH118"/>
  </mergeCells>
  <conditionalFormatting sqref="C9:V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L266"/>
  <sheetViews>
    <sheetView topLeftCell="A3" workbookViewId="0">
      <selection activeCell="AS260" sqref="AS260"/>
    </sheetView>
  </sheetViews>
  <sheetFormatPr defaultRowHeight="14.4" x14ac:dyDescent="0.3"/>
  <sheetData>
    <row r="1" spans="2:90" x14ac:dyDescent="0.3">
      <c r="B1" t="s">
        <v>0</v>
      </c>
    </row>
    <row r="2" spans="2:90" x14ac:dyDescent="0.3"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</row>
    <row r="3" spans="2:90" x14ac:dyDescent="0.3">
      <c r="B3" s="1" t="s">
        <v>11</v>
      </c>
      <c r="C3">
        <v>1.3</v>
      </c>
      <c r="D3">
        <v>1.3</v>
      </c>
      <c r="E3">
        <v>0.5</v>
      </c>
      <c r="F3">
        <v>1.6</v>
      </c>
      <c r="G3">
        <v>2</v>
      </c>
      <c r="H3">
        <v>3.6</v>
      </c>
      <c r="I3">
        <v>2.9</v>
      </c>
      <c r="J3">
        <v>3.8</v>
      </c>
      <c r="K3">
        <v>3.4</v>
      </c>
      <c r="L3">
        <v>4.5</v>
      </c>
    </row>
    <row r="5" spans="2:90" x14ac:dyDescent="0.3">
      <c r="B5" t="s">
        <v>12</v>
      </c>
      <c r="X5" t="s">
        <v>13</v>
      </c>
      <c r="AU5" t="s">
        <v>14</v>
      </c>
      <c r="BR5" t="s">
        <v>15</v>
      </c>
    </row>
    <row r="6" spans="2:90" x14ac:dyDescent="0.3">
      <c r="B6" s="1" t="s">
        <v>16</v>
      </c>
      <c r="C6" s="1" t="s">
        <v>17</v>
      </c>
      <c r="D6" s="1" t="s">
        <v>18</v>
      </c>
      <c r="E6" s="1" t="s">
        <v>17</v>
      </c>
      <c r="F6" s="1" t="s">
        <v>18</v>
      </c>
      <c r="G6" s="1" t="s">
        <v>17</v>
      </c>
      <c r="H6" s="1" t="s">
        <v>18</v>
      </c>
      <c r="I6" s="1" t="s">
        <v>17</v>
      </c>
      <c r="J6" s="1" t="s">
        <v>18</v>
      </c>
      <c r="K6" s="1" t="s">
        <v>17</v>
      </c>
      <c r="L6" s="1" t="s">
        <v>18</v>
      </c>
      <c r="M6" s="1" t="s">
        <v>17</v>
      </c>
      <c r="N6" s="1" t="s">
        <v>18</v>
      </c>
      <c r="O6" s="1" t="s">
        <v>17</v>
      </c>
      <c r="P6" s="1" t="s">
        <v>18</v>
      </c>
      <c r="Q6" s="1" t="s">
        <v>17</v>
      </c>
      <c r="R6" s="1" t="s">
        <v>18</v>
      </c>
      <c r="S6" s="1" t="s">
        <v>17</v>
      </c>
      <c r="T6" s="1" t="s">
        <v>18</v>
      </c>
      <c r="U6" s="1" t="s">
        <v>17</v>
      </c>
      <c r="V6" s="1" t="s">
        <v>18</v>
      </c>
      <c r="X6" s="1" t="s">
        <v>16</v>
      </c>
      <c r="Y6" s="1" t="s">
        <v>17</v>
      </c>
      <c r="Z6" s="1" t="s">
        <v>18</v>
      </c>
      <c r="AA6" s="1" t="s">
        <v>17</v>
      </c>
      <c r="AB6" s="1" t="s">
        <v>18</v>
      </c>
      <c r="AC6" s="1" t="s">
        <v>17</v>
      </c>
      <c r="AD6" s="1" t="s">
        <v>18</v>
      </c>
      <c r="AE6" s="1" t="s">
        <v>17</v>
      </c>
      <c r="AF6" s="1" t="s">
        <v>18</v>
      </c>
      <c r="AG6" s="1" t="s">
        <v>17</v>
      </c>
      <c r="AH6" s="1" t="s">
        <v>18</v>
      </c>
      <c r="AI6" s="1" t="s">
        <v>17</v>
      </c>
      <c r="AJ6" s="1" t="s">
        <v>18</v>
      </c>
      <c r="AK6" s="1" t="s">
        <v>17</v>
      </c>
      <c r="AL6" s="1" t="s">
        <v>18</v>
      </c>
      <c r="AM6" s="1" t="s">
        <v>17</v>
      </c>
      <c r="AN6" s="1" t="s">
        <v>18</v>
      </c>
      <c r="AO6" s="1" t="s">
        <v>17</v>
      </c>
      <c r="AP6" s="1" t="s">
        <v>18</v>
      </c>
      <c r="AQ6" s="1" t="s">
        <v>17</v>
      </c>
      <c r="AR6" s="1" t="s">
        <v>18</v>
      </c>
      <c r="AU6" s="1" t="s">
        <v>16</v>
      </c>
      <c r="AV6" s="1" t="s">
        <v>17</v>
      </c>
      <c r="AW6" s="1" t="s">
        <v>18</v>
      </c>
      <c r="AX6" s="1" t="s">
        <v>17</v>
      </c>
      <c r="AY6" s="1" t="s">
        <v>18</v>
      </c>
      <c r="AZ6" s="1" t="s">
        <v>17</v>
      </c>
      <c r="BA6" s="1" t="s">
        <v>18</v>
      </c>
      <c r="BB6" s="1" t="s">
        <v>17</v>
      </c>
      <c r="BC6" s="1" t="s">
        <v>18</v>
      </c>
      <c r="BD6" s="1" t="s">
        <v>17</v>
      </c>
      <c r="BE6" s="1" t="s">
        <v>18</v>
      </c>
      <c r="BF6" s="1" t="s">
        <v>17</v>
      </c>
      <c r="BG6" s="1" t="s">
        <v>18</v>
      </c>
      <c r="BH6" s="1" t="s">
        <v>17</v>
      </c>
      <c r="BI6" s="1" t="s">
        <v>18</v>
      </c>
      <c r="BJ6" s="1" t="s">
        <v>17</v>
      </c>
      <c r="BK6" s="1" t="s">
        <v>18</v>
      </c>
      <c r="BL6" s="1" t="s">
        <v>17</v>
      </c>
      <c r="BM6" s="1" t="s">
        <v>18</v>
      </c>
      <c r="BN6" s="1" t="s">
        <v>17</v>
      </c>
      <c r="BO6" s="1" t="s">
        <v>18</v>
      </c>
      <c r="BR6" s="1" t="s">
        <v>16</v>
      </c>
      <c r="BS6" s="1" t="s">
        <v>17</v>
      </c>
      <c r="BT6" s="1" t="s">
        <v>18</v>
      </c>
      <c r="BU6" s="1" t="s">
        <v>17</v>
      </c>
      <c r="BV6" s="1" t="s">
        <v>18</v>
      </c>
      <c r="BW6" s="1" t="s">
        <v>17</v>
      </c>
      <c r="BX6" s="1" t="s">
        <v>18</v>
      </c>
      <c r="BY6" s="1" t="s">
        <v>17</v>
      </c>
      <c r="BZ6" s="1" t="s">
        <v>18</v>
      </c>
      <c r="CA6" s="1" t="s">
        <v>17</v>
      </c>
      <c r="CB6" s="1" t="s">
        <v>18</v>
      </c>
      <c r="CC6" s="1" t="s">
        <v>17</v>
      </c>
      <c r="CD6" s="1" t="s">
        <v>18</v>
      </c>
      <c r="CE6" s="1" t="s">
        <v>17</v>
      </c>
      <c r="CF6" s="1" t="s">
        <v>18</v>
      </c>
      <c r="CG6" s="1" t="s">
        <v>17</v>
      </c>
      <c r="CH6" s="1" t="s">
        <v>18</v>
      </c>
      <c r="CI6" s="1" t="s">
        <v>17</v>
      </c>
      <c r="CJ6" s="1" t="s">
        <v>18</v>
      </c>
      <c r="CK6" s="1" t="s">
        <v>17</v>
      </c>
      <c r="CL6" s="1" t="s">
        <v>18</v>
      </c>
    </row>
    <row r="7" spans="2:90" x14ac:dyDescent="0.3">
      <c r="B7" s="1" t="s">
        <v>19</v>
      </c>
      <c r="C7" s="1" t="s">
        <v>1</v>
      </c>
      <c r="D7" s="1" t="s">
        <v>1</v>
      </c>
      <c r="E7" s="1" t="s">
        <v>2</v>
      </c>
      <c r="F7" s="1" t="s">
        <v>2</v>
      </c>
      <c r="G7" s="1" t="s">
        <v>3</v>
      </c>
      <c r="H7" s="1" t="s">
        <v>3</v>
      </c>
      <c r="I7" s="1" t="s">
        <v>4</v>
      </c>
      <c r="J7" s="1" t="s">
        <v>4</v>
      </c>
      <c r="K7" s="1" t="s">
        <v>5</v>
      </c>
      <c r="L7" s="1" t="s">
        <v>5</v>
      </c>
      <c r="M7" s="1" t="s">
        <v>6</v>
      </c>
      <c r="N7" s="1" t="s">
        <v>6</v>
      </c>
      <c r="O7" s="1" t="s">
        <v>7</v>
      </c>
      <c r="P7" s="1" t="s">
        <v>7</v>
      </c>
      <c r="Q7" s="1" t="s">
        <v>8</v>
      </c>
      <c r="R7" s="1" t="s">
        <v>8</v>
      </c>
      <c r="S7" s="1" t="s">
        <v>9</v>
      </c>
      <c r="T7" s="1" t="s">
        <v>9</v>
      </c>
      <c r="U7" s="1" t="s">
        <v>10</v>
      </c>
      <c r="V7" s="1" t="s">
        <v>10</v>
      </c>
      <c r="X7" s="1" t="s">
        <v>19</v>
      </c>
      <c r="Y7" s="1" t="s">
        <v>1</v>
      </c>
      <c r="Z7" s="1" t="s">
        <v>1</v>
      </c>
      <c r="AA7" s="1" t="s">
        <v>2</v>
      </c>
      <c r="AB7" s="1" t="s">
        <v>2</v>
      </c>
      <c r="AC7" s="1" t="s">
        <v>3</v>
      </c>
      <c r="AD7" s="1" t="s">
        <v>3</v>
      </c>
      <c r="AE7" s="1" t="s">
        <v>4</v>
      </c>
      <c r="AF7" s="1" t="s">
        <v>4</v>
      </c>
      <c r="AG7" s="1" t="s">
        <v>5</v>
      </c>
      <c r="AH7" s="1" t="s">
        <v>5</v>
      </c>
      <c r="AI7" s="1" t="s">
        <v>6</v>
      </c>
      <c r="AJ7" s="1" t="s">
        <v>6</v>
      </c>
      <c r="AK7" s="1" t="s">
        <v>7</v>
      </c>
      <c r="AL7" s="1" t="s">
        <v>7</v>
      </c>
      <c r="AM7" s="1" t="s">
        <v>8</v>
      </c>
      <c r="AN7" s="1" t="s">
        <v>8</v>
      </c>
      <c r="AO7" s="1" t="s">
        <v>9</v>
      </c>
      <c r="AP7" s="1" t="s">
        <v>9</v>
      </c>
      <c r="AQ7" s="1" t="s">
        <v>10</v>
      </c>
      <c r="AR7" s="1" t="s">
        <v>10</v>
      </c>
      <c r="AU7" s="1" t="s">
        <v>19</v>
      </c>
      <c r="AV7" s="1" t="s">
        <v>1</v>
      </c>
      <c r="AW7" s="1" t="s">
        <v>1</v>
      </c>
      <c r="AX7" s="1" t="s">
        <v>2</v>
      </c>
      <c r="AY7" s="1" t="s">
        <v>2</v>
      </c>
      <c r="AZ7" s="1" t="s">
        <v>3</v>
      </c>
      <c r="BA7" s="1" t="s">
        <v>3</v>
      </c>
      <c r="BB7" s="1" t="s">
        <v>4</v>
      </c>
      <c r="BC7" s="1" t="s">
        <v>4</v>
      </c>
      <c r="BD7" s="1" t="s">
        <v>5</v>
      </c>
      <c r="BE7" s="1" t="s">
        <v>5</v>
      </c>
      <c r="BF7" s="1" t="s">
        <v>6</v>
      </c>
      <c r="BG7" s="1" t="s">
        <v>6</v>
      </c>
      <c r="BH7" s="1" t="s">
        <v>7</v>
      </c>
      <c r="BI7" s="1" t="s">
        <v>7</v>
      </c>
      <c r="BJ7" s="1" t="s">
        <v>8</v>
      </c>
      <c r="BK7" s="1" t="s">
        <v>8</v>
      </c>
      <c r="BL7" s="1" t="s">
        <v>9</v>
      </c>
      <c r="BM7" s="1" t="s">
        <v>9</v>
      </c>
      <c r="BN7" s="1" t="s">
        <v>10</v>
      </c>
      <c r="BO7" s="1" t="s">
        <v>10</v>
      </c>
      <c r="BR7" s="1" t="s">
        <v>19</v>
      </c>
      <c r="BS7" s="1" t="s">
        <v>1</v>
      </c>
      <c r="BT7" s="1" t="s">
        <v>1</v>
      </c>
      <c r="BU7" s="1" t="s">
        <v>2</v>
      </c>
      <c r="BV7" s="1" t="s">
        <v>2</v>
      </c>
      <c r="BW7" s="1" t="s">
        <v>3</v>
      </c>
      <c r="BX7" s="1" t="s">
        <v>3</v>
      </c>
      <c r="BY7" s="1" t="s">
        <v>4</v>
      </c>
      <c r="BZ7" s="1" t="s">
        <v>4</v>
      </c>
      <c r="CA7" s="1" t="s">
        <v>5</v>
      </c>
      <c r="CB7" s="1" t="s">
        <v>5</v>
      </c>
      <c r="CC7" s="1" t="s">
        <v>6</v>
      </c>
      <c r="CD7" s="1" t="s">
        <v>6</v>
      </c>
      <c r="CE7" s="1" t="s">
        <v>7</v>
      </c>
      <c r="CF7" s="1" t="s">
        <v>7</v>
      </c>
      <c r="CG7" s="1" t="s">
        <v>8</v>
      </c>
      <c r="CH7" s="1" t="s">
        <v>8</v>
      </c>
      <c r="CI7" s="1" t="s">
        <v>9</v>
      </c>
      <c r="CJ7" s="1" t="s">
        <v>9</v>
      </c>
      <c r="CK7" s="1" t="s">
        <v>10</v>
      </c>
      <c r="CL7" s="1" t="s">
        <v>10</v>
      </c>
    </row>
    <row r="8" spans="2:90" x14ac:dyDescent="0.3">
      <c r="B8" s="1" t="s">
        <v>20</v>
      </c>
      <c r="X8" s="1" t="s">
        <v>20</v>
      </c>
      <c r="AU8" s="1" t="s">
        <v>20</v>
      </c>
      <c r="BR8" s="1" t="s">
        <v>20</v>
      </c>
    </row>
    <row r="9" spans="2:90" x14ac:dyDescent="0.3">
      <c r="B9" s="1" t="s">
        <v>21</v>
      </c>
      <c r="C9" s="2">
        <v>0.63</v>
      </c>
      <c r="D9" s="2">
        <v>0.63</v>
      </c>
      <c r="E9" s="2">
        <v>0.63</v>
      </c>
      <c r="F9" s="2">
        <v>0.63</v>
      </c>
      <c r="G9" s="2">
        <v>0.63</v>
      </c>
      <c r="H9" s="2">
        <v>0.63</v>
      </c>
      <c r="I9" s="2">
        <v>0.63</v>
      </c>
      <c r="J9" s="2">
        <v>0.63</v>
      </c>
      <c r="K9" s="2">
        <v>0.63</v>
      </c>
      <c r="L9" s="2">
        <v>0.63</v>
      </c>
      <c r="M9" s="2">
        <v>0.63</v>
      </c>
      <c r="N9" s="2">
        <v>0.63</v>
      </c>
      <c r="O9" s="2">
        <v>0.63</v>
      </c>
      <c r="P9" s="2">
        <v>0.63</v>
      </c>
      <c r="Q9" s="2">
        <v>0.63</v>
      </c>
      <c r="R9" s="2">
        <v>0.63</v>
      </c>
      <c r="S9" s="2">
        <v>0.63</v>
      </c>
      <c r="T9" s="2">
        <v>0.63</v>
      </c>
      <c r="U9" s="2">
        <v>0.63</v>
      </c>
      <c r="V9" s="2">
        <v>0.63</v>
      </c>
      <c r="X9" s="1" t="s">
        <v>21</v>
      </c>
      <c r="Y9" s="2">
        <v>2797.78</v>
      </c>
      <c r="Z9" s="2">
        <v>2785.33</v>
      </c>
      <c r="AA9" s="2">
        <v>2323.14</v>
      </c>
      <c r="AB9" s="2">
        <v>2173.81</v>
      </c>
      <c r="AC9" s="2">
        <v>807.34</v>
      </c>
      <c r="AD9" s="2">
        <v>977.32</v>
      </c>
      <c r="AE9" s="2">
        <v>3258.18</v>
      </c>
      <c r="AF9" s="2">
        <v>3241.55</v>
      </c>
      <c r="AG9" s="2">
        <v>4447.5200000000004</v>
      </c>
      <c r="AH9" s="2">
        <v>3915.38</v>
      </c>
      <c r="AI9" s="2">
        <v>7524.33</v>
      </c>
      <c r="AJ9" s="2">
        <v>6961.5</v>
      </c>
      <c r="AK9" s="2">
        <v>5859.82</v>
      </c>
      <c r="AL9" s="2">
        <v>5546.37</v>
      </c>
      <c r="AM9" s="2">
        <v>8056.37</v>
      </c>
      <c r="AN9" s="2">
        <v>7442.68</v>
      </c>
      <c r="AO9" s="2">
        <v>6330.8</v>
      </c>
      <c r="AP9" s="2">
        <v>4829.97</v>
      </c>
      <c r="AQ9" s="2">
        <v>8618.4</v>
      </c>
      <c r="AR9" s="2">
        <v>6837.07</v>
      </c>
      <c r="AU9" s="1" t="s">
        <v>21</v>
      </c>
      <c r="AV9" s="2">
        <v>26282.27</v>
      </c>
      <c r="AW9" s="2">
        <v>26097.61</v>
      </c>
      <c r="AX9" s="2">
        <v>21410.57</v>
      </c>
      <c r="AY9" s="2">
        <v>20022.91</v>
      </c>
      <c r="AZ9" s="2">
        <v>7673.51</v>
      </c>
      <c r="BA9" s="2">
        <v>9138</v>
      </c>
      <c r="BB9" s="2">
        <v>31117.53</v>
      </c>
      <c r="BC9" s="2">
        <v>30806.45</v>
      </c>
      <c r="BD9" s="2">
        <v>42283.08</v>
      </c>
      <c r="BE9" s="2">
        <v>37313.22</v>
      </c>
      <c r="BF9" s="2">
        <v>70794.55</v>
      </c>
      <c r="BG9" s="2">
        <v>66085.740000000005</v>
      </c>
      <c r="BH9" s="2">
        <v>55852.18</v>
      </c>
      <c r="BI9" s="2">
        <v>52201.04</v>
      </c>
      <c r="BJ9" s="2">
        <v>75789.210000000006</v>
      </c>
      <c r="BK9" s="2">
        <v>69968.639999999999</v>
      </c>
      <c r="BL9" s="2">
        <v>59297.7</v>
      </c>
      <c r="BM9" s="2">
        <v>45790.25</v>
      </c>
      <c r="BN9" s="2">
        <v>81241.649999999994</v>
      </c>
      <c r="BO9" s="2">
        <v>64387.58</v>
      </c>
      <c r="BR9" s="1" t="s">
        <v>21</v>
      </c>
      <c r="BS9" s="2">
        <v>29080.05</v>
      </c>
      <c r="BT9" s="2">
        <v>28882.95</v>
      </c>
      <c r="BU9" s="2">
        <v>23733.71</v>
      </c>
      <c r="BV9" s="2">
        <v>22196.720000000001</v>
      </c>
      <c r="BW9" s="2">
        <v>8480.85</v>
      </c>
      <c r="BX9" s="2">
        <v>10115.32</v>
      </c>
      <c r="BY9" s="2">
        <v>34375.71</v>
      </c>
      <c r="BZ9" s="2">
        <v>34048</v>
      </c>
      <c r="CA9" s="2">
        <v>46730.6</v>
      </c>
      <c r="CB9" s="2">
        <v>41228.6</v>
      </c>
      <c r="CC9" s="2">
        <v>78318.880000000005</v>
      </c>
      <c r="CD9" s="2">
        <v>73047.240000000005</v>
      </c>
      <c r="CE9" s="2">
        <v>61712</v>
      </c>
      <c r="CF9" s="2">
        <v>57747.41</v>
      </c>
      <c r="CG9" s="2">
        <v>83845.59</v>
      </c>
      <c r="CH9" s="2">
        <v>77411.320000000007</v>
      </c>
      <c r="CI9" s="2">
        <v>65628.5</v>
      </c>
      <c r="CJ9" s="2">
        <v>50620.22</v>
      </c>
      <c r="CK9" s="2">
        <v>89860.05</v>
      </c>
      <c r="CL9" s="2">
        <v>71224.649999999994</v>
      </c>
    </row>
    <row r="10" spans="2:90" x14ac:dyDescent="0.3">
      <c r="B10" s="1" t="s">
        <v>22</v>
      </c>
      <c r="C10" s="2">
        <v>1.63</v>
      </c>
      <c r="D10" s="2">
        <v>0.84</v>
      </c>
      <c r="E10" s="2">
        <v>1.33</v>
      </c>
      <c r="F10" s="2">
        <v>0.73</v>
      </c>
      <c r="G10" s="2">
        <v>1.39</v>
      </c>
      <c r="H10" s="2">
        <v>0.95</v>
      </c>
      <c r="I10" s="2">
        <v>1.65</v>
      </c>
      <c r="J10" s="2">
        <v>2.1</v>
      </c>
      <c r="K10" s="2">
        <v>1.78</v>
      </c>
      <c r="L10" s="2">
        <v>1.49</v>
      </c>
      <c r="M10" s="2">
        <v>2.1</v>
      </c>
      <c r="N10" s="2">
        <v>1.58</v>
      </c>
      <c r="O10" s="2">
        <v>2.1</v>
      </c>
      <c r="P10" s="2">
        <v>1.87</v>
      </c>
      <c r="Q10" s="2">
        <v>2.1</v>
      </c>
      <c r="R10" s="2">
        <v>1.38</v>
      </c>
      <c r="S10" s="2">
        <v>1.96</v>
      </c>
      <c r="T10" s="2">
        <v>1.17</v>
      </c>
      <c r="U10" s="2">
        <v>1.49</v>
      </c>
      <c r="V10" s="2">
        <v>0.75</v>
      </c>
      <c r="X10" s="1" t="s">
        <v>22</v>
      </c>
      <c r="Y10" s="2">
        <v>1755.24</v>
      </c>
      <c r="Z10" s="2">
        <v>1091.98</v>
      </c>
      <c r="AA10" s="2">
        <v>1872.69</v>
      </c>
      <c r="AB10" s="2">
        <v>1219.54</v>
      </c>
      <c r="AC10" s="2">
        <v>474.02</v>
      </c>
      <c r="AD10" s="2">
        <v>585.46</v>
      </c>
      <c r="AE10" s="2">
        <v>2459.0100000000002</v>
      </c>
      <c r="AF10" s="2">
        <v>1771.34</v>
      </c>
      <c r="AG10" s="2">
        <v>2805.05</v>
      </c>
      <c r="AH10" s="2">
        <v>1949.23</v>
      </c>
      <c r="AI10" s="2">
        <v>5271.43</v>
      </c>
      <c r="AJ10" s="2">
        <v>3522.14</v>
      </c>
      <c r="AK10" s="2">
        <v>3911.29</v>
      </c>
      <c r="AL10" s="2">
        <v>3068.86</v>
      </c>
      <c r="AM10" s="2">
        <v>4445.9799999999996</v>
      </c>
      <c r="AN10" s="2">
        <v>3854.75</v>
      </c>
      <c r="AO10" s="2">
        <v>3697.7</v>
      </c>
      <c r="AP10" s="2">
        <v>2828.01</v>
      </c>
      <c r="AQ10" s="2">
        <v>5643.55</v>
      </c>
      <c r="AR10" s="2">
        <v>3600.47</v>
      </c>
      <c r="AU10" s="1" t="s">
        <v>22</v>
      </c>
      <c r="AV10" s="2">
        <v>10110.15</v>
      </c>
      <c r="AW10" s="2">
        <v>6618.25</v>
      </c>
      <c r="AX10" s="2">
        <v>9608.3700000000008</v>
      </c>
      <c r="AY10" s="2">
        <v>6409.42</v>
      </c>
      <c r="AZ10" s="2">
        <v>2504.0300000000002</v>
      </c>
      <c r="BA10" s="2">
        <v>3075.41</v>
      </c>
      <c r="BB10" s="2">
        <v>13110.05</v>
      </c>
      <c r="BC10" s="2">
        <v>9483.7000000000007</v>
      </c>
      <c r="BD10" s="2">
        <v>16176.52</v>
      </c>
      <c r="BE10" s="2">
        <v>11542.37</v>
      </c>
      <c r="BF10" s="2">
        <v>27994.23</v>
      </c>
      <c r="BG10" s="2">
        <v>21222.1</v>
      </c>
      <c r="BH10" s="2">
        <v>19980.650000000001</v>
      </c>
      <c r="BI10" s="2">
        <v>18385.34</v>
      </c>
      <c r="BJ10" s="2">
        <v>25415.06</v>
      </c>
      <c r="BK10" s="2">
        <v>22906.9</v>
      </c>
      <c r="BL10" s="2">
        <v>21943.279999999999</v>
      </c>
      <c r="BM10" s="2">
        <v>17110.34</v>
      </c>
      <c r="BN10" s="2">
        <v>35204.93</v>
      </c>
      <c r="BO10" s="2">
        <v>22368.02</v>
      </c>
      <c r="BR10" s="1" t="s">
        <v>22</v>
      </c>
      <c r="BS10" s="2">
        <v>11865.39</v>
      </c>
      <c r="BT10" s="2">
        <v>7710.23</v>
      </c>
      <c r="BU10" s="2">
        <v>11481.05</v>
      </c>
      <c r="BV10" s="2">
        <v>7628.97</v>
      </c>
      <c r="BW10" s="2">
        <v>2978.05</v>
      </c>
      <c r="BX10" s="2">
        <v>3660.87</v>
      </c>
      <c r="BY10" s="2">
        <v>15569.06</v>
      </c>
      <c r="BZ10" s="2">
        <v>11255.04</v>
      </c>
      <c r="CA10" s="2">
        <v>18981.57</v>
      </c>
      <c r="CB10" s="2">
        <v>13491.6</v>
      </c>
      <c r="CC10" s="2">
        <v>33265.660000000003</v>
      </c>
      <c r="CD10" s="2">
        <v>24744.240000000002</v>
      </c>
      <c r="CE10" s="2">
        <v>23891.94</v>
      </c>
      <c r="CF10" s="2">
        <v>21454.2</v>
      </c>
      <c r="CG10" s="2">
        <v>29861.040000000001</v>
      </c>
      <c r="CH10" s="2">
        <v>26761.65</v>
      </c>
      <c r="CI10" s="2">
        <v>25640.98</v>
      </c>
      <c r="CJ10" s="2">
        <v>19938.36</v>
      </c>
      <c r="CK10" s="2">
        <v>40848.480000000003</v>
      </c>
      <c r="CL10" s="2">
        <v>25968.49</v>
      </c>
    </row>
    <row r="11" spans="2:90" x14ac:dyDescent="0.3">
      <c r="B11" s="1" t="s">
        <v>23</v>
      </c>
      <c r="C11" s="2">
        <v>6.3</v>
      </c>
      <c r="D11" s="2">
        <v>1.06</v>
      </c>
      <c r="E11" s="2">
        <v>6.3</v>
      </c>
      <c r="F11" s="2">
        <v>0.8</v>
      </c>
      <c r="G11" s="2">
        <v>6.3</v>
      </c>
      <c r="H11" s="2">
        <v>2.1</v>
      </c>
      <c r="I11" s="2">
        <v>6.3</v>
      </c>
      <c r="J11" s="2">
        <v>2.1</v>
      </c>
      <c r="K11" s="2">
        <v>2.1</v>
      </c>
      <c r="L11" s="2">
        <v>2.1</v>
      </c>
      <c r="M11" s="2">
        <v>2.1</v>
      </c>
      <c r="N11" s="2">
        <v>2.1</v>
      </c>
      <c r="O11" s="2">
        <v>2.1</v>
      </c>
      <c r="P11" s="2">
        <v>2.1</v>
      </c>
      <c r="Q11" s="2">
        <v>2.1</v>
      </c>
      <c r="R11" s="2">
        <v>2.1</v>
      </c>
      <c r="S11" s="2">
        <v>2.1</v>
      </c>
      <c r="T11" s="2">
        <v>2.1</v>
      </c>
      <c r="U11" s="2">
        <v>2.1</v>
      </c>
      <c r="V11" s="2">
        <v>1.87</v>
      </c>
      <c r="X11" s="1" t="s">
        <v>23</v>
      </c>
      <c r="Y11" s="2">
        <v>7120.79</v>
      </c>
      <c r="Z11" s="2">
        <v>2725.01</v>
      </c>
      <c r="AA11" s="2">
        <v>7140.9</v>
      </c>
      <c r="AB11" s="2">
        <v>2767.24</v>
      </c>
      <c r="AC11" s="2">
        <v>2224.42</v>
      </c>
      <c r="AD11" s="2">
        <v>3153.84</v>
      </c>
      <c r="AE11" s="2">
        <v>8778.6299999999992</v>
      </c>
      <c r="AF11" s="2">
        <v>7893.58</v>
      </c>
      <c r="AG11" s="2">
        <v>15988.86</v>
      </c>
      <c r="AH11" s="2">
        <v>7974.84</v>
      </c>
      <c r="AI11" s="2">
        <v>28762.26</v>
      </c>
      <c r="AJ11" s="2">
        <v>14450.91</v>
      </c>
      <c r="AK11" s="2">
        <v>22071.99</v>
      </c>
      <c r="AL11" s="2">
        <v>12247.59</v>
      </c>
      <c r="AM11" s="2">
        <v>27998.7</v>
      </c>
      <c r="AN11" s="2">
        <v>14615.55</v>
      </c>
      <c r="AO11" s="2">
        <v>15799.09</v>
      </c>
      <c r="AP11" s="2">
        <v>9638.6299999999992</v>
      </c>
      <c r="AQ11" s="2">
        <v>12519.56</v>
      </c>
      <c r="AR11" s="2">
        <v>10848.42</v>
      </c>
      <c r="AU11" s="1" t="s">
        <v>23</v>
      </c>
      <c r="AV11" s="2">
        <v>31964.53</v>
      </c>
      <c r="AW11" s="2">
        <v>16941.5</v>
      </c>
      <c r="AX11" s="2">
        <v>30430.23</v>
      </c>
      <c r="AY11" s="2">
        <v>14568.09</v>
      </c>
      <c r="AZ11" s="2">
        <v>9334.7000000000007</v>
      </c>
      <c r="BA11" s="2">
        <v>9931.9599999999991</v>
      </c>
      <c r="BB11" s="2">
        <v>41909.370000000003</v>
      </c>
      <c r="BC11" s="2">
        <v>31878.13</v>
      </c>
      <c r="BD11" s="2">
        <v>47371.14</v>
      </c>
      <c r="BE11" s="2">
        <v>38355.4</v>
      </c>
      <c r="BF11" s="2">
        <v>85285.74</v>
      </c>
      <c r="BG11" s="2">
        <v>69294.210000000006</v>
      </c>
      <c r="BH11" s="2">
        <v>63168.14</v>
      </c>
      <c r="BI11" s="2">
        <v>56777.24</v>
      </c>
      <c r="BJ11" s="2">
        <v>78202.009999999995</v>
      </c>
      <c r="BK11" s="2">
        <v>72054.58</v>
      </c>
      <c r="BL11" s="2">
        <v>68309.45</v>
      </c>
      <c r="BM11" s="2">
        <v>58581.45</v>
      </c>
      <c r="BN11" s="2">
        <v>76817.52</v>
      </c>
      <c r="BO11" s="2">
        <v>69810.05</v>
      </c>
      <c r="BR11" s="1" t="s">
        <v>23</v>
      </c>
      <c r="BS11" s="2">
        <v>39085.32</v>
      </c>
      <c r="BT11" s="2">
        <v>19666.509999999998</v>
      </c>
      <c r="BU11" s="2">
        <v>37571.129999999997</v>
      </c>
      <c r="BV11" s="2">
        <v>17335.32</v>
      </c>
      <c r="BW11" s="2">
        <v>11559.13</v>
      </c>
      <c r="BX11" s="2">
        <v>13085.81</v>
      </c>
      <c r="BY11" s="2">
        <v>50688</v>
      </c>
      <c r="BZ11" s="2">
        <v>39771.72</v>
      </c>
      <c r="CA11" s="2">
        <v>63360</v>
      </c>
      <c r="CB11" s="2">
        <v>46330.23</v>
      </c>
      <c r="CC11" s="2">
        <v>114048</v>
      </c>
      <c r="CD11" s="2">
        <v>83745.119999999995</v>
      </c>
      <c r="CE11" s="2">
        <v>85240.13</v>
      </c>
      <c r="CF11" s="2">
        <v>69024.83</v>
      </c>
      <c r="CG11" s="2">
        <v>106200.71</v>
      </c>
      <c r="CH11" s="2">
        <v>86670.13</v>
      </c>
      <c r="CI11" s="2">
        <v>84108.53</v>
      </c>
      <c r="CJ11" s="2">
        <v>68220.09</v>
      </c>
      <c r="CK11" s="2">
        <v>89337.08</v>
      </c>
      <c r="CL11" s="2">
        <v>80658.47</v>
      </c>
    </row>
    <row r="12" spans="2:90" x14ac:dyDescent="0.3">
      <c r="B12" s="1" t="s">
        <v>24</v>
      </c>
      <c r="C12" s="2">
        <v>2.1</v>
      </c>
      <c r="D12" s="2">
        <v>1.34</v>
      </c>
      <c r="E12" s="2">
        <v>2.1</v>
      </c>
      <c r="F12" s="2">
        <v>0.71</v>
      </c>
      <c r="G12" s="2">
        <v>2.1</v>
      </c>
      <c r="H12" s="2">
        <v>4.2</v>
      </c>
      <c r="I12" s="2">
        <v>2.1</v>
      </c>
      <c r="J12" s="2">
        <v>2.1</v>
      </c>
      <c r="K12" s="2">
        <v>2.1</v>
      </c>
      <c r="L12" s="2">
        <v>2.1</v>
      </c>
      <c r="M12" s="2">
        <v>2.1</v>
      </c>
      <c r="N12" s="2">
        <v>2.1</v>
      </c>
      <c r="O12" s="2">
        <v>4.2</v>
      </c>
      <c r="P12" s="2">
        <v>2.1</v>
      </c>
      <c r="Q12" s="2">
        <v>2.1</v>
      </c>
      <c r="R12" s="2">
        <v>2.0299999999999998</v>
      </c>
      <c r="S12" s="2">
        <v>1.94</v>
      </c>
      <c r="T12" s="2">
        <v>1.71</v>
      </c>
      <c r="U12" s="2">
        <v>1.68</v>
      </c>
      <c r="V12" s="2">
        <v>1.52</v>
      </c>
      <c r="X12" s="1" t="s">
        <v>24</v>
      </c>
      <c r="Y12" s="2">
        <v>2539.17</v>
      </c>
      <c r="Z12" s="2">
        <v>973.68</v>
      </c>
      <c r="AA12" s="2">
        <v>2527.23</v>
      </c>
      <c r="AB12" s="2">
        <v>1114.67</v>
      </c>
      <c r="AC12" s="2">
        <v>844.83</v>
      </c>
      <c r="AD12" s="2">
        <v>718.26</v>
      </c>
      <c r="AE12" s="2">
        <v>3130.3</v>
      </c>
      <c r="AF12" s="2">
        <v>2536.6999999999998</v>
      </c>
      <c r="AG12" s="2">
        <v>3710.32</v>
      </c>
      <c r="AH12" s="2">
        <v>2360.12</v>
      </c>
      <c r="AI12" s="2">
        <v>6674.57</v>
      </c>
      <c r="AJ12" s="2">
        <v>3918.45</v>
      </c>
      <c r="AK12" s="2">
        <v>3560.8</v>
      </c>
      <c r="AL12" s="2">
        <v>3306.63</v>
      </c>
      <c r="AM12" s="2">
        <v>7027.03</v>
      </c>
      <c r="AN12" s="2">
        <v>3794.29</v>
      </c>
      <c r="AO12" s="2">
        <v>3398.1</v>
      </c>
      <c r="AP12" s="2">
        <v>3042.74</v>
      </c>
      <c r="AQ12" s="2">
        <v>4087.13</v>
      </c>
      <c r="AR12" s="2">
        <v>3833.49</v>
      </c>
      <c r="AU12" s="1" t="s">
        <v>24</v>
      </c>
      <c r="AV12" s="2">
        <v>9089.67</v>
      </c>
      <c r="AW12" s="2">
        <v>6384.51</v>
      </c>
      <c r="AX12" s="2">
        <v>8503.42</v>
      </c>
      <c r="AY12" s="2">
        <v>6060.43</v>
      </c>
      <c r="AZ12" s="2">
        <v>2780.79</v>
      </c>
      <c r="BA12" s="2">
        <v>3921.74</v>
      </c>
      <c r="BB12" s="2">
        <v>11717.7</v>
      </c>
      <c r="BC12" s="2">
        <v>11231.56</v>
      </c>
      <c r="BD12" s="2">
        <v>14849.68</v>
      </c>
      <c r="BE12" s="2">
        <v>13540.48</v>
      </c>
      <c r="BF12" s="2">
        <v>26733.43</v>
      </c>
      <c r="BG12" s="2">
        <v>24009.919999999998</v>
      </c>
      <c r="BH12" s="2">
        <v>23351.200000000001</v>
      </c>
      <c r="BI12" s="2">
        <v>19548.89</v>
      </c>
      <c r="BJ12" s="2">
        <v>28236.97</v>
      </c>
      <c r="BK12" s="2">
        <v>24615.599999999999</v>
      </c>
      <c r="BL12" s="2">
        <v>21688.05</v>
      </c>
      <c r="BM12" s="2">
        <v>20433.63</v>
      </c>
      <c r="BN12" s="2">
        <v>26915.94</v>
      </c>
      <c r="BO12" s="2">
        <v>25585.03</v>
      </c>
      <c r="BR12" s="1" t="s">
        <v>24</v>
      </c>
      <c r="BS12" s="2">
        <v>11628.84</v>
      </c>
      <c r="BT12" s="2">
        <v>7358.19</v>
      </c>
      <c r="BU12" s="2">
        <v>11030.65</v>
      </c>
      <c r="BV12" s="2">
        <v>7175.1</v>
      </c>
      <c r="BW12" s="2">
        <v>3625.62</v>
      </c>
      <c r="BX12" s="2">
        <v>4640</v>
      </c>
      <c r="BY12" s="2">
        <v>14848</v>
      </c>
      <c r="BZ12" s="2">
        <v>13768.27</v>
      </c>
      <c r="CA12" s="2">
        <v>18560</v>
      </c>
      <c r="CB12" s="2">
        <v>15900.6</v>
      </c>
      <c r="CC12" s="2">
        <v>33408</v>
      </c>
      <c r="CD12" s="2">
        <v>27928.37</v>
      </c>
      <c r="CE12" s="2">
        <v>26912</v>
      </c>
      <c r="CF12" s="2">
        <v>22855.52</v>
      </c>
      <c r="CG12" s="2">
        <v>35264</v>
      </c>
      <c r="CH12" s="2">
        <v>28409.89</v>
      </c>
      <c r="CI12" s="2">
        <v>25086.16</v>
      </c>
      <c r="CJ12" s="2">
        <v>23476.37</v>
      </c>
      <c r="CK12" s="2">
        <v>31003.06</v>
      </c>
      <c r="CL12" s="2">
        <v>29418.52</v>
      </c>
    </row>
    <row r="13" spans="2:90" x14ac:dyDescent="0.3">
      <c r="B13" s="1" t="s">
        <v>25</v>
      </c>
      <c r="C13" s="2">
        <v>2.1</v>
      </c>
      <c r="D13" s="2">
        <v>3.78</v>
      </c>
      <c r="E13" s="2">
        <v>3.38</v>
      </c>
      <c r="F13" s="2">
        <v>1.58</v>
      </c>
      <c r="G13" s="2">
        <v>2.1</v>
      </c>
      <c r="H13" s="2">
        <v>2.1</v>
      </c>
      <c r="I13" s="2">
        <v>1.48</v>
      </c>
      <c r="J13" s="2">
        <v>2.1</v>
      </c>
      <c r="K13" s="2">
        <v>2.1</v>
      </c>
      <c r="L13" s="2">
        <v>2.1</v>
      </c>
      <c r="M13" s="2">
        <v>2.1</v>
      </c>
      <c r="N13" s="2">
        <v>2.1</v>
      </c>
      <c r="O13" s="2">
        <v>2.1</v>
      </c>
      <c r="P13" s="2">
        <v>2.1</v>
      </c>
      <c r="Q13" s="2">
        <v>2.1</v>
      </c>
      <c r="R13" s="2">
        <v>1.97</v>
      </c>
      <c r="S13" s="2">
        <v>1.87</v>
      </c>
      <c r="T13" s="2">
        <v>1.44</v>
      </c>
      <c r="U13" s="2">
        <v>1.61</v>
      </c>
      <c r="V13" s="2">
        <v>1.0900000000000001</v>
      </c>
      <c r="X13" s="1" t="s">
        <v>25</v>
      </c>
      <c r="Y13" s="2">
        <v>8223.2900000000009</v>
      </c>
      <c r="Z13" s="2">
        <v>7204.8</v>
      </c>
      <c r="AA13" s="2">
        <v>7946.08</v>
      </c>
      <c r="AB13" s="2">
        <v>9730.59</v>
      </c>
      <c r="AC13" s="2">
        <v>3130.63</v>
      </c>
      <c r="AD13" s="2">
        <v>3432.29</v>
      </c>
      <c r="AE13" s="2">
        <v>10217.56</v>
      </c>
      <c r="AF13" s="2">
        <v>11990.13</v>
      </c>
      <c r="AG13" s="2">
        <v>15690.22</v>
      </c>
      <c r="AH13" s="2">
        <v>15363.18</v>
      </c>
      <c r="AI13" s="2">
        <v>27106.02</v>
      </c>
      <c r="AJ13" s="2">
        <v>24505.919999999998</v>
      </c>
      <c r="AK13" s="2">
        <v>19146.509999999998</v>
      </c>
      <c r="AL13" s="2">
        <v>18396.740000000002</v>
      </c>
      <c r="AM13" s="2">
        <v>21205.94</v>
      </c>
      <c r="AN13" s="2">
        <v>19903.04</v>
      </c>
      <c r="AO13" s="2">
        <v>16889.48</v>
      </c>
      <c r="AP13" s="2">
        <v>16523.86</v>
      </c>
      <c r="AQ13" s="2">
        <v>21504.61</v>
      </c>
      <c r="AR13" s="2">
        <v>23915.06</v>
      </c>
      <c r="AU13" s="1" t="s">
        <v>25</v>
      </c>
      <c r="AV13" s="2">
        <v>30332.37</v>
      </c>
      <c r="AW13" s="2">
        <v>44754.14</v>
      </c>
      <c r="AX13" s="2">
        <v>41836.75</v>
      </c>
      <c r="AY13" s="2">
        <v>51190.73</v>
      </c>
      <c r="AZ13" s="2">
        <v>11081.7</v>
      </c>
      <c r="BA13" s="2">
        <v>12414.69</v>
      </c>
      <c r="BB13" s="2">
        <v>56442.04</v>
      </c>
      <c r="BC13" s="2">
        <v>48743.85</v>
      </c>
      <c r="BD13" s="2">
        <v>71509.78</v>
      </c>
      <c r="BE13" s="2">
        <v>69544.31</v>
      </c>
      <c r="BF13" s="2">
        <v>127716.85</v>
      </c>
      <c r="BG13" s="2">
        <v>131548.68</v>
      </c>
      <c r="BH13" s="2">
        <v>100181.46</v>
      </c>
      <c r="BI13" s="2">
        <v>106014.93</v>
      </c>
      <c r="BJ13" s="2">
        <v>126836.28</v>
      </c>
      <c r="BK13" s="2">
        <v>122740.2</v>
      </c>
      <c r="BL13" s="2">
        <v>105170.52</v>
      </c>
      <c r="BM13" s="2">
        <v>101818.5</v>
      </c>
      <c r="BN13" s="2">
        <v>136809.32</v>
      </c>
      <c r="BO13" s="2">
        <v>152321.81</v>
      </c>
      <c r="BR13" s="1" t="s">
        <v>25</v>
      </c>
      <c r="BS13" s="2">
        <v>38555.660000000003</v>
      </c>
      <c r="BT13" s="2">
        <v>51958.95</v>
      </c>
      <c r="BU13" s="2">
        <v>49782.83</v>
      </c>
      <c r="BV13" s="2">
        <v>60921.31</v>
      </c>
      <c r="BW13" s="2">
        <v>14212.33</v>
      </c>
      <c r="BX13" s="2">
        <v>15846.98</v>
      </c>
      <c r="BY13" s="2">
        <v>66659.600000000006</v>
      </c>
      <c r="BZ13" s="2">
        <v>60733.98</v>
      </c>
      <c r="CA13" s="2">
        <v>87200</v>
      </c>
      <c r="CB13" s="2">
        <v>84907.49</v>
      </c>
      <c r="CC13" s="2">
        <v>154822.87</v>
      </c>
      <c r="CD13" s="2">
        <v>156054.6</v>
      </c>
      <c r="CE13" s="2">
        <v>119327.97</v>
      </c>
      <c r="CF13" s="2">
        <v>124411.67</v>
      </c>
      <c r="CG13" s="2">
        <v>148042.22</v>
      </c>
      <c r="CH13" s="2">
        <v>142643.24</v>
      </c>
      <c r="CI13" s="2">
        <v>122060</v>
      </c>
      <c r="CJ13" s="2">
        <v>118342.36</v>
      </c>
      <c r="CK13" s="2">
        <v>158313.94</v>
      </c>
      <c r="CL13" s="2">
        <v>176236.88</v>
      </c>
    </row>
    <row r="14" spans="2:90" x14ac:dyDescent="0.3">
      <c r="B14" s="1" t="s">
        <v>26</v>
      </c>
      <c r="C14" s="2">
        <v>2.1</v>
      </c>
      <c r="D14" s="2">
        <v>4.04</v>
      </c>
      <c r="E14" s="2">
        <v>2.1</v>
      </c>
      <c r="F14" s="2">
        <v>2.1</v>
      </c>
      <c r="G14" s="2">
        <v>2.1</v>
      </c>
      <c r="H14" s="2">
        <v>2.1</v>
      </c>
      <c r="I14" s="2">
        <v>1.67</v>
      </c>
      <c r="J14" s="2">
        <v>2.1</v>
      </c>
      <c r="K14" s="2">
        <v>1.58</v>
      </c>
      <c r="L14" s="2">
        <v>2.1</v>
      </c>
      <c r="M14" s="2">
        <v>2.1</v>
      </c>
      <c r="N14" s="2">
        <v>2.1</v>
      </c>
      <c r="O14" s="2">
        <v>2.1</v>
      </c>
      <c r="P14" s="2">
        <v>2.1</v>
      </c>
      <c r="Q14" s="2">
        <v>2.09</v>
      </c>
      <c r="R14" s="2">
        <v>2.1</v>
      </c>
      <c r="S14" s="2">
        <v>1.78</v>
      </c>
      <c r="T14" s="2">
        <v>2.1</v>
      </c>
      <c r="U14" s="2">
        <v>1.52</v>
      </c>
      <c r="V14" s="2">
        <v>1.22</v>
      </c>
      <c r="X14" s="1" t="s">
        <v>26</v>
      </c>
      <c r="Y14" s="2">
        <v>2267.89</v>
      </c>
      <c r="Z14" s="2">
        <v>1627.57</v>
      </c>
      <c r="AA14" s="2">
        <v>2798.58</v>
      </c>
      <c r="AB14" s="2">
        <v>2809.18</v>
      </c>
      <c r="AC14" s="2">
        <v>772.57</v>
      </c>
      <c r="AD14" s="2">
        <v>856.58</v>
      </c>
      <c r="AE14" s="2">
        <v>2353.8000000000002</v>
      </c>
      <c r="AF14" s="2">
        <v>2306.62</v>
      </c>
      <c r="AG14" s="2">
        <v>2694.26</v>
      </c>
      <c r="AH14" s="2">
        <v>3828.51</v>
      </c>
      <c r="AI14" s="2">
        <v>5008.71</v>
      </c>
      <c r="AJ14" s="2">
        <v>7037.72</v>
      </c>
      <c r="AK14" s="2">
        <v>4068.42</v>
      </c>
      <c r="AL14" s="2">
        <v>5675.17</v>
      </c>
      <c r="AM14" s="2">
        <v>5173.41</v>
      </c>
      <c r="AN14" s="2">
        <v>7417.65</v>
      </c>
      <c r="AO14" s="2">
        <v>4428.18</v>
      </c>
      <c r="AP14" s="2">
        <v>6444.75</v>
      </c>
      <c r="AQ14" s="2">
        <v>5396.81</v>
      </c>
      <c r="AR14" s="2">
        <v>5311.97</v>
      </c>
      <c r="AU14" s="1" t="s">
        <v>26</v>
      </c>
      <c r="AV14" s="2">
        <v>7115.42</v>
      </c>
      <c r="AW14" s="2">
        <v>7934.99</v>
      </c>
      <c r="AX14" s="2">
        <v>9265.42</v>
      </c>
      <c r="AY14" s="2">
        <v>9254.82</v>
      </c>
      <c r="AZ14" s="2">
        <v>2245.91</v>
      </c>
      <c r="BA14" s="2">
        <v>2569.06</v>
      </c>
      <c r="BB14" s="2">
        <v>10102.94</v>
      </c>
      <c r="BC14" s="2">
        <v>7006.69</v>
      </c>
      <c r="BD14" s="2">
        <v>12566.07</v>
      </c>
      <c r="BE14" s="2">
        <v>14269.58</v>
      </c>
      <c r="BF14" s="2">
        <v>24577.73</v>
      </c>
      <c r="BG14" s="2">
        <v>26370.28</v>
      </c>
      <c r="BH14" s="2">
        <v>19824.95</v>
      </c>
      <c r="BI14" s="2">
        <v>21236.83</v>
      </c>
      <c r="BJ14" s="2">
        <v>25803.48</v>
      </c>
      <c r="BK14" s="2">
        <v>27846.35</v>
      </c>
      <c r="BL14" s="2">
        <v>21948.639999999999</v>
      </c>
      <c r="BM14" s="2">
        <v>24726.07</v>
      </c>
      <c r="BN14" s="2">
        <v>27253.82</v>
      </c>
      <c r="BO14" s="2">
        <v>25219.38</v>
      </c>
      <c r="BR14" s="1" t="s">
        <v>26</v>
      </c>
      <c r="BS14" s="2">
        <v>9383.31</v>
      </c>
      <c r="BT14" s="2">
        <v>9562.56</v>
      </c>
      <c r="BU14" s="2">
        <v>12064</v>
      </c>
      <c r="BV14" s="2">
        <v>12064</v>
      </c>
      <c r="BW14" s="2">
        <v>3018.47</v>
      </c>
      <c r="BX14" s="2">
        <v>3425.65</v>
      </c>
      <c r="BY14" s="2">
        <v>12456.73</v>
      </c>
      <c r="BZ14" s="2">
        <v>9313.31</v>
      </c>
      <c r="CA14" s="2">
        <v>15260.32</v>
      </c>
      <c r="CB14" s="2">
        <v>18098.09</v>
      </c>
      <c r="CC14" s="2">
        <v>29586.43</v>
      </c>
      <c r="CD14" s="2">
        <v>33408</v>
      </c>
      <c r="CE14" s="2">
        <v>23893.37</v>
      </c>
      <c r="CF14" s="2">
        <v>26912</v>
      </c>
      <c r="CG14" s="2">
        <v>30976.89</v>
      </c>
      <c r="CH14" s="2">
        <v>35264</v>
      </c>
      <c r="CI14" s="2">
        <v>26376.81</v>
      </c>
      <c r="CJ14" s="2">
        <v>31170.82</v>
      </c>
      <c r="CK14" s="2">
        <v>32650.639999999999</v>
      </c>
      <c r="CL14" s="2">
        <v>30531.35</v>
      </c>
    </row>
    <row r="15" spans="2:90" x14ac:dyDescent="0.3">
      <c r="B15" s="1" t="s">
        <v>27</v>
      </c>
      <c r="C15" s="2">
        <v>6.3</v>
      </c>
      <c r="D15" s="2">
        <v>6.3</v>
      </c>
      <c r="E15" s="2">
        <v>4.2</v>
      </c>
      <c r="F15" s="2">
        <v>6.17</v>
      </c>
      <c r="G15" s="2">
        <v>2.1</v>
      </c>
      <c r="H15" s="2">
        <v>6.3</v>
      </c>
      <c r="I15" s="2">
        <v>2.1</v>
      </c>
      <c r="J15" s="2">
        <v>2.1</v>
      </c>
      <c r="K15" s="2">
        <v>2.79</v>
      </c>
      <c r="L15" s="2">
        <v>5.94</v>
      </c>
      <c r="M15" s="2">
        <v>2.1</v>
      </c>
      <c r="N15" s="2">
        <v>5.99</v>
      </c>
      <c r="O15" s="2">
        <v>2.1</v>
      </c>
      <c r="P15" s="2">
        <v>5.97</v>
      </c>
      <c r="Q15" s="2">
        <v>2.1</v>
      </c>
      <c r="R15" s="2">
        <v>4.2</v>
      </c>
      <c r="S15" s="2">
        <v>2.1</v>
      </c>
      <c r="T15" s="2">
        <v>2.81</v>
      </c>
      <c r="U15" s="2">
        <v>2.1</v>
      </c>
      <c r="V15" s="2">
        <v>2.1</v>
      </c>
      <c r="X15" s="1" t="s">
        <v>27</v>
      </c>
      <c r="Y15" s="2">
        <v>6887.73</v>
      </c>
      <c r="Z15" s="2">
        <v>7209.62</v>
      </c>
      <c r="AA15" s="2">
        <v>6528.9</v>
      </c>
      <c r="AB15" s="2">
        <v>8093.6</v>
      </c>
      <c r="AC15" s="2">
        <v>2646.07</v>
      </c>
      <c r="AD15" s="2">
        <v>2667.5</v>
      </c>
      <c r="AE15" s="2">
        <v>9816.0300000000007</v>
      </c>
      <c r="AF15" s="2">
        <v>10737.78</v>
      </c>
      <c r="AG15" s="2">
        <v>8461.65</v>
      </c>
      <c r="AH15" s="2">
        <v>11214.87</v>
      </c>
      <c r="AI15" s="2">
        <v>19319.55</v>
      </c>
      <c r="AJ15" s="2">
        <v>20074.419999999998</v>
      </c>
      <c r="AK15" s="2">
        <v>15964.91</v>
      </c>
      <c r="AL15" s="2">
        <v>16201.55</v>
      </c>
      <c r="AM15" s="2">
        <v>22844.41</v>
      </c>
      <c r="AN15" s="2">
        <v>20091.09</v>
      </c>
      <c r="AO15" s="2">
        <v>15142.29</v>
      </c>
      <c r="AP15" s="2">
        <v>13514.8</v>
      </c>
      <c r="AQ15" s="2">
        <v>17672.37</v>
      </c>
      <c r="AR15" s="2">
        <v>17073.32</v>
      </c>
      <c r="AU15" s="1" t="s">
        <v>27</v>
      </c>
      <c r="AV15" s="2">
        <v>28652.34</v>
      </c>
      <c r="AW15" s="2">
        <v>30479.3</v>
      </c>
      <c r="AX15" s="2">
        <v>28621.93</v>
      </c>
      <c r="AY15" s="2">
        <v>33090.400000000001</v>
      </c>
      <c r="AZ15" s="2">
        <v>6919.65</v>
      </c>
      <c r="BA15" s="2">
        <v>10819.05</v>
      </c>
      <c r="BB15" s="2">
        <v>32341.05</v>
      </c>
      <c r="BC15" s="2">
        <v>24611.360000000001</v>
      </c>
      <c r="BD15" s="2">
        <v>41171.85</v>
      </c>
      <c r="BE15" s="2">
        <v>52145.13</v>
      </c>
      <c r="BF15" s="2">
        <v>73687.009999999995</v>
      </c>
      <c r="BG15" s="2">
        <v>93973.58</v>
      </c>
      <c r="BH15" s="2">
        <v>59855.57</v>
      </c>
      <c r="BI15" s="2">
        <v>75670.45</v>
      </c>
      <c r="BJ15" s="2">
        <v>80691.69</v>
      </c>
      <c r="BK15" s="2">
        <v>91176.8</v>
      </c>
      <c r="BL15" s="2">
        <v>65900.289999999994</v>
      </c>
      <c r="BM15" s="2">
        <v>69223.199999999997</v>
      </c>
      <c r="BN15" s="2">
        <v>83888.08</v>
      </c>
      <c r="BO15" s="2">
        <v>82816.38</v>
      </c>
      <c r="BR15" s="1" t="s">
        <v>27</v>
      </c>
      <c r="BS15" s="2">
        <v>35540.07</v>
      </c>
      <c r="BT15" s="2">
        <v>37688.910000000003</v>
      </c>
      <c r="BU15" s="2">
        <v>35150.82</v>
      </c>
      <c r="BV15" s="2">
        <v>41184</v>
      </c>
      <c r="BW15" s="2">
        <v>9565.7199999999993</v>
      </c>
      <c r="BX15" s="2">
        <v>13486.55</v>
      </c>
      <c r="BY15" s="2">
        <v>42157.08</v>
      </c>
      <c r="BZ15" s="2">
        <v>35349.14</v>
      </c>
      <c r="CA15" s="2">
        <v>49633.51</v>
      </c>
      <c r="CB15" s="2">
        <v>63360</v>
      </c>
      <c r="CC15" s="2">
        <v>93006.56</v>
      </c>
      <c r="CD15" s="2">
        <v>114048</v>
      </c>
      <c r="CE15" s="2">
        <v>75820.490000000005</v>
      </c>
      <c r="CF15" s="2">
        <v>91872</v>
      </c>
      <c r="CG15" s="2">
        <v>103536.1</v>
      </c>
      <c r="CH15" s="2">
        <v>111267.88</v>
      </c>
      <c r="CI15" s="2">
        <v>81042.58</v>
      </c>
      <c r="CJ15" s="2">
        <v>82738</v>
      </c>
      <c r="CK15" s="2">
        <v>101560.44</v>
      </c>
      <c r="CL15" s="2">
        <v>99889.7</v>
      </c>
    </row>
    <row r="16" spans="2:90" x14ac:dyDescent="0.3">
      <c r="B16" s="1" t="s">
        <v>28</v>
      </c>
      <c r="C16" s="2">
        <v>1.45</v>
      </c>
      <c r="D16" s="2">
        <v>2.1</v>
      </c>
      <c r="E16" s="2">
        <v>0.41</v>
      </c>
      <c r="F16" s="2">
        <v>0.44</v>
      </c>
      <c r="G16" s="2">
        <v>0.55000000000000004</v>
      </c>
      <c r="H16" s="2">
        <v>0.51</v>
      </c>
      <c r="I16" s="2">
        <v>0.43</v>
      </c>
      <c r="J16" s="2">
        <v>2.1</v>
      </c>
      <c r="K16" s="2">
        <v>1.53</v>
      </c>
      <c r="L16" s="2">
        <v>2.1</v>
      </c>
      <c r="M16" s="2">
        <v>2.1</v>
      </c>
      <c r="N16" s="2">
        <v>2.1</v>
      </c>
      <c r="O16" s="2">
        <v>2.1</v>
      </c>
      <c r="P16" s="2">
        <v>2.1</v>
      </c>
      <c r="Q16" s="2">
        <v>2.1</v>
      </c>
      <c r="R16" s="2">
        <v>2.1</v>
      </c>
      <c r="S16" s="2">
        <v>2.1</v>
      </c>
      <c r="T16" s="2">
        <v>1.63</v>
      </c>
      <c r="U16" s="2">
        <v>1.75</v>
      </c>
      <c r="V16" s="2">
        <v>1.3</v>
      </c>
      <c r="X16" s="1" t="s">
        <v>28</v>
      </c>
      <c r="Y16" s="2">
        <v>3460.09</v>
      </c>
      <c r="Z16" s="2">
        <v>4405.91</v>
      </c>
      <c r="AA16" s="2">
        <v>3569.23</v>
      </c>
      <c r="AB16" s="2">
        <v>3796.8</v>
      </c>
      <c r="AC16" s="2">
        <v>812.05</v>
      </c>
      <c r="AD16" s="2">
        <v>1506.35</v>
      </c>
      <c r="AE16" s="2">
        <v>3261.29</v>
      </c>
      <c r="AF16" s="2">
        <v>4869.16</v>
      </c>
      <c r="AG16" s="2">
        <v>4385.66</v>
      </c>
      <c r="AH16" s="2">
        <v>5769.55</v>
      </c>
      <c r="AI16" s="2">
        <v>8803.6200000000008</v>
      </c>
      <c r="AJ16" s="2">
        <v>10638.98</v>
      </c>
      <c r="AK16" s="2">
        <v>6964.11</v>
      </c>
      <c r="AL16" s="2">
        <v>8605.4500000000007</v>
      </c>
      <c r="AM16" s="2">
        <v>8834.07</v>
      </c>
      <c r="AN16" s="2">
        <v>8658.2099999999991</v>
      </c>
      <c r="AO16" s="2">
        <v>6564.68</v>
      </c>
      <c r="AP16" s="2">
        <v>6591.11</v>
      </c>
      <c r="AQ16" s="2">
        <v>8974.15</v>
      </c>
      <c r="AR16" s="2">
        <v>9239.5400000000009</v>
      </c>
      <c r="AU16" s="1" t="s">
        <v>28</v>
      </c>
      <c r="AV16" s="2">
        <v>17428.7</v>
      </c>
      <c r="AW16" s="2">
        <v>21173.02</v>
      </c>
      <c r="AX16" s="2">
        <v>14571.19</v>
      </c>
      <c r="AY16" s="2">
        <v>15539.59</v>
      </c>
      <c r="AZ16" s="2">
        <v>4418.2700000000004</v>
      </c>
      <c r="BA16" s="2">
        <v>6557.86</v>
      </c>
      <c r="BB16" s="2">
        <v>15777.17</v>
      </c>
      <c r="BC16" s="2">
        <v>19465.72</v>
      </c>
      <c r="BD16" s="2">
        <v>22606.54</v>
      </c>
      <c r="BE16" s="2">
        <v>25178.35</v>
      </c>
      <c r="BF16" s="2">
        <v>38731.5</v>
      </c>
      <c r="BG16" s="2">
        <v>46829.9</v>
      </c>
      <c r="BH16" s="2">
        <v>29877.09</v>
      </c>
      <c r="BI16" s="2">
        <v>38312.839999999997</v>
      </c>
      <c r="BJ16" s="2">
        <v>39370.83</v>
      </c>
      <c r="BK16" s="2">
        <v>43403.31</v>
      </c>
      <c r="BL16" s="2">
        <v>33525.4</v>
      </c>
      <c r="BM16" s="2">
        <v>34245.61</v>
      </c>
      <c r="BN16" s="2">
        <v>47098.1</v>
      </c>
      <c r="BO16" s="2">
        <v>49822.96</v>
      </c>
      <c r="BR16" s="1" t="s">
        <v>28</v>
      </c>
      <c r="BS16" s="2">
        <v>20888.79</v>
      </c>
      <c r="BT16" s="2">
        <v>25578.93</v>
      </c>
      <c r="BU16" s="2">
        <v>18140.419999999998</v>
      </c>
      <c r="BV16" s="2">
        <v>19336.39</v>
      </c>
      <c r="BW16" s="2">
        <v>5230.32</v>
      </c>
      <c r="BX16" s="2">
        <v>8064.22</v>
      </c>
      <c r="BY16" s="2">
        <v>19038.46</v>
      </c>
      <c r="BZ16" s="2">
        <v>24334.880000000001</v>
      </c>
      <c r="CA16" s="2">
        <v>26992.2</v>
      </c>
      <c r="CB16" s="2">
        <v>30947.9</v>
      </c>
      <c r="CC16" s="2">
        <v>47535.12</v>
      </c>
      <c r="CD16" s="2">
        <v>57468.88</v>
      </c>
      <c r="CE16" s="2">
        <v>36841.199999999997</v>
      </c>
      <c r="CF16" s="2">
        <v>46918.29</v>
      </c>
      <c r="CG16" s="2">
        <v>48204.9</v>
      </c>
      <c r="CH16" s="2">
        <v>52061.52</v>
      </c>
      <c r="CI16" s="2">
        <v>40090.080000000002</v>
      </c>
      <c r="CJ16" s="2">
        <v>40836.720000000001</v>
      </c>
      <c r="CK16" s="2">
        <v>56072.25</v>
      </c>
      <c r="CL16" s="2">
        <v>59062.5</v>
      </c>
    </row>
    <row r="19" spans="2:90" x14ac:dyDescent="0.3">
      <c r="B19" t="s">
        <v>29</v>
      </c>
      <c r="X19" t="s">
        <v>30</v>
      </c>
      <c r="AU19" t="s">
        <v>31</v>
      </c>
      <c r="BR19" t="s">
        <v>32</v>
      </c>
    </row>
    <row r="20" spans="2:90" x14ac:dyDescent="0.3">
      <c r="B20" s="1" t="s">
        <v>16</v>
      </c>
      <c r="C20" s="1" t="s">
        <v>17</v>
      </c>
      <c r="D20" s="1" t="s">
        <v>18</v>
      </c>
      <c r="E20" s="1" t="s">
        <v>17</v>
      </c>
      <c r="F20" s="1" t="s">
        <v>18</v>
      </c>
      <c r="G20" s="1" t="s">
        <v>17</v>
      </c>
      <c r="H20" s="1" t="s">
        <v>18</v>
      </c>
      <c r="I20" s="1" t="s">
        <v>17</v>
      </c>
      <c r="J20" s="1" t="s">
        <v>18</v>
      </c>
      <c r="K20" s="1" t="s">
        <v>17</v>
      </c>
      <c r="L20" s="1" t="s">
        <v>18</v>
      </c>
      <c r="M20" s="1" t="s">
        <v>17</v>
      </c>
      <c r="N20" s="1" t="s">
        <v>18</v>
      </c>
      <c r="O20" s="1" t="s">
        <v>17</v>
      </c>
      <c r="P20" s="1" t="s">
        <v>18</v>
      </c>
      <c r="Q20" s="1" t="s">
        <v>17</v>
      </c>
      <c r="R20" s="1" t="s">
        <v>18</v>
      </c>
      <c r="S20" s="1" t="s">
        <v>17</v>
      </c>
      <c r="T20" s="1" t="s">
        <v>18</v>
      </c>
      <c r="U20" s="1" t="s">
        <v>17</v>
      </c>
      <c r="V20" s="1" t="s">
        <v>18</v>
      </c>
      <c r="X20" s="1" t="s">
        <v>16</v>
      </c>
      <c r="Y20" s="1" t="s">
        <v>17</v>
      </c>
      <c r="Z20" s="1" t="s">
        <v>18</v>
      </c>
      <c r="AA20" s="1" t="s">
        <v>17</v>
      </c>
      <c r="AB20" s="1" t="s">
        <v>18</v>
      </c>
      <c r="AC20" s="1" t="s">
        <v>17</v>
      </c>
      <c r="AD20" s="1" t="s">
        <v>18</v>
      </c>
      <c r="AE20" s="1" t="s">
        <v>17</v>
      </c>
      <c r="AF20" s="1" t="s">
        <v>18</v>
      </c>
      <c r="AG20" s="1" t="s">
        <v>17</v>
      </c>
      <c r="AH20" s="1" t="s">
        <v>18</v>
      </c>
      <c r="AI20" s="1" t="s">
        <v>17</v>
      </c>
      <c r="AJ20" s="1" t="s">
        <v>18</v>
      </c>
      <c r="AK20" s="1" t="s">
        <v>17</v>
      </c>
      <c r="AL20" s="1" t="s">
        <v>18</v>
      </c>
      <c r="AM20" s="1" t="s">
        <v>17</v>
      </c>
      <c r="AN20" s="1" t="s">
        <v>18</v>
      </c>
      <c r="AO20" s="1" t="s">
        <v>17</v>
      </c>
      <c r="AP20" s="1" t="s">
        <v>18</v>
      </c>
      <c r="AQ20" s="1" t="s">
        <v>17</v>
      </c>
      <c r="AR20" s="1" t="s">
        <v>18</v>
      </c>
      <c r="AU20" s="1" t="s">
        <v>16</v>
      </c>
      <c r="AV20" s="1" t="s">
        <v>17</v>
      </c>
      <c r="AW20" s="1" t="s">
        <v>18</v>
      </c>
      <c r="AX20" s="1" t="s">
        <v>17</v>
      </c>
      <c r="AY20" s="1" t="s">
        <v>18</v>
      </c>
      <c r="AZ20" s="1" t="s">
        <v>17</v>
      </c>
      <c r="BA20" s="1" t="s">
        <v>18</v>
      </c>
      <c r="BB20" s="1" t="s">
        <v>17</v>
      </c>
      <c r="BC20" s="1" t="s">
        <v>18</v>
      </c>
      <c r="BD20" s="1" t="s">
        <v>17</v>
      </c>
      <c r="BE20" s="1" t="s">
        <v>18</v>
      </c>
      <c r="BF20" s="1" t="s">
        <v>17</v>
      </c>
      <c r="BG20" s="1" t="s">
        <v>18</v>
      </c>
      <c r="BH20" s="1" t="s">
        <v>17</v>
      </c>
      <c r="BI20" s="1" t="s">
        <v>18</v>
      </c>
      <c r="BJ20" s="1" t="s">
        <v>17</v>
      </c>
      <c r="BK20" s="1" t="s">
        <v>18</v>
      </c>
      <c r="BL20" s="1" t="s">
        <v>17</v>
      </c>
      <c r="BM20" s="1" t="s">
        <v>18</v>
      </c>
      <c r="BN20" s="1" t="s">
        <v>17</v>
      </c>
      <c r="BO20" s="1" t="s">
        <v>18</v>
      </c>
      <c r="BR20" s="1" t="s">
        <v>16</v>
      </c>
      <c r="BS20" s="1" t="s">
        <v>17</v>
      </c>
      <c r="BT20" s="1" t="s">
        <v>18</v>
      </c>
      <c r="BU20" s="1" t="s">
        <v>17</v>
      </c>
      <c r="BV20" s="1" t="s">
        <v>18</v>
      </c>
      <c r="BW20" s="1" t="s">
        <v>17</v>
      </c>
      <c r="BX20" s="1" t="s">
        <v>18</v>
      </c>
      <c r="BY20" s="1" t="s">
        <v>17</v>
      </c>
      <c r="BZ20" s="1" t="s">
        <v>18</v>
      </c>
      <c r="CA20" s="1" t="s">
        <v>17</v>
      </c>
      <c r="CB20" s="1" t="s">
        <v>18</v>
      </c>
      <c r="CC20" s="1" t="s">
        <v>17</v>
      </c>
      <c r="CD20" s="1" t="s">
        <v>18</v>
      </c>
      <c r="CE20" s="1" t="s">
        <v>17</v>
      </c>
      <c r="CF20" s="1" t="s">
        <v>18</v>
      </c>
      <c r="CG20" s="1" t="s">
        <v>17</v>
      </c>
      <c r="CH20" s="1" t="s">
        <v>18</v>
      </c>
      <c r="CI20" s="1" t="s">
        <v>17</v>
      </c>
      <c r="CJ20" s="1" t="s">
        <v>18</v>
      </c>
      <c r="CK20" s="1" t="s">
        <v>17</v>
      </c>
      <c r="CL20" s="1" t="s">
        <v>18</v>
      </c>
    </row>
    <row r="21" spans="2:90" x14ac:dyDescent="0.3">
      <c r="B21" s="1" t="s">
        <v>19</v>
      </c>
      <c r="C21" s="1" t="s">
        <v>1</v>
      </c>
      <c r="D21" s="1" t="s">
        <v>1</v>
      </c>
      <c r="E21" s="1" t="s">
        <v>2</v>
      </c>
      <c r="F21" s="1" t="s">
        <v>2</v>
      </c>
      <c r="G21" s="1" t="s">
        <v>3</v>
      </c>
      <c r="H21" s="1" t="s">
        <v>3</v>
      </c>
      <c r="I21" s="1" t="s">
        <v>4</v>
      </c>
      <c r="J21" s="1" t="s">
        <v>4</v>
      </c>
      <c r="K21" s="1" t="s">
        <v>5</v>
      </c>
      <c r="L21" s="1" t="s">
        <v>5</v>
      </c>
      <c r="M21" s="1" t="s">
        <v>6</v>
      </c>
      <c r="N21" s="1" t="s">
        <v>6</v>
      </c>
      <c r="O21" s="1" t="s">
        <v>7</v>
      </c>
      <c r="P21" s="1" t="s">
        <v>7</v>
      </c>
      <c r="Q21" s="1" t="s">
        <v>8</v>
      </c>
      <c r="R21" s="1" t="s">
        <v>8</v>
      </c>
      <c r="S21" s="1" t="s">
        <v>9</v>
      </c>
      <c r="T21" s="1" t="s">
        <v>9</v>
      </c>
      <c r="U21" s="1" t="s">
        <v>10</v>
      </c>
      <c r="V21" s="1" t="s">
        <v>10</v>
      </c>
      <c r="X21" s="1" t="s">
        <v>19</v>
      </c>
      <c r="Y21" s="1" t="s">
        <v>1</v>
      </c>
      <c r="Z21" s="1" t="s">
        <v>1</v>
      </c>
      <c r="AA21" s="1" t="s">
        <v>2</v>
      </c>
      <c r="AB21" s="1" t="s">
        <v>2</v>
      </c>
      <c r="AC21" s="1" t="s">
        <v>3</v>
      </c>
      <c r="AD21" s="1" t="s">
        <v>3</v>
      </c>
      <c r="AE21" s="1" t="s">
        <v>4</v>
      </c>
      <c r="AF21" s="1" t="s">
        <v>4</v>
      </c>
      <c r="AG21" s="1" t="s">
        <v>5</v>
      </c>
      <c r="AH21" s="1" t="s">
        <v>5</v>
      </c>
      <c r="AI21" s="1" t="s">
        <v>6</v>
      </c>
      <c r="AJ21" s="1" t="s">
        <v>6</v>
      </c>
      <c r="AK21" s="1" t="s">
        <v>7</v>
      </c>
      <c r="AL21" s="1" t="s">
        <v>7</v>
      </c>
      <c r="AM21" s="1" t="s">
        <v>8</v>
      </c>
      <c r="AN21" s="1" t="s">
        <v>8</v>
      </c>
      <c r="AO21" s="1" t="s">
        <v>9</v>
      </c>
      <c r="AP21" s="1" t="s">
        <v>9</v>
      </c>
      <c r="AQ21" s="1" t="s">
        <v>10</v>
      </c>
      <c r="AR21" s="1" t="s">
        <v>10</v>
      </c>
      <c r="AU21" s="1" t="s">
        <v>19</v>
      </c>
      <c r="AV21" s="1" t="s">
        <v>1</v>
      </c>
      <c r="AW21" s="1" t="s">
        <v>1</v>
      </c>
      <c r="AX21" s="1" t="s">
        <v>2</v>
      </c>
      <c r="AY21" s="1" t="s">
        <v>2</v>
      </c>
      <c r="AZ21" s="1" t="s">
        <v>3</v>
      </c>
      <c r="BA21" s="1" t="s">
        <v>3</v>
      </c>
      <c r="BB21" s="1" t="s">
        <v>4</v>
      </c>
      <c r="BC21" s="1" t="s">
        <v>4</v>
      </c>
      <c r="BD21" s="1" t="s">
        <v>5</v>
      </c>
      <c r="BE21" s="1" t="s">
        <v>5</v>
      </c>
      <c r="BF21" s="1" t="s">
        <v>6</v>
      </c>
      <c r="BG21" s="1" t="s">
        <v>6</v>
      </c>
      <c r="BH21" s="1" t="s">
        <v>7</v>
      </c>
      <c r="BI21" s="1" t="s">
        <v>7</v>
      </c>
      <c r="BJ21" s="1" t="s">
        <v>8</v>
      </c>
      <c r="BK21" s="1" t="s">
        <v>8</v>
      </c>
      <c r="BL21" s="1" t="s">
        <v>9</v>
      </c>
      <c r="BM21" s="1" t="s">
        <v>9</v>
      </c>
      <c r="BN21" s="1" t="s">
        <v>10</v>
      </c>
      <c r="BO21" s="1" t="s">
        <v>10</v>
      </c>
      <c r="BR21" s="1" t="s">
        <v>19</v>
      </c>
      <c r="BS21" s="1" t="s">
        <v>1</v>
      </c>
      <c r="BT21" s="1" t="s">
        <v>1</v>
      </c>
      <c r="BU21" s="1" t="s">
        <v>2</v>
      </c>
      <c r="BV21" s="1" t="s">
        <v>2</v>
      </c>
      <c r="BW21" s="1" t="s">
        <v>3</v>
      </c>
      <c r="BX21" s="1" t="s">
        <v>3</v>
      </c>
      <c r="BY21" s="1" t="s">
        <v>4</v>
      </c>
      <c r="BZ21" s="1" t="s">
        <v>4</v>
      </c>
      <c r="CA21" s="1" t="s">
        <v>5</v>
      </c>
      <c r="CB21" s="1" t="s">
        <v>5</v>
      </c>
      <c r="CC21" s="1" t="s">
        <v>6</v>
      </c>
      <c r="CD21" s="1" t="s">
        <v>6</v>
      </c>
      <c r="CE21" s="1" t="s">
        <v>7</v>
      </c>
      <c r="CF21" s="1" t="s">
        <v>7</v>
      </c>
      <c r="CG21" s="1" t="s">
        <v>8</v>
      </c>
      <c r="CH21" s="1" t="s">
        <v>8</v>
      </c>
      <c r="CI21" s="1" t="s">
        <v>9</v>
      </c>
      <c r="CJ21" s="1" t="s">
        <v>9</v>
      </c>
      <c r="CK21" s="1" t="s">
        <v>10</v>
      </c>
      <c r="CL21" s="1" t="s">
        <v>10</v>
      </c>
    </row>
    <row r="22" spans="2:90" x14ac:dyDescent="0.3">
      <c r="B22" s="1" t="s">
        <v>20</v>
      </c>
      <c r="X22" s="1" t="s">
        <v>20</v>
      </c>
      <c r="AU22" s="1" t="s">
        <v>20</v>
      </c>
      <c r="BR22" s="1" t="s">
        <v>20</v>
      </c>
    </row>
    <row r="23" spans="2:90" x14ac:dyDescent="0.3">
      <c r="B23" s="1" t="s">
        <v>21</v>
      </c>
      <c r="C23" s="2">
        <v>0.1</v>
      </c>
      <c r="D23" s="2">
        <v>0.1</v>
      </c>
      <c r="E23" s="2">
        <v>0.1</v>
      </c>
      <c r="F23" s="2">
        <v>0.1</v>
      </c>
      <c r="G23" s="2">
        <v>0.1</v>
      </c>
      <c r="H23" s="2">
        <v>0.1</v>
      </c>
      <c r="I23" s="2">
        <v>0.1</v>
      </c>
      <c r="J23" s="2">
        <v>0.1</v>
      </c>
      <c r="K23" s="2">
        <v>0.1</v>
      </c>
      <c r="L23" s="2">
        <v>0.1</v>
      </c>
      <c r="M23" s="2">
        <v>0.1</v>
      </c>
      <c r="N23" s="2">
        <v>0.1</v>
      </c>
      <c r="O23" s="2">
        <v>0.1</v>
      </c>
      <c r="P23" s="2">
        <v>0.1</v>
      </c>
      <c r="Q23" s="2">
        <v>0.1</v>
      </c>
      <c r="R23" s="2">
        <v>0.1</v>
      </c>
      <c r="S23" s="2">
        <v>0.1</v>
      </c>
      <c r="T23" s="2">
        <v>0.1</v>
      </c>
      <c r="U23" s="2">
        <v>0.1</v>
      </c>
      <c r="V23" s="2">
        <v>0.1</v>
      </c>
      <c r="X23" s="1" t="s">
        <v>21</v>
      </c>
      <c r="Y23" s="2">
        <v>2152.14</v>
      </c>
      <c r="Z23" s="2">
        <v>2142.56</v>
      </c>
      <c r="AA23" s="2">
        <v>1787.03</v>
      </c>
      <c r="AB23" s="2">
        <v>1672.16</v>
      </c>
      <c r="AC23" s="2">
        <v>1614.69</v>
      </c>
      <c r="AD23" s="2">
        <v>1954.63</v>
      </c>
      <c r="AE23" s="2">
        <v>2036.36</v>
      </c>
      <c r="AF23" s="2">
        <v>2025.97</v>
      </c>
      <c r="AG23" s="2">
        <v>2223.7600000000002</v>
      </c>
      <c r="AH23" s="2">
        <v>1957.69</v>
      </c>
      <c r="AI23" s="2">
        <v>2090.09</v>
      </c>
      <c r="AJ23" s="2">
        <v>1933.75</v>
      </c>
      <c r="AK23" s="2">
        <v>2020.63</v>
      </c>
      <c r="AL23" s="2">
        <v>1912.54</v>
      </c>
      <c r="AM23" s="2">
        <v>2120.1</v>
      </c>
      <c r="AN23" s="2">
        <v>1958.6</v>
      </c>
      <c r="AO23" s="2">
        <v>1862</v>
      </c>
      <c r="AP23" s="2">
        <v>1420.58</v>
      </c>
      <c r="AQ23" s="2">
        <v>1915.2</v>
      </c>
      <c r="AR23" s="2">
        <v>1519.35</v>
      </c>
      <c r="AU23" s="1" t="s">
        <v>21</v>
      </c>
      <c r="AV23" s="2">
        <v>20217.13</v>
      </c>
      <c r="AW23" s="2">
        <v>20075.09</v>
      </c>
      <c r="AX23" s="2">
        <v>16469.669999999998</v>
      </c>
      <c r="AY23" s="2">
        <v>15402.24</v>
      </c>
      <c r="AZ23" s="2">
        <v>15347.01</v>
      </c>
      <c r="BA23" s="2">
        <v>18276</v>
      </c>
      <c r="BB23" s="2">
        <v>19448.46</v>
      </c>
      <c r="BC23" s="2">
        <v>19254.03</v>
      </c>
      <c r="BD23" s="2">
        <v>21141.54</v>
      </c>
      <c r="BE23" s="2">
        <v>18656.61</v>
      </c>
      <c r="BF23" s="2">
        <v>19665.150000000001</v>
      </c>
      <c r="BG23" s="2">
        <v>18357.150000000001</v>
      </c>
      <c r="BH23" s="2">
        <v>19259.37</v>
      </c>
      <c r="BI23" s="2">
        <v>18000.36</v>
      </c>
      <c r="BJ23" s="2">
        <v>19944.53</v>
      </c>
      <c r="BK23" s="2">
        <v>18412.8</v>
      </c>
      <c r="BL23" s="2">
        <v>17440.5</v>
      </c>
      <c r="BM23" s="2">
        <v>13467.72</v>
      </c>
      <c r="BN23" s="2">
        <v>18053.7</v>
      </c>
      <c r="BO23" s="2">
        <v>14308.35</v>
      </c>
      <c r="BR23" s="1" t="s">
        <v>21</v>
      </c>
      <c r="BS23" s="2">
        <v>22369.27</v>
      </c>
      <c r="BT23" s="2">
        <v>22217.65</v>
      </c>
      <c r="BU23" s="2">
        <v>18256.7</v>
      </c>
      <c r="BV23" s="2">
        <v>17074.400000000001</v>
      </c>
      <c r="BW23" s="2">
        <v>16961.7</v>
      </c>
      <c r="BX23" s="2">
        <v>20230.63</v>
      </c>
      <c r="BY23" s="2">
        <v>21484.82</v>
      </c>
      <c r="BZ23" s="2">
        <v>21280</v>
      </c>
      <c r="CA23" s="2">
        <v>23365.3</v>
      </c>
      <c r="CB23" s="2">
        <v>20614.3</v>
      </c>
      <c r="CC23" s="2">
        <v>21755.24</v>
      </c>
      <c r="CD23" s="2">
        <v>20290.900000000001</v>
      </c>
      <c r="CE23" s="2">
        <v>21280</v>
      </c>
      <c r="CF23" s="2">
        <v>19912.900000000001</v>
      </c>
      <c r="CG23" s="2">
        <v>22064.63</v>
      </c>
      <c r="CH23" s="2">
        <v>20371.400000000001</v>
      </c>
      <c r="CI23" s="2">
        <v>19302.5</v>
      </c>
      <c r="CJ23" s="2">
        <v>14888.3</v>
      </c>
      <c r="CK23" s="2">
        <v>19968.900000000001</v>
      </c>
      <c r="CL23" s="2">
        <v>15827.7</v>
      </c>
    </row>
    <row r="24" spans="2:90" x14ac:dyDescent="0.3">
      <c r="B24" s="1" t="s">
        <v>22</v>
      </c>
      <c r="C24" s="2">
        <v>0.16</v>
      </c>
      <c r="D24" s="2">
        <v>0.16</v>
      </c>
      <c r="E24" s="2">
        <v>0.17</v>
      </c>
      <c r="F24" s="2">
        <v>0.17</v>
      </c>
      <c r="G24" s="2">
        <v>0.18</v>
      </c>
      <c r="H24" s="2">
        <v>0.18</v>
      </c>
      <c r="I24" s="2">
        <v>0.17</v>
      </c>
      <c r="J24" s="2">
        <v>0.18</v>
      </c>
      <c r="K24" s="2">
        <v>0.16</v>
      </c>
      <c r="L24" s="2">
        <v>0.16</v>
      </c>
      <c r="M24" s="2">
        <v>0.17</v>
      </c>
      <c r="N24" s="2">
        <v>0.16</v>
      </c>
      <c r="O24" s="2">
        <v>0.18</v>
      </c>
      <c r="P24" s="2">
        <v>0.16</v>
      </c>
      <c r="Q24" s="2">
        <v>0.16</v>
      </c>
      <c r="R24" s="2">
        <v>0.16</v>
      </c>
      <c r="S24" s="2">
        <v>0.16</v>
      </c>
      <c r="T24" s="2">
        <v>0.16</v>
      </c>
      <c r="U24" s="2">
        <v>0.15</v>
      </c>
      <c r="V24" s="2">
        <v>0.16</v>
      </c>
      <c r="X24" s="1" t="s">
        <v>22</v>
      </c>
      <c r="Y24" s="2">
        <v>1350.18</v>
      </c>
      <c r="Z24" s="2">
        <v>839.98</v>
      </c>
      <c r="AA24" s="2">
        <v>1440.53</v>
      </c>
      <c r="AB24" s="2">
        <v>938.11</v>
      </c>
      <c r="AC24" s="2">
        <v>948.03</v>
      </c>
      <c r="AD24" s="2">
        <v>1170.92</v>
      </c>
      <c r="AE24" s="2">
        <v>1536.88</v>
      </c>
      <c r="AF24" s="2">
        <v>1107.0899999999999</v>
      </c>
      <c r="AG24" s="2">
        <v>1402.52</v>
      </c>
      <c r="AH24" s="2">
        <v>974.61</v>
      </c>
      <c r="AI24" s="2">
        <v>1464.29</v>
      </c>
      <c r="AJ24" s="2">
        <v>978.37</v>
      </c>
      <c r="AK24" s="2">
        <v>1348.72</v>
      </c>
      <c r="AL24" s="2">
        <v>1058.23</v>
      </c>
      <c r="AM24" s="2">
        <v>1170</v>
      </c>
      <c r="AN24" s="2">
        <v>1014.41</v>
      </c>
      <c r="AO24" s="2">
        <v>1087.56</v>
      </c>
      <c r="AP24" s="2">
        <v>831.77</v>
      </c>
      <c r="AQ24" s="2">
        <v>1254.1199999999999</v>
      </c>
      <c r="AR24" s="2">
        <v>800.1</v>
      </c>
      <c r="AU24" s="1" t="s">
        <v>22</v>
      </c>
      <c r="AV24" s="2">
        <v>7777.04</v>
      </c>
      <c r="AW24" s="2">
        <v>5090.96</v>
      </c>
      <c r="AX24" s="2">
        <v>7391.05</v>
      </c>
      <c r="AY24" s="2">
        <v>4930.32</v>
      </c>
      <c r="AZ24" s="2">
        <v>5008.07</v>
      </c>
      <c r="BA24" s="2">
        <v>6150.83</v>
      </c>
      <c r="BB24" s="2">
        <v>8193.7800000000007</v>
      </c>
      <c r="BC24" s="2">
        <v>5927.31</v>
      </c>
      <c r="BD24" s="2">
        <v>8088.26</v>
      </c>
      <c r="BE24" s="2">
        <v>5771.19</v>
      </c>
      <c r="BF24" s="2">
        <v>7776.17</v>
      </c>
      <c r="BG24" s="2">
        <v>5895.03</v>
      </c>
      <c r="BH24" s="2">
        <v>6889.88</v>
      </c>
      <c r="BI24" s="2">
        <v>6339.77</v>
      </c>
      <c r="BJ24" s="2">
        <v>6688.17</v>
      </c>
      <c r="BK24" s="2">
        <v>6028.13</v>
      </c>
      <c r="BL24" s="2">
        <v>6453.91</v>
      </c>
      <c r="BM24" s="2">
        <v>5032.45</v>
      </c>
      <c r="BN24" s="2">
        <v>7823.32</v>
      </c>
      <c r="BO24" s="2">
        <v>4970.67</v>
      </c>
      <c r="BR24" s="1" t="s">
        <v>22</v>
      </c>
      <c r="BS24" s="2">
        <v>9127.2199999999993</v>
      </c>
      <c r="BT24" s="2">
        <v>5930.95</v>
      </c>
      <c r="BU24" s="2">
        <v>8831.58</v>
      </c>
      <c r="BV24" s="2">
        <v>5868.44</v>
      </c>
      <c r="BW24" s="2">
        <v>5956.1</v>
      </c>
      <c r="BX24" s="2">
        <v>7321.74</v>
      </c>
      <c r="BY24" s="2">
        <v>9730.66</v>
      </c>
      <c r="BZ24" s="2">
        <v>7034.4</v>
      </c>
      <c r="CA24" s="2">
        <v>9490.7800000000007</v>
      </c>
      <c r="CB24" s="2">
        <v>6745.8</v>
      </c>
      <c r="CC24" s="2">
        <v>9240.4599999999991</v>
      </c>
      <c r="CD24" s="2">
        <v>6873.4</v>
      </c>
      <c r="CE24" s="2">
        <v>8238.6</v>
      </c>
      <c r="CF24" s="2">
        <v>7398</v>
      </c>
      <c r="CG24" s="2">
        <v>7858.17</v>
      </c>
      <c r="CH24" s="2">
        <v>7042.54</v>
      </c>
      <c r="CI24" s="2">
        <v>7541.46</v>
      </c>
      <c r="CJ24" s="2">
        <v>5864.22</v>
      </c>
      <c r="CK24" s="2">
        <v>9077.44</v>
      </c>
      <c r="CL24" s="2">
        <v>5770.78</v>
      </c>
    </row>
    <row r="25" spans="2:90" x14ac:dyDescent="0.3">
      <c r="B25" s="1" t="s">
        <v>23</v>
      </c>
      <c r="C25" s="2">
        <v>0.21</v>
      </c>
      <c r="D25" s="2">
        <v>0.16</v>
      </c>
      <c r="E25" s="2">
        <v>0.2</v>
      </c>
      <c r="F25" s="2">
        <v>0.17</v>
      </c>
      <c r="G25" s="2">
        <v>0.22</v>
      </c>
      <c r="H25" s="2">
        <v>0.27</v>
      </c>
      <c r="I25" s="2">
        <v>0.19</v>
      </c>
      <c r="J25" s="2">
        <v>0.23</v>
      </c>
      <c r="K25" s="2">
        <v>0.28000000000000003</v>
      </c>
      <c r="L25" s="2">
        <v>0.2</v>
      </c>
      <c r="M25" s="2">
        <v>0.28000000000000003</v>
      </c>
      <c r="N25" s="2">
        <v>0.2</v>
      </c>
      <c r="O25" s="2">
        <v>0.28999999999999998</v>
      </c>
      <c r="P25" s="2">
        <v>0.21</v>
      </c>
      <c r="Q25" s="2">
        <v>0.3</v>
      </c>
      <c r="R25" s="2">
        <v>0.2</v>
      </c>
      <c r="S25" s="2">
        <v>0.22</v>
      </c>
      <c r="T25" s="2">
        <v>0.17</v>
      </c>
      <c r="U25" s="2">
        <v>0.17</v>
      </c>
      <c r="V25" s="2">
        <v>0.16</v>
      </c>
      <c r="X25" s="1" t="s">
        <v>23</v>
      </c>
      <c r="Y25" s="2">
        <v>5477.53</v>
      </c>
      <c r="Z25" s="2">
        <v>2096.16</v>
      </c>
      <c r="AA25" s="2">
        <v>5493</v>
      </c>
      <c r="AB25" s="2">
        <v>2128.64</v>
      </c>
      <c r="AC25" s="2">
        <v>4448.8500000000004</v>
      </c>
      <c r="AD25" s="2">
        <v>6307.69</v>
      </c>
      <c r="AE25" s="2">
        <v>5486.64</v>
      </c>
      <c r="AF25" s="2">
        <v>4933.49</v>
      </c>
      <c r="AG25" s="2">
        <v>7994.43</v>
      </c>
      <c r="AH25" s="2">
        <v>3987.42</v>
      </c>
      <c r="AI25" s="2">
        <v>7989.52</v>
      </c>
      <c r="AJ25" s="2">
        <v>4014.14</v>
      </c>
      <c r="AK25" s="2">
        <v>7611.03</v>
      </c>
      <c r="AL25" s="2">
        <v>4223.3100000000004</v>
      </c>
      <c r="AM25" s="2">
        <v>7368.08</v>
      </c>
      <c r="AN25" s="2">
        <v>3846.2</v>
      </c>
      <c r="AO25" s="2">
        <v>4646.79</v>
      </c>
      <c r="AP25" s="2">
        <v>2834.89</v>
      </c>
      <c r="AQ25" s="2">
        <v>2782.13</v>
      </c>
      <c r="AR25" s="2">
        <v>2410.7600000000002</v>
      </c>
      <c r="AU25" s="1" t="s">
        <v>23</v>
      </c>
      <c r="AV25" s="2">
        <v>24588.1</v>
      </c>
      <c r="AW25" s="2">
        <v>13031.92</v>
      </c>
      <c r="AX25" s="2">
        <v>23407.87</v>
      </c>
      <c r="AY25" s="2">
        <v>11206.22</v>
      </c>
      <c r="AZ25" s="2">
        <v>18669.41</v>
      </c>
      <c r="BA25" s="2">
        <v>19863.919999999998</v>
      </c>
      <c r="BB25" s="2">
        <v>26193.360000000001</v>
      </c>
      <c r="BC25" s="2">
        <v>19923.830000000002</v>
      </c>
      <c r="BD25" s="2">
        <v>23685.57</v>
      </c>
      <c r="BE25" s="2">
        <v>19177.7</v>
      </c>
      <c r="BF25" s="2">
        <v>23690.48</v>
      </c>
      <c r="BG25" s="2">
        <v>19248.39</v>
      </c>
      <c r="BH25" s="2">
        <v>21782.12</v>
      </c>
      <c r="BI25" s="2">
        <v>19578.36</v>
      </c>
      <c r="BJ25" s="2">
        <v>20579.48</v>
      </c>
      <c r="BK25" s="2">
        <v>18961.73</v>
      </c>
      <c r="BL25" s="2">
        <v>20091.009999999998</v>
      </c>
      <c r="BM25" s="2">
        <v>17229.84</v>
      </c>
      <c r="BN25" s="2">
        <v>17070.560000000001</v>
      </c>
      <c r="BO25" s="2">
        <v>15513.34</v>
      </c>
      <c r="BR25" s="1" t="s">
        <v>23</v>
      </c>
      <c r="BS25" s="2">
        <v>30065.63</v>
      </c>
      <c r="BT25" s="2">
        <v>15128.08</v>
      </c>
      <c r="BU25" s="2">
        <v>28900.87</v>
      </c>
      <c r="BV25" s="2">
        <v>13334.86</v>
      </c>
      <c r="BW25" s="2">
        <v>23118.26</v>
      </c>
      <c r="BX25" s="2">
        <v>26171.61</v>
      </c>
      <c r="BY25" s="2">
        <v>31680</v>
      </c>
      <c r="BZ25" s="2">
        <v>24857.32</v>
      </c>
      <c r="CA25" s="2">
        <v>31680</v>
      </c>
      <c r="CB25" s="2">
        <v>23165.119999999999</v>
      </c>
      <c r="CC25" s="2">
        <v>31680</v>
      </c>
      <c r="CD25" s="2">
        <v>23262.53</v>
      </c>
      <c r="CE25" s="2">
        <v>29393.15</v>
      </c>
      <c r="CF25" s="2">
        <v>23801.67</v>
      </c>
      <c r="CG25" s="2">
        <v>27947.56</v>
      </c>
      <c r="CH25" s="2">
        <v>22807.93</v>
      </c>
      <c r="CI25" s="2">
        <v>24737.8</v>
      </c>
      <c r="CJ25" s="2">
        <v>20064.73</v>
      </c>
      <c r="CK25" s="2">
        <v>19852.68</v>
      </c>
      <c r="CL25" s="2">
        <v>17924.099999999999</v>
      </c>
    </row>
    <row r="26" spans="2:90" x14ac:dyDescent="0.3">
      <c r="B26" s="1" t="s">
        <v>24</v>
      </c>
      <c r="C26" s="2">
        <v>0.26</v>
      </c>
      <c r="D26" s="2">
        <v>0.17</v>
      </c>
      <c r="E26" s="2">
        <v>0.25</v>
      </c>
      <c r="F26" s="2">
        <v>0.17</v>
      </c>
      <c r="G26" s="2">
        <v>0.28000000000000003</v>
      </c>
      <c r="H26" s="2">
        <v>0.18</v>
      </c>
      <c r="I26" s="2">
        <v>0.24</v>
      </c>
      <c r="J26" s="2">
        <v>0.22</v>
      </c>
      <c r="K26" s="2">
        <v>0.23</v>
      </c>
      <c r="L26" s="2">
        <v>0.18</v>
      </c>
      <c r="M26" s="2">
        <v>0.23</v>
      </c>
      <c r="N26" s="2">
        <v>0.17</v>
      </c>
      <c r="O26" s="2">
        <v>0.16</v>
      </c>
      <c r="P26" s="2">
        <v>0.18</v>
      </c>
      <c r="Q26" s="2">
        <v>0.23</v>
      </c>
      <c r="R26" s="2">
        <v>0.16</v>
      </c>
      <c r="S26" s="2">
        <v>0.16</v>
      </c>
      <c r="T26" s="2">
        <v>0.16</v>
      </c>
      <c r="U26" s="2">
        <v>0.16</v>
      </c>
      <c r="V26" s="2">
        <v>0.16</v>
      </c>
      <c r="X26" s="1" t="s">
        <v>24</v>
      </c>
      <c r="Y26" s="2">
        <v>1953.2</v>
      </c>
      <c r="Z26" s="2">
        <v>748.99</v>
      </c>
      <c r="AA26" s="2">
        <v>1944.02</v>
      </c>
      <c r="AB26" s="2">
        <v>857.44</v>
      </c>
      <c r="AC26" s="2">
        <v>1689.65</v>
      </c>
      <c r="AD26" s="2">
        <v>1436.52</v>
      </c>
      <c r="AE26" s="2">
        <v>1956.43</v>
      </c>
      <c r="AF26" s="2">
        <v>1585.44</v>
      </c>
      <c r="AG26" s="2">
        <v>1855.16</v>
      </c>
      <c r="AH26" s="2">
        <v>1180.06</v>
      </c>
      <c r="AI26" s="2">
        <v>1854.05</v>
      </c>
      <c r="AJ26" s="2">
        <v>1088.46</v>
      </c>
      <c r="AK26" s="2">
        <v>1227.8599999999999</v>
      </c>
      <c r="AL26" s="2">
        <v>1140.22</v>
      </c>
      <c r="AM26" s="2">
        <v>1849.22</v>
      </c>
      <c r="AN26" s="2">
        <v>998.5</v>
      </c>
      <c r="AO26" s="2">
        <v>999.44</v>
      </c>
      <c r="AP26" s="2">
        <v>894.92</v>
      </c>
      <c r="AQ26" s="2">
        <v>908.25</v>
      </c>
      <c r="AR26" s="2">
        <v>851.89</v>
      </c>
      <c r="AU26" s="1" t="s">
        <v>24</v>
      </c>
      <c r="AV26" s="2">
        <v>6992.05</v>
      </c>
      <c r="AW26" s="2">
        <v>4911.16</v>
      </c>
      <c r="AX26" s="2">
        <v>6541.09</v>
      </c>
      <c r="AY26" s="2">
        <v>4661.87</v>
      </c>
      <c r="AZ26" s="2">
        <v>5561.59</v>
      </c>
      <c r="BA26" s="2">
        <v>7843.48</v>
      </c>
      <c r="BB26" s="2">
        <v>7323.57</v>
      </c>
      <c r="BC26" s="2">
        <v>7019.73</v>
      </c>
      <c r="BD26" s="2">
        <v>7424.84</v>
      </c>
      <c r="BE26" s="2">
        <v>6770.24</v>
      </c>
      <c r="BF26" s="2">
        <v>7425.95</v>
      </c>
      <c r="BG26" s="2">
        <v>6669.42</v>
      </c>
      <c r="BH26" s="2">
        <v>8052.14</v>
      </c>
      <c r="BI26" s="2">
        <v>6741</v>
      </c>
      <c r="BJ26" s="2">
        <v>7430.78</v>
      </c>
      <c r="BK26" s="2">
        <v>6477.79</v>
      </c>
      <c r="BL26" s="2">
        <v>6378.84</v>
      </c>
      <c r="BM26" s="2">
        <v>6009.89</v>
      </c>
      <c r="BN26" s="2">
        <v>5981.32</v>
      </c>
      <c r="BO26" s="2">
        <v>5685.56</v>
      </c>
      <c r="BR26" s="1" t="s">
        <v>24</v>
      </c>
      <c r="BS26" s="2">
        <v>8945.26</v>
      </c>
      <c r="BT26" s="2">
        <v>5660.15</v>
      </c>
      <c r="BU26" s="2">
        <v>8485.1200000000008</v>
      </c>
      <c r="BV26" s="2">
        <v>5519.31</v>
      </c>
      <c r="BW26" s="2">
        <v>7251.24</v>
      </c>
      <c r="BX26" s="2">
        <v>9280</v>
      </c>
      <c r="BY26" s="2">
        <v>9280</v>
      </c>
      <c r="BZ26" s="2">
        <v>8605.17</v>
      </c>
      <c r="CA26" s="2">
        <v>9280</v>
      </c>
      <c r="CB26" s="2">
        <v>7950.3</v>
      </c>
      <c r="CC26" s="2">
        <v>9280</v>
      </c>
      <c r="CD26" s="2">
        <v>7757.88</v>
      </c>
      <c r="CE26" s="2">
        <v>9280</v>
      </c>
      <c r="CF26" s="2">
        <v>7881.21</v>
      </c>
      <c r="CG26" s="2">
        <v>9280</v>
      </c>
      <c r="CH26" s="2">
        <v>7476.29</v>
      </c>
      <c r="CI26" s="2">
        <v>7378.28</v>
      </c>
      <c r="CJ26" s="2">
        <v>6904.81</v>
      </c>
      <c r="CK26" s="2">
        <v>6889.57</v>
      </c>
      <c r="CL26" s="2">
        <v>6537.45</v>
      </c>
    </row>
    <row r="27" spans="2:90" x14ac:dyDescent="0.3">
      <c r="B27" s="1" t="s">
        <v>25</v>
      </c>
      <c r="C27" s="2">
        <v>0.25</v>
      </c>
      <c r="D27" s="2">
        <v>0.16</v>
      </c>
      <c r="E27" s="2">
        <v>0.17</v>
      </c>
      <c r="F27" s="2">
        <v>0.17</v>
      </c>
      <c r="G27" s="2">
        <v>0.25</v>
      </c>
      <c r="H27" s="2">
        <v>0.25</v>
      </c>
      <c r="I27" s="2">
        <v>0.17</v>
      </c>
      <c r="J27" s="2">
        <v>0.23</v>
      </c>
      <c r="K27" s="2">
        <v>0.2</v>
      </c>
      <c r="L27" s="2">
        <v>0.21</v>
      </c>
      <c r="M27" s="2">
        <v>0.2</v>
      </c>
      <c r="N27" s="2">
        <v>0.18</v>
      </c>
      <c r="O27" s="2">
        <v>0.19</v>
      </c>
      <c r="P27" s="2">
        <v>0.17</v>
      </c>
      <c r="Q27" s="2">
        <v>0.17</v>
      </c>
      <c r="R27" s="2">
        <v>0.16</v>
      </c>
      <c r="S27" s="2">
        <v>0.16</v>
      </c>
      <c r="T27" s="2">
        <v>0.16</v>
      </c>
      <c r="U27" s="2">
        <v>0.16</v>
      </c>
      <c r="V27" s="2">
        <v>0.16</v>
      </c>
      <c r="X27" s="1" t="s">
        <v>25</v>
      </c>
      <c r="Y27" s="2">
        <v>6325.61</v>
      </c>
      <c r="Z27" s="2">
        <v>5542.16</v>
      </c>
      <c r="AA27" s="2">
        <v>6112.37</v>
      </c>
      <c r="AB27" s="2">
        <v>7485.07</v>
      </c>
      <c r="AC27" s="2">
        <v>6261.26</v>
      </c>
      <c r="AD27" s="2">
        <v>6864.57</v>
      </c>
      <c r="AE27" s="2">
        <v>6385.97</v>
      </c>
      <c r="AF27" s="2">
        <v>7493.83</v>
      </c>
      <c r="AG27" s="2">
        <v>7845.11</v>
      </c>
      <c r="AH27" s="2">
        <v>7681.59</v>
      </c>
      <c r="AI27" s="2">
        <v>7529.45</v>
      </c>
      <c r="AJ27" s="2">
        <v>6807.2</v>
      </c>
      <c r="AK27" s="2">
        <v>6602.25</v>
      </c>
      <c r="AL27" s="2">
        <v>6343.7</v>
      </c>
      <c r="AM27" s="2">
        <v>5580.51</v>
      </c>
      <c r="AN27" s="2">
        <v>5237.6400000000003</v>
      </c>
      <c r="AO27" s="2">
        <v>4967.49</v>
      </c>
      <c r="AP27" s="2">
        <v>4859.96</v>
      </c>
      <c r="AQ27" s="2">
        <v>4778.8</v>
      </c>
      <c r="AR27" s="2">
        <v>5314.46</v>
      </c>
      <c r="AU27" s="1" t="s">
        <v>25</v>
      </c>
      <c r="AV27" s="2">
        <v>23332.59</v>
      </c>
      <c r="AW27" s="2">
        <v>34426.26</v>
      </c>
      <c r="AX27" s="2">
        <v>32182.12</v>
      </c>
      <c r="AY27" s="2">
        <v>39377.480000000003</v>
      </c>
      <c r="AZ27" s="2">
        <v>22163.41</v>
      </c>
      <c r="BA27" s="2">
        <v>24829.38</v>
      </c>
      <c r="BB27" s="2">
        <v>35276.28</v>
      </c>
      <c r="BC27" s="2">
        <v>30464.91</v>
      </c>
      <c r="BD27" s="2">
        <v>35754.89</v>
      </c>
      <c r="BE27" s="2">
        <v>34772.160000000003</v>
      </c>
      <c r="BF27" s="2">
        <v>35476.9</v>
      </c>
      <c r="BG27" s="2">
        <v>36541.300000000003</v>
      </c>
      <c r="BH27" s="2">
        <v>34545.33</v>
      </c>
      <c r="BI27" s="2">
        <v>36556.870000000003</v>
      </c>
      <c r="BJ27" s="2">
        <v>33377.97</v>
      </c>
      <c r="BK27" s="2">
        <v>32300.05</v>
      </c>
      <c r="BL27" s="2">
        <v>30932.51</v>
      </c>
      <c r="BM27" s="2">
        <v>29946.62</v>
      </c>
      <c r="BN27" s="2">
        <v>30402.07</v>
      </c>
      <c r="BO27" s="2">
        <v>33849.29</v>
      </c>
      <c r="BR27" s="1" t="s">
        <v>25</v>
      </c>
      <c r="BS27" s="2">
        <v>29658.2</v>
      </c>
      <c r="BT27" s="2">
        <v>39968.42</v>
      </c>
      <c r="BU27" s="2">
        <v>38294.49</v>
      </c>
      <c r="BV27" s="2">
        <v>46862.55</v>
      </c>
      <c r="BW27" s="2">
        <v>28424.67</v>
      </c>
      <c r="BX27" s="2">
        <v>31693.95</v>
      </c>
      <c r="BY27" s="2">
        <v>41662.25</v>
      </c>
      <c r="BZ27" s="2">
        <v>37958.74</v>
      </c>
      <c r="CA27" s="2">
        <v>43600</v>
      </c>
      <c r="CB27" s="2">
        <v>42453.75</v>
      </c>
      <c r="CC27" s="2">
        <v>43006.35</v>
      </c>
      <c r="CD27" s="2">
        <v>43348.5</v>
      </c>
      <c r="CE27" s="2">
        <v>41147.58</v>
      </c>
      <c r="CF27" s="2">
        <v>42900.58</v>
      </c>
      <c r="CG27" s="2">
        <v>38958.480000000003</v>
      </c>
      <c r="CH27" s="2">
        <v>37537.69</v>
      </c>
      <c r="CI27" s="2">
        <v>35900</v>
      </c>
      <c r="CJ27" s="2">
        <v>34806.58</v>
      </c>
      <c r="CK27" s="2">
        <v>35180.870000000003</v>
      </c>
      <c r="CL27" s="2">
        <v>39163.75</v>
      </c>
    </row>
    <row r="28" spans="2:90" x14ac:dyDescent="0.3">
      <c r="B28" s="1" t="s">
        <v>26</v>
      </c>
      <c r="C28" s="2">
        <v>0.28000000000000003</v>
      </c>
      <c r="D28" s="2">
        <v>0.2</v>
      </c>
      <c r="E28" s="2">
        <v>0.25</v>
      </c>
      <c r="F28" s="2">
        <v>0.24</v>
      </c>
      <c r="G28" s="2">
        <v>0.28999999999999998</v>
      </c>
      <c r="H28" s="2">
        <v>0.28000000000000003</v>
      </c>
      <c r="I28" s="2">
        <v>0.21</v>
      </c>
      <c r="J28" s="2">
        <v>0.28000000000000003</v>
      </c>
      <c r="K28" s="2">
        <v>0.2</v>
      </c>
      <c r="L28" s="2">
        <v>0.24</v>
      </c>
      <c r="M28" s="2">
        <v>0.19</v>
      </c>
      <c r="N28" s="2">
        <v>0.23</v>
      </c>
      <c r="O28" s="2">
        <v>0.19</v>
      </c>
      <c r="P28" s="2">
        <v>0.23</v>
      </c>
      <c r="Q28" s="2">
        <v>0.19</v>
      </c>
      <c r="R28" s="2">
        <v>0.23</v>
      </c>
      <c r="S28" s="2">
        <v>0.19</v>
      </c>
      <c r="T28" s="2">
        <v>0.23</v>
      </c>
      <c r="U28" s="2">
        <v>0.19</v>
      </c>
      <c r="V28" s="2">
        <v>0.19</v>
      </c>
      <c r="X28" s="1" t="s">
        <v>26</v>
      </c>
      <c r="Y28" s="2">
        <v>1744.53</v>
      </c>
      <c r="Z28" s="2">
        <v>1251.98</v>
      </c>
      <c r="AA28" s="2">
        <v>2152.75</v>
      </c>
      <c r="AB28" s="2">
        <v>2160.91</v>
      </c>
      <c r="AC28" s="2">
        <v>1545.13</v>
      </c>
      <c r="AD28" s="2">
        <v>1713.17</v>
      </c>
      <c r="AE28" s="2">
        <v>1471.12</v>
      </c>
      <c r="AF28" s="2">
        <v>1441.64</v>
      </c>
      <c r="AG28" s="2">
        <v>1347.13</v>
      </c>
      <c r="AH28" s="2">
        <v>1914.26</v>
      </c>
      <c r="AI28" s="2">
        <v>1391.31</v>
      </c>
      <c r="AJ28" s="2">
        <v>1954.92</v>
      </c>
      <c r="AK28" s="2">
        <v>1402.9</v>
      </c>
      <c r="AL28" s="2">
        <v>1956.95</v>
      </c>
      <c r="AM28" s="2">
        <v>1361.42</v>
      </c>
      <c r="AN28" s="2">
        <v>1952.01</v>
      </c>
      <c r="AO28" s="2">
        <v>1302.4000000000001</v>
      </c>
      <c r="AP28" s="2">
        <v>1895.51</v>
      </c>
      <c r="AQ28" s="2">
        <v>1199.29</v>
      </c>
      <c r="AR28" s="2">
        <v>1180.44</v>
      </c>
      <c r="AU28" s="1" t="s">
        <v>26</v>
      </c>
      <c r="AV28" s="2">
        <v>5473.4</v>
      </c>
      <c r="AW28" s="2">
        <v>6103.84</v>
      </c>
      <c r="AX28" s="2">
        <v>7127.25</v>
      </c>
      <c r="AY28" s="2">
        <v>7119.09</v>
      </c>
      <c r="AZ28" s="2">
        <v>4491.82</v>
      </c>
      <c r="BA28" s="2">
        <v>5138.13</v>
      </c>
      <c r="BB28" s="2">
        <v>6314.33</v>
      </c>
      <c r="BC28" s="2">
        <v>4379.18</v>
      </c>
      <c r="BD28" s="2">
        <v>6283.03</v>
      </c>
      <c r="BE28" s="2">
        <v>7134.79</v>
      </c>
      <c r="BF28" s="2">
        <v>6827.15</v>
      </c>
      <c r="BG28" s="2">
        <v>7325.08</v>
      </c>
      <c r="BH28" s="2">
        <v>6836.19</v>
      </c>
      <c r="BI28" s="2">
        <v>7323.05</v>
      </c>
      <c r="BJ28" s="2">
        <v>6790.39</v>
      </c>
      <c r="BK28" s="2">
        <v>7327.99</v>
      </c>
      <c r="BL28" s="2">
        <v>6455.48</v>
      </c>
      <c r="BM28" s="2">
        <v>7272.37</v>
      </c>
      <c r="BN28" s="2">
        <v>6056.41</v>
      </c>
      <c r="BO28" s="2">
        <v>5604.31</v>
      </c>
      <c r="BR28" s="1" t="s">
        <v>26</v>
      </c>
      <c r="BS28" s="2">
        <v>7217.93</v>
      </c>
      <c r="BT28" s="2">
        <v>7355.81</v>
      </c>
      <c r="BU28" s="2">
        <v>9280</v>
      </c>
      <c r="BV28" s="2">
        <v>9280</v>
      </c>
      <c r="BW28" s="2">
        <v>6036.95</v>
      </c>
      <c r="BX28" s="2">
        <v>6851.29</v>
      </c>
      <c r="BY28" s="2">
        <v>7785.46</v>
      </c>
      <c r="BZ28" s="2">
        <v>5820.82</v>
      </c>
      <c r="CA28" s="2">
        <v>7630.16</v>
      </c>
      <c r="CB28" s="2">
        <v>9049.0400000000009</v>
      </c>
      <c r="CC28" s="2">
        <v>8218.4500000000007</v>
      </c>
      <c r="CD28" s="2">
        <v>9280</v>
      </c>
      <c r="CE28" s="2">
        <v>8239.09</v>
      </c>
      <c r="CF28" s="2">
        <v>9280</v>
      </c>
      <c r="CG28" s="2">
        <v>8151.81</v>
      </c>
      <c r="CH28" s="2">
        <v>9280</v>
      </c>
      <c r="CI28" s="2">
        <v>7757.89</v>
      </c>
      <c r="CJ28" s="2">
        <v>9167.89</v>
      </c>
      <c r="CK28" s="2">
        <v>7255.7</v>
      </c>
      <c r="CL28" s="2">
        <v>6784.74</v>
      </c>
    </row>
    <row r="29" spans="2:90" x14ac:dyDescent="0.3">
      <c r="B29" s="1" t="s">
        <v>27</v>
      </c>
      <c r="C29" s="2">
        <v>0.22</v>
      </c>
      <c r="D29" s="2">
        <v>0.22</v>
      </c>
      <c r="E29" s="2">
        <v>0.2</v>
      </c>
      <c r="F29" s="2">
        <v>0.21</v>
      </c>
      <c r="G29" s="2">
        <v>0.31</v>
      </c>
      <c r="H29" s="2">
        <v>0.23</v>
      </c>
      <c r="I29" s="2">
        <v>0.26</v>
      </c>
      <c r="J29" s="2">
        <v>0.34</v>
      </c>
      <c r="K29" s="2">
        <v>0.19</v>
      </c>
      <c r="L29" s="2">
        <v>0.2</v>
      </c>
      <c r="M29" s="2">
        <v>0.24</v>
      </c>
      <c r="N29" s="2">
        <v>0.2</v>
      </c>
      <c r="O29" s="2">
        <v>0.24</v>
      </c>
      <c r="P29" s="2">
        <v>0.2</v>
      </c>
      <c r="Q29" s="2">
        <v>0.25</v>
      </c>
      <c r="R29" s="2">
        <v>0.21</v>
      </c>
      <c r="S29" s="2">
        <v>0.22</v>
      </c>
      <c r="T29" s="2">
        <v>0.19</v>
      </c>
      <c r="U29" s="2">
        <v>0.21</v>
      </c>
      <c r="V29" s="2">
        <v>0.2</v>
      </c>
      <c r="X29" s="1" t="s">
        <v>27</v>
      </c>
      <c r="Y29" s="2">
        <v>5298.25</v>
      </c>
      <c r="Z29" s="2">
        <v>5545.86</v>
      </c>
      <c r="AA29" s="2">
        <v>5022.2299999999996</v>
      </c>
      <c r="AB29" s="2">
        <v>6225.85</v>
      </c>
      <c r="AC29" s="2">
        <v>5292.14</v>
      </c>
      <c r="AD29" s="2">
        <v>5335.01</v>
      </c>
      <c r="AE29" s="2">
        <v>6135.02</v>
      </c>
      <c r="AF29" s="2">
        <v>6711.11</v>
      </c>
      <c r="AG29" s="2">
        <v>4230.83</v>
      </c>
      <c r="AH29" s="2">
        <v>5607.43</v>
      </c>
      <c r="AI29" s="2">
        <v>5366.54</v>
      </c>
      <c r="AJ29" s="2">
        <v>5576.23</v>
      </c>
      <c r="AK29" s="2">
        <v>5505.14</v>
      </c>
      <c r="AL29" s="2">
        <v>5586.74</v>
      </c>
      <c r="AM29" s="2">
        <v>6011.69</v>
      </c>
      <c r="AN29" s="2">
        <v>5287.13</v>
      </c>
      <c r="AO29" s="2">
        <v>4453.62</v>
      </c>
      <c r="AP29" s="2">
        <v>3974.94</v>
      </c>
      <c r="AQ29" s="2">
        <v>3927.19</v>
      </c>
      <c r="AR29" s="2">
        <v>3794.07</v>
      </c>
      <c r="AU29" s="1" t="s">
        <v>27</v>
      </c>
      <c r="AV29" s="2">
        <v>22040.26</v>
      </c>
      <c r="AW29" s="2">
        <v>23445.61</v>
      </c>
      <c r="AX29" s="2">
        <v>22016.87</v>
      </c>
      <c r="AY29" s="2">
        <v>25454.15</v>
      </c>
      <c r="AZ29" s="2">
        <v>13839.31</v>
      </c>
      <c r="BA29" s="2">
        <v>21638.09</v>
      </c>
      <c r="BB29" s="2">
        <v>20213.16</v>
      </c>
      <c r="BC29" s="2">
        <v>15382.1</v>
      </c>
      <c r="BD29" s="2">
        <v>20585.93</v>
      </c>
      <c r="BE29" s="2">
        <v>26072.57</v>
      </c>
      <c r="BF29" s="2">
        <v>20468.61</v>
      </c>
      <c r="BG29" s="2">
        <v>26103.77</v>
      </c>
      <c r="BH29" s="2">
        <v>20639.849999999999</v>
      </c>
      <c r="BI29" s="2">
        <v>26093.26</v>
      </c>
      <c r="BJ29" s="2">
        <v>21234.65</v>
      </c>
      <c r="BK29" s="2">
        <v>23993.89</v>
      </c>
      <c r="BL29" s="2">
        <v>19382.439999999999</v>
      </c>
      <c r="BM29" s="2">
        <v>20359.77</v>
      </c>
      <c r="BN29" s="2">
        <v>18641.79</v>
      </c>
      <c r="BO29" s="2">
        <v>18403.64</v>
      </c>
      <c r="BR29" s="1" t="s">
        <v>27</v>
      </c>
      <c r="BS29" s="2">
        <v>27338.51</v>
      </c>
      <c r="BT29" s="2">
        <v>28991.47</v>
      </c>
      <c r="BU29" s="2">
        <v>27039.1</v>
      </c>
      <c r="BV29" s="2">
        <v>31680</v>
      </c>
      <c r="BW29" s="2">
        <v>19131.45</v>
      </c>
      <c r="BX29" s="2">
        <v>26973.1</v>
      </c>
      <c r="BY29" s="2">
        <v>26348.18</v>
      </c>
      <c r="BZ29" s="2">
        <v>22093.21</v>
      </c>
      <c r="CA29" s="2">
        <v>24816.75</v>
      </c>
      <c r="CB29" s="2">
        <v>31680</v>
      </c>
      <c r="CC29" s="2">
        <v>25835.15</v>
      </c>
      <c r="CD29" s="2">
        <v>31680</v>
      </c>
      <c r="CE29" s="2">
        <v>26144.99</v>
      </c>
      <c r="CF29" s="2">
        <v>31680</v>
      </c>
      <c r="CG29" s="2">
        <v>27246.34</v>
      </c>
      <c r="CH29" s="2">
        <v>29281.02</v>
      </c>
      <c r="CI29" s="2">
        <v>23836.05</v>
      </c>
      <c r="CJ29" s="2">
        <v>24334.71</v>
      </c>
      <c r="CK29" s="2">
        <v>22568.99</v>
      </c>
      <c r="CL29" s="2">
        <v>22197.71</v>
      </c>
    </row>
    <row r="30" spans="2:90" x14ac:dyDescent="0.3">
      <c r="B30" s="1" t="s">
        <v>28</v>
      </c>
      <c r="C30" s="2">
        <v>0.2</v>
      </c>
      <c r="D30" s="2">
        <v>0.2</v>
      </c>
      <c r="E30" s="2">
        <v>0.22</v>
      </c>
      <c r="F30" s="2">
        <v>0.22</v>
      </c>
      <c r="G30" s="2">
        <v>0.19</v>
      </c>
      <c r="H30" s="2">
        <v>0.22</v>
      </c>
      <c r="I30" s="2">
        <v>0.22</v>
      </c>
      <c r="J30" s="2">
        <v>0.23</v>
      </c>
      <c r="K30" s="2">
        <v>0.2</v>
      </c>
      <c r="L30" s="2">
        <v>0.22</v>
      </c>
      <c r="M30" s="2">
        <v>0.23</v>
      </c>
      <c r="N30" s="2">
        <v>0.21</v>
      </c>
      <c r="O30" s="2">
        <v>0.24</v>
      </c>
      <c r="P30" s="2">
        <v>0.22</v>
      </c>
      <c r="Q30" s="2">
        <v>0.23</v>
      </c>
      <c r="R30" s="2">
        <v>0.2</v>
      </c>
      <c r="S30" s="2">
        <v>0.21</v>
      </c>
      <c r="T30" s="2">
        <v>0.2</v>
      </c>
      <c r="U30" s="2">
        <v>0.2</v>
      </c>
      <c r="V30" s="2">
        <v>0.2</v>
      </c>
      <c r="X30" s="1" t="s">
        <v>28</v>
      </c>
      <c r="Y30" s="2">
        <v>2661.61</v>
      </c>
      <c r="Z30" s="2">
        <v>3389.16</v>
      </c>
      <c r="AA30" s="2">
        <v>2745.56</v>
      </c>
      <c r="AB30" s="2">
        <v>2920.62</v>
      </c>
      <c r="AC30" s="2">
        <v>1624.11</v>
      </c>
      <c r="AD30" s="2">
        <v>3012.71</v>
      </c>
      <c r="AE30" s="2">
        <v>2038.31</v>
      </c>
      <c r="AF30" s="2">
        <v>3043.23</v>
      </c>
      <c r="AG30" s="2">
        <v>2192.83</v>
      </c>
      <c r="AH30" s="2">
        <v>2884.77</v>
      </c>
      <c r="AI30" s="2">
        <v>2445.4499999999998</v>
      </c>
      <c r="AJ30" s="2">
        <v>2955.27</v>
      </c>
      <c r="AK30" s="2">
        <v>2401.42</v>
      </c>
      <c r="AL30" s="2">
        <v>2967.4</v>
      </c>
      <c r="AM30" s="2">
        <v>2324.7600000000002</v>
      </c>
      <c r="AN30" s="2">
        <v>2278.48</v>
      </c>
      <c r="AO30" s="2">
        <v>1930.79</v>
      </c>
      <c r="AP30" s="2">
        <v>1938.56</v>
      </c>
      <c r="AQ30" s="2">
        <v>1994.26</v>
      </c>
      <c r="AR30" s="2">
        <v>2053.23</v>
      </c>
      <c r="AU30" s="1" t="s">
        <v>28</v>
      </c>
      <c r="AV30" s="2">
        <v>13406.69</v>
      </c>
      <c r="AW30" s="2">
        <v>16286.94</v>
      </c>
      <c r="AX30" s="2">
        <v>11208.61</v>
      </c>
      <c r="AY30" s="2">
        <v>11953.53</v>
      </c>
      <c r="AZ30" s="2">
        <v>8836.5300000000007</v>
      </c>
      <c r="BA30" s="2">
        <v>13115.73</v>
      </c>
      <c r="BB30" s="2">
        <v>9860.73</v>
      </c>
      <c r="BC30" s="2">
        <v>12166.07</v>
      </c>
      <c r="BD30" s="2">
        <v>11303.27</v>
      </c>
      <c r="BE30" s="2">
        <v>12589.17</v>
      </c>
      <c r="BF30" s="2">
        <v>10758.75</v>
      </c>
      <c r="BG30" s="2">
        <v>13008.3</v>
      </c>
      <c r="BH30" s="2">
        <v>10302.450000000001</v>
      </c>
      <c r="BI30" s="2">
        <v>13211.32</v>
      </c>
      <c r="BJ30" s="2">
        <v>10360.74</v>
      </c>
      <c r="BK30" s="2">
        <v>11421.92</v>
      </c>
      <c r="BL30" s="2">
        <v>9860.41</v>
      </c>
      <c r="BM30" s="2">
        <v>10072.24</v>
      </c>
      <c r="BN30" s="2">
        <v>10466.24</v>
      </c>
      <c r="BO30" s="2">
        <v>11071.77</v>
      </c>
      <c r="BR30" s="1" t="s">
        <v>28</v>
      </c>
      <c r="BS30" s="2">
        <v>16068.3</v>
      </c>
      <c r="BT30" s="2">
        <v>19676.099999999999</v>
      </c>
      <c r="BU30" s="2">
        <v>13954.17</v>
      </c>
      <c r="BV30" s="2">
        <v>14874.15</v>
      </c>
      <c r="BW30" s="2">
        <v>10460.64</v>
      </c>
      <c r="BX30" s="2">
        <v>16128.44</v>
      </c>
      <c r="BY30" s="2">
        <v>11899.04</v>
      </c>
      <c r="BZ30" s="2">
        <v>15209.3</v>
      </c>
      <c r="CA30" s="2">
        <v>13496.1</v>
      </c>
      <c r="CB30" s="2">
        <v>15473.95</v>
      </c>
      <c r="CC30" s="2">
        <v>13204.2</v>
      </c>
      <c r="CD30" s="2">
        <v>15963.58</v>
      </c>
      <c r="CE30" s="2">
        <v>12703.86</v>
      </c>
      <c r="CF30" s="2">
        <v>16178.72</v>
      </c>
      <c r="CG30" s="2">
        <v>12685.5</v>
      </c>
      <c r="CH30" s="2">
        <v>13700.4</v>
      </c>
      <c r="CI30" s="2">
        <v>11791.2</v>
      </c>
      <c r="CJ30" s="2">
        <v>12010.8</v>
      </c>
      <c r="CK30" s="2">
        <v>12460.5</v>
      </c>
      <c r="CL30" s="2">
        <v>13125</v>
      </c>
    </row>
    <row r="33" spans="2:90" x14ac:dyDescent="0.3">
      <c r="B33" t="s">
        <v>33</v>
      </c>
      <c r="X33" t="s">
        <v>34</v>
      </c>
      <c r="AU33" t="s">
        <v>35</v>
      </c>
      <c r="BR33" t="s">
        <v>36</v>
      </c>
    </row>
    <row r="34" spans="2:90" x14ac:dyDescent="0.3">
      <c r="B34" s="1" t="s">
        <v>16</v>
      </c>
      <c r="C34" s="1" t="s">
        <v>17</v>
      </c>
      <c r="D34" s="1" t="s">
        <v>18</v>
      </c>
      <c r="E34" s="1" t="s">
        <v>17</v>
      </c>
      <c r="F34" s="1" t="s">
        <v>18</v>
      </c>
      <c r="G34" s="1" t="s">
        <v>17</v>
      </c>
      <c r="H34" s="1" t="s">
        <v>18</v>
      </c>
      <c r="I34" s="1" t="s">
        <v>17</v>
      </c>
      <c r="J34" s="1" t="s">
        <v>18</v>
      </c>
      <c r="K34" s="1" t="s">
        <v>17</v>
      </c>
      <c r="L34" s="1" t="s">
        <v>18</v>
      </c>
      <c r="M34" s="1" t="s">
        <v>17</v>
      </c>
      <c r="N34" s="1" t="s">
        <v>18</v>
      </c>
      <c r="O34" s="1" t="s">
        <v>17</v>
      </c>
      <c r="P34" s="1" t="s">
        <v>18</v>
      </c>
      <c r="Q34" s="1" t="s">
        <v>17</v>
      </c>
      <c r="R34" s="1" t="s">
        <v>18</v>
      </c>
      <c r="S34" s="1" t="s">
        <v>17</v>
      </c>
      <c r="T34" s="1" t="s">
        <v>18</v>
      </c>
      <c r="U34" s="1" t="s">
        <v>17</v>
      </c>
      <c r="V34" s="1" t="s">
        <v>18</v>
      </c>
      <c r="X34" s="1" t="s">
        <v>16</v>
      </c>
      <c r="Y34" s="1" t="s">
        <v>17</v>
      </c>
      <c r="Z34" s="1" t="s">
        <v>18</v>
      </c>
      <c r="AA34" s="1" t="s">
        <v>17</v>
      </c>
      <c r="AB34" s="1" t="s">
        <v>18</v>
      </c>
      <c r="AC34" s="1" t="s">
        <v>17</v>
      </c>
      <c r="AD34" s="1" t="s">
        <v>18</v>
      </c>
      <c r="AE34" s="1" t="s">
        <v>17</v>
      </c>
      <c r="AF34" s="1" t="s">
        <v>18</v>
      </c>
      <c r="AG34" s="1" t="s">
        <v>17</v>
      </c>
      <c r="AH34" s="1" t="s">
        <v>18</v>
      </c>
      <c r="AI34" s="1" t="s">
        <v>17</v>
      </c>
      <c r="AJ34" s="1" t="s">
        <v>18</v>
      </c>
      <c r="AK34" s="1" t="s">
        <v>17</v>
      </c>
      <c r="AL34" s="1" t="s">
        <v>18</v>
      </c>
      <c r="AM34" s="1" t="s">
        <v>17</v>
      </c>
      <c r="AN34" s="1" t="s">
        <v>18</v>
      </c>
      <c r="AO34" s="1" t="s">
        <v>17</v>
      </c>
      <c r="AP34" s="1" t="s">
        <v>18</v>
      </c>
      <c r="AQ34" s="1" t="s">
        <v>17</v>
      </c>
      <c r="AR34" s="1" t="s">
        <v>18</v>
      </c>
      <c r="AU34" s="1" t="s">
        <v>16</v>
      </c>
      <c r="AV34" s="1" t="s">
        <v>17</v>
      </c>
      <c r="AW34" s="1" t="s">
        <v>18</v>
      </c>
      <c r="AX34" s="1" t="s">
        <v>17</v>
      </c>
      <c r="AY34" s="1" t="s">
        <v>18</v>
      </c>
      <c r="AZ34" s="1" t="s">
        <v>17</v>
      </c>
      <c r="BA34" s="1" t="s">
        <v>18</v>
      </c>
      <c r="BB34" s="1" t="s">
        <v>17</v>
      </c>
      <c r="BC34" s="1" t="s">
        <v>18</v>
      </c>
      <c r="BD34" s="1" t="s">
        <v>17</v>
      </c>
      <c r="BE34" s="1" t="s">
        <v>18</v>
      </c>
      <c r="BF34" s="1" t="s">
        <v>17</v>
      </c>
      <c r="BG34" s="1" t="s">
        <v>18</v>
      </c>
      <c r="BH34" s="1" t="s">
        <v>17</v>
      </c>
      <c r="BI34" s="1" t="s">
        <v>18</v>
      </c>
      <c r="BJ34" s="1" t="s">
        <v>17</v>
      </c>
      <c r="BK34" s="1" t="s">
        <v>18</v>
      </c>
      <c r="BL34" s="1" t="s">
        <v>17</v>
      </c>
      <c r="BM34" s="1" t="s">
        <v>18</v>
      </c>
      <c r="BN34" s="1" t="s">
        <v>17</v>
      </c>
      <c r="BO34" s="1" t="s">
        <v>18</v>
      </c>
      <c r="BR34" s="1" t="s">
        <v>16</v>
      </c>
      <c r="BS34" s="1" t="s">
        <v>17</v>
      </c>
      <c r="BT34" s="1" t="s">
        <v>18</v>
      </c>
      <c r="BU34" s="1" t="s">
        <v>17</v>
      </c>
      <c r="BV34" s="1" t="s">
        <v>18</v>
      </c>
      <c r="BW34" s="1" t="s">
        <v>17</v>
      </c>
      <c r="BX34" s="1" t="s">
        <v>18</v>
      </c>
      <c r="BY34" s="1" t="s">
        <v>17</v>
      </c>
      <c r="BZ34" s="1" t="s">
        <v>18</v>
      </c>
      <c r="CA34" s="1" t="s">
        <v>17</v>
      </c>
      <c r="CB34" s="1" t="s">
        <v>18</v>
      </c>
      <c r="CC34" s="1" t="s">
        <v>17</v>
      </c>
      <c r="CD34" s="1" t="s">
        <v>18</v>
      </c>
      <c r="CE34" s="1" t="s">
        <v>17</v>
      </c>
      <c r="CF34" s="1" t="s">
        <v>18</v>
      </c>
      <c r="CG34" s="1" t="s">
        <v>17</v>
      </c>
      <c r="CH34" s="1" t="s">
        <v>18</v>
      </c>
      <c r="CI34" s="1" t="s">
        <v>17</v>
      </c>
      <c r="CJ34" s="1" t="s">
        <v>18</v>
      </c>
      <c r="CK34" s="1" t="s">
        <v>17</v>
      </c>
      <c r="CL34" s="1" t="s">
        <v>18</v>
      </c>
    </row>
    <row r="35" spans="2:90" x14ac:dyDescent="0.3">
      <c r="B35" s="1" t="s">
        <v>19</v>
      </c>
      <c r="C35" s="1" t="s">
        <v>1</v>
      </c>
      <c r="D35" s="1" t="s">
        <v>1</v>
      </c>
      <c r="E35" s="1" t="s">
        <v>2</v>
      </c>
      <c r="F35" s="1" t="s">
        <v>2</v>
      </c>
      <c r="G35" s="1" t="s">
        <v>3</v>
      </c>
      <c r="H35" s="1" t="s">
        <v>3</v>
      </c>
      <c r="I35" s="1" t="s">
        <v>4</v>
      </c>
      <c r="J35" s="1" t="s">
        <v>4</v>
      </c>
      <c r="K35" s="1" t="s">
        <v>5</v>
      </c>
      <c r="L35" s="1" t="s">
        <v>5</v>
      </c>
      <c r="M35" s="1" t="s">
        <v>6</v>
      </c>
      <c r="N35" s="1" t="s">
        <v>6</v>
      </c>
      <c r="O35" s="1" t="s">
        <v>7</v>
      </c>
      <c r="P35" s="1" t="s">
        <v>7</v>
      </c>
      <c r="Q35" s="1" t="s">
        <v>8</v>
      </c>
      <c r="R35" s="1" t="s">
        <v>8</v>
      </c>
      <c r="S35" s="1" t="s">
        <v>9</v>
      </c>
      <c r="T35" s="1" t="s">
        <v>9</v>
      </c>
      <c r="U35" s="1" t="s">
        <v>10</v>
      </c>
      <c r="V35" s="1" t="s">
        <v>10</v>
      </c>
      <c r="X35" s="1" t="s">
        <v>19</v>
      </c>
      <c r="Y35" s="1" t="s">
        <v>1</v>
      </c>
      <c r="Z35" s="1" t="s">
        <v>1</v>
      </c>
      <c r="AA35" s="1" t="s">
        <v>2</v>
      </c>
      <c r="AB35" s="1" t="s">
        <v>2</v>
      </c>
      <c r="AC35" s="1" t="s">
        <v>3</v>
      </c>
      <c r="AD35" s="1" t="s">
        <v>3</v>
      </c>
      <c r="AE35" s="1" t="s">
        <v>4</v>
      </c>
      <c r="AF35" s="1" t="s">
        <v>4</v>
      </c>
      <c r="AG35" s="1" t="s">
        <v>5</v>
      </c>
      <c r="AH35" s="1" t="s">
        <v>5</v>
      </c>
      <c r="AI35" s="1" t="s">
        <v>6</v>
      </c>
      <c r="AJ35" s="1" t="s">
        <v>6</v>
      </c>
      <c r="AK35" s="1" t="s">
        <v>7</v>
      </c>
      <c r="AL35" s="1" t="s">
        <v>7</v>
      </c>
      <c r="AM35" s="1" t="s">
        <v>8</v>
      </c>
      <c r="AN35" s="1" t="s">
        <v>8</v>
      </c>
      <c r="AO35" s="1" t="s">
        <v>9</v>
      </c>
      <c r="AP35" s="1" t="s">
        <v>9</v>
      </c>
      <c r="AQ35" s="1" t="s">
        <v>10</v>
      </c>
      <c r="AR35" s="1" t="s">
        <v>10</v>
      </c>
      <c r="AU35" s="1" t="s">
        <v>19</v>
      </c>
      <c r="AV35" s="1" t="s">
        <v>1</v>
      </c>
      <c r="AW35" s="1" t="s">
        <v>1</v>
      </c>
      <c r="AX35" s="1" t="s">
        <v>2</v>
      </c>
      <c r="AY35" s="1" t="s">
        <v>2</v>
      </c>
      <c r="AZ35" s="1" t="s">
        <v>3</v>
      </c>
      <c r="BA35" s="1" t="s">
        <v>3</v>
      </c>
      <c r="BB35" s="1" t="s">
        <v>4</v>
      </c>
      <c r="BC35" s="1" t="s">
        <v>4</v>
      </c>
      <c r="BD35" s="1" t="s">
        <v>5</v>
      </c>
      <c r="BE35" s="1" t="s">
        <v>5</v>
      </c>
      <c r="BF35" s="1" t="s">
        <v>6</v>
      </c>
      <c r="BG35" s="1" t="s">
        <v>6</v>
      </c>
      <c r="BH35" s="1" t="s">
        <v>7</v>
      </c>
      <c r="BI35" s="1" t="s">
        <v>7</v>
      </c>
      <c r="BJ35" s="1" t="s">
        <v>8</v>
      </c>
      <c r="BK35" s="1" t="s">
        <v>8</v>
      </c>
      <c r="BL35" s="1" t="s">
        <v>9</v>
      </c>
      <c r="BM35" s="1" t="s">
        <v>9</v>
      </c>
      <c r="BN35" s="1" t="s">
        <v>10</v>
      </c>
      <c r="BO35" s="1" t="s">
        <v>10</v>
      </c>
      <c r="BR35" s="1" t="s">
        <v>19</v>
      </c>
      <c r="BS35" s="1" t="s">
        <v>1</v>
      </c>
      <c r="BT35" s="1" t="s">
        <v>1</v>
      </c>
      <c r="BU35" s="1" t="s">
        <v>2</v>
      </c>
      <c r="BV35" s="1" t="s">
        <v>2</v>
      </c>
      <c r="BW35" s="1" t="s">
        <v>3</v>
      </c>
      <c r="BX35" s="1" t="s">
        <v>3</v>
      </c>
      <c r="BY35" s="1" t="s">
        <v>4</v>
      </c>
      <c r="BZ35" s="1" t="s">
        <v>4</v>
      </c>
      <c r="CA35" s="1" t="s">
        <v>5</v>
      </c>
      <c r="CB35" s="1" t="s">
        <v>5</v>
      </c>
      <c r="CC35" s="1" t="s">
        <v>6</v>
      </c>
      <c r="CD35" s="1" t="s">
        <v>6</v>
      </c>
      <c r="CE35" s="1" t="s">
        <v>7</v>
      </c>
      <c r="CF35" s="1" t="s">
        <v>7</v>
      </c>
      <c r="CG35" s="1" t="s">
        <v>8</v>
      </c>
      <c r="CH35" s="1" t="s">
        <v>8</v>
      </c>
      <c r="CI35" s="1" t="s">
        <v>9</v>
      </c>
      <c r="CJ35" s="1" t="s">
        <v>9</v>
      </c>
      <c r="CK35" s="1" t="s">
        <v>10</v>
      </c>
      <c r="CL35" s="1" t="s">
        <v>10</v>
      </c>
    </row>
    <row r="36" spans="2:90" x14ac:dyDescent="0.3">
      <c r="B36" s="1" t="s">
        <v>20</v>
      </c>
      <c r="X36" s="1" t="s">
        <v>20</v>
      </c>
      <c r="AU36" s="1" t="s">
        <v>20</v>
      </c>
      <c r="BR36" s="1" t="s">
        <v>20</v>
      </c>
    </row>
    <row r="37" spans="2:90" x14ac:dyDescent="0.3">
      <c r="B37" s="1" t="s">
        <v>21</v>
      </c>
      <c r="C37" s="2">
        <v>1762.6</v>
      </c>
      <c r="D37" s="2">
        <v>1754.76</v>
      </c>
      <c r="E37" s="2">
        <v>1463.58</v>
      </c>
      <c r="F37" s="2">
        <v>1369.5</v>
      </c>
      <c r="G37" s="2">
        <v>508.63</v>
      </c>
      <c r="H37" s="2">
        <v>615.71</v>
      </c>
      <c r="I37" s="2">
        <v>2052.65</v>
      </c>
      <c r="J37" s="2">
        <v>2042.17</v>
      </c>
      <c r="K37" s="2">
        <v>2801.94</v>
      </c>
      <c r="L37" s="2">
        <v>2466.69</v>
      </c>
      <c r="M37" s="2">
        <v>4740.33</v>
      </c>
      <c r="N37" s="2">
        <v>4385.74</v>
      </c>
      <c r="O37" s="2">
        <v>3691.69</v>
      </c>
      <c r="P37" s="2">
        <v>3494.21</v>
      </c>
      <c r="Q37" s="2">
        <v>5075.5200000000004</v>
      </c>
      <c r="R37" s="2">
        <v>4688.8900000000003</v>
      </c>
      <c r="S37" s="2">
        <v>3988.4</v>
      </c>
      <c r="T37" s="2">
        <v>3042.88</v>
      </c>
      <c r="U37" s="2">
        <v>5429.59</v>
      </c>
      <c r="V37" s="2">
        <v>4307.3599999999997</v>
      </c>
      <c r="X37" s="1" t="s">
        <v>21</v>
      </c>
      <c r="Y37" s="2">
        <v>307.45</v>
      </c>
      <c r="Z37" s="2">
        <v>306.08</v>
      </c>
      <c r="AA37" s="2">
        <v>255.29</v>
      </c>
      <c r="AB37" s="2">
        <v>238.88</v>
      </c>
      <c r="AC37" s="2">
        <v>230.67</v>
      </c>
      <c r="AD37" s="2">
        <v>279.23</v>
      </c>
      <c r="AE37" s="2">
        <v>290.91000000000003</v>
      </c>
      <c r="AF37" s="2">
        <v>289.42</v>
      </c>
      <c r="AG37" s="2">
        <v>317.68</v>
      </c>
      <c r="AH37" s="2">
        <v>279.67</v>
      </c>
      <c r="AI37" s="2">
        <v>298.58</v>
      </c>
      <c r="AJ37" s="2">
        <v>276.25</v>
      </c>
      <c r="AK37" s="2">
        <v>288.66000000000003</v>
      </c>
      <c r="AL37" s="2">
        <v>273.22000000000003</v>
      </c>
      <c r="AM37" s="2">
        <v>302.87</v>
      </c>
      <c r="AN37" s="2">
        <v>279.8</v>
      </c>
      <c r="AO37" s="2">
        <v>266</v>
      </c>
      <c r="AP37" s="2">
        <v>202.94</v>
      </c>
      <c r="AQ37" s="2">
        <v>273.60000000000002</v>
      </c>
      <c r="AR37" s="2">
        <v>217.05</v>
      </c>
      <c r="AU37" s="1" t="s">
        <v>21</v>
      </c>
      <c r="AV37" s="2">
        <v>2888.16</v>
      </c>
      <c r="AW37" s="2">
        <v>2867.87</v>
      </c>
      <c r="AX37" s="2">
        <v>2352.81</v>
      </c>
      <c r="AY37" s="2">
        <v>2200.3200000000002</v>
      </c>
      <c r="AZ37" s="2">
        <v>2192.4299999999998</v>
      </c>
      <c r="BA37" s="2">
        <v>2610.86</v>
      </c>
      <c r="BB37" s="2">
        <v>2778.35</v>
      </c>
      <c r="BC37" s="2">
        <v>2750.58</v>
      </c>
      <c r="BD37" s="2">
        <v>3020.22</v>
      </c>
      <c r="BE37" s="2">
        <v>2665.23</v>
      </c>
      <c r="BF37" s="2">
        <v>2809.31</v>
      </c>
      <c r="BG37" s="2">
        <v>2622.45</v>
      </c>
      <c r="BH37" s="2">
        <v>2751.34</v>
      </c>
      <c r="BI37" s="2">
        <v>2571.48</v>
      </c>
      <c r="BJ37" s="2">
        <v>2849.22</v>
      </c>
      <c r="BK37" s="2">
        <v>2630.4</v>
      </c>
      <c r="BL37" s="2">
        <v>2491.5</v>
      </c>
      <c r="BM37" s="2">
        <v>1923.96</v>
      </c>
      <c r="BN37" s="2">
        <v>2579.1</v>
      </c>
      <c r="BO37" s="2">
        <v>2044.05</v>
      </c>
      <c r="BR37" s="1" t="s">
        <v>21</v>
      </c>
      <c r="BS37" s="2">
        <v>3195.61</v>
      </c>
      <c r="BT37" s="2">
        <v>3173.95</v>
      </c>
      <c r="BU37" s="2">
        <v>2608.1</v>
      </c>
      <c r="BV37" s="2">
        <v>2439.1999999999998</v>
      </c>
      <c r="BW37" s="2">
        <v>2423.1</v>
      </c>
      <c r="BX37" s="2">
        <v>2890.09</v>
      </c>
      <c r="BY37" s="2">
        <v>3069.26</v>
      </c>
      <c r="BZ37" s="2">
        <v>3040</v>
      </c>
      <c r="CA37" s="2">
        <v>3337.9</v>
      </c>
      <c r="CB37" s="2">
        <v>2944.9</v>
      </c>
      <c r="CC37" s="2">
        <v>3107.89</v>
      </c>
      <c r="CD37" s="2">
        <v>2898.7</v>
      </c>
      <c r="CE37" s="2">
        <v>3040</v>
      </c>
      <c r="CF37" s="2">
        <v>2844.7</v>
      </c>
      <c r="CG37" s="2">
        <v>3152.09</v>
      </c>
      <c r="CH37" s="2">
        <v>2910.2</v>
      </c>
      <c r="CI37" s="2">
        <v>2757.5</v>
      </c>
      <c r="CJ37" s="2">
        <v>2126.9</v>
      </c>
      <c r="CK37" s="2">
        <v>2852.7</v>
      </c>
      <c r="CL37" s="2">
        <v>2261.1</v>
      </c>
    </row>
    <row r="38" spans="2:90" x14ac:dyDescent="0.3">
      <c r="B38" s="1" t="s">
        <v>22</v>
      </c>
      <c r="C38" s="2">
        <v>2854.06</v>
      </c>
      <c r="D38" s="2">
        <v>920.26</v>
      </c>
      <c r="E38" s="2">
        <v>2488.5500000000002</v>
      </c>
      <c r="F38" s="2">
        <v>886.48</v>
      </c>
      <c r="G38" s="2">
        <v>659.31</v>
      </c>
      <c r="H38" s="2">
        <v>557.91999999999996</v>
      </c>
      <c r="I38" s="2">
        <v>4051.2</v>
      </c>
      <c r="J38" s="2">
        <v>3719.82</v>
      </c>
      <c r="K38" s="2">
        <v>4991.25</v>
      </c>
      <c r="L38" s="2">
        <v>2900.97</v>
      </c>
      <c r="M38" s="2">
        <v>11070</v>
      </c>
      <c r="N38" s="2">
        <v>5559.66</v>
      </c>
      <c r="O38" s="2">
        <v>8213.7199999999993</v>
      </c>
      <c r="P38" s="2">
        <v>5737.66</v>
      </c>
      <c r="Q38" s="2">
        <v>9336.57</v>
      </c>
      <c r="R38" s="2">
        <v>5322.55</v>
      </c>
      <c r="S38" s="2">
        <v>7241.3</v>
      </c>
      <c r="T38" s="2">
        <v>3301.63</v>
      </c>
      <c r="U38" s="2">
        <v>8405.59</v>
      </c>
      <c r="V38" s="2">
        <v>2687.69</v>
      </c>
      <c r="X38" s="1" t="s">
        <v>22</v>
      </c>
      <c r="Y38" s="2">
        <v>1350.18</v>
      </c>
      <c r="Z38" s="2">
        <v>839.98</v>
      </c>
      <c r="AA38" s="2">
        <v>1440.53</v>
      </c>
      <c r="AB38" s="2">
        <v>938.11</v>
      </c>
      <c r="AC38" s="2">
        <v>948.03</v>
      </c>
      <c r="AD38" s="2">
        <v>1170.92</v>
      </c>
      <c r="AE38" s="2">
        <v>1536.88</v>
      </c>
      <c r="AF38" s="2">
        <v>1107.0899999999999</v>
      </c>
      <c r="AG38" s="2">
        <v>1402.52</v>
      </c>
      <c r="AH38" s="2">
        <v>974.61</v>
      </c>
      <c r="AI38" s="2">
        <v>1464.29</v>
      </c>
      <c r="AJ38" s="2">
        <v>978.37</v>
      </c>
      <c r="AK38" s="2">
        <v>1348.72</v>
      </c>
      <c r="AL38" s="2">
        <v>1058.23</v>
      </c>
      <c r="AM38" s="2">
        <v>1170</v>
      </c>
      <c r="AN38" s="2">
        <v>1014.41</v>
      </c>
      <c r="AO38" s="2">
        <v>1087.56</v>
      </c>
      <c r="AP38" s="2">
        <v>831.77</v>
      </c>
      <c r="AQ38" s="2">
        <v>1254.1199999999999</v>
      </c>
      <c r="AR38" s="2">
        <v>800.1</v>
      </c>
      <c r="AU38" s="1" t="s">
        <v>22</v>
      </c>
      <c r="AV38" s="2">
        <v>7777.04</v>
      </c>
      <c r="AW38" s="2">
        <v>5090.96</v>
      </c>
      <c r="AX38" s="2">
        <v>7391.05</v>
      </c>
      <c r="AY38" s="2">
        <v>4930.32</v>
      </c>
      <c r="AZ38" s="2">
        <v>5008.07</v>
      </c>
      <c r="BA38" s="2">
        <v>6150.83</v>
      </c>
      <c r="BB38" s="2">
        <v>8193.7800000000007</v>
      </c>
      <c r="BC38" s="2">
        <v>5927.31</v>
      </c>
      <c r="BD38" s="2">
        <v>8088.26</v>
      </c>
      <c r="BE38" s="2">
        <v>5771.19</v>
      </c>
      <c r="BF38" s="2">
        <v>7776.17</v>
      </c>
      <c r="BG38" s="2">
        <v>5895.03</v>
      </c>
      <c r="BH38" s="2">
        <v>6889.88</v>
      </c>
      <c r="BI38" s="2">
        <v>6339.77</v>
      </c>
      <c r="BJ38" s="2">
        <v>6688.17</v>
      </c>
      <c r="BK38" s="2">
        <v>6028.13</v>
      </c>
      <c r="BL38" s="2">
        <v>6453.91</v>
      </c>
      <c r="BM38" s="2">
        <v>5032.45</v>
      </c>
      <c r="BN38" s="2">
        <v>7823.32</v>
      </c>
      <c r="BO38" s="2">
        <v>4970.67</v>
      </c>
      <c r="BR38" s="1" t="s">
        <v>22</v>
      </c>
      <c r="BS38" s="2">
        <v>9127.2199999999993</v>
      </c>
      <c r="BT38" s="2">
        <v>5930.95</v>
      </c>
      <c r="BU38" s="2">
        <v>8831.58</v>
      </c>
      <c r="BV38" s="2">
        <v>5868.44</v>
      </c>
      <c r="BW38" s="2">
        <v>5956.1</v>
      </c>
      <c r="BX38" s="2">
        <v>7321.74</v>
      </c>
      <c r="BY38" s="2">
        <v>9730.66</v>
      </c>
      <c r="BZ38" s="2">
        <v>7034.4</v>
      </c>
      <c r="CA38" s="2">
        <v>9490.7800000000007</v>
      </c>
      <c r="CB38" s="2">
        <v>6745.8</v>
      </c>
      <c r="CC38" s="2">
        <v>9240.4599999999991</v>
      </c>
      <c r="CD38" s="2">
        <v>6873.4</v>
      </c>
      <c r="CE38" s="2">
        <v>8238.6</v>
      </c>
      <c r="CF38" s="2">
        <v>7398</v>
      </c>
      <c r="CG38" s="2">
        <v>7858.17</v>
      </c>
      <c r="CH38" s="2">
        <v>7042.54</v>
      </c>
      <c r="CI38" s="2">
        <v>7541.46</v>
      </c>
      <c r="CJ38" s="2">
        <v>5864.22</v>
      </c>
      <c r="CK38" s="2">
        <v>9077.44</v>
      </c>
      <c r="CL38" s="2">
        <v>5770.78</v>
      </c>
    </row>
    <row r="39" spans="2:90" x14ac:dyDescent="0.3">
      <c r="B39" s="1" t="s">
        <v>23</v>
      </c>
      <c r="C39" s="2">
        <v>44860.97</v>
      </c>
      <c r="D39" s="2">
        <v>2879.41</v>
      </c>
      <c r="E39" s="2">
        <v>44987.63</v>
      </c>
      <c r="F39" s="2">
        <v>2218.44</v>
      </c>
      <c r="G39" s="2">
        <v>14013.78</v>
      </c>
      <c r="H39" s="2">
        <v>6623.07</v>
      </c>
      <c r="I39" s="2">
        <v>55304.93</v>
      </c>
      <c r="J39" s="2">
        <v>16576.53</v>
      </c>
      <c r="K39" s="2">
        <v>33576.589999999997</v>
      </c>
      <c r="L39" s="2">
        <v>16747.16</v>
      </c>
      <c r="M39" s="2">
        <v>60400.73</v>
      </c>
      <c r="N39" s="2">
        <v>30346.9</v>
      </c>
      <c r="O39" s="2">
        <v>46351.18</v>
      </c>
      <c r="P39" s="2">
        <v>25719.94</v>
      </c>
      <c r="Q39" s="2">
        <v>58797.25</v>
      </c>
      <c r="R39" s="2">
        <v>30692.66</v>
      </c>
      <c r="S39" s="2">
        <v>33178.080000000002</v>
      </c>
      <c r="T39" s="2">
        <v>20241.13</v>
      </c>
      <c r="U39" s="2">
        <v>26291.08</v>
      </c>
      <c r="V39" s="2">
        <v>20304.73</v>
      </c>
      <c r="X39" s="1" t="s">
        <v>23</v>
      </c>
      <c r="Y39" s="2">
        <v>1825.84</v>
      </c>
      <c r="Z39" s="2">
        <v>698.72</v>
      </c>
      <c r="AA39" s="2">
        <v>1831</v>
      </c>
      <c r="AB39" s="2">
        <v>709.55</v>
      </c>
      <c r="AC39" s="2">
        <v>1482.95</v>
      </c>
      <c r="AD39" s="2">
        <v>2102.56</v>
      </c>
      <c r="AE39" s="2">
        <v>1828.88</v>
      </c>
      <c r="AF39" s="2">
        <v>1644.5</v>
      </c>
      <c r="AG39" s="2">
        <v>2664.81</v>
      </c>
      <c r="AH39" s="2">
        <v>1329.14</v>
      </c>
      <c r="AI39" s="2">
        <v>2663.17</v>
      </c>
      <c r="AJ39" s="2">
        <v>1338.05</v>
      </c>
      <c r="AK39" s="2">
        <v>2537.0100000000002</v>
      </c>
      <c r="AL39" s="2">
        <v>1407.77</v>
      </c>
      <c r="AM39" s="2">
        <v>2456.0300000000002</v>
      </c>
      <c r="AN39" s="2">
        <v>1282.07</v>
      </c>
      <c r="AO39" s="2">
        <v>1548.93</v>
      </c>
      <c r="AP39" s="2">
        <v>944.96</v>
      </c>
      <c r="AQ39" s="2">
        <v>927.38</v>
      </c>
      <c r="AR39" s="2">
        <v>803.59</v>
      </c>
      <c r="AU39" s="1" t="s">
        <v>23</v>
      </c>
      <c r="AV39" s="2">
        <v>8196.0300000000007</v>
      </c>
      <c r="AW39" s="2">
        <v>4343.97</v>
      </c>
      <c r="AX39" s="2">
        <v>7802.62</v>
      </c>
      <c r="AY39" s="2">
        <v>3735.41</v>
      </c>
      <c r="AZ39" s="2">
        <v>6223.14</v>
      </c>
      <c r="BA39" s="2">
        <v>6621.31</v>
      </c>
      <c r="BB39" s="2">
        <v>8731.1200000000008</v>
      </c>
      <c r="BC39" s="2">
        <v>6641.28</v>
      </c>
      <c r="BD39" s="2">
        <v>7895.19</v>
      </c>
      <c r="BE39" s="2">
        <v>6392.57</v>
      </c>
      <c r="BF39" s="2">
        <v>7896.83</v>
      </c>
      <c r="BG39" s="2">
        <v>6416.13</v>
      </c>
      <c r="BH39" s="2">
        <v>7260.71</v>
      </c>
      <c r="BI39" s="2">
        <v>6526.12</v>
      </c>
      <c r="BJ39" s="2">
        <v>6859.83</v>
      </c>
      <c r="BK39" s="2">
        <v>6320.58</v>
      </c>
      <c r="BL39" s="2">
        <v>6697</v>
      </c>
      <c r="BM39" s="2">
        <v>5743.28</v>
      </c>
      <c r="BN39" s="2">
        <v>5690.19</v>
      </c>
      <c r="BO39" s="2">
        <v>5171.1099999999997</v>
      </c>
      <c r="BR39" s="1" t="s">
        <v>23</v>
      </c>
      <c r="BS39" s="2">
        <v>10021.879999999999</v>
      </c>
      <c r="BT39" s="2">
        <v>5042.7</v>
      </c>
      <c r="BU39" s="2">
        <v>9633.6200000000008</v>
      </c>
      <c r="BV39" s="2">
        <v>4444.96</v>
      </c>
      <c r="BW39" s="2">
        <v>7706.09</v>
      </c>
      <c r="BX39" s="2">
        <v>8723.8700000000008</v>
      </c>
      <c r="BY39" s="2">
        <v>10560</v>
      </c>
      <c r="BZ39" s="2">
        <v>8285.77</v>
      </c>
      <c r="CA39" s="2">
        <v>10560</v>
      </c>
      <c r="CB39" s="2">
        <v>7721.71</v>
      </c>
      <c r="CC39" s="2">
        <v>10560</v>
      </c>
      <c r="CD39" s="2">
        <v>7754.18</v>
      </c>
      <c r="CE39" s="2">
        <v>9797.7199999999993</v>
      </c>
      <c r="CF39" s="2">
        <v>7933.89</v>
      </c>
      <c r="CG39" s="2">
        <v>9315.85</v>
      </c>
      <c r="CH39" s="2">
        <v>7602.64</v>
      </c>
      <c r="CI39" s="2">
        <v>8245.93</v>
      </c>
      <c r="CJ39" s="2">
        <v>6688.24</v>
      </c>
      <c r="CK39" s="2">
        <v>6617.56</v>
      </c>
      <c r="CL39" s="2">
        <v>5974.7</v>
      </c>
    </row>
    <row r="40" spans="2:90" x14ac:dyDescent="0.3">
      <c r="B40" s="1" t="s">
        <v>24</v>
      </c>
      <c r="C40" s="2">
        <v>5332.24</v>
      </c>
      <c r="D40" s="2">
        <v>1307.1300000000001</v>
      </c>
      <c r="E40" s="2">
        <v>5307.19</v>
      </c>
      <c r="F40" s="2">
        <v>789.39</v>
      </c>
      <c r="G40" s="2">
        <v>1774.14</v>
      </c>
      <c r="H40" s="2">
        <v>3016.7</v>
      </c>
      <c r="I40" s="2">
        <v>6573.59</v>
      </c>
      <c r="J40" s="2">
        <v>5327.07</v>
      </c>
      <c r="K40" s="2">
        <v>7791.66</v>
      </c>
      <c r="L40" s="2">
        <v>4956.24</v>
      </c>
      <c r="M40" s="2">
        <v>14016.59</v>
      </c>
      <c r="N40" s="2">
        <v>8228.75</v>
      </c>
      <c r="O40" s="2">
        <v>14955.34</v>
      </c>
      <c r="P40" s="2">
        <v>6943.91</v>
      </c>
      <c r="Q40" s="2">
        <v>14756.76</v>
      </c>
      <c r="R40" s="2">
        <v>7714.38</v>
      </c>
      <c r="S40" s="2">
        <v>6598.08</v>
      </c>
      <c r="T40" s="2">
        <v>5201.29</v>
      </c>
      <c r="U40" s="2">
        <v>6876.79</v>
      </c>
      <c r="V40" s="2">
        <v>5818.78</v>
      </c>
      <c r="X40" s="1" t="s">
        <v>24</v>
      </c>
      <c r="Y40" s="2">
        <v>1953.2</v>
      </c>
      <c r="Z40" s="2">
        <v>748.99</v>
      </c>
      <c r="AA40" s="2">
        <v>1944.02</v>
      </c>
      <c r="AB40" s="2">
        <v>857.44</v>
      </c>
      <c r="AC40" s="2">
        <v>1689.65</v>
      </c>
      <c r="AD40" s="2">
        <v>1436.52</v>
      </c>
      <c r="AE40" s="2">
        <v>1956.43</v>
      </c>
      <c r="AF40" s="2">
        <v>1585.44</v>
      </c>
      <c r="AG40" s="2">
        <v>1855.16</v>
      </c>
      <c r="AH40" s="2">
        <v>1180.06</v>
      </c>
      <c r="AI40" s="2">
        <v>1854.05</v>
      </c>
      <c r="AJ40" s="2">
        <v>1088.46</v>
      </c>
      <c r="AK40" s="2">
        <v>1227.8599999999999</v>
      </c>
      <c r="AL40" s="2">
        <v>1140.22</v>
      </c>
      <c r="AM40" s="2">
        <v>1849.22</v>
      </c>
      <c r="AN40" s="2">
        <v>998.5</v>
      </c>
      <c r="AO40" s="2">
        <v>999.44</v>
      </c>
      <c r="AP40" s="2">
        <v>894.92</v>
      </c>
      <c r="AQ40" s="2">
        <v>908.25</v>
      </c>
      <c r="AR40" s="2">
        <v>851.89</v>
      </c>
      <c r="AU40" s="1" t="s">
        <v>24</v>
      </c>
      <c r="AV40" s="2">
        <v>6992.05</v>
      </c>
      <c r="AW40" s="2">
        <v>4911.16</v>
      </c>
      <c r="AX40" s="2">
        <v>6541.09</v>
      </c>
      <c r="AY40" s="2">
        <v>4661.87</v>
      </c>
      <c r="AZ40" s="2">
        <v>5561.59</v>
      </c>
      <c r="BA40" s="2">
        <v>7843.48</v>
      </c>
      <c r="BB40" s="2">
        <v>7323.57</v>
      </c>
      <c r="BC40" s="2">
        <v>7019.73</v>
      </c>
      <c r="BD40" s="2">
        <v>7424.84</v>
      </c>
      <c r="BE40" s="2">
        <v>6770.24</v>
      </c>
      <c r="BF40" s="2">
        <v>7425.95</v>
      </c>
      <c r="BG40" s="2">
        <v>6669.42</v>
      </c>
      <c r="BH40" s="2">
        <v>8052.14</v>
      </c>
      <c r="BI40" s="2">
        <v>6741</v>
      </c>
      <c r="BJ40" s="2">
        <v>7430.78</v>
      </c>
      <c r="BK40" s="2">
        <v>6477.79</v>
      </c>
      <c r="BL40" s="2">
        <v>6378.84</v>
      </c>
      <c r="BM40" s="2">
        <v>6009.89</v>
      </c>
      <c r="BN40" s="2">
        <v>5981.32</v>
      </c>
      <c r="BO40" s="2">
        <v>5685.56</v>
      </c>
      <c r="BR40" s="1" t="s">
        <v>24</v>
      </c>
      <c r="BS40" s="2">
        <v>8945.26</v>
      </c>
      <c r="BT40" s="2">
        <v>5660.15</v>
      </c>
      <c r="BU40" s="2">
        <v>8485.1200000000008</v>
      </c>
      <c r="BV40" s="2">
        <v>5519.31</v>
      </c>
      <c r="BW40" s="2">
        <v>7251.24</v>
      </c>
      <c r="BX40" s="2">
        <v>9280</v>
      </c>
      <c r="BY40" s="2">
        <v>9280</v>
      </c>
      <c r="BZ40" s="2">
        <v>8605.17</v>
      </c>
      <c r="CA40" s="2">
        <v>9280</v>
      </c>
      <c r="CB40" s="2">
        <v>7950.3</v>
      </c>
      <c r="CC40" s="2">
        <v>9280</v>
      </c>
      <c r="CD40" s="2">
        <v>7757.88</v>
      </c>
      <c r="CE40" s="2">
        <v>9280</v>
      </c>
      <c r="CF40" s="2">
        <v>7881.21</v>
      </c>
      <c r="CG40" s="2">
        <v>9280</v>
      </c>
      <c r="CH40" s="2">
        <v>7476.29</v>
      </c>
      <c r="CI40" s="2">
        <v>7378.28</v>
      </c>
      <c r="CJ40" s="2">
        <v>6904.81</v>
      </c>
      <c r="CK40" s="2">
        <v>6889.57</v>
      </c>
      <c r="CL40" s="2">
        <v>6537.45</v>
      </c>
    </row>
    <row r="41" spans="2:90" x14ac:dyDescent="0.3">
      <c r="B41" s="1" t="s">
        <v>25</v>
      </c>
      <c r="C41" s="2">
        <v>17268.900000000001</v>
      </c>
      <c r="D41" s="2">
        <v>27242.2</v>
      </c>
      <c r="E41" s="2">
        <v>26876.400000000001</v>
      </c>
      <c r="F41" s="2">
        <v>15326.51</v>
      </c>
      <c r="G41" s="2">
        <v>6574.32</v>
      </c>
      <c r="H41" s="2">
        <v>7207.8</v>
      </c>
      <c r="I41" s="2">
        <v>15125.5</v>
      </c>
      <c r="J41" s="2">
        <v>25179.24</v>
      </c>
      <c r="K41" s="2">
        <v>32949.449999999997</v>
      </c>
      <c r="L41" s="2">
        <v>32262.69</v>
      </c>
      <c r="M41" s="2">
        <v>56922.64</v>
      </c>
      <c r="N41" s="2">
        <v>51462.43</v>
      </c>
      <c r="O41" s="2">
        <v>40207.67</v>
      </c>
      <c r="P41" s="2">
        <v>38633.14</v>
      </c>
      <c r="Q41" s="2">
        <v>44532.47</v>
      </c>
      <c r="R41" s="2">
        <v>39255.269999999997</v>
      </c>
      <c r="S41" s="2">
        <v>31621.88</v>
      </c>
      <c r="T41" s="2">
        <v>23850.2</v>
      </c>
      <c r="U41" s="2">
        <v>34534.65</v>
      </c>
      <c r="V41" s="2">
        <v>26100.67</v>
      </c>
      <c r="X41" s="1" t="s">
        <v>25</v>
      </c>
      <c r="Y41" s="2">
        <v>1265.1199999999999</v>
      </c>
      <c r="Z41" s="2">
        <v>1108.43</v>
      </c>
      <c r="AA41" s="2">
        <v>1222.47</v>
      </c>
      <c r="AB41" s="2">
        <v>1497.01</v>
      </c>
      <c r="AC41" s="2">
        <v>1252.25</v>
      </c>
      <c r="AD41" s="2">
        <v>1372.91</v>
      </c>
      <c r="AE41" s="2">
        <v>1277.19</v>
      </c>
      <c r="AF41" s="2">
        <v>1498.77</v>
      </c>
      <c r="AG41" s="2">
        <v>1569.02</v>
      </c>
      <c r="AH41" s="2">
        <v>1536.32</v>
      </c>
      <c r="AI41" s="2">
        <v>1505.89</v>
      </c>
      <c r="AJ41" s="2">
        <v>1361.44</v>
      </c>
      <c r="AK41" s="2">
        <v>1320.45</v>
      </c>
      <c r="AL41" s="2">
        <v>1268.74</v>
      </c>
      <c r="AM41" s="2">
        <v>1116.0999999999999</v>
      </c>
      <c r="AN41" s="2">
        <v>1047.53</v>
      </c>
      <c r="AO41" s="2">
        <v>993.5</v>
      </c>
      <c r="AP41" s="2">
        <v>971.99</v>
      </c>
      <c r="AQ41" s="2">
        <v>955.76</v>
      </c>
      <c r="AR41" s="2">
        <v>1062.8900000000001</v>
      </c>
      <c r="AU41" s="1" t="s">
        <v>25</v>
      </c>
      <c r="AV41" s="2">
        <v>4666.5200000000004</v>
      </c>
      <c r="AW41" s="2">
        <v>6885.25</v>
      </c>
      <c r="AX41" s="2">
        <v>6436.42</v>
      </c>
      <c r="AY41" s="2">
        <v>7875.5</v>
      </c>
      <c r="AZ41" s="2">
        <v>4432.68</v>
      </c>
      <c r="BA41" s="2">
        <v>4965.88</v>
      </c>
      <c r="BB41" s="2">
        <v>7055.26</v>
      </c>
      <c r="BC41" s="2">
        <v>6092.98</v>
      </c>
      <c r="BD41" s="2">
        <v>7150.98</v>
      </c>
      <c r="BE41" s="2">
        <v>6954.43</v>
      </c>
      <c r="BF41" s="2">
        <v>7095.38</v>
      </c>
      <c r="BG41" s="2">
        <v>7308.26</v>
      </c>
      <c r="BH41" s="2">
        <v>6909.07</v>
      </c>
      <c r="BI41" s="2">
        <v>7311.37</v>
      </c>
      <c r="BJ41" s="2">
        <v>6675.59</v>
      </c>
      <c r="BK41" s="2">
        <v>6460.01</v>
      </c>
      <c r="BL41" s="2">
        <v>6186.5</v>
      </c>
      <c r="BM41" s="2">
        <v>5989.32</v>
      </c>
      <c r="BN41" s="2">
        <v>6080.41</v>
      </c>
      <c r="BO41" s="2">
        <v>6769.86</v>
      </c>
      <c r="BR41" s="1" t="s">
        <v>25</v>
      </c>
      <c r="BS41" s="2">
        <v>5931.64</v>
      </c>
      <c r="BT41" s="2">
        <v>7993.68</v>
      </c>
      <c r="BU41" s="2">
        <v>7658.9</v>
      </c>
      <c r="BV41" s="2">
        <v>9372.51</v>
      </c>
      <c r="BW41" s="2">
        <v>5684.93</v>
      </c>
      <c r="BX41" s="2">
        <v>6338.79</v>
      </c>
      <c r="BY41" s="2">
        <v>8332.4500000000007</v>
      </c>
      <c r="BZ41" s="2">
        <v>7591.75</v>
      </c>
      <c r="CA41" s="2">
        <v>8720</v>
      </c>
      <c r="CB41" s="2">
        <v>8490.75</v>
      </c>
      <c r="CC41" s="2">
        <v>8601.27</v>
      </c>
      <c r="CD41" s="2">
        <v>8669.7000000000007</v>
      </c>
      <c r="CE41" s="2">
        <v>8229.52</v>
      </c>
      <c r="CF41" s="2">
        <v>8580.1200000000008</v>
      </c>
      <c r="CG41" s="2">
        <v>7791.7</v>
      </c>
      <c r="CH41" s="2">
        <v>7507.54</v>
      </c>
      <c r="CI41" s="2">
        <v>7180</v>
      </c>
      <c r="CJ41" s="2">
        <v>6961.32</v>
      </c>
      <c r="CK41" s="2">
        <v>7036.17</v>
      </c>
      <c r="CL41" s="2">
        <v>7832.75</v>
      </c>
    </row>
    <row r="42" spans="2:90" x14ac:dyDescent="0.3">
      <c r="B42" s="1" t="s">
        <v>26</v>
      </c>
      <c r="C42" s="2">
        <v>4762.5600000000004</v>
      </c>
      <c r="D42" s="2">
        <v>6571.92</v>
      </c>
      <c r="E42" s="2">
        <v>5877.01</v>
      </c>
      <c r="F42" s="2">
        <v>5899.27</v>
      </c>
      <c r="G42" s="2">
        <v>1622.39</v>
      </c>
      <c r="H42" s="2">
        <v>1798.83</v>
      </c>
      <c r="I42" s="2">
        <v>3922.95</v>
      </c>
      <c r="J42" s="2">
        <v>4843.91</v>
      </c>
      <c r="K42" s="2">
        <v>4262.34</v>
      </c>
      <c r="L42" s="2">
        <v>8039.87</v>
      </c>
      <c r="M42" s="2">
        <v>10518.14</v>
      </c>
      <c r="N42" s="2">
        <v>14779.2</v>
      </c>
      <c r="O42" s="2">
        <v>8527.3799999999992</v>
      </c>
      <c r="P42" s="2">
        <v>11917.83</v>
      </c>
      <c r="Q42" s="2">
        <v>10787.77</v>
      </c>
      <c r="R42" s="2">
        <v>15577.06</v>
      </c>
      <c r="S42" s="2">
        <v>7865.77</v>
      </c>
      <c r="T42" s="2">
        <v>13533.94</v>
      </c>
      <c r="U42" s="2">
        <v>8189.35</v>
      </c>
      <c r="V42" s="2">
        <v>6504.59</v>
      </c>
      <c r="X42" s="1" t="s">
        <v>26</v>
      </c>
      <c r="Y42" s="2">
        <v>1744.53</v>
      </c>
      <c r="Z42" s="2">
        <v>1251.98</v>
      </c>
      <c r="AA42" s="2">
        <v>2152.75</v>
      </c>
      <c r="AB42" s="2">
        <v>2160.91</v>
      </c>
      <c r="AC42" s="2">
        <v>1545.13</v>
      </c>
      <c r="AD42" s="2">
        <v>1713.17</v>
      </c>
      <c r="AE42" s="2">
        <v>1471.12</v>
      </c>
      <c r="AF42" s="2">
        <v>1441.64</v>
      </c>
      <c r="AG42" s="2">
        <v>1347.13</v>
      </c>
      <c r="AH42" s="2">
        <v>1914.26</v>
      </c>
      <c r="AI42" s="2">
        <v>1391.31</v>
      </c>
      <c r="AJ42" s="2">
        <v>1954.92</v>
      </c>
      <c r="AK42" s="2">
        <v>1402.9</v>
      </c>
      <c r="AL42" s="2">
        <v>1956.95</v>
      </c>
      <c r="AM42" s="2">
        <v>1361.42</v>
      </c>
      <c r="AN42" s="2">
        <v>1952.01</v>
      </c>
      <c r="AO42" s="2">
        <v>1302.4000000000001</v>
      </c>
      <c r="AP42" s="2">
        <v>1895.51</v>
      </c>
      <c r="AQ42" s="2">
        <v>1199.29</v>
      </c>
      <c r="AR42" s="2">
        <v>1180.44</v>
      </c>
      <c r="AU42" s="1" t="s">
        <v>26</v>
      </c>
      <c r="AV42" s="2">
        <v>5473.4</v>
      </c>
      <c r="AW42" s="2">
        <v>6103.84</v>
      </c>
      <c r="AX42" s="2">
        <v>7127.25</v>
      </c>
      <c r="AY42" s="2">
        <v>7119.09</v>
      </c>
      <c r="AZ42" s="2">
        <v>4491.82</v>
      </c>
      <c r="BA42" s="2">
        <v>5138.13</v>
      </c>
      <c r="BB42" s="2">
        <v>6314.33</v>
      </c>
      <c r="BC42" s="2">
        <v>4379.18</v>
      </c>
      <c r="BD42" s="2">
        <v>6283.03</v>
      </c>
      <c r="BE42" s="2">
        <v>7134.79</v>
      </c>
      <c r="BF42" s="2">
        <v>6827.15</v>
      </c>
      <c r="BG42" s="2">
        <v>7325.08</v>
      </c>
      <c r="BH42" s="2">
        <v>6836.19</v>
      </c>
      <c r="BI42" s="2">
        <v>7323.05</v>
      </c>
      <c r="BJ42" s="2">
        <v>6790.39</v>
      </c>
      <c r="BK42" s="2">
        <v>7327.99</v>
      </c>
      <c r="BL42" s="2">
        <v>6455.48</v>
      </c>
      <c r="BM42" s="2">
        <v>7272.37</v>
      </c>
      <c r="BN42" s="2">
        <v>6056.41</v>
      </c>
      <c r="BO42" s="2">
        <v>5604.31</v>
      </c>
      <c r="BR42" s="1" t="s">
        <v>26</v>
      </c>
      <c r="BS42" s="2">
        <v>7217.93</v>
      </c>
      <c r="BT42" s="2">
        <v>7355.81</v>
      </c>
      <c r="BU42" s="2">
        <v>9280</v>
      </c>
      <c r="BV42" s="2">
        <v>9280</v>
      </c>
      <c r="BW42" s="2">
        <v>6036.95</v>
      </c>
      <c r="BX42" s="2">
        <v>6851.29</v>
      </c>
      <c r="BY42" s="2">
        <v>7785.46</v>
      </c>
      <c r="BZ42" s="2">
        <v>5820.82</v>
      </c>
      <c r="CA42" s="2">
        <v>7630.16</v>
      </c>
      <c r="CB42" s="2">
        <v>9049.0400000000009</v>
      </c>
      <c r="CC42" s="2">
        <v>8218.4500000000007</v>
      </c>
      <c r="CD42" s="2">
        <v>9280</v>
      </c>
      <c r="CE42" s="2">
        <v>8239.09</v>
      </c>
      <c r="CF42" s="2">
        <v>9280</v>
      </c>
      <c r="CG42" s="2">
        <v>8151.81</v>
      </c>
      <c r="CH42" s="2">
        <v>9280</v>
      </c>
      <c r="CI42" s="2">
        <v>7757.89</v>
      </c>
      <c r="CJ42" s="2">
        <v>9167.89</v>
      </c>
      <c r="CK42" s="2">
        <v>7255.7</v>
      </c>
      <c r="CL42" s="2">
        <v>6784.74</v>
      </c>
    </row>
    <row r="43" spans="2:90" x14ac:dyDescent="0.3">
      <c r="B43" s="1" t="s">
        <v>27</v>
      </c>
      <c r="C43" s="2">
        <v>43392.42</v>
      </c>
      <c r="D43" s="2">
        <v>45420.57</v>
      </c>
      <c r="E43" s="2">
        <v>27421.37</v>
      </c>
      <c r="F43" s="2">
        <v>49926.26</v>
      </c>
      <c r="G43" s="2">
        <v>5556.75</v>
      </c>
      <c r="H43" s="2">
        <v>16805.03</v>
      </c>
      <c r="I43" s="2">
        <v>20613.650000000001</v>
      </c>
      <c r="J43" s="2">
        <v>22549.33</v>
      </c>
      <c r="K43" s="2">
        <v>23575.08</v>
      </c>
      <c r="L43" s="2">
        <v>66611.22</v>
      </c>
      <c r="M43" s="2">
        <v>40571.050000000003</v>
      </c>
      <c r="N43" s="2">
        <v>120216.99</v>
      </c>
      <c r="O43" s="2">
        <v>33526.31</v>
      </c>
      <c r="P43" s="2">
        <v>96729.5</v>
      </c>
      <c r="Q43" s="2">
        <v>47973.26</v>
      </c>
      <c r="R43" s="2">
        <v>84382.56</v>
      </c>
      <c r="S43" s="2">
        <v>31798.81</v>
      </c>
      <c r="T43" s="2">
        <v>37949.99</v>
      </c>
      <c r="U43" s="2">
        <v>37111.97</v>
      </c>
      <c r="V43" s="2">
        <v>35853.980000000003</v>
      </c>
      <c r="X43" s="1" t="s">
        <v>27</v>
      </c>
      <c r="Y43" s="2">
        <v>1766.08</v>
      </c>
      <c r="Z43" s="2">
        <v>1848.62</v>
      </c>
      <c r="AA43" s="2">
        <v>1674.08</v>
      </c>
      <c r="AB43" s="2">
        <v>2075.2800000000002</v>
      </c>
      <c r="AC43" s="2">
        <v>1764.05</v>
      </c>
      <c r="AD43" s="2">
        <v>1778.34</v>
      </c>
      <c r="AE43" s="2">
        <v>2045.01</v>
      </c>
      <c r="AF43" s="2">
        <v>2237.04</v>
      </c>
      <c r="AG43" s="2">
        <v>1410.28</v>
      </c>
      <c r="AH43" s="2">
        <v>1869.14</v>
      </c>
      <c r="AI43" s="2">
        <v>1788.85</v>
      </c>
      <c r="AJ43" s="2">
        <v>1858.74</v>
      </c>
      <c r="AK43" s="2">
        <v>1835.05</v>
      </c>
      <c r="AL43" s="2">
        <v>1862.25</v>
      </c>
      <c r="AM43" s="2">
        <v>2003.9</v>
      </c>
      <c r="AN43" s="2">
        <v>1762.38</v>
      </c>
      <c r="AO43" s="2">
        <v>1484.54</v>
      </c>
      <c r="AP43" s="2">
        <v>1324.98</v>
      </c>
      <c r="AQ43" s="2">
        <v>1309.06</v>
      </c>
      <c r="AR43" s="2">
        <v>1264.69</v>
      </c>
      <c r="AU43" s="1" t="s">
        <v>27</v>
      </c>
      <c r="AV43" s="2">
        <v>7346.75</v>
      </c>
      <c r="AW43" s="2">
        <v>7815.2</v>
      </c>
      <c r="AX43" s="2">
        <v>7338.96</v>
      </c>
      <c r="AY43" s="2">
        <v>8484.7199999999993</v>
      </c>
      <c r="AZ43" s="2">
        <v>4613.1000000000004</v>
      </c>
      <c r="BA43" s="2">
        <v>7212.7</v>
      </c>
      <c r="BB43" s="2">
        <v>6737.72</v>
      </c>
      <c r="BC43" s="2">
        <v>5127.37</v>
      </c>
      <c r="BD43" s="2">
        <v>6861.98</v>
      </c>
      <c r="BE43" s="2">
        <v>8690.86</v>
      </c>
      <c r="BF43" s="2">
        <v>6822.87</v>
      </c>
      <c r="BG43" s="2">
        <v>8701.26</v>
      </c>
      <c r="BH43" s="2">
        <v>6879.95</v>
      </c>
      <c r="BI43" s="2">
        <v>8697.75</v>
      </c>
      <c r="BJ43" s="2">
        <v>7078.22</v>
      </c>
      <c r="BK43" s="2">
        <v>7997.96</v>
      </c>
      <c r="BL43" s="2">
        <v>6460.81</v>
      </c>
      <c r="BM43" s="2">
        <v>6786.59</v>
      </c>
      <c r="BN43" s="2">
        <v>6213.93</v>
      </c>
      <c r="BO43" s="2">
        <v>6134.55</v>
      </c>
      <c r="BR43" s="1" t="s">
        <v>27</v>
      </c>
      <c r="BS43" s="2">
        <v>9112.84</v>
      </c>
      <c r="BT43" s="2">
        <v>9663.82</v>
      </c>
      <c r="BU43" s="2">
        <v>9013.0300000000007</v>
      </c>
      <c r="BV43" s="2">
        <v>10560</v>
      </c>
      <c r="BW43" s="2">
        <v>6377.15</v>
      </c>
      <c r="BX43" s="2">
        <v>8991.0300000000007</v>
      </c>
      <c r="BY43" s="2">
        <v>8782.7199999999993</v>
      </c>
      <c r="BZ43" s="2">
        <v>7364.4</v>
      </c>
      <c r="CA43" s="2">
        <v>8272.25</v>
      </c>
      <c r="CB43" s="2">
        <v>10560</v>
      </c>
      <c r="CC43" s="2">
        <v>8611.7199999999993</v>
      </c>
      <c r="CD43" s="2">
        <v>10560</v>
      </c>
      <c r="CE43" s="2">
        <v>8715</v>
      </c>
      <c r="CF43" s="2">
        <v>10560</v>
      </c>
      <c r="CG43" s="2">
        <v>9082.11</v>
      </c>
      <c r="CH43" s="2">
        <v>9760.34</v>
      </c>
      <c r="CI43" s="2">
        <v>7945.35</v>
      </c>
      <c r="CJ43" s="2">
        <v>8111.57</v>
      </c>
      <c r="CK43" s="2">
        <v>7523</v>
      </c>
      <c r="CL43" s="2">
        <v>7399.24</v>
      </c>
    </row>
    <row r="44" spans="2:90" x14ac:dyDescent="0.3">
      <c r="B44" s="1" t="s">
        <v>28</v>
      </c>
      <c r="C44" s="2">
        <v>5024.01</v>
      </c>
      <c r="D44" s="2">
        <v>9252.3799999999992</v>
      </c>
      <c r="E44" s="2">
        <v>1473.69</v>
      </c>
      <c r="F44" s="2">
        <v>1651.93</v>
      </c>
      <c r="G44" s="2">
        <v>443.9</v>
      </c>
      <c r="H44" s="2">
        <v>772.84</v>
      </c>
      <c r="I44" s="2">
        <v>1388.25</v>
      </c>
      <c r="J44" s="2">
        <v>10225.23</v>
      </c>
      <c r="K44" s="2">
        <v>6713.08</v>
      </c>
      <c r="L44" s="2">
        <v>12116.04</v>
      </c>
      <c r="M44" s="2">
        <v>18487.59</v>
      </c>
      <c r="N44" s="2">
        <v>22341.85</v>
      </c>
      <c r="O44" s="2">
        <v>14624.62</v>
      </c>
      <c r="P44" s="2">
        <v>18071.439999999999</v>
      </c>
      <c r="Q44" s="2">
        <v>18551.55</v>
      </c>
      <c r="R44" s="2">
        <v>18182.25</v>
      </c>
      <c r="S44" s="2">
        <v>13785.81</v>
      </c>
      <c r="T44" s="2">
        <v>10719.12</v>
      </c>
      <c r="U44" s="2">
        <v>15721.57</v>
      </c>
      <c r="V44" s="2">
        <v>12025.95</v>
      </c>
      <c r="X44" s="1" t="s">
        <v>28</v>
      </c>
      <c r="Y44" s="2">
        <v>887.2</v>
      </c>
      <c r="Z44" s="2">
        <v>1129.72</v>
      </c>
      <c r="AA44" s="2">
        <v>915.19</v>
      </c>
      <c r="AB44" s="2">
        <v>973.54</v>
      </c>
      <c r="AC44" s="2">
        <v>541.37</v>
      </c>
      <c r="AD44" s="2">
        <v>1004.24</v>
      </c>
      <c r="AE44" s="2">
        <v>679.44</v>
      </c>
      <c r="AF44" s="2">
        <v>1014.41</v>
      </c>
      <c r="AG44" s="2">
        <v>730.94</v>
      </c>
      <c r="AH44" s="2">
        <v>961.59</v>
      </c>
      <c r="AI44" s="2">
        <v>815.15</v>
      </c>
      <c r="AJ44" s="2">
        <v>985.09</v>
      </c>
      <c r="AK44" s="2">
        <v>800.47</v>
      </c>
      <c r="AL44" s="2">
        <v>989.13</v>
      </c>
      <c r="AM44" s="2">
        <v>774.92</v>
      </c>
      <c r="AN44" s="2">
        <v>759.49</v>
      </c>
      <c r="AO44" s="2">
        <v>643.6</v>
      </c>
      <c r="AP44" s="2">
        <v>646.19000000000005</v>
      </c>
      <c r="AQ44" s="2">
        <v>664.75</v>
      </c>
      <c r="AR44" s="2">
        <v>684.41</v>
      </c>
      <c r="AU44" s="1" t="s">
        <v>28</v>
      </c>
      <c r="AV44" s="2">
        <v>4468.8999999999996</v>
      </c>
      <c r="AW44" s="2">
        <v>5428.98</v>
      </c>
      <c r="AX44" s="2">
        <v>3736.2</v>
      </c>
      <c r="AY44" s="2">
        <v>3984.51</v>
      </c>
      <c r="AZ44" s="2">
        <v>2945.51</v>
      </c>
      <c r="BA44" s="2">
        <v>4371.91</v>
      </c>
      <c r="BB44" s="2">
        <v>3286.91</v>
      </c>
      <c r="BC44" s="2">
        <v>4055.36</v>
      </c>
      <c r="BD44" s="2">
        <v>3767.76</v>
      </c>
      <c r="BE44" s="2">
        <v>4196.3900000000003</v>
      </c>
      <c r="BF44" s="2">
        <v>3586.25</v>
      </c>
      <c r="BG44" s="2">
        <v>4336.1000000000004</v>
      </c>
      <c r="BH44" s="2">
        <v>3434.15</v>
      </c>
      <c r="BI44" s="2">
        <v>4403.7700000000004</v>
      </c>
      <c r="BJ44" s="2">
        <v>3453.58</v>
      </c>
      <c r="BK44" s="2">
        <v>3807.31</v>
      </c>
      <c r="BL44" s="2">
        <v>3286.8</v>
      </c>
      <c r="BM44" s="2">
        <v>3357.41</v>
      </c>
      <c r="BN44" s="2">
        <v>3488.75</v>
      </c>
      <c r="BO44" s="2">
        <v>3690.59</v>
      </c>
      <c r="BR44" s="1" t="s">
        <v>28</v>
      </c>
      <c r="BS44" s="2">
        <v>5356.1</v>
      </c>
      <c r="BT44" s="2">
        <v>6558.7</v>
      </c>
      <c r="BU44" s="2">
        <v>4651.3900000000003</v>
      </c>
      <c r="BV44" s="2">
        <v>4958.05</v>
      </c>
      <c r="BW44" s="2">
        <v>3486.88</v>
      </c>
      <c r="BX44" s="2">
        <v>5376.14</v>
      </c>
      <c r="BY44" s="2">
        <v>3966.34</v>
      </c>
      <c r="BZ44" s="2">
        <v>5069.7700000000004</v>
      </c>
      <c r="CA44" s="2">
        <v>4498.7</v>
      </c>
      <c r="CB44" s="2">
        <v>5157.9799999999996</v>
      </c>
      <c r="CC44" s="2">
        <v>4401.3999999999996</v>
      </c>
      <c r="CD44" s="2">
        <v>5321.19</v>
      </c>
      <c r="CE44" s="2">
        <v>4234.62</v>
      </c>
      <c r="CF44" s="2">
        <v>5392.91</v>
      </c>
      <c r="CG44" s="2">
        <v>4228.5</v>
      </c>
      <c r="CH44" s="2">
        <v>4566.8</v>
      </c>
      <c r="CI44" s="2">
        <v>3930.4</v>
      </c>
      <c r="CJ44" s="2">
        <v>4003.6</v>
      </c>
      <c r="CK44" s="2">
        <v>4153.5</v>
      </c>
      <c r="CL44" s="2">
        <v>4375</v>
      </c>
    </row>
    <row r="47" spans="2:90" x14ac:dyDescent="0.3">
      <c r="B47" t="s">
        <v>37</v>
      </c>
      <c r="X47" t="s">
        <v>38</v>
      </c>
      <c r="AU47" t="s">
        <v>39</v>
      </c>
      <c r="BR47" t="s">
        <v>40</v>
      </c>
    </row>
    <row r="48" spans="2:90" x14ac:dyDescent="0.3">
      <c r="B48" s="1" t="s">
        <v>16</v>
      </c>
      <c r="C48" s="1" t="s">
        <v>17</v>
      </c>
      <c r="D48" s="1" t="s">
        <v>18</v>
      </c>
      <c r="E48" s="1" t="s">
        <v>17</v>
      </c>
      <c r="F48" s="1" t="s">
        <v>18</v>
      </c>
      <c r="G48" s="1" t="s">
        <v>17</v>
      </c>
      <c r="H48" s="1" t="s">
        <v>18</v>
      </c>
      <c r="I48" s="1" t="s">
        <v>17</v>
      </c>
      <c r="J48" s="1" t="s">
        <v>18</v>
      </c>
      <c r="K48" s="1" t="s">
        <v>17</v>
      </c>
      <c r="L48" s="1" t="s">
        <v>18</v>
      </c>
      <c r="M48" s="1" t="s">
        <v>17</v>
      </c>
      <c r="N48" s="1" t="s">
        <v>18</v>
      </c>
      <c r="O48" s="1" t="s">
        <v>17</v>
      </c>
      <c r="P48" s="1" t="s">
        <v>18</v>
      </c>
      <c r="Q48" s="1" t="s">
        <v>17</v>
      </c>
      <c r="R48" s="1" t="s">
        <v>18</v>
      </c>
      <c r="S48" s="1" t="s">
        <v>17</v>
      </c>
      <c r="T48" s="1" t="s">
        <v>18</v>
      </c>
      <c r="U48" s="1" t="s">
        <v>17</v>
      </c>
      <c r="V48" s="1" t="s">
        <v>18</v>
      </c>
      <c r="X48" s="1" t="s">
        <v>16</v>
      </c>
      <c r="Y48" s="1" t="s">
        <v>17</v>
      </c>
      <c r="Z48" s="1" t="s">
        <v>18</v>
      </c>
      <c r="AA48" s="1" t="s">
        <v>17</v>
      </c>
      <c r="AB48" s="1" t="s">
        <v>18</v>
      </c>
      <c r="AC48" s="1" t="s">
        <v>17</v>
      </c>
      <c r="AD48" s="1" t="s">
        <v>18</v>
      </c>
      <c r="AE48" s="1" t="s">
        <v>17</v>
      </c>
      <c r="AF48" s="1" t="s">
        <v>18</v>
      </c>
      <c r="AG48" s="1" t="s">
        <v>17</v>
      </c>
      <c r="AH48" s="1" t="s">
        <v>18</v>
      </c>
      <c r="AI48" s="1" t="s">
        <v>17</v>
      </c>
      <c r="AJ48" s="1" t="s">
        <v>18</v>
      </c>
      <c r="AK48" s="1" t="s">
        <v>17</v>
      </c>
      <c r="AL48" s="1" t="s">
        <v>18</v>
      </c>
      <c r="AM48" s="1" t="s">
        <v>17</v>
      </c>
      <c r="AN48" s="1" t="s">
        <v>18</v>
      </c>
      <c r="AO48" s="1" t="s">
        <v>17</v>
      </c>
      <c r="AP48" s="1" t="s">
        <v>18</v>
      </c>
      <c r="AQ48" s="1" t="s">
        <v>17</v>
      </c>
      <c r="AR48" s="1" t="s">
        <v>18</v>
      </c>
      <c r="AU48" s="1" t="s">
        <v>16</v>
      </c>
      <c r="AV48" s="1" t="s">
        <v>17</v>
      </c>
      <c r="AW48" s="1" t="s">
        <v>18</v>
      </c>
      <c r="AX48" s="1" t="s">
        <v>17</v>
      </c>
      <c r="AY48" s="1" t="s">
        <v>18</v>
      </c>
      <c r="AZ48" s="1" t="s">
        <v>17</v>
      </c>
      <c r="BA48" s="1" t="s">
        <v>18</v>
      </c>
      <c r="BB48" s="1" t="s">
        <v>17</v>
      </c>
      <c r="BC48" s="1" t="s">
        <v>18</v>
      </c>
      <c r="BD48" s="1" t="s">
        <v>17</v>
      </c>
      <c r="BE48" s="1" t="s">
        <v>18</v>
      </c>
      <c r="BF48" s="1" t="s">
        <v>17</v>
      </c>
      <c r="BG48" s="1" t="s">
        <v>18</v>
      </c>
      <c r="BH48" s="1" t="s">
        <v>17</v>
      </c>
      <c r="BI48" s="1" t="s">
        <v>18</v>
      </c>
      <c r="BJ48" s="1" t="s">
        <v>17</v>
      </c>
      <c r="BK48" s="1" t="s">
        <v>18</v>
      </c>
      <c r="BL48" s="1" t="s">
        <v>17</v>
      </c>
      <c r="BM48" s="1" t="s">
        <v>18</v>
      </c>
      <c r="BN48" s="1" t="s">
        <v>17</v>
      </c>
      <c r="BO48" s="1" t="s">
        <v>18</v>
      </c>
      <c r="BR48" s="1" t="s">
        <v>16</v>
      </c>
      <c r="BS48" s="1" t="s">
        <v>17</v>
      </c>
      <c r="BT48" s="1" t="s">
        <v>18</v>
      </c>
      <c r="BU48" s="1" t="s">
        <v>17</v>
      </c>
      <c r="BV48" s="1" t="s">
        <v>18</v>
      </c>
      <c r="BW48" s="1" t="s">
        <v>17</v>
      </c>
      <c r="BX48" s="1" t="s">
        <v>18</v>
      </c>
      <c r="BY48" s="1" t="s">
        <v>17</v>
      </c>
      <c r="BZ48" s="1" t="s">
        <v>18</v>
      </c>
      <c r="CA48" s="1" t="s">
        <v>17</v>
      </c>
      <c r="CB48" s="1" t="s">
        <v>18</v>
      </c>
      <c r="CC48" s="1" t="s">
        <v>17</v>
      </c>
      <c r="CD48" s="1" t="s">
        <v>18</v>
      </c>
      <c r="CE48" s="1" t="s">
        <v>17</v>
      </c>
      <c r="CF48" s="1" t="s">
        <v>18</v>
      </c>
      <c r="CG48" s="1" t="s">
        <v>17</v>
      </c>
      <c r="CH48" s="1" t="s">
        <v>18</v>
      </c>
      <c r="CI48" s="1" t="s">
        <v>17</v>
      </c>
      <c r="CJ48" s="1" t="s">
        <v>18</v>
      </c>
      <c r="CK48" s="1" t="s">
        <v>17</v>
      </c>
      <c r="CL48" s="1" t="s">
        <v>18</v>
      </c>
    </row>
    <row r="49" spans="2:90" x14ac:dyDescent="0.3">
      <c r="B49" s="1" t="s">
        <v>19</v>
      </c>
      <c r="C49" s="1" t="s">
        <v>1</v>
      </c>
      <c r="D49" s="1" t="s">
        <v>1</v>
      </c>
      <c r="E49" s="1" t="s">
        <v>2</v>
      </c>
      <c r="F49" s="1" t="s">
        <v>2</v>
      </c>
      <c r="G49" s="1" t="s">
        <v>3</v>
      </c>
      <c r="H49" s="1" t="s">
        <v>3</v>
      </c>
      <c r="I49" s="1" t="s">
        <v>4</v>
      </c>
      <c r="J49" s="1" t="s">
        <v>4</v>
      </c>
      <c r="K49" s="1" t="s">
        <v>5</v>
      </c>
      <c r="L49" s="1" t="s">
        <v>5</v>
      </c>
      <c r="M49" s="1" t="s">
        <v>6</v>
      </c>
      <c r="N49" s="1" t="s">
        <v>6</v>
      </c>
      <c r="O49" s="1" t="s">
        <v>7</v>
      </c>
      <c r="P49" s="1" t="s">
        <v>7</v>
      </c>
      <c r="Q49" s="1" t="s">
        <v>8</v>
      </c>
      <c r="R49" s="1" t="s">
        <v>8</v>
      </c>
      <c r="S49" s="1" t="s">
        <v>9</v>
      </c>
      <c r="T49" s="1" t="s">
        <v>9</v>
      </c>
      <c r="U49" s="1" t="s">
        <v>10</v>
      </c>
      <c r="V49" s="1" t="s">
        <v>10</v>
      </c>
      <c r="X49" s="1" t="s">
        <v>19</v>
      </c>
      <c r="Y49" s="1" t="s">
        <v>1</v>
      </c>
      <c r="Z49" s="1" t="s">
        <v>1</v>
      </c>
      <c r="AA49" s="1" t="s">
        <v>2</v>
      </c>
      <c r="AB49" s="1" t="s">
        <v>2</v>
      </c>
      <c r="AC49" s="1" t="s">
        <v>3</v>
      </c>
      <c r="AD49" s="1" t="s">
        <v>3</v>
      </c>
      <c r="AE49" s="1" t="s">
        <v>4</v>
      </c>
      <c r="AF49" s="1" t="s">
        <v>4</v>
      </c>
      <c r="AG49" s="1" t="s">
        <v>5</v>
      </c>
      <c r="AH49" s="1" t="s">
        <v>5</v>
      </c>
      <c r="AI49" s="1" t="s">
        <v>6</v>
      </c>
      <c r="AJ49" s="1" t="s">
        <v>6</v>
      </c>
      <c r="AK49" s="1" t="s">
        <v>7</v>
      </c>
      <c r="AL49" s="1" t="s">
        <v>7</v>
      </c>
      <c r="AM49" s="1" t="s">
        <v>8</v>
      </c>
      <c r="AN49" s="1" t="s">
        <v>8</v>
      </c>
      <c r="AO49" s="1" t="s">
        <v>9</v>
      </c>
      <c r="AP49" s="1" t="s">
        <v>9</v>
      </c>
      <c r="AQ49" s="1" t="s">
        <v>10</v>
      </c>
      <c r="AR49" s="1" t="s">
        <v>10</v>
      </c>
      <c r="AU49" s="1" t="s">
        <v>19</v>
      </c>
      <c r="AV49" s="1" t="s">
        <v>1</v>
      </c>
      <c r="AW49" s="1" t="s">
        <v>1</v>
      </c>
      <c r="AX49" s="1" t="s">
        <v>2</v>
      </c>
      <c r="AY49" s="1" t="s">
        <v>2</v>
      </c>
      <c r="AZ49" s="1" t="s">
        <v>3</v>
      </c>
      <c r="BA49" s="1" t="s">
        <v>3</v>
      </c>
      <c r="BB49" s="1" t="s">
        <v>4</v>
      </c>
      <c r="BC49" s="1" t="s">
        <v>4</v>
      </c>
      <c r="BD49" s="1" t="s">
        <v>5</v>
      </c>
      <c r="BE49" s="1" t="s">
        <v>5</v>
      </c>
      <c r="BF49" s="1" t="s">
        <v>6</v>
      </c>
      <c r="BG49" s="1" t="s">
        <v>6</v>
      </c>
      <c r="BH49" s="1" t="s">
        <v>7</v>
      </c>
      <c r="BI49" s="1" t="s">
        <v>7</v>
      </c>
      <c r="BJ49" s="1" t="s">
        <v>8</v>
      </c>
      <c r="BK49" s="1" t="s">
        <v>8</v>
      </c>
      <c r="BL49" s="1" t="s">
        <v>9</v>
      </c>
      <c r="BM49" s="1" t="s">
        <v>9</v>
      </c>
      <c r="BN49" s="1" t="s">
        <v>10</v>
      </c>
      <c r="BO49" s="1" t="s">
        <v>10</v>
      </c>
      <c r="BR49" s="1" t="s">
        <v>19</v>
      </c>
      <c r="BS49" s="1" t="s">
        <v>1</v>
      </c>
      <c r="BT49" s="1" t="s">
        <v>1</v>
      </c>
      <c r="BU49" s="1" t="s">
        <v>2</v>
      </c>
      <c r="BV49" s="1" t="s">
        <v>2</v>
      </c>
      <c r="BW49" s="1" t="s">
        <v>3</v>
      </c>
      <c r="BX49" s="1" t="s">
        <v>3</v>
      </c>
      <c r="BY49" s="1" t="s">
        <v>4</v>
      </c>
      <c r="BZ49" s="1" t="s">
        <v>4</v>
      </c>
      <c r="CA49" s="1" t="s">
        <v>5</v>
      </c>
      <c r="CB49" s="1" t="s">
        <v>5</v>
      </c>
      <c r="CC49" s="1" t="s">
        <v>6</v>
      </c>
      <c r="CD49" s="1" t="s">
        <v>6</v>
      </c>
      <c r="CE49" s="1" t="s">
        <v>7</v>
      </c>
      <c r="CF49" s="1" t="s">
        <v>7</v>
      </c>
      <c r="CG49" s="1" t="s">
        <v>8</v>
      </c>
      <c r="CH49" s="1" t="s">
        <v>8</v>
      </c>
      <c r="CI49" s="1" t="s">
        <v>9</v>
      </c>
      <c r="CJ49" s="1" t="s">
        <v>9</v>
      </c>
      <c r="CK49" s="1" t="s">
        <v>10</v>
      </c>
      <c r="CL49" s="1" t="s">
        <v>10</v>
      </c>
    </row>
    <row r="50" spans="2:90" x14ac:dyDescent="0.3">
      <c r="B50" s="1" t="s">
        <v>20</v>
      </c>
      <c r="X50" s="1" t="s">
        <v>20</v>
      </c>
      <c r="AU50" s="1" t="s">
        <v>20</v>
      </c>
      <c r="BR50" s="1" t="s">
        <v>20</v>
      </c>
    </row>
    <row r="51" spans="2:90" x14ac:dyDescent="0.3">
      <c r="B51" s="1" t="s">
        <v>21</v>
      </c>
      <c r="C51" s="2">
        <v>1078.98</v>
      </c>
      <c r="D51" s="2">
        <v>1048.0999999999999</v>
      </c>
      <c r="E51" s="2">
        <v>1092.42</v>
      </c>
      <c r="F51" s="2">
        <v>990.6</v>
      </c>
      <c r="G51" s="2">
        <v>307.27</v>
      </c>
      <c r="H51" s="2">
        <v>390.67</v>
      </c>
      <c r="I51" s="2">
        <v>1297.74</v>
      </c>
      <c r="J51" s="2">
        <v>1229.28</v>
      </c>
      <c r="K51" s="2">
        <v>1803.87</v>
      </c>
      <c r="L51" s="2">
        <v>1487.4</v>
      </c>
      <c r="M51" s="2">
        <v>3101.07</v>
      </c>
      <c r="N51" s="2">
        <v>2671.14</v>
      </c>
      <c r="O51" s="2">
        <v>2368.3200000000002</v>
      </c>
      <c r="P51" s="2">
        <v>2059.2800000000002</v>
      </c>
      <c r="Q51" s="2">
        <v>3257.85</v>
      </c>
      <c r="R51" s="2">
        <v>2896.12</v>
      </c>
      <c r="S51" s="2">
        <v>2560.23</v>
      </c>
      <c r="T51" s="2">
        <v>1582.77</v>
      </c>
      <c r="U51" s="2">
        <v>3209.53</v>
      </c>
      <c r="V51" s="2">
        <v>2077.77</v>
      </c>
      <c r="X51" s="1" t="s">
        <v>21</v>
      </c>
      <c r="Y51" s="2">
        <v>0.09</v>
      </c>
      <c r="Z51" s="2">
        <v>0.09</v>
      </c>
      <c r="AA51" s="2">
        <v>7.0000000000000007E-2</v>
      </c>
      <c r="AB51" s="2">
        <v>7.0000000000000007E-2</v>
      </c>
      <c r="AC51" s="2">
        <v>0.06</v>
      </c>
      <c r="AD51" s="2">
        <v>0.08</v>
      </c>
      <c r="AE51" s="2">
        <v>0.08</v>
      </c>
      <c r="AF51" s="2">
        <v>0.08</v>
      </c>
      <c r="AG51" s="2">
        <v>0.09</v>
      </c>
      <c r="AH51" s="2">
        <v>0.08</v>
      </c>
      <c r="AI51" s="2">
        <v>0.08</v>
      </c>
      <c r="AJ51" s="2">
        <v>0.08</v>
      </c>
      <c r="AK51" s="2">
        <v>0.08</v>
      </c>
      <c r="AL51" s="2">
        <v>0.08</v>
      </c>
      <c r="AM51" s="2">
        <v>0.08</v>
      </c>
      <c r="AN51" s="2">
        <v>0.08</v>
      </c>
      <c r="AO51" s="2">
        <v>7.0000000000000007E-2</v>
      </c>
      <c r="AP51" s="2">
        <v>0.06</v>
      </c>
      <c r="AQ51" s="2">
        <v>0.08</v>
      </c>
      <c r="AR51" s="2">
        <v>0.06</v>
      </c>
      <c r="AU51" s="1" t="s">
        <v>21</v>
      </c>
      <c r="AV51" s="2">
        <v>0.31</v>
      </c>
      <c r="AW51" s="2">
        <v>0.3</v>
      </c>
      <c r="AX51" s="2">
        <v>0.33</v>
      </c>
      <c r="AY51" s="2">
        <v>0.33</v>
      </c>
      <c r="AZ51" s="2">
        <v>0.32</v>
      </c>
      <c r="BA51" s="2">
        <v>0.32</v>
      </c>
      <c r="BB51" s="2">
        <v>0.31</v>
      </c>
      <c r="BC51" s="2">
        <v>0.86</v>
      </c>
      <c r="BD51" s="2">
        <v>0.77</v>
      </c>
      <c r="BE51" s="2">
        <v>0.83</v>
      </c>
      <c r="BF51" s="2">
        <v>0.86</v>
      </c>
      <c r="BG51" s="2">
        <v>0.82</v>
      </c>
      <c r="BH51" s="2">
        <v>0.86</v>
      </c>
      <c r="BI51" s="2">
        <v>0.8</v>
      </c>
      <c r="BJ51" s="2">
        <v>0.86</v>
      </c>
      <c r="BK51" s="2">
        <v>0.82</v>
      </c>
      <c r="BL51" s="2">
        <v>0.78</v>
      </c>
      <c r="BM51" s="2">
        <v>0.6</v>
      </c>
      <c r="BN51" s="2">
        <v>0.8</v>
      </c>
      <c r="BO51" s="2">
        <v>0.64</v>
      </c>
      <c r="BR51" s="1" t="s">
        <v>21</v>
      </c>
      <c r="BS51" s="2">
        <v>0.34</v>
      </c>
      <c r="BT51" s="2">
        <v>0.34</v>
      </c>
      <c r="BU51" s="2">
        <v>0.36</v>
      </c>
      <c r="BV51" s="2">
        <v>0.36</v>
      </c>
      <c r="BW51" s="2">
        <v>0.36</v>
      </c>
      <c r="BX51" s="2">
        <v>0.36</v>
      </c>
      <c r="BY51" s="2">
        <v>0.34</v>
      </c>
      <c r="BZ51" s="2">
        <v>0.95</v>
      </c>
      <c r="CA51" s="2">
        <v>0.85</v>
      </c>
      <c r="CB51" s="2">
        <v>0.92</v>
      </c>
      <c r="CC51" s="2">
        <v>0.95</v>
      </c>
      <c r="CD51" s="2">
        <v>0.91</v>
      </c>
      <c r="CE51" s="2">
        <v>0.95</v>
      </c>
      <c r="CF51" s="2">
        <v>0.89</v>
      </c>
      <c r="CG51" s="2">
        <v>0.95</v>
      </c>
      <c r="CH51" s="2">
        <v>0.9</v>
      </c>
      <c r="CI51" s="2">
        <v>0.86</v>
      </c>
      <c r="CJ51" s="2">
        <v>0.66</v>
      </c>
      <c r="CK51" s="2">
        <v>0.89</v>
      </c>
      <c r="CL51" s="2">
        <v>0.71</v>
      </c>
    </row>
    <row r="52" spans="2:90" x14ac:dyDescent="0.3">
      <c r="B52" s="1" t="s">
        <v>22</v>
      </c>
      <c r="C52" s="2">
        <v>2431.59</v>
      </c>
      <c r="D52" s="2">
        <v>738.88</v>
      </c>
      <c r="E52" s="2">
        <v>2276.16</v>
      </c>
      <c r="F52" s="2">
        <v>766.76</v>
      </c>
      <c r="G52" s="2">
        <v>574.07000000000005</v>
      </c>
      <c r="H52" s="2">
        <v>462.29</v>
      </c>
      <c r="I52" s="2">
        <v>3612.55</v>
      </c>
      <c r="J52" s="2">
        <v>2918.43</v>
      </c>
      <c r="K52" s="2">
        <v>4420.1099999999997</v>
      </c>
      <c r="L52" s="2">
        <v>2285.9699999999998</v>
      </c>
      <c r="M52" s="2">
        <v>9836.57</v>
      </c>
      <c r="N52" s="2">
        <v>4370.46</v>
      </c>
      <c r="O52" s="2">
        <v>7060.83</v>
      </c>
      <c r="P52" s="2">
        <v>4717.57</v>
      </c>
      <c r="Q52" s="2">
        <v>7996</v>
      </c>
      <c r="R52" s="2">
        <v>4491.37</v>
      </c>
      <c r="S52" s="2">
        <v>6295.27</v>
      </c>
      <c r="T52" s="2">
        <v>2646.7</v>
      </c>
      <c r="U52" s="2">
        <v>7148.25</v>
      </c>
      <c r="V52" s="2">
        <v>2130.04</v>
      </c>
      <c r="X52" s="1" t="s">
        <v>22</v>
      </c>
      <c r="Y52" s="2">
        <v>0.38</v>
      </c>
      <c r="Z52" s="2">
        <v>0.23</v>
      </c>
      <c r="AA52" s="2">
        <v>0.4</v>
      </c>
      <c r="AB52" s="2">
        <v>0.26</v>
      </c>
      <c r="AC52" s="2">
        <v>0.26</v>
      </c>
      <c r="AD52" s="2">
        <v>0.33</v>
      </c>
      <c r="AE52" s="2">
        <v>0.43</v>
      </c>
      <c r="AF52" s="2">
        <v>0.31</v>
      </c>
      <c r="AG52" s="2">
        <v>0.39</v>
      </c>
      <c r="AH52" s="2">
        <v>0.27</v>
      </c>
      <c r="AI52" s="2">
        <v>0.41</v>
      </c>
      <c r="AJ52" s="2">
        <v>0.27</v>
      </c>
      <c r="AK52" s="2">
        <v>0.37</v>
      </c>
      <c r="AL52" s="2">
        <v>0.28999999999999998</v>
      </c>
      <c r="AM52" s="2">
        <v>0.32</v>
      </c>
      <c r="AN52" s="2">
        <v>0.28000000000000003</v>
      </c>
      <c r="AO52" s="2">
        <v>0.3</v>
      </c>
      <c r="AP52" s="2">
        <v>0.23</v>
      </c>
      <c r="AQ52" s="2">
        <v>0.35</v>
      </c>
      <c r="AR52" s="2">
        <v>0.22</v>
      </c>
      <c r="AU52" s="1" t="s">
        <v>22</v>
      </c>
      <c r="AV52" s="2">
        <v>0.75</v>
      </c>
      <c r="AW52" s="2">
        <v>0.49</v>
      </c>
      <c r="AX52" s="2">
        <v>0.71</v>
      </c>
      <c r="AY52" s="2">
        <v>0.47</v>
      </c>
      <c r="AZ52" s="2">
        <v>0.66</v>
      </c>
      <c r="BA52" s="2">
        <v>0.59</v>
      </c>
      <c r="BB52" s="2">
        <v>0.79</v>
      </c>
      <c r="BC52" s="2">
        <v>0.81</v>
      </c>
      <c r="BD52" s="2">
        <v>0.81</v>
      </c>
      <c r="BE52" s="2">
        <v>0.72</v>
      </c>
      <c r="BF52" s="2">
        <v>0.86</v>
      </c>
      <c r="BG52" s="2">
        <v>0.74</v>
      </c>
      <c r="BH52" s="2">
        <v>0.86</v>
      </c>
      <c r="BI52" s="2">
        <v>0.79</v>
      </c>
      <c r="BJ52" s="2">
        <v>0.84</v>
      </c>
      <c r="BK52" s="2">
        <v>0.7</v>
      </c>
      <c r="BL52" s="2">
        <v>0.81</v>
      </c>
      <c r="BM52" s="2">
        <v>0.63</v>
      </c>
      <c r="BN52" s="2">
        <v>0.75</v>
      </c>
      <c r="BO52" s="2">
        <v>0.5</v>
      </c>
      <c r="BR52" s="1" t="s">
        <v>22</v>
      </c>
      <c r="BS52" s="2">
        <v>0.88</v>
      </c>
      <c r="BT52" s="2">
        <v>0.56999999999999995</v>
      </c>
      <c r="BU52" s="2">
        <v>0.85</v>
      </c>
      <c r="BV52" s="2">
        <v>0.56000000000000005</v>
      </c>
      <c r="BW52" s="2">
        <v>0.78</v>
      </c>
      <c r="BX52" s="2">
        <v>0.7</v>
      </c>
      <c r="BY52" s="2">
        <v>0.94</v>
      </c>
      <c r="BZ52" s="2">
        <v>0.96</v>
      </c>
      <c r="CA52" s="2">
        <v>0.95</v>
      </c>
      <c r="CB52" s="2">
        <v>0.84</v>
      </c>
      <c r="CC52" s="2">
        <v>1.03</v>
      </c>
      <c r="CD52" s="2">
        <v>0.86</v>
      </c>
      <c r="CE52" s="2">
        <v>1.03</v>
      </c>
      <c r="CF52" s="2">
        <v>0.92</v>
      </c>
      <c r="CG52" s="2">
        <v>0.98</v>
      </c>
      <c r="CH52" s="2">
        <v>0.82</v>
      </c>
      <c r="CI52" s="2">
        <v>0.94</v>
      </c>
      <c r="CJ52" s="2">
        <v>0.73</v>
      </c>
      <c r="CK52" s="2">
        <v>0.87</v>
      </c>
      <c r="CL52" s="2">
        <v>0.57999999999999996</v>
      </c>
    </row>
    <row r="53" spans="2:90" x14ac:dyDescent="0.3">
      <c r="B53" s="1" t="s">
        <v>23</v>
      </c>
      <c r="C53" s="2">
        <v>36727.32</v>
      </c>
      <c r="D53" s="2">
        <v>2258.98</v>
      </c>
      <c r="E53" s="2">
        <v>39460.57</v>
      </c>
      <c r="F53" s="2">
        <v>1892.84</v>
      </c>
      <c r="G53" s="2">
        <v>11233.8</v>
      </c>
      <c r="H53" s="2">
        <v>5095.8500000000004</v>
      </c>
      <c r="I53" s="2">
        <v>45385.67</v>
      </c>
      <c r="J53" s="2">
        <v>12483.96</v>
      </c>
      <c r="K53" s="2">
        <v>26826.76</v>
      </c>
      <c r="L53" s="2">
        <v>12397.53</v>
      </c>
      <c r="M53" s="2">
        <v>48666.37</v>
      </c>
      <c r="N53" s="2">
        <v>22227.22</v>
      </c>
      <c r="O53" s="2">
        <v>35942.81</v>
      </c>
      <c r="P53" s="2">
        <v>19179.490000000002</v>
      </c>
      <c r="Q53" s="2">
        <v>45713.86</v>
      </c>
      <c r="R53" s="2">
        <v>23693.38</v>
      </c>
      <c r="S53" s="2">
        <v>26386.27</v>
      </c>
      <c r="T53" s="2">
        <v>14649.06</v>
      </c>
      <c r="U53" s="2">
        <v>20281.759999999998</v>
      </c>
      <c r="V53" s="2">
        <v>15347.46</v>
      </c>
      <c r="X53" s="1" t="s">
        <v>23</v>
      </c>
      <c r="Y53" s="2">
        <v>0.51</v>
      </c>
      <c r="Z53" s="2">
        <v>0.19</v>
      </c>
      <c r="AA53" s="2">
        <v>0.51</v>
      </c>
      <c r="AB53" s="2">
        <v>0.2</v>
      </c>
      <c r="AC53" s="2">
        <v>0.41</v>
      </c>
      <c r="AD53" s="2">
        <v>0.57999999999999996</v>
      </c>
      <c r="AE53" s="2">
        <v>0.51</v>
      </c>
      <c r="AF53" s="2">
        <v>0.46</v>
      </c>
      <c r="AG53" s="2">
        <v>0.74</v>
      </c>
      <c r="AH53" s="2">
        <v>0.37</v>
      </c>
      <c r="AI53" s="2">
        <v>0.74</v>
      </c>
      <c r="AJ53" s="2">
        <v>0.37</v>
      </c>
      <c r="AK53" s="2">
        <v>0.7</v>
      </c>
      <c r="AL53" s="2">
        <v>0.39</v>
      </c>
      <c r="AM53" s="2">
        <v>0.68</v>
      </c>
      <c r="AN53" s="2">
        <v>0.36</v>
      </c>
      <c r="AO53" s="2">
        <v>0.43</v>
      </c>
      <c r="AP53" s="2">
        <v>0.26</v>
      </c>
      <c r="AQ53" s="2">
        <v>0.26</v>
      </c>
      <c r="AR53" s="2">
        <v>0.22</v>
      </c>
      <c r="AU53" s="1" t="s">
        <v>23</v>
      </c>
      <c r="AV53" s="2">
        <v>1.08</v>
      </c>
      <c r="AW53" s="2">
        <v>0.42</v>
      </c>
      <c r="AX53" s="2">
        <v>1.07</v>
      </c>
      <c r="AY53" s="2">
        <v>0.36</v>
      </c>
      <c r="AZ53" s="2">
        <v>1.07</v>
      </c>
      <c r="BA53" s="2">
        <v>0.88</v>
      </c>
      <c r="BB53" s="2">
        <v>1.0900000000000001</v>
      </c>
      <c r="BC53" s="2">
        <v>0.83</v>
      </c>
      <c r="BD53" s="2">
        <v>0.99</v>
      </c>
      <c r="BE53" s="2">
        <v>0.8</v>
      </c>
      <c r="BF53" s="2">
        <v>0.99</v>
      </c>
      <c r="BG53" s="2">
        <v>0.8</v>
      </c>
      <c r="BH53" s="2">
        <v>0.98</v>
      </c>
      <c r="BI53" s="2">
        <v>0.82</v>
      </c>
      <c r="BJ53" s="2">
        <v>0.97</v>
      </c>
      <c r="BK53" s="2">
        <v>0.79</v>
      </c>
      <c r="BL53" s="2">
        <v>0.84</v>
      </c>
      <c r="BM53" s="2">
        <v>0.72</v>
      </c>
      <c r="BN53" s="2">
        <v>0.71</v>
      </c>
      <c r="BO53" s="2">
        <v>0.65</v>
      </c>
      <c r="BR53" s="1" t="s">
        <v>23</v>
      </c>
      <c r="BS53" s="2">
        <v>1.32</v>
      </c>
      <c r="BT53" s="2">
        <v>0.48</v>
      </c>
      <c r="BU53" s="2">
        <v>1.32</v>
      </c>
      <c r="BV53" s="2">
        <v>0.43</v>
      </c>
      <c r="BW53" s="2">
        <v>1.32</v>
      </c>
      <c r="BX53" s="2">
        <v>1.1599999999999999</v>
      </c>
      <c r="BY53" s="2">
        <v>1.32</v>
      </c>
      <c r="BZ53" s="2">
        <v>1.04</v>
      </c>
      <c r="CA53" s="2">
        <v>1.32</v>
      </c>
      <c r="CB53" s="2">
        <v>0.97</v>
      </c>
      <c r="CC53" s="2">
        <v>1.32</v>
      </c>
      <c r="CD53" s="2">
        <v>0.97</v>
      </c>
      <c r="CE53" s="2">
        <v>1.32</v>
      </c>
      <c r="CF53" s="2">
        <v>0.99</v>
      </c>
      <c r="CG53" s="2">
        <v>1.32</v>
      </c>
      <c r="CH53" s="2">
        <v>0.95</v>
      </c>
      <c r="CI53" s="2">
        <v>1.03</v>
      </c>
      <c r="CJ53" s="2">
        <v>0.84</v>
      </c>
      <c r="CK53" s="2">
        <v>0.83</v>
      </c>
      <c r="CL53" s="2">
        <v>0.75</v>
      </c>
    </row>
    <row r="54" spans="2:90" x14ac:dyDescent="0.3">
      <c r="B54" s="1" t="s">
        <v>24</v>
      </c>
      <c r="C54" s="2">
        <v>4129.87</v>
      </c>
      <c r="D54" s="2">
        <v>1012.63</v>
      </c>
      <c r="E54" s="2">
        <v>4592.09</v>
      </c>
      <c r="F54" s="2">
        <v>656.48</v>
      </c>
      <c r="G54" s="2">
        <v>1390.32</v>
      </c>
      <c r="H54" s="2">
        <v>2432.6</v>
      </c>
      <c r="I54" s="2">
        <v>5067.67</v>
      </c>
      <c r="J54" s="2">
        <v>4109.29</v>
      </c>
      <c r="K54" s="2">
        <v>5982.65</v>
      </c>
      <c r="L54" s="2">
        <v>3716.95</v>
      </c>
      <c r="M54" s="2">
        <v>10722.4</v>
      </c>
      <c r="N54" s="2">
        <v>6094.55</v>
      </c>
      <c r="O54" s="2">
        <v>11261.84</v>
      </c>
      <c r="P54" s="2">
        <v>5251.83</v>
      </c>
      <c r="Q54" s="2">
        <v>10959.55</v>
      </c>
      <c r="R54" s="2">
        <v>5733.69</v>
      </c>
      <c r="S54" s="2">
        <v>4980.83</v>
      </c>
      <c r="T54" s="2">
        <v>3870.96</v>
      </c>
      <c r="U54" s="2">
        <v>5100.3100000000004</v>
      </c>
      <c r="V54" s="2">
        <v>4338.51</v>
      </c>
      <c r="X54" s="1" t="s">
        <v>24</v>
      </c>
      <c r="Y54" s="2">
        <v>0.54</v>
      </c>
      <c r="Z54" s="2">
        <v>0.21</v>
      </c>
      <c r="AA54" s="2">
        <v>0.54</v>
      </c>
      <c r="AB54" s="2">
        <v>0.24</v>
      </c>
      <c r="AC54" s="2">
        <v>0.47</v>
      </c>
      <c r="AD54" s="2">
        <v>0.4</v>
      </c>
      <c r="AE54" s="2">
        <v>0.54</v>
      </c>
      <c r="AF54" s="2">
        <v>0.44</v>
      </c>
      <c r="AG54" s="2">
        <v>0.52</v>
      </c>
      <c r="AH54" s="2">
        <v>0.33</v>
      </c>
      <c r="AI54" s="2">
        <v>0.52</v>
      </c>
      <c r="AJ54" s="2">
        <v>0.3</v>
      </c>
      <c r="AK54" s="2">
        <v>0.34</v>
      </c>
      <c r="AL54" s="2">
        <v>0.32</v>
      </c>
      <c r="AM54" s="2">
        <v>0.51</v>
      </c>
      <c r="AN54" s="2">
        <v>0.28000000000000003</v>
      </c>
      <c r="AO54" s="2">
        <v>0.28000000000000003</v>
      </c>
      <c r="AP54" s="2">
        <v>0.25</v>
      </c>
      <c r="AQ54" s="2">
        <v>0.25</v>
      </c>
      <c r="AR54" s="2">
        <v>0.24</v>
      </c>
      <c r="AU54" s="1" t="s">
        <v>24</v>
      </c>
      <c r="AV54" s="2">
        <v>0.91</v>
      </c>
      <c r="AW54" s="2">
        <v>0.61</v>
      </c>
      <c r="AX54" s="2">
        <v>0.89</v>
      </c>
      <c r="AY54" s="2">
        <v>0.45</v>
      </c>
      <c r="AZ54" s="2">
        <v>0.89</v>
      </c>
      <c r="BA54" s="2">
        <v>0.98</v>
      </c>
      <c r="BB54" s="2">
        <v>0.92</v>
      </c>
      <c r="BC54" s="2">
        <v>0.88</v>
      </c>
      <c r="BD54" s="2">
        <v>0.93</v>
      </c>
      <c r="BE54" s="2">
        <v>0.85</v>
      </c>
      <c r="BF54" s="2">
        <v>0.93</v>
      </c>
      <c r="BG54" s="2">
        <v>0.83</v>
      </c>
      <c r="BH54" s="2">
        <v>1.01</v>
      </c>
      <c r="BI54" s="2">
        <v>0.84</v>
      </c>
      <c r="BJ54" s="2">
        <v>0.93</v>
      </c>
      <c r="BK54" s="2">
        <v>0.81</v>
      </c>
      <c r="BL54" s="2">
        <v>0.8</v>
      </c>
      <c r="BM54" s="2">
        <v>0.75</v>
      </c>
      <c r="BN54" s="2">
        <v>0.75</v>
      </c>
      <c r="BO54" s="2">
        <v>0.71</v>
      </c>
      <c r="BR54" s="1" t="s">
        <v>24</v>
      </c>
      <c r="BS54" s="2">
        <v>1.1599999999999999</v>
      </c>
      <c r="BT54" s="2">
        <v>0.71</v>
      </c>
      <c r="BU54" s="2">
        <v>1.1599999999999999</v>
      </c>
      <c r="BV54" s="2">
        <v>0.53</v>
      </c>
      <c r="BW54" s="2">
        <v>1.1599999999999999</v>
      </c>
      <c r="BX54" s="2">
        <v>1.1599999999999999</v>
      </c>
      <c r="BY54" s="2">
        <v>1.1599999999999999</v>
      </c>
      <c r="BZ54" s="2">
        <v>1.08</v>
      </c>
      <c r="CA54" s="2">
        <v>1.1599999999999999</v>
      </c>
      <c r="CB54" s="2">
        <v>0.99</v>
      </c>
      <c r="CC54" s="2">
        <v>1.1599999999999999</v>
      </c>
      <c r="CD54" s="2">
        <v>0.97</v>
      </c>
      <c r="CE54" s="2">
        <v>1.1599999999999999</v>
      </c>
      <c r="CF54" s="2">
        <v>0.99</v>
      </c>
      <c r="CG54" s="2">
        <v>1.1599999999999999</v>
      </c>
      <c r="CH54" s="2">
        <v>0.93</v>
      </c>
      <c r="CI54" s="2">
        <v>0.92</v>
      </c>
      <c r="CJ54" s="2">
        <v>0.86</v>
      </c>
      <c r="CK54" s="2">
        <v>0.86</v>
      </c>
      <c r="CL54" s="2">
        <v>0.82</v>
      </c>
    </row>
    <row r="55" spans="2:90" x14ac:dyDescent="0.3">
      <c r="B55" s="1" t="s">
        <v>25</v>
      </c>
      <c r="C55" s="2">
        <v>13955.07</v>
      </c>
      <c r="D55" s="2">
        <v>22358.89</v>
      </c>
      <c r="E55" s="2">
        <v>23580.1</v>
      </c>
      <c r="F55" s="2">
        <v>13461.79</v>
      </c>
      <c r="G55" s="2">
        <v>5415.26</v>
      </c>
      <c r="H55" s="2">
        <v>6011.39</v>
      </c>
      <c r="I55" s="2">
        <v>12191.83</v>
      </c>
      <c r="J55" s="2">
        <v>20201.080000000002</v>
      </c>
      <c r="K55" s="2">
        <v>26280.89</v>
      </c>
      <c r="L55" s="2">
        <v>26105.99</v>
      </c>
      <c r="M55" s="2">
        <v>45640.97</v>
      </c>
      <c r="N55" s="2">
        <v>42139.93</v>
      </c>
      <c r="O55" s="2">
        <v>31934.84</v>
      </c>
      <c r="P55" s="2">
        <v>31667.91</v>
      </c>
      <c r="Q55" s="2">
        <v>35191.129999999997</v>
      </c>
      <c r="R55" s="2">
        <v>31455.65</v>
      </c>
      <c r="S55" s="2">
        <v>24541.599999999999</v>
      </c>
      <c r="T55" s="2">
        <v>19517.169999999998</v>
      </c>
      <c r="U55" s="2">
        <v>27058.37</v>
      </c>
      <c r="V55" s="2">
        <v>21022.57</v>
      </c>
      <c r="X55" s="1" t="s">
        <v>25</v>
      </c>
      <c r="Y55" s="2">
        <v>0.35</v>
      </c>
      <c r="Z55" s="2">
        <v>0.31</v>
      </c>
      <c r="AA55" s="2">
        <v>0.34</v>
      </c>
      <c r="AB55" s="2">
        <v>0.42</v>
      </c>
      <c r="AC55" s="2">
        <v>0.35</v>
      </c>
      <c r="AD55" s="2">
        <v>0.38</v>
      </c>
      <c r="AE55" s="2">
        <v>0.35</v>
      </c>
      <c r="AF55" s="2">
        <v>0.42</v>
      </c>
      <c r="AG55" s="2">
        <v>0.44</v>
      </c>
      <c r="AH55" s="2">
        <v>0.43</v>
      </c>
      <c r="AI55" s="2">
        <v>0.42</v>
      </c>
      <c r="AJ55" s="2">
        <v>0.38</v>
      </c>
      <c r="AK55" s="2">
        <v>0.37</v>
      </c>
      <c r="AL55" s="2">
        <v>0.35</v>
      </c>
      <c r="AM55" s="2">
        <v>0.31</v>
      </c>
      <c r="AN55" s="2">
        <v>0.28999999999999998</v>
      </c>
      <c r="AO55" s="2">
        <v>0.28000000000000003</v>
      </c>
      <c r="AP55" s="2">
        <v>0.27</v>
      </c>
      <c r="AQ55" s="2">
        <v>0.27</v>
      </c>
      <c r="AR55" s="2">
        <v>0.3</v>
      </c>
      <c r="AU55" s="1" t="s">
        <v>25</v>
      </c>
      <c r="AV55" s="2">
        <v>0.86</v>
      </c>
      <c r="AW55" s="2">
        <v>0.94</v>
      </c>
      <c r="AX55" s="2">
        <v>0.92</v>
      </c>
      <c r="AY55" s="2">
        <v>0.76</v>
      </c>
      <c r="AZ55" s="2">
        <v>0.85</v>
      </c>
      <c r="BA55" s="2">
        <v>0.85</v>
      </c>
      <c r="BB55" s="2">
        <v>0.74</v>
      </c>
      <c r="BC55" s="2">
        <v>0.87</v>
      </c>
      <c r="BD55" s="2">
        <v>0.89</v>
      </c>
      <c r="BE55" s="2">
        <v>0.89</v>
      </c>
      <c r="BF55" s="2">
        <v>0.89</v>
      </c>
      <c r="BG55" s="2">
        <v>0.86</v>
      </c>
      <c r="BH55" s="2">
        <v>0.86</v>
      </c>
      <c r="BI55" s="2">
        <v>0.85</v>
      </c>
      <c r="BJ55" s="2">
        <v>0.83</v>
      </c>
      <c r="BK55" s="2">
        <v>0.81</v>
      </c>
      <c r="BL55" s="2">
        <v>0.79</v>
      </c>
      <c r="BM55" s="2">
        <v>0.71</v>
      </c>
      <c r="BN55" s="2">
        <v>0.74</v>
      </c>
      <c r="BO55" s="2">
        <v>0.65</v>
      </c>
      <c r="BR55" s="1" t="s">
        <v>25</v>
      </c>
      <c r="BS55" s="2">
        <v>1.0900000000000001</v>
      </c>
      <c r="BT55" s="2">
        <v>1.0900000000000001</v>
      </c>
      <c r="BU55" s="2">
        <v>1.0900000000000001</v>
      </c>
      <c r="BV55" s="2">
        <v>0.9</v>
      </c>
      <c r="BW55" s="2">
        <v>1.0900000000000001</v>
      </c>
      <c r="BX55" s="2">
        <v>1.0900000000000001</v>
      </c>
      <c r="BY55" s="2">
        <v>0.87</v>
      </c>
      <c r="BZ55" s="2">
        <v>1.0900000000000001</v>
      </c>
      <c r="CA55" s="2">
        <v>1.0900000000000001</v>
      </c>
      <c r="CB55" s="2">
        <v>1.0900000000000001</v>
      </c>
      <c r="CC55" s="2">
        <v>1.08</v>
      </c>
      <c r="CD55" s="2">
        <v>1.02</v>
      </c>
      <c r="CE55" s="2">
        <v>1.03</v>
      </c>
      <c r="CF55" s="2">
        <v>1</v>
      </c>
      <c r="CG55" s="2">
        <v>0.97</v>
      </c>
      <c r="CH55" s="2">
        <v>0.94</v>
      </c>
      <c r="CI55" s="2">
        <v>0.92</v>
      </c>
      <c r="CJ55" s="2">
        <v>0.83</v>
      </c>
      <c r="CK55" s="2">
        <v>0.86</v>
      </c>
      <c r="CL55" s="2">
        <v>0.75</v>
      </c>
    </row>
    <row r="56" spans="2:90" x14ac:dyDescent="0.3">
      <c r="B56" s="1" t="s">
        <v>26</v>
      </c>
      <c r="C56" s="2">
        <v>4059.44</v>
      </c>
      <c r="D56" s="2">
        <v>5802.95</v>
      </c>
      <c r="E56" s="2">
        <v>5370.43</v>
      </c>
      <c r="F56" s="2">
        <v>5455.92</v>
      </c>
      <c r="G56" s="2">
        <v>1397.68</v>
      </c>
      <c r="H56" s="2">
        <v>1609.98</v>
      </c>
      <c r="I56" s="2">
        <v>3401.43</v>
      </c>
      <c r="J56" s="2">
        <v>4253.12</v>
      </c>
      <c r="K56" s="2">
        <v>3695.68</v>
      </c>
      <c r="L56" s="2">
        <v>7027.3</v>
      </c>
      <c r="M56" s="2">
        <v>8967.15</v>
      </c>
      <c r="N56" s="2">
        <v>13062.04</v>
      </c>
      <c r="O56" s="2">
        <v>7294.33</v>
      </c>
      <c r="P56" s="2">
        <v>10661.98</v>
      </c>
      <c r="Q56" s="2">
        <v>9182.02</v>
      </c>
      <c r="R56" s="2">
        <v>13594.46</v>
      </c>
      <c r="S56" s="2">
        <v>6576.1</v>
      </c>
      <c r="T56" s="2">
        <v>12201.5</v>
      </c>
      <c r="U56" s="2">
        <v>6868.71</v>
      </c>
      <c r="V56" s="2">
        <v>5694.63</v>
      </c>
      <c r="X56" s="1" t="s">
        <v>26</v>
      </c>
      <c r="Y56" s="2">
        <v>0.48</v>
      </c>
      <c r="Z56" s="2">
        <v>0.35</v>
      </c>
      <c r="AA56" s="2">
        <v>0.6</v>
      </c>
      <c r="AB56" s="2">
        <v>0.6</v>
      </c>
      <c r="AC56" s="2">
        <v>0.43</v>
      </c>
      <c r="AD56" s="2">
        <v>0.48</v>
      </c>
      <c r="AE56" s="2">
        <v>0.41</v>
      </c>
      <c r="AF56" s="2">
        <v>0.4</v>
      </c>
      <c r="AG56" s="2">
        <v>0.37</v>
      </c>
      <c r="AH56" s="2">
        <v>0.53</v>
      </c>
      <c r="AI56" s="2">
        <v>0.39</v>
      </c>
      <c r="AJ56" s="2">
        <v>0.54</v>
      </c>
      <c r="AK56" s="2">
        <v>0.39</v>
      </c>
      <c r="AL56" s="2">
        <v>0.54</v>
      </c>
      <c r="AM56" s="2">
        <v>0.38</v>
      </c>
      <c r="AN56" s="2">
        <v>0.54</v>
      </c>
      <c r="AO56" s="2">
        <v>0.36</v>
      </c>
      <c r="AP56" s="2">
        <v>0.53</v>
      </c>
      <c r="AQ56" s="2">
        <v>0.33</v>
      </c>
      <c r="AR56" s="2">
        <v>0.33</v>
      </c>
      <c r="AU56" s="1" t="s">
        <v>26</v>
      </c>
      <c r="AV56" s="2">
        <v>0.88</v>
      </c>
      <c r="AW56" s="2">
        <v>0.96</v>
      </c>
      <c r="AX56" s="2">
        <v>0.89</v>
      </c>
      <c r="AY56" s="2">
        <v>0.89</v>
      </c>
      <c r="AZ56" s="2">
        <v>0.86</v>
      </c>
      <c r="BA56" s="2">
        <v>0.87</v>
      </c>
      <c r="BB56" s="2">
        <v>0.79</v>
      </c>
      <c r="BC56" s="2">
        <v>0.87</v>
      </c>
      <c r="BD56" s="2">
        <v>0.79</v>
      </c>
      <c r="BE56" s="2">
        <v>0.91</v>
      </c>
      <c r="BF56" s="2">
        <v>0.85</v>
      </c>
      <c r="BG56" s="2">
        <v>0.92</v>
      </c>
      <c r="BH56" s="2">
        <v>0.85</v>
      </c>
      <c r="BI56" s="2">
        <v>0.92</v>
      </c>
      <c r="BJ56" s="2">
        <v>0.85</v>
      </c>
      <c r="BK56" s="2">
        <v>0.92</v>
      </c>
      <c r="BL56" s="2">
        <v>0.81</v>
      </c>
      <c r="BM56" s="2">
        <v>0.91</v>
      </c>
      <c r="BN56" s="2">
        <v>0.76</v>
      </c>
      <c r="BO56" s="2">
        <v>0.7</v>
      </c>
      <c r="BR56" s="1" t="s">
        <v>26</v>
      </c>
      <c r="BS56" s="2">
        <v>1.1599999999999999</v>
      </c>
      <c r="BT56" s="2">
        <v>1.1599999999999999</v>
      </c>
      <c r="BU56" s="2">
        <v>1.1599999999999999</v>
      </c>
      <c r="BV56" s="2">
        <v>1.1599999999999999</v>
      </c>
      <c r="BW56" s="2">
        <v>1.1599999999999999</v>
      </c>
      <c r="BX56" s="2">
        <v>1.1599999999999999</v>
      </c>
      <c r="BY56" s="2">
        <v>0.97</v>
      </c>
      <c r="BZ56" s="2">
        <v>1.1599999999999999</v>
      </c>
      <c r="CA56" s="2">
        <v>0.95</v>
      </c>
      <c r="CB56" s="2">
        <v>1.1599999999999999</v>
      </c>
      <c r="CC56" s="2">
        <v>1.03</v>
      </c>
      <c r="CD56" s="2">
        <v>1.1599999999999999</v>
      </c>
      <c r="CE56" s="2">
        <v>1.03</v>
      </c>
      <c r="CF56" s="2">
        <v>1.1599999999999999</v>
      </c>
      <c r="CG56" s="2">
        <v>1.02</v>
      </c>
      <c r="CH56" s="2">
        <v>1.1599999999999999</v>
      </c>
      <c r="CI56" s="2">
        <v>0.97</v>
      </c>
      <c r="CJ56" s="2">
        <v>1.1499999999999999</v>
      </c>
      <c r="CK56" s="2">
        <v>0.91</v>
      </c>
      <c r="CL56" s="2">
        <v>0.85</v>
      </c>
    </row>
    <row r="57" spans="2:90" x14ac:dyDescent="0.3">
      <c r="B57" s="1" t="s">
        <v>27</v>
      </c>
      <c r="C57" s="2">
        <v>38687</v>
      </c>
      <c r="D57" s="2">
        <v>40049.919999999998</v>
      </c>
      <c r="E57" s="2">
        <v>25437.31</v>
      </c>
      <c r="F57" s="2">
        <v>46587.12</v>
      </c>
      <c r="G57" s="2">
        <v>4913.18</v>
      </c>
      <c r="H57" s="2">
        <v>15135.96</v>
      </c>
      <c r="I57" s="2">
        <v>18262.38</v>
      </c>
      <c r="J57" s="2">
        <v>19675.82</v>
      </c>
      <c r="K57" s="2">
        <v>20757.3</v>
      </c>
      <c r="L57" s="2">
        <v>59322.85</v>
      </c>
      <c r="M57" s="2">
        <v>35757.65</v>
      </c>
      <c r="N57" s="2">
        <v>107715.72</v>
      </c>
      <c r="O57" s="2">
        <v>29699.48</v>
      </c>
      <c r="P57" s="2">
        <v>87084.29</v>
      </c>
      <c r="Q57" s="2">
        <v>41999.46</v>
      </c>
      <c r="R57" s="2">
        <v>74559.23</v>
      </c>
      <c r="S57" s="2">
        <v>27511.23</v>
      </c>
      <c r="T57" s="2">
        <v>33859.480000000003</v>
      </c>
      <c r="U57" s="2">
        <v>32339.51</v>
      </c>
      <c r="V57" s="2">
        <v>31604.11</v>
      </c>
      <c r="X57" s="1" t="s">
        <v>27</v>
      </c>
      <c r="Y57" s="2">
        <v>0.49</v>
      </c>
      <c r="Z57" s="2">
        <v>0.51</v>
      </c>
      <c r="AA57" s="2">
        <v>0.47</v>
      </c>
      <c r="AB57" s="2">
        <v>0.57999999999999996</v>
      </c>
      <c r="AC57" s="2">
        <v>0.49</v>
      </c>
      <c r="AD57" s="2">
        <v>0.49</v>
      </c>
      <c r="AE57" s="2">
        <v>0.56999999999999995</v>
      </c>
      <c r="AF57" s="2">
        <v>0.62</v>
      </c>
      <c r="AG57" s="2">
        <v>0.39</v>
      </c>
      <c r="AH57" s="2">
        <v>0.52</v>
      </c>
      <c r="AI57" s="2">
        <v>0.5</v>
      </c>
      <c r="AJ57" s="2">
        <v>0.52</v>
      </c>
      <c r="AK57" s="2">
        <v>0.51</v>
      </c>
      <c r="AL57" s="2">
        <v>0.52</v>
      </c>
      <c r="AM57" s="2">
        <v>0.56000000000000005</v>
      </c>
      <c r="AN57" s="2">
        <v>0.49</v>
      </c>
      <c r="AO57" s="2">
        <v>0.41</v>
      </c>
      <c r="AP57" s="2">
        <v>0.37</v>
      </c>
      <c r="AQ57" s="2">
        <v>0.36</v>
      </c>
      <c r="AR57" s="2">
        <v>0.35</v>
      </c>
      <c r="AU57" s="1" t="s">
        <v>27</v>
      </c>
      <c r="AV57" s="2">
        <v>1.06</v>
      </c>
      <c r="AW57" s="2">
        <v>1.07</v>
      </c>
      <c r="AX57" s="2">
        <v>0.94</v>
      </c>
      <c r="AY57" s="2">
        <v>1.06</v>
      </c>
      <c r="AZ57" s="2">
        <v>0.84</v>
      </c>
      <c r="BA57" s="2">
        <v>1.06</v>
      </c>
      <c r="BB57" s="2">
        <v>0.87</v>
      </c>
      <c r="BC57" s="2">
        <v>0.92</v>
      </c>
      <c r="BD57" s="2">
        <v>0.86</v>
      </c>
      <c r="BE57" s="2">
        <v>1.0900000000000001</v>
      </c>
      <c r="BF57" s="2">
        <v>0.85</v>
      </c>
      <c r="BG57" s="2">
        <v>1.0900000000000001</v>
      </c>
      <c r="BH57" s="2">
        <v>0.86</v>
      </c>
      <c r="BI57" s="2">
        <v>1.0900000000000001</v>
      </c>
      <c r="BJ57" s="2">
        <v>0.88</v>
      </c>
      <c r="BK57" s="2">
        <v>1</v>
      </c>
      <c r="BL57" s="2">
        <v>0.81</v>
      </c>
      <c r="BM57" s="2">
        <v>0.85</v>
      </c>
      <c r="BN57" s="2">
        <v>0.78</v>
      </c>
      <c r="BO57" s="2">
        <v>0.77</v>
      </c>
      <c r="BR57" s="1" t="s">
        <v>27</v>
      </c>
      <c r="BS57" s="2">
        <v>1.32</v>
      </c>
      <c r="BT57" s="2">
        <v>1.32</v>
      </c>
      <c r="BU57" s="2">
        <v>1.1599999999999999</v>
      </c>
      <c r="BV57" s="2">
        <v>1.32</v>
      </c>
      <c r="BW57" s="2">
        <v>1.1599999999999999</v>
      </c>
      <c r="BX57" s="2">
        <v>1.32</v>
      </c>
      <c r="BY57" s="2">
        <v>1.1299999999999999</v>
      </c>
      <c r="BZ57" s="2">
        <v>1.32</v>
      </c>
      <c r="CA57" s="2">
        <v>1.03</v>
      </c>
      <c r="CB57" s="2">
        <v>1.32</v>
      </c>
      <c r="CC57" s="2">
        <v>1.08</v>
      </c>
      <c r="CD57" s="2">
        <v>1.32</v>
      </c>
      <c r="CE57" s="2">
        <v>1.0900000000000001</v>
      </c>
      <c r="CF57" s="2">
        <v>1.32</v>
      </c>
      <c r="CG57" s="2">
        <v>1.1399999999999999</v>
      </c>
      <c r="CH57" s="2">
        <v>1.22</v>
      </c>
      <c r="CI57" s="2">
        <v>0.99</v>
      </c>
      <c r="CJ57" s="2">
        <v>1.01</v>
      </c>
      <c r="CK57" s="2">
        <v>0.94</v>
      </c>
      <c r="CL57" s="2">
        <v>0.92</v>
      </c>
    </row>
    <row r="58" spans="2:90" x14ac:dyDescent="0.3">
      <c r="B58" s="1" t="s">
        <v>28</v>
      </c>
      <c r="C58" s="2">
        <v>4449.5</v>
      </c>
      <c r="D58" s="2">
        <v>8443.92</v>
      </c>
      <c r="E58" s="2">
        <v>1397.5</v>
      </c>
      <c r="F58" s="2">
        <v>1560.78</v>
      </c>
      <c r="G58" s="2">
        <v>393.45</v>
      </c>
      <c r="H58" s="2">
        <v>717.58</v>
      </c>
      <c r="I58" s="2">
        <v>1225.77</v>
      </c>
      <c r="J58" s="2">
        <v>9457.2199999999993</v>
      </c>
      <c r="K58" s="2">
        <v>5939.26</v>
      </c>
      <c r="L58" s="2">
        <v>11250.52</v>
      </c>
      <c r="M58" s="2">
        <v>16443.18</v>
      </c>
      <c r="N58" s="2">
        <v>20727.849999999999</v>
      </c>
      <c r="O58" s="2">
        <v>12922.58</v>
      </c>
      <c r="P58" s="2">
        <v>16517.740000000002</v>
      </c>
      <c r="Q58" s="2">
        <v>16539.740000000002</v>
      </c>
      <c r="R58" s="2">
        <v>16418.29</v>
      </c>
      <c r="S58" s="2">
        <v>12122.73</v>
      </c>
      <c r="T58" s="2">
        <v>9607.43</v>
      </c>
      <c r="U58" s="2">
        <v>13803.28</v>
      </c>
      <c r="V58" s="2">
        <v>10558.72</v>
      </c>
      <c r="X58" s="1" t="s">
        <v>28</v>
      </c>
      <c r="Y58" s="2">
        <v>0.25</v>
      </c>
      <c r="Z58" s="2">
        <v>0.31</v>
      </c>
      <c r="AA58" s="2">
        <v>0.25</v>
      </c>
      <c r="AB58" s="2">
        <v>0.27</v>
      </c>
      <c r="AC58" s="2">
        <v>0.15</v>
      </c>
      <c r="AD58" s="2">
        <v>0.28000000000000003</v>
      </c>
      <c r="AE58" s="2">
        <v>0.19</v>
      </c>
      <c r="AF58" s="2">
        <v>0.28000000000000003</v>
      </c>
      <c r="AG58" s="2">
        <v>0.2</v>
      </c>
      <c r="AH58" s="2">
        <v>0.27</v>
      </c>
      <c r="AI58" s="2">
        <v>0.23</v>
      </c>
      <c r="AJ58" s="2">
        <v>0.27</v>
      </c>
      <c r="AK58" s="2">
        <v>0.22</v>
      </c>
      <c r="AL58" s="2">
        <v>0.27</v>
      </c>
      <c r="AM58" s="2">
        <v>0.22</v>
      </c>
      <c r="AN58" s="2">
        <v>0.21</v>
      </c>
      <c r="AO58" s="2">
        <v>0.18</v>
      </c>
      <c r="AP58" s="2">
        <v>0.18</v>
      </c>
      <c r="AQ58" s="2">
        <v>0.18</v>
      </c>
      <c r="AR58" s="2">
        <v>0.19</v>
      </c>
      <c r="AU58" s="1" t="s">
        <v>28</v>
      </c>
      <c r="AV58" s="2">
        <v>0.67</v>
      </c>
      <c r="AW58" s="2">
        <v>0.8</v>
      </c>
      <c r="AX58" s="2">
        <v>0.36</v>
      </c>
      <c r="AY58" s="2">
        <v>0.38</v>
      </c>
      <c r="AZ58" s="2">
        <v>0.3</v>
      </c>
      <c r="BA58" s="2">
        <v>0.42</v>
      </c>
      <c r="BB58" s="2">
        <v>0.32</v>
      </c>
      <c r="BC58" s="2">
        <v>0.82</v>
      </c>
      <c r="BD58" s="2">
        <v>0.7</v>
      </c>
      <c r="BE58" s="2">
        <v>0.83</v>
      </c>
      <c r="BF58" s="2">
        <v>0.82</v>
      </c>
      <c r="BG58" s="2">
        <v>0.83</v>
      </c>
      <c r="BH58" s="2">
        <v>0.83</v>
      </c>
      <c r="BI58" s="2">
        <v>0.83</v>
      </c>
      <c r="BJ58" s="2">
        <v>0.82</v>
      </c>
      <c r="BK58" s="2">
        <v>0.8</v>
      </c>
      <c r="BL58" s="2">
        <v>0.79</v>
      </c>
      <c r="BM58" s="2">
        <v>0.71</v>
      </c>
      <c r="BN58" s="2">
        <v>0.74</v>
      </c>
      <c r="BO58" s="2">
        <v>0.64</v>
      </c>
      <c r="BR58" s="1" t="s">
        <v>28</v>
      </c>
      <c r="BS58" s="2">
        <v>0.8</v>
      </c>
      <c r="BT58" s="2">
        <v>0.96</v>
      </c>
      <c r="BU58" s="2">
        <v>0.45</v>
      </c>
      <c r="BV58" s="2">
        <v>0.48</v>
      </c>
      <c r="BW58" s="2">
        <v>0.36</v>
      </c>
      <c r="BX58" s="2">
        <v>0.52</v>
      </c>
      <c r="BY58" s="2">
        <v>0.38</v>
      </c>
      <c r="BZ58" s="2">
        <v>1.02</v>
      </c>
      <c r="CA58" s="2">
        <v>0.84</v>
      </c>
      <c r="CB58" s="2">
        <v>1.02</v>
      </c>
      <c r="CC58" s="2">
        <v>1.01</v>
      </c>
      <c r="CD58" s="2">
        <v>1.02</v>
      </c>
      <c r="CE58" s="2">
        <v>1.02</v>
      </c>
      <c r="CF58" s="2">
        <v>1.02</v>
      </c>
      <c r="CG58" s="2">
        <v>1.01</v>
      </c>
      <c r="CH58" s="2">
        <v>0.96</v>
      </c>
      <c r="CI58" s="2">
        <v>0.95</v>
      </c>
      <c r="CJ58" s="2">
        <v>0.85</v>
      </c>
      <c r="CK58" s="2">
        <v>0.88</v>
      </c>
      <c r="CL58" s="2">
        <v>0.76</v>
      </c>
    </row>
    <row r="61" spans="2:90" x14ac:dyDescent="0.3">
      <c r="B61" t="s">
        <v>41</v>
      </c>
      <c r="X61" t="s">
        <v>42</v>
      </c>
      <c r="AU61" t="s">
        <v>43</v>
      </c>
      <c r="BR61" t="s">
        <v>44</v>
      </c>
    </row>
    <row r="62" spans="2:90" x14ac:dyDescent="0.3">
      <c r="B62" s="1" t="s">
        <v>16</v>
      </c>
      <c r="C62" s="1" t="s">
        <v>17</v>
      </c>
      <c r="D62" s="1" t="s">
        <v>18</v>
      </c>
      <c r="E62" s="1" t="s">
        <v>17</v>
      </c>
      <c r="F62" s="1" t="s">
        <v>18</v>
      </c>
      <c r="G62" s="1" t="s">
        <v>17</v>
      </c>
      <c r="H62" s="1" t="s">
        <v>18</v>
      </c>
      <c r="I62" s="1" t="s">
        <v>17</v>
      </c>
      <c r="J62" s="1" t="s">
        <v>18</v>
      </c>
      <c r="K62" s="1" t="s">
        <v>17</v>
      </c>
      <c r="L62" s="1" t="s">
        <v>18</v>
      </c>
      <c r="M62" s="1" t="s">
        <v>17</v>
      </c>
      <c r="N62" s="1" t="s">
        <v>18</v>
      </c>
      <c r="O62" s="1" t="s">
        <v>17</v>
      </c>
      <c r="P62" s="1" t="s">
        <v>18</v>
      </c>
      <c r="Q62" s="1" t="s">
        <v>17</v>
      </c>
      <c r="R62" s="1" t="s">
        <v>18</v>
      </c>
      <c r="S62" s="1" t="s">
        <v>17</v>
      </c>
      <c r="T62" s="1" t="s">
        <v>18</v>
      </c>
      <c r="U62" s="1" t="s">
        <v>17</v>
      </c>
      <c r="V62" s="1" t="s">
        <v>18</v>
      </c>
      <c r="X62" s="1" t="s">
        <v>16</v>
      </c>
      <c r="Y62" s="1" t="s">
        <v>17</v>
      </c>
      <c r="Z62" s="1" t="s">
        <v>18</v>
      </c>
      <c r="AA62" s="1" t="s">
        <v>17</v>
      </c>
      <c r="AB62" s="1" t="s">
        <v>18</v>
      </c>
      <c r="AC62" s="1" t="s">
        <v>17</v>
      </c>
      <c r="AD62" s="1" t="s">
        <v>18</v>
      </c>
      <c r="AE62" s="1" t="s">
        <v>17</v>
      </c>
      <c r="AF62" s="1" t="s">
        <v>18</v>
      </c>
      <c r="AG62" s="1" t="s">
        <v>17</v>
      </c>
      <c r="AH62" s="1" t="s">
        <v>18</v>
      </c>
      <c r="AI62" s="1" t="s">
        <v>17</v>
      </c>
      <c r="AJ62" s="1" t="s">
        <v>18</v>
      </c>
      <c r="AK62" s="1" t="s">
        <v>17</v>
      </c>
      <c r="AL62" s="1" t="s">
        <v>18</v>
      </c>
      <c r="AM62" s="1" t="s">
        <v>17</v>
      </c>
      <c r="AN62" s="1" t="s">
        <v>18</v>
      </c>
      <c r="AO62" s="1" t="s">
        <v>17</v>
      </c>
      <c r="AP62" s="1" t="s">
        <v>18</v>
      </c>
      <c r="AQ62" s="1" t="s">
        <v>17</v>
      </c>
      <c r="AR62" s="1" t="s">
        <v>18</v>
      </c>
      <c r="AU62" s="1" t="s">
        <v>16</v>
      </c>
      <c r="AV62" s="1" t="s">
        <v>17</v>
      </c>
      <c r="AW62" s="1" t="s">
        <v>18</v>
      </c>
      <c r="AX62" s="1" t="s">
        <v>17</v>
      </c>
      <c r="AY62" s="1" t="s">
        <v>18</v>
      </c>
      <c r="AZ62" s="1" t="s">
        <v>17</v>
      </c>
      <c r="BA62" s="1" t="s">
        <v>18</v>
      </c>
      <c r="BB62" s="1" t="s">
        <v>17</v>
      </c>
      <c r="BC62" s="1" t="s">
        <v>18</v>
      </c>
      <c r="BD62" s="1" t="s">
        <v>17</v>
      </c>
      <c r="BE62" s="1" t="s">
        <v>18</v>
      </c>
      <c r="BF62" s="1" t="s">
        <v>17</v>
      </c>
      <c r="BG62" s="1" t="s">
        <v>18</v>
      </c>
      <c r="BH62" s="1" t="s">
        <v>17</v>
      </c>
      <c r="BI62" s="1" t="s">
        <v>18</v>
      </c>
      <c r="BJ62" s="1" t="s">
        <v>17</v>
      </c>
      <c r="BK62" s="1" t="s">
        <v>18</v>
      </c>
      <c r="BL62" s="1" t="s">
        <v>17</v>
      </c>
      <c r="BM62" s="1" t="s">
        <v>18</v>
      </c>
      <c r="BN62" s="1" t="s">
        <v>17</v>
      </c>
      <c r="BO62" s="1" t="s">
        <v>18</v>
      </c>
      <c r="BR62" s="1" t="s">
        <v>16</v>
      </c>
      <c r="BS62" s="1" t="s">
        <v>17</v>
      </c>
      <c r="BT62" s="1" t="s">
        <v>18</v>
      </c>
      <c r="BU62" s="1" t="s">
        <v>17</v>
      </c>
      <c r="BV62" s="1" t="s">
        <v>18</v>
      </c>
      <c r="BW62" s="1" t="s">
        <v>17</v>
      </c>
      <c r="BX62" s="1" t="s">
        <v>18</v>
      </c>
      <c r="BY62" s="1" t="s">
        <v>17</v>
      </c>
      <c r="BZ62" s="1" t="s">
        <v>18</v>
      </c>
      <c r="CA62" s="1" t="s">
        <v>17</v>
      </c>
      <c r="CB62" s="1" t="s">
        <v>18</v>
      </c>
      <c r="CC62" s="1" t="s">
        <v>17</v>
      </c>
      <c r="CD62" s="1" t="s">
        <v>18</v>
      </c>
      <c r="CE62" s="1" t="s">
        <v>17</v>
      </c>
      <c r="CF62" s="1" t="s">
        <v>18</v>
      </c>
      <c r="CG62" s="1" t="s">
        <v>17</v>
      </c>
      <c r="CH62" s="1" t="s">
        <v>18</v>
      </c>
      <c r="CI62" s="1" t="s">
        <v>17</v>
      </c>
      <c r="CJ62" s="1" t="s">
        <v>18</v>
      </c>
      <c r="CK62" s="1" t="s">
        <v>17</v>
      </c>
      <c r="CL62" s="1" t="s">
        <v>18</v>
      </c>
    </row>
    <row r="63" spans="2:90" x14ac:dyDescent="0.3">
      <c r="B63" s="1" t="s">
        <v>19</v>
      </c>
      <c r="C63" s="1" t="s">
        <v>1</v>
      </c>
      <c r="D63" s="1" t="s">
        <v>1</v>
      </c>
      <c r="E63" s="1" t="s">
        <v>2</v>
      </c>
      <c r="F63" s="1" t="s">
        <v>2</v>
      </c>
      <c r="G63" s="1" t="s">
        <v>3</v>
      </c>
      <c r="H63" s="1" t="s">
        <v>3</v>
      </c>
      <c r="I63" s="1" t="s">
        <v>4</v>
      </c>
      <c r="J63" s="1" t="s">
        <v>4</v>
      </c>
      <c r="K63" s="1" t="s">
        <v>5</v>
      </c>
      <c r="L63" s="1" t="s">
        <v>5</v>
      </c>
      <c r="M63" s="1" t="s">
        <v>6</v>
      </c>
      <c r="N63" s="1" t="s">
        <v>6</v>
      </c>
      <c r="O63" s="1" t="s">
        <v>7</v>
      </c>
      <c r="P63" s="1" t="s">
        <v>7</v>
      </c>
      <c r="Q63" s="1" t="s">
        <v>8</v>
      </c>
      <c r="R63" s="1" t="s">
        <v>8</v>
      </c>
      <c r="S63" s="1" t="s">
        <v>9</v>
      </c>
      <c r="T63" s="1" t="s">
        <v>9</v>
      </c>
      <c r="U63" s="1" t="s">
        <v>10</v>
      </c>
      <c r="V63" s="1" t="s">
        <v>10</v>
      </c>
      <c r="X63" s="1" t="s">
        <v>19</v>
      </c>
      <c r="Y63" s="1" t="s">
        <v>1</v>
      </c>
      <c r="Z63" s="1" t="s">
        <v>1</v>
      </c>
      <c r="AA63" s="1" t="s">
        <v>2</v>
      </c>
      <c r="AB63" s="1" t="s">
        <v>2</v>
      </c>
      <c r="AC63" s="1" t="s">
        <v>3</v>
      </c>
      <c r="AD63" s="1" t="s">
        <v>3</v>
      </c>
      <c r="AE63" s="1" t="s">
        <v>4</v>
      </c>
      <c r="AF63" s="1" t="s">
        <v>4</v>
      </c>
      <c r="AG63" s="1" t="s">
        <v>5</v>
      </c>
      <c r="AH63" s="1" t="s">
        <v>5</v>
      </c>
      <c r="AI63" s="1" t="s">
        <v>6</v>
      </c>
      <c r="AJ63" s="1" t="s">
        <v>6</v>
      </c>
      <c r="AK63" s="1" t="s">
        <v>7</v>
      </c>
      <c r="AL63" s="1" t="s">
        <v>7</v>
      </c>
      <c r="AM63" s="1" t="s">
        <v>8</v>
      </c>
      <c r="AN63" s="1" t="s">
        <v>8</v>
      </c>
      <c r="AO63" s="1" t="s">
        <v>9</v>
      </c>
      <c r="AP63" s="1" t="s">
        <v>9</v>
      </c>
      <c r="AQ63" s="1" t="s">
        <v>10</v>
      </c>
      <c r="AR63" s="1" t="s">
        <v>10</v>
      </c>
      <c r="AU63" s="1" t="s">
        <v>19</v>
      </c>
      <c r="AV63" s="1" t="s">
        <v>1</v>
      </c>
      <c r="AW63" s="1" t="s">
        <v>1</v>
      </c>
      <c r="AX63" s="1" t="s">
        <v>2</v>
      </c>
      <c r="AY63" s="1" t="s">
        <v>2</v>
      </c>
      <c r="AZ63" s="1" t="s">
        <v>3</v>
      </c>
      <c r="BA63" s="1" t="s">
        <v>3</v>
      </c>
      <c r="BB63" s="1" t="s">
        <v>4</v>
      </c>
      <c r="BC63" s="1" t="s">
        <v>4</v>
      </c>
      <c r="BD63" s="1" t="s">
        <v>5</v>
      </c>
      <c r="BE63" s="1" t="s">
        <v>5</v>
      </c>
      <c r="BF63" s="1" t="s">
        <v>6</v>
      </c>
      <c r="BG63" s="1" t="s">
        <v>6</v>
      </c>
      <c r="BH63" s="1" t="s">
        <v>7</v>
      </c>
      <c r="BI63" s="1" t="s">
        <v>7</v>
      </c>
      <c r="BJ63" s="1" t="s">
        <v>8</v>
      </c>
      <c r="BK63" s="1" t="s">
        <v>8</v>
      </c>
      <c r="BL63" s="1" t="s">
        <v>9</v>
      </c>
      <c r="BM63" s="1" t="s">
        <v>9</v>
      </c>
      <c r="BN63" s="1" t="s">
        <v>10</v>
      </c>
      <c r="BO63" s="1" t="s">
        <v>10</v>
      </c>
      <c r="BR63" s="1" t="s">
        <v>19</v>
      </c>
      <c r="BS63" s="1" t="s">
        <v>1</v>
      </c>
      <c r="BT63" s="1" t="s">
        <v>1</v>
      </c>
      <c r="BU63" s="1" t="s">
        <v>2</v>
      </c>
      <c r="BV63" s="1" t="s">
        <v>2</v>
      </c>
      <c r="BW63" s="1" t="s">
        <v>3</v>
      </c>
      <c r="BX63" s="1" t="s">
        <v>3</v>
      </c>
      <c r="BY63" s="1" t="s">
        <v>4</v>
      </c>
      <c r="BZ63" s="1" t="s">
        <v>4</v>
      </c>
      <c r="CA63" s="1" t="s">
        <v>5</v>
      </c>
      <c r="CB63" s="1" t="s">
        <v>5</v>
      </c>
      <c r="CC63" s="1" t="s">
        <v>6</v>
      </c>
      <c r="CD63" s="1" t="s">
        <v>6</v>
      </c>
      <c r="CE63" s="1" t="s">
        <v>7</v>
      </c>
      <c r="CF63" s="1" t="s">
        <v>7</v>
      </c>
      <c r="CG63" s="1" t="s">
        <v>8</v>
      </c>
      <c r="CH63" s="1" t="s">
        <v>8</v>
      </c>
      <c r="CI63" s="1" t="s">
        <v>9</v>
      </c>
      <c r="CJ63" s="1" t="s">
        <v>9</v>
      </c>
      <c r="CK63" s="1" t="s">
        <v>10</v>
      </c>
      <c r="CL63" s="1" t="s">
        <v>10</v>
      </c>
    </row>
    <row r="64" spans="2:90" x14ac:dyDescent="0.3">
      <c r="B64" s="1" t="s">
        <v>20</v>
      </c>
      <c r="X64" s="1" t="s">
        <v>20</v>
      </c>
      <c r="AU64" s="1" t="s">
        <v>20</v>
      </c>
      <c r="BR64" s="1" t="s">
        <v>20</v>
      </c>
    </row>
    <row r="65" spans="2:90" x14ac:dyDescent="0.3">
      <c r="B65" s="1" t="s">
        <v>21</v>
      </c>
      <c r="C65" s="2">
        <v>85.78</v>
      </c>
      <c r="D65" s="2">
        <v>90.35</v>
      </c>
      <c r="E65" s="2">
        <v>63.12</v>
      </c>
      <c r="F65" s="2">
        <v>63.12</v>
      </c>
      <c r="G65" s="2">
        <v>25.67</v>
      </c>
      <c r="H65" s="2">
        <v>38.46</v>
      </c>
      <c r="I65" s="2">
        <v>92.1</v>
      </c>
      <c r="J65" s="2">
        <v>140.15</v>
      </c>
      <c r="K65" s="2">
        <v>138.38999999999999</v>
      </c>
      <c r="L65" s="2">
        <v>127.01</v>
      </c>
      <c r="M65" s="2">
        <v>218.92</v>
      </c>
      <c r="N65" s="2">
        <v>236.23</v>
      </c>
      <c r="O65" s="2">
        <v>206.27</v>
      </c>
      <c r="P65" s="2">
        <v>177.26</v>
      </c>
      <c r="Q65" s="2">
        <v>228.08</v>
      </c>
      <c r="R65" s="2">
        <v>224.22</v>
      </c>
      <c r="S65" s="2">
        <v>228.51</v>
      </c>
      <c r="T65" s="2">
        <v>183.98</v>
      </c>
      <c r="U65" s="2">
        <v>308.39</v>
      </c>
      <c r="V65" s="2">
        <v>274.45999999999998</v>
      </c>
      <c r="X65" s="1" t="s">
        <v>21</v>
      </c>
      <c r="Y65" s="2">
        <v>60</v>
      </c>
      <c r="Z65" s="2">
        <v>60</v>
      </c>
      <c r="AA65" s="2">
        <v>60</v>
      </c>
      <c r="AB65" s="2">
        <v>60</v>
      </c>
      <c r="AC65" s="2">
        <v>60</v>
      </c>
      <c r="AD65" s="2">
        <v>60</v>
      </c>
      <c r="AE65" s="2">
        <v>70</v>
      </c>
      <c r="AF65" s="2">
        <v>70</v>
      </c>
      <c r="AG65" s="2">
        <v>70</v>
      </c>
      <c r="AH65" s="2">
        <v>70</v>
      </c>
      <c r="AI65" s="2">
        <v>70</v>
      </c>
      <c r="AJ65" s="2">
        <v>70</v>
      </c>
      <c r="AK65" s="2">
        <v>70</v>
      </c>
      <c r="AL65" s="2">
        <v>70</v>
      </c>
      <c r="AM65" s="2">
        <v>70</v>
      </c>
      <c r="AN65" s="2">
        <v>70</v>
      </c>
      <c r="AO65" s="2">
        <v>70</v>
      </c>
      <c r="AP65" s="2">
        <v>70</v>
      </c>
      <c r="AQ65" s="2">
        <v>70</v>
      </c>
      <c r="AR65" s="2">
        <v>70</v>
      </c>
      <c r="AU65" s="1" t="s">
        <v>21</v>
      </c>
      <c r="AV65" s="2">
        <v>54.96</v>
      </c>
      <c r="AW65" s="2">
        <v>54.96</v>
      </c>
      <c r="AX65" s="2">
        <v>54.93</v>
      </c>
      <c r="AY65" s="2">
        <v>54.93</v>
      </c>
      <c r="AZ65" s="2">
        <v>54.94</v>
      </c>
      <c r="BA65" s="2">
        <v>54.94</v>
      </c>
      <c r="BB65" s="2">
        <v>64.94</v>
      </c>
      <c r="BC65" s="2">
        <v>46.32</v>
      </c>
      <c r="BD65" s="2">
        <v>57.85</v>
      </c>
      <c r="BE65" s="2">
        <v>52.48</v>
      </c>
      <c r="BF65" s="2">
        <v>49.96</v>
      </c>
      <c r="BG65" s="2">
        <v>53.73</v>
      </c>
      <c r="BH65" s="2">
        <v>49.86</v>
      </c>
      <c r="BI65" s="2">
        <v>55.15</v>
      </c>
      <c r="BJ65" s="2">
        <v>49.97</v>
      </c>
      <c r="BK65" s="2">
        <v>54.13</v>
      </c>
      <c r="BL65" s="2">
        <v>57.25</v>
      </c>
      <c r="BM65" s="2">
        <v>66.84</v>
      </c>
      <c r="BN65" s="2">
        <v>55.38</v>
      </c>
      <c r="BO65" s="2">
        <v>65.55</v>
      </c>
      <c r="BR65" s="1" t="s">
        <v>21</v>
      </c>
      <c r="BS65" s="2">
        <v>-0.12</v>
      </c>
      <c r="BT65" s="2">
        <v>-0.12</v>
      </c>
      <c r="BU65" s="2">
        <v>-0.12</v>
      </c>
      <c r="BV65" s="2">
        <v>-0.12</v>
      </c>
      <c r="BW65" s="2">
        <v>-0.05</v>
      </c>
      <c r="BX65" s="2">
        <v>-0.05</v>
      </c>
      <c r="BY65" s="2">
        <v>-0.11</v>
      </c>
      <c r="BZ65" s="2">
        <v>-0.7</v>
      </c>
      <c r="CA65" s="2">
        <v>-0.36</v>
      </c>
      <c r="CB65" s="2">
        <v>-0.56999999999999995</v>
      </c>
      <c r="CC65" s="2">
        <v>-1.24</v>
      </c>
      <c r="CD65" s="2">
        <v>-0.93</v>
      </c>
      <c r="CE65" s="2">
        <v>-1</v>
      </c>
      <c r="CF65" s="2">
        <v>-0.67</v>
      </c>
      <c r="CG65" s="2">
        <v>-1.31</v>
      </c>
      <c r="CH65" s="2">
        <v>-0.95</v>
      </c>
      <c r="CI65" s="2">
        <v>-0.65</v>
      </c>
      <c r="CJ65" s="2">
        <v>-0.14000000000000001</v>
      </c>
      <c r="CK65" s="2">
        <v>-1.02</v>
      </c>
      <c r="CL65" s="2">
        <v>-0.26</v>
      </c>
    </row>
    <row r="66" spans="2:90" x14ac:dyDescent="0.3">
      <c r="B66" s="1" t="s">
        <v>22</v>
      </c>
      <c r="C66" s="2">
        <v>209.59</v>
      </c>
      <c r="D66" s="2">
        <v>86.89</v>
      </c>
      <c r="E66" s="2">
        <v>98.43</v>
      </c>
      <c r="F66" s="2">
        <v>60.57</v>
      </c>
      <c r="G66" s="2">
        <v>43.21</v>
      </c>
      <c r="H66" s="2">
        <v>51.13</v>
      </c>
      <c r="I66" s="2">
        <v>227.84</v>
      </c>
      <c r="J66" s="2">
        <v>425.09</v>
      </c>
      <c r="K66" s="2">
        <v>304.13</v>
      </c>
      <c r="L66" s="2">
        <v>332.57</v>
      </c>
      <c r="M66" s="2">
        <v>700.62</v>
      </c>
      <c r="N66" s="2">
        <v>698.33</v>
      </c>
      <c r="O66" s="2">
        <v>627.5</v>
      </c>
      <c r="P66" s="2">
        <v>555.6</v>
      </c>
      <c r="Q66" s="2">
        <v>705.82</v>
      </c>
      <c r="R66" s="2">
        <v>438.2</v>
      </c>
      <c r="S66" s="2">
        <v>479.57</v>
      </c>
      <c r="T66" s="2">
        <v>324.95</v>
      </c>
      <c r="U66" s="2">
        <v>638.54</v>
      </c>
      <c r="V66" s="2">
        <v>263.27</v>
      </c>
      <c r="X66" s="1" t="s">
        <v>22</v>
      </c>
      <c r="Y66" s="2">
        <v>59.8</v>
      </c>
      <c r="Z66" s="2">
        <v>59.99</v>
      </c>
      <c r="AA66" s="2">
        <v>59.7</v>
      </c>
      <c r="AB66" s="2">
        <v>59.98</v>
      </c>
      <c r="AC66" s="2">
        <v>59.98</v>
      </c>
      <c r="AD66" s="2">
        <v>59.92</v>
      </c>
      <c r="AE66" s="2">
        <v>69.48</v>
      </c>
      <c r="AF66" s="2">
        <v>69.930000000000007</v>
      </c>
      <c r="AG66" s="2">
        <v>69.709999999999994</v>
      </c>
      <c r="AH66" s="2">
        <v>69.97</v>
      </c>
      <c r="AI66" s="2">
        <v>69.61</v>
      </c>
      <c r="AJ66" s="2">
        <v>69.97</v>
      </c>
      <c r="AK66" s="2">
        <v>69.77</v>
      </c>
      <c r="AL66" s="2">
        <v>69.95</v>
      </c>
      <c r="AM66" s="2">
        <v>69.91</v>
      </c>
      <c r="AN66" s="2">
        <v>69.959999999999994</v>
      </c>
      <c r="AO66" s="2">
        <v>69.94</v>
      </c>
      <c r="AP66" s="2">
        <v>69.989999999999995</v>
      </c>
      <c r="AQ66" s="2">
        <v>69.849999999999994</v>
      </c>
      <c r="AR66" s="2">
        <v>69.989999999999995</v>
      </c>
      <c r="AU66" s="1" t="s">
        <v>22</v>
      </c>
      <c r="AV66" s="2">
        <v>46.81</v>
      </c>
      <c r="AW66" s="2">
        <v>54.25</v>
      </c>
      <c r="AX66" s="2">
        <v>48.72</v>
      </c>
      <c r="AY66" s="2">
        <v>54.38</v>
      </c>
      <c r="AZ66" s="2">
        <v>50.91</v>
      </c>
      <c r="BA66" s="2">
        <v>52.74</v>
      </c>
      <c r="BB66" s="2">
        <v>52.45</v>
      </c>
      <c r="BC66" s="2">
        <v>50.52</v>
      </c>
      <c r="BD66" s="2">
        <v>54.33</v>
      </c>
      <c r="BE66" s="2">
        <v>61.35</v>
      </c>
      <c r="BF66" s="2">
        <v>49.38</v>
      </c>
      <c r="BG66" s="2">
        <v>60.31</v>
      </c>
      <c r="BH66" s="2">
        <v>49.71</v>
      </c>
      <c r="BI66" s="2">
        <v>56.1</v>
      </c>
      <c r="BJ66" s="2">
        <v>52.18</v>
      </c>
      <c r="BK66" s="2">
        <v>62.37</v>
      </c>
      <c r="BL66" s="2">
        <v>54.87</v>
      </c>
      <c r="BM66" s="2">
        <v>65.92</v>
      </c>
      <c r="BN66" s="2">
        <v>59.26</v>
      </c>
      <c r="BO66" s="2">
        <v>68.94</v>
      </c>
      <c r="BR66" s="1" t="s">
        <v>22</v>
      </c>
      <c r="BS66" s="2">
        <v>-0.36</v>
      </c>
      <c r="BT66" s="2">
        <v>-0.14000000000000001</v>
      </c>
      <c r="BU66" s="2">
        <v>-0.28999999999999998</v>
      </c>
      <c r="BV66" s="2">
        <v>-0.13</v>
      </c>
      <c r="BW66" s="2">
        <v>-0.09</v>
      </c>
      <c r="BX66" s="2">
        <v>-7.0000000000000007E-2</v>
      </c>
      <c r="BY66" s="2">
        <v>-0.45</v>
      </c>
      <c r="BZ66" s="2">
        <v>-0.53</v>
      </c>
      <c r="CA66" s="2">
        <v>-0.49</v>
      </c>
      <c r="CB66" s="2">
        <v>-0.24</v>
      </c>
      <c r="CC66" s="2">
        <v>-1.27</v>
      </c>
      <c r="CD66" s="2">
        <v>-0.49</v>
      </c>
      <c r="CE66" s="2">
        <v>-1.01</v>
      </c>
      <c r="CF66" s="2">
        <v>-0.61</v>
      </c>
      <c r="CG66" s="2">
        <v>-1.1100000000000001</v>
      </c>
      <c r="CH66" s="2">
        <v>-0.4</v>
      </c>
      <c r="CI66" s="2">
        <v>-0.8</v>
      </c>
      <c r="CJ66" s="2">
        <v>-0.18</v>
      </c>
      <c r="CK66" s="2">
        <v>-0.69</v>
      </c>
      <c r="CL66" s="2">
        <v>-0.06</v>
      </c>
    </row>
    <row r="67" spans="2:90" x14ac:dyDescent="0.3">
      <c r="B67" s="1" t="s">
        <v>23</v>
      </c>
      <c r="C67" s="2">
        <v>4335.05</v>
      </c>
      <c r="D67" s="2">
        <v>307.45</v>
      </c>
      <c r="E67" s="2">
        <v>3454.21</v>
      </c>
      <c r="F67" s="2">
        <v>190.89</v>
      </c>
      <c r="G67" s="2">
        <v>1537.76</v>
      </c>
      <c r="H67" s="2">
        <v>908.78</v>
      </c>
      <c r="I67" s="2">
        <v>5389.21</v>
      </c>
      <c r="J67" s="2">
        <v>2181.31</v>
      </c>
      <c r="K67" s="2">
        <v>3756.47</v>
      </c>
      <c r="L67" s="2">
        <v>2459.42</v>
      </c>
      <c r="M67" s="2">
        <v>6409.12</v>
      </c>
      <c r="N67" s="2">
        <v>4693.3100000000004</v>
      </c>
      <c r="O67" s="2">
        <v>5495.71</v>
      </c>
      <c r="P67" s="2">
        <v>3492.4</v>
      </c>
      <c r="Q67" s="2">
        <v>6763.52</v>
      </c>
      <c r="R67" s="2">
        <v>3750.34</v>
      </c>
      <c r="S67" s="2">
        <v>3675.35</v>
      </c>
      <c r="T67" s="2">
        <v>3100.29</v>
      </c>
      <c r="U67" s="2">
        <v>3180.09</v>
      </c>
      <c r="V67" s="2">
        <v>2562.48</v>
      </c>
      <c r="X67" s="1" t="s">
        <v>23</v>
      </c>
      <c r="Y67" s="2">
        <v>58.7</v>
      </c>
      <c r="Z67" s="2">
        <v>60</v>
      </c>
      <c r="AA67" s="2">
        <v>58.67</v>
      </c>
      <c r="AB67" s="2">
        <v>60</v>
      </c>
      <c r="AC67" s="2">
        <v>59.64</v>
      </c>
      <c r="AD67" s="2">
        <v>56.92</v>
      </c>
      <c r="AE67" s="2">
        <v>68.459999999999994</v>
      </c>
      <c r="AF67" s="2">
        <v>69.2</v>
      </c>
      <c r="AG67" s="2">
        <v>56.43</v>
      </c>
      <c r="AH67" s="2">
        <v>69.790000000000006</v>
      </c>
      <c r="AI67" s="2">
        <v>56.47</v>
      </c>
      <c r="AJ67" s="2">
        <v>69.78</v>
      </c>
      <c r="AK67" s="2">
        <v>59.5</v>
      </c>
      <c r="AL67" s="2">
        <v>69.7</v>
      </c>
      <c r="AM67" s="2">
        <v>61.2</v>
      </c>
      <c r="AN67" s="2">
        <v>69.83</v>
      </c>
      <c r="AO67" s="2">
        <v>69.45</v>
      </c>
      <c r="AP67" s="2">
        <v>69.98</v>
      </c>
      <c r="AQ67" s="2">
        <v>69.98</v>
      </c>
      <c r="AR67" s="2">
        <v>69.989999999999995</v>
      </c>
      <c r="AU67" s="1" t="s">
        <v>23</v>
      </c>
      <c r="AV67" s="2">
        <v>21.3</v>
      </c>
      <c r="AW67" s="2">
        <v>54.71</v>
      </c>
      <c r="AX67" s="2">
        <v>22.06</v>
      </c>
      <c r="AY67" s="2">
        <v>54.88</v>
      </c>
      <c r="AZ67" s="2">
        <v>22.29</v>
      </c>
      <c r="BA67" s="2">
        <v>37.520000000000003</v>
      </c>
      <c r="BB67" s="2">
        <v>24.16</v>
      </c>
      <c r="BC67" s="2">
        <v>48.97</v>
      </c>
      <c r="BD67" s="2">
        <v>36.380000000000003</v>
      </c>
      <c r="BE67" s="2">
        <v>55.54</v>
      </c>
      <c r="BF67" s="2">
        <v>36.36</v>
      </c>
      <c r="BG67" s="2">
        <v>55.29</v>
      </c>
      <c r="BH67" s="2">
        <v>37.31</v>
      </c>
      <c r="BI67" s="2">
        <v>54.07</v>
      </c>
      <c r="BJ67" s="2">
        <v>37.979999999999997</v>
      </c>
      <c r="BK67" s="2">
        <v>56.31</v>
      </c>
      <c r="BL67" s="2">
        <v>52.08</v>
      </c>
      <c r="BM67" s="2">
        <v>61.57</v>
      </c>
      <c r="BN67" s="2">
        <v>61.98</v>
      </c>
      <c r="BO67" s="2">
        <v>65.239999999999995</v>
      </c>
      <c r="BR67" s="1" t="s">
        <v>23</v>
      </c>
      <c r="BS67" s="2">
        <v>-2.33</v>
      </c>
      <c r="BT67" s="2">
        <v>-0.13</v>
      </c>
      <c r="BU67" s="2">
        <v>-2.21</v>
      </c>
      <c r="BV67" s="2">
        <v>-0.12</v>
      </c>
      <c r="BW67" s="2">
        <v>-0.84</v>
      </c>
      <c r="BX67" s="2">
        <v>-0.27</v>
      </c>
      <c r="BY67" s="2">
        <v>-2.57</v>
      </c>
      <c r="BZ67" s="2">
        <v>-0.56999999999999995</v>
      </c>
      <c r="CA67" s="2">
        <v>-1.17</v>
      </c>
      <c r="CB67" s="2">
        <v>-0.44</v>
      </c>
      <c r="CC67" s="2">
        <v>-2.12</v>
      </c>
      <c r="CD67" s="2">
        <v>-0.81</v>
      </c>
      <c r="CE67" s="2">
        <v>-1.74</v>
      </c>
      <c r="CF67" s="2">
        <v>-0.72</v>
      </c>
      <c r="CG67" s="2">
        <v>-2.2799999999999998</v>
      </c>
      <c r="CH67" s="2">
        <v>-0.78</v>
      </c>
      <c r="CI67" s="2">
        <v>-0.98</v>
      </c>
      <c r="CJ67" s="2">
        <v>-0.4</v>
      </c>
      <c r="CK67" s="2">
        <v>-0.5</v>
      </c>
      <c r="CL67" s="2">
        <v>-0.28000000000000003</v>
      </c>
    </row>
    <row r="68" spans="2:90" x14ac:dyDescent="0.3">
      <c r="B68" s="1" t="s">
        <v>24</v>
      </c>
      <c r="C68" s="2">
        <v>549.95000000000005</v>
      </c>
      <c r="D68" s="2">
        <v>122.76</v>
      </c>
      <c r="E68" s="2">
        <v>373.13</v>
      </c>
      <c r="F68" s="2">
        <v>73.17</v>
      </c>
      <c r="G68" s="2">
        <v>177.92</v>
      </c>
      <c r="H68" s="2">
        <v>293.61</v>
      </c>
      <c r="I68" s="2">
        <v>738.51</v>
      </c>
      <c r="J68" s="2">
        <v>532.79999999999995</v>
      </c>
      <c r="K68" s="2">
        <v>844.9</v>
      </c>
      <c r="L68" s="2">
        <v>635.37</v>
      </c>
      <c r="M68" s="2">
        <v>1610.49</v>
      </c>
      <c r="N68" s="2">
        <v>1127.1500000000001</v>
      </c>
      <c r="O68" s="2">
        <v>1830.58</v>
      </c>
      <c r="P68" s="2">
        <v>802.64</v>
      </c>
      <c r="Q68" s="2">
        <v>1794.68</v>
      </c>
      <c r="R68" s="2">
        <v>953.36</v>
      </c>
      <c r="S68" s="2">
        <v>773.14</v>
      </c>
      <c r="T68" s="2">
        <v>593.79999999999995</v>
      </c>
      <c r="U68" s="2">
        <v>823.39</v>
      </c>
      <c r="V68" s="2">
        <v>635</v>
      </c>
      <c r="X68" s="1" t="s">
        <v>24</v>
      </c>
      <c r="Y68" s="2">
        <v>58.03</v>
      </c>
      <c r="Z68" s="2">
        <v>60</v>
      </c>
      <c r="AA68" s="2">
        <v>58.08</v>
      </c>
      <c r="AB68" s="2">
        <v>59.99</v>
      </c>
      <c r="AC68" s="2">
        <v>59.19</v>
      </c>
      <c r="AD68" s="2">
        <v>59.71</v>
      </c>
      <c r="AE68" s="2">
        <v>67.680000000000007</v>
      </c>
      <c r="AF68" s="2">
        <v>69.37</v>
      </c>
      <c r="AG68" s="2">
        <v>68.319999999999993</v>
      </c>
      <c r="AH68" s="2">
        <v>69.900000000000006</v>
      </c>
      <c r="AI68" s="2">
        <v>68.33</v>
      </c>
      <c r="AJ68" s="2">
        <v>69.94</v>
      </c>
      <c r="AK68" s="2">
        <v>69.87</v>
      </c>
      <c r="AL68" s="2">
        <v>69.92</v>
      </c>
      <c r="AM68" s="2">
        <v>68.349999999999994</v>
      </c>
      <c r="AN68" s="2">
        <v>69.97</v>
      </c>
      <c r="AO68" s="2">
        <v>69.97</v>
      </c>
      <c r="AP68" s="2">
        <v>69.98</v>
      </c>
      <c r="AQ68" s="2">
        <v>69.98</v>
      </c>
      <c r="AR68" s="2">
        <v>69.989999999999995</v>
      </c>
      <c r="AU68" s="1" t="s">
        <v>24</v>
      </c>
      <c r="AV68" s="2">
        <v>35.35</v>
      </c>
      <c r="AW68" s="2">
        <v>52.21</v>
      </c>
      <c r="AX68" s="2">
        <v>36.39</v>
      </c>
      <c r="AY68" s="2">
        <v>54.56</v>
      </c>
      <c r="AZ68" s="2">
        <v>36.770000000000003</v>
      </c>
      <c r="BA68" s="2">
        <v>29.13</v>
      </c>
      <c r="BB68" s="2">
        <v>40.92</v>
      </c>
      <c r="BC68" s="2">
        <v>44.63</v>
      </c>
      <c r="BD68" s="2">
        <v>42.71</v>
      </c>
      <c r="BE68" s="2">
        <v>51.19</v>
      </c>
      <c r="BF68" s="2">
        <v>42.69</v>
      </c>
      <c r="BG68" s="2">
        <v>52.41</v>
      </c>
      <c r="BH68" s="2">
        <v>34.32</v>
      </c>
      <c r="BI68" s="2">
        <v>51.55</v>
      </c>
      <c r="BJ68" s="2">
        <v>42.63</v>
      </c>
      <c r="BK68" s="2">
        <v>54.61</v>
      </c>
      <c r="BL68" s="2">
        <v>55.69</v>
      </c>
      <c r="BM68" s="2">
        <v>59.33</v>
      </c>
      <c r="BN68" s="2">
        <v>59.59</v>
      </c>
      <c r="BO68" s="2">
        <v>62.01</v>
      </c>
      <c r="BR68" s="1" t="s">
        <v>24</v>
      </c>
      <c r="BS68" s="2">
        <v>-0.86</v>
      </c>
      <c r="BT68" s="2">
        <v>-0.19</v>
      </c>
      <c r="BU68" s="2">
        <v>-0.8</v>
      </c>
      <c r="BV68" s="2">
        <v>-0.13</v>
      </c>
      <c r="BW68" s="2">
        <v>-0.31</v>
      </c>
      <c r="BX68" s="2">
        <v>-0.53</v>
      </c>
      <c r="BY68" s="2">
        <v>-0.93</v>
      </c>
      <c r="BZ68" s="2">
        <v>-0.77</v>
      </c>
      <c r="CA68" s="2">
        <v>-1.05</v>
      </c>
      <c r="CB68" s="2">
        <v>-0.63</v>
      </c>
      <c r="CC68" s="2">
        <v>-1.9</v>
      </c>
      <c r="CD68" s="2">
        <v>-1.03</v>
      </c>
      <c r="CE68" s="2">
        <v>-2.58</v>
      </c>
      <c r="CF68" s="2">
        <v>-0.89</v>
      </c>
      <c r="CG68" s="2">
        <v>-2.0099999999999998</v>
      </c>
      <c r="CH68" s="2">
        <v>-0.92</v>
      </c>
      <c r="CI68" s="2">
        <v>-0.75</v>
      </c>
      <c r="CJ68" s="2">
        <v>-0.52</v>
      </c>
      <c r="CK68" s="2">
        <v>-0.67</v>
      </c>
      <c r="CL68" s="2">
        <v>-0.5</v>
      </c>
    </row>
    <row r="69" spans="2:90" x14ac:dyDescent="0.3">
      <c r="B69" s="1" t="s">
        <v>25</v>
      </c>
      <c r="C69" s="2">
        <v>1482.01</v>
      </c>
      <c r="D69" s="2">
        <v>2237.42</v>
      </c>
      <c r="E69" s="2">
        <v>1992.06</v>
      </c>
      <c r="F69" s="2">
        <v>1183.46</v>
      </c>
      <c r="G69" s="2">
        <v>557.49</v>
      </c>
      <c r="H69" s="2">
        <v>554.79</v>
      </c>
      <c r="I69" s="2">
        <v>1559.22</v>
      </c>
      <c r="J69" s="2">
        <v>2526.69</v>
      </c>
      <c r="K69" s="2">
        <v>3568.29</v>
      </c>
      <c r="L69" s="2">
        <v>3093.75</v>
      </c>
      <c r="M69" s="2">
        <v>6171.2</v>
      </c>
      <c r="N69" s="2">
        <v>4871.62</v>
      </c>
      <c r="O69" s="2">
        <v>4395.32</v>
      </c>
      <c r="P69" s="2">
        <v>3498.42</v>
      </c>
      <c r="Q69" s="2">
        <v>4818.26</v>
      </c>
      <c r="R69" s="2">
        <v>3896.99</v>
      </c>
      <c r="S69" s="2">
        <v>3590.6</v>
      </c>
      <c r="T69" s="2">
        <v>1950.46</v>
      </c>
      <c r="U69" s="2">
        <v>3535.32</v>
      </c>
      <c r="V69" s="2">
        <v>2312.65</v>
      </c>
      <c r="X69" s="1" t="s">
        <v>25</v>
      </c>
      <c r="Y69" s="2">
        <v>59.87</v>
      </c>
      <c r="Z69" s="2">
        <v>59.94</v>
      </c>
      <c r="AA69" s="2">
        <v>59.89</v>
      </c>
      <c r="AB69" s="2">
        <v>59.62</v>
      </c>
      <c r="AC69" s="2">
        <v>59.88</v>
      </c>
      <c r="AD69" s="2">
        <v>59.78</v>
      </c>
      <c r="AE69" s="2">
        <v>69.84</v>
      </c>
      <c r="AF69" s="2">
        <v>69.55</v>
      </c>
      <c r="AG69" s="2">
        <v>69.41</v>
      </c>
      <c r="AH69" s="2">
        <v>69.48</v>
      </c>
      <c r="AI69" s="2">
        <v>69.540000000000006</v>
      </c>
      <c r="AJ69" s="2">
        <v>69.760000000000005</v>
      </c>
      <c r="AK69" s="2">
        <v>69.8</v>
      </c>
      <c r="AL69" s="2">
        <v>69.84</v>
      </c>
      <c r="AM69" s="2">
        <v>69.930000000000007</v>
      </c>
      <c r="AN69" s="2">
        <v>69.95</v>
      </c>
      <c r="AO69" s="2">
        <v>69.97</v>
      </c>
      <c r="AP69" s="2">
        <v>69.97</v>
      </c>
      <c r="AQ69" s="2">
        <v>69.97</v>
      </c>
      <c r="AR69" s="2">
        <v>69.95</v>
      </c>
      <c r="AU69" s="1" t="s">
        <v>25</v>
      </c>
      <c r="AV69" s="2">
        <v>39.35</v>
      </c>
      <c r="AW69" s="2">
        <v>32.64</v>
      </c>
      <c r="AX69" s="2">
        <v>34.57</v>
      </c>
      <c r="AY69" s="2">
        <v>46.27</v>
      </c>
      <c r="AZ69" s="2">
        <v>39.950000000000003</v>
      </c>
      <c r="BA69" s="2">
        <v>39.630000000000003</v>
      </c>
      <c r="BB69" s="2">
        <v>56.05</v>
      </c>
      <c r="BC69" s="2">
        <v>44.88</v>
      </c>
      <c r="BD69" s="2">
        <v>46.35</v>
      </c>
      <c r="BE69" s="2">
        <v>46.47</v>
      </c>
      <c r="BF69" s="2">
        <v>47.08</v>
      </c>
      <c r="BG69" s="2">
        <v>49.48</v>
      </c>
      <c r="BH69" s="2">
        <v>49.47</v>
      </c>
      <c r="BI69" s="2">
        <v>50.9</v>
      </c>
      <c r="BJ69" s="2">
        <v>52.33</v>
      </c>
      <c r="BK69" s="2">
        <v>54.81</v>
      </c>
      <c r="BL69" s="2">
        <v>56.4</v>
      </c>
      <c r="BM69" s="2">
        <v>61.8</v>
      </c>
      <c r="BN69" s="2">
        <v>60</v>
      </c>
      <c r="BO69" s="2">
        <v>65.05</v>
      </c>
      <c r="BR69" s="1" t="s">
        <v>25</v>
      </c>
      <c r="BS69" s="2">
        <v>-0.68</v>
      </c>
      <c r="BT69" s="2">
        <v>-1.0900000000000001</v>
      </c>
      <c r="BU69" s="2">
        <v>-0.95</v>
      </c>
      <c r="BV69" s="2">
        <v>-0.38</v>
      </c>
      <c r="BW69" s="2">
        <v>-0.25</v>
      </c>
      <c r="BX69" s="2">
        <v>-0.26</v>
      </c>
      <c r="BY69" s="2">
        <v>-0.34</v>
      </c>
      <c r="BZ69" s="2">
        <v>-0.76</v>
      </c>
      <c r="CA69" s="2">
        <v>-0.86</v>
      </c>
      <c r="CB69" s="2">
        <v>-0.86</v>
      </c>
      <c r="CC69" s="2">
        <v>-1.48</v>
      </c>
      <c r="CD69" s="2">
        <v>-1.27</v>
      </c>
      <c r="CE69" s="2">
        <v>-1.02</v>
      </c>
      <c r="CF69" s="2">
        <v>-0.93</v>
      </c>
      <c r="CG69" s="2">
        <v>-1.1000000000000001</v>
      </c>
      <c r="CH69" s="2">
        <v>-0.9</v>
      </c>
      <c r="CI69" s="2">
        <v>-0.7</v>
      </c>
      <c r="CJ69" s="2">
        <v>-0.39</v>
      </c>
      <c r="CK69" s="2">
        <v>-0.64</v>
      </c>
      <c r="CL69" s="2">
        <v>-0.28999999999999998</v>
      </c>
    </row>
    <row r="70" spans="2:90" x14ac:dyDescent="0.3">
      <c r="B70" s="1" t="s">
        <v>26</v>
      </c>
      <c r="C70" s="2">
        <v>299.76</v>
      </c>
      <c r="D70" s="2">
        <v>392.03</v>
      </c>
      <c r="E70" s="2">
        <v>288.74</v>
      </c>
      <c r="F70" s="2">
        <v>330.55</v>
      </c>
      <c r="G70" s="2">
        <v>110.72</v>
      </c>
      <c r="H70" s="2">
        <v>90.09</v>
      </c>
      <c r="I70" s="2">
        <v>318.64999999999998</v>
      </c>
      <c r="J70" s="2">
        <v>296.23</v>
      </c>
      <c r="K70" s="2">
        <v>340.23</v>
      </c>
      <c r="L70" s="2">
        <v>567.29</v>
      </c>
      <c r="M70" s="2">
        <v>932.91</v>
      </c>
      <c r="N70" s="2">
        <v>1040.29</v>
      </c>
      <c r="O70" s="2">
        <v>703.58</v>
      </c>
      <c r="P70" s="2">
        <v>731.45</v>
      </c>
      <c r="Q70" s="2">
        <v>916.57</v>
      </c>
      <c r="R70" s="2">
        <v>1162.1199999999999</v>
      </c>
      <c r="S70" s="2">
        <v>714.23</v>
      </c>
      <c r="T70" s="2">
        <v>774.54</v>
      </c>
      <c r="U70" s="2">
        <v>693.2</v>
      </c>
      <c r="V70" s="2">
        <v>465.42</v>
      </c>
      <c r="X70" s="1" t="s">
        <v>26</v>
      </c>
      <c r="Y70" s="2">
        <v>59.02</v>
      </c>
      <c r="Z70" s="2">
        <v>59.88</v>
      </c>
      <c r="AA70" s="2">
        <v>56.46</v>
      </c>
      <c r="AB70" s="2">
        <v>56.38</v>
      </c>
      <c r="AC70" s="2">
        <v>59.54</v>
      </c>
      <c r="AD70" s="2">
        <v>59.12</v>
      </c>
      <c r="AE70" s="2">
        <v>69.599999999999994</v>
      </c>
      <c r="AF70" s="2">
        <v>69.650000000000006</v>
      </c>
      <c r="AG70" s="2">
        <v>69.77</v>
      </c>
      <c r="AH70" s="2">
        <v>67.97</v>
      </c>
      <c r="AI70" s="2">
        <v>69.72</v>
      </c>
      <c r="AJ70" s="2">
        <v>67.69</v>
      </c>
      <c r="AK70" s="2">
        <v>69.709999999999994</v>
      </c>
      <c r="AL70" s="2">
        <v>67.67</v>
      </c>
      <c r="AM70" s="2">
        <v>69.760000000000005</v>
      </c>
      <c r="AN70" s="2">
        <v>67.709999999999994</v>
      </c>
      <c r="AO70" s="2">
        <v>69.819999999999993</v>
      </c>
      <c r="AP70" s="2">
        <v>68.09</v>
      </c>
      <c r="AQ70" s="2">
        <v>69.89</v>
      </c>
      <c r="AR70" s="2">
        <v>69.900000000000006</v>
      </c>
      <c r="AU70" s="1" t="s">
        <v>26</v>
      </c>
      <c r="AV70" s="2">
        <v>37.590000000000003</v>
      </c>
      <c r="AW70" s="2">
        <v>30.63</v>
      </c>
      <c r="AX70" s="2">
        <v>36.67</v>
      </c>
      <c r="AY70" s="2">
        <v>36.75</v>
      </c>
      <c r="AZ70" s="2">
        <v>38.909999999999997</v>
      </c>
      <c r="BA70" s="2">
        <v>38.369999999999997</v>
      </c>
      <c r="BB70" s="2">
        <v>52.34</v>
      </c>
      <c r="BC70" s="2">
        <v>45.08</v>
      </c>
      <c r="BD70" s="2">
        <v>56.69</v>
      </c>
      <c r="BE70" s="2">
        <v>44.15</v>
      </c>
      <c r="BF70" s="2">
        <v>50.5</v>
      </c>
      <c r="BG70" s="2">
        <v>44.04</v>
      </c>
      <c r="BH70" s="2">
        <v>50.38</v>
      </c>
      <c r="BI70" s="2">
        <v>44.07</v>
      </c>
      <c r="BJ70" s="2">
        <v>50.95</v>
      </c>
      <c r="BK70" s="2">
        <v>44.01</v>
      </c>
      <c r="BL70" s="2">
        <v>54.86</v>
      </c>
      <c r="BM70" s="2">
        <v>44.75</v>
      </c>
      <c r="BN70" s="2">
        <v>58.91</v>
      </c>
      <c r="BO70" s="2">
        <v>62.6</v>
      </c>
      <c r="BR70" s="1" t="s">
        <v>26</v>
      </c>
      <c r="BS70" s="2">
        <v>-0.75</v>
      </c>
      <c r="BT70" s="2">
        <v>-1.24</v>
      </c>
      <c r="BU70" s="2">
        <v>-0.75</v>
      </c>
      <c r="BV70" s="2">
        <v>-0.74</v>
      </c>
      <c r="BW70" s="2">
        <v>-0.27</v>
      </c>
      <c r="BX70" s="2">
        <v>-0.27</v>
      </c>
      <c r="BY70" s="2">
        <v>-0.45</v>
      </c>
      <c r="BZ70" s="2">
        <v>-0.75</v>
      </c>
      <c r="CA70" s="2">
        <v>-0.4</v>
      </c>
      <c r="CB70" s="2">
        <v>-0.95</v>
      </c>
      <c r="CC70" s="2">
        <v>-1.18</v>
      </c>
      <c r="CD70" s="2">
        <v>-1.71</v>
      </c>
      <c r="CE70" s="2">
        <v>-0.96</v>
      </c>
      <c r="CF70" s="2">
        <v>-1.38</v>
      </c>
      <c r="CG70" s="2">
        <v>-1.21</v>
      </c>
      <c r="CH70" s="2">
        <v>-1.81</v>
      </c>
      <c r="CI70" s="2">
        <v>-0.8</v>
      </c>
      <c r="CJ70" s="2">
        <v>-1.56</v>
      </c>
      <c r="CK70" s="2">
        <v>-0.72</v>
      </c>
      <c r="CL70" s="2">
        <v>-0.45</v>
      </c>
    </row>
    <row r="71" spans="2:90" x14ac:dyDescent="0.3">
      <c r="B71" s="1" t="s">
        <v>27</v>
      </c>
      <c r="C71" s="2">
        <v>2175.3200000000002</v>
      </c>
      <c r="D71" s="2">
        <v>2590.88</v>
      </c>
      <c r="E71" s="2">
        <v>1145.82</v>
      </c>
      <c r="F71" s="2">
        <v>2009.12</v>
      </c>
      <c r="G71" s="2">
        <v>308.76</v>
      </c>
      <c r="H71" s="2">
        <v>763.37</v>
      </c>
      <c r="I71" s="2">
        <v>1241.3399999999999</v>
      </c>
      <c r="J71" s="2">
        <v>1323.05</v>
      </c>
      <c r="K71" s="2">
        <v>1510.71</v>
      </c>
      <c r="L71" s="2">
        <v>3949.11</v>
      </c>
      <c r="M71" s="2">
        <v>2598.17</v>
      </c>
      <c r="N71" s="2">
        <v>6748.99</v>
      </c>
      <c r="O71" s="2">
        <v>1935.06</v>
      </c>
      <c r="P71" s="2">
        <v>4804.8500000000004</v>
      </c>
      <c r="Q71" s="2">
        <v>2873.01</v>
      </c>
      <c r="R71" s="2">
        <v>5170.59</v>
      </c>
      <c r="S71" s="2">
        <v>2097.1799999999998</v>
      </c>
      <c r="T71" s="2">
        <v>1876.45</v>
      </c>
      <c r="U71" s="2">
        <v>2226.2600000000002</v>
      </c>
      <c r="V71" s="2">
        <v>2092.79</v>
      </c>
      <c r="X71" s="1" t="s">
        <v>27</v>
      </c>
      <c r="Y71" s="2">
        <v>58.94</v>
      </c>
      <c r="Z71" s="2">
        <v>58.59</v>
      </c>
      <c r="AA71" s="2">
        <v>59.24</v>
      </c>
      <c r="AB71" s="2">
        <v>57.16</v>
      </c>
      <c r="AC71" s="2">
        <v>58.95</v>
      </c>
      <c r="AD71" s="2">
        <v>58.89</v>
      </c>
      <c r="AE71" s="2">
        <v>66.959999999999994</v>
      </c>
      <c r="AF71" s="2">
        <v>64.819999999999993</v>
      </c>
      <c r="AG71" s="2">
        <v>69.7</v>
      </c>
      <c r="AH71" s="2">
        <v>68.239999999999995</v>
      </c>
      <c r="AI71" s="2">
        <v>68.66</v>
      </c>
      <c r="AJ71" s="2">
        <v>68.3</v>
      </c>
      <c r="AK71" s="2">
        <v>68.430000000000007</v>
      </c>
      <c r="AL71" s="2">
        <v>68.28</v>
      </c>
      <c r="AM71" s="2">
        <v>67.31</v>
      </c>
      <c r="AN71" s="2">
        <v>68.78</v>
      </c>
      <c r="AO71" s="2">
        <v>69.58</v>
      </c>
      <c r="AP71" s="2">
        <v>69.790000000000006</v>
      </c>
      <c r="AQ71" s="2">
        <v>69.81</v>
      </c>
      <c r="AR71" s="2">
        <v>69.849999999999994</v>
      </c>
      <c r="AU71" s="1" t="s">
        <v>27</v>
      </c>
      <c r="AV71" s="2">
        <v>22.43</v>
      </c>
      <c r="AW71" s="2">
        <v>22.18</v>
      </c>
      <c r="AX71" s="2">
        <v>32.159999999999997</v>
      </c>
      <c r="AY71" s="2">
        <v>22.7</v>
      </c>
      <c r="AZ71" s="2">
        <v>40.770000000000003</v>
      </c>
      <c r="BA71" s="2">
        <v>22.82</v>
      </c>
      <c r="BB71" s="2">
        <v>45.38</v>
      </c>
      <c r="BC71" s="2">
        <v>40.56</v>
      </c>
      <c r="BD71" s="2">
        <v>50.06</v>
      </c>
      <c r="BE71" s="2">
        <v>26.48</v>
      </c>
      <c r="BF71" s="2">
        <v>50.55</v>
      </c>
      <c r="BG71" s="2">
        <v>26.36</v>
      </c>
      <c r="BH71" s="2">
        <v>49.84</v>
      </c>
      <c r="BI71" s="2">
        <v>26.4</v>
      </c>
      <c r="BJ71" s="2">
        <v>47.31</v>
      </c>
      <c r="BK71" s="2">
        <v>35.03</v>
      </c>
      <c r="BL71" s="2">
        <v>54.8</v>
      </c>
      <c r="BM71" s="2">
        <v>50.99</v>
      </c>
      <c r="BN71" s="2">
        <v>57.4</v>
      </c>
      <c r="BO71" s="2">
        <v>58.17</v>
      </c>
      <c r="BR71" s="1" t="s">
        <v>27</v>
      </c>
      <c r="BS71" s="2">
        <v>-2.15</v>
      </c>
      <c r="BT71" s="2">
        <v>-2.19</v>
      </c>
      <c r="BU71" s="2">
        <v>-1.1100000000000001</v>
      </c>
      <c r="BV71" s="2">
        <v>-2.0699999999999998</v>
      </c>
      <c r="BW71" s="2">
        <v>-0.23</v>
      </c>
      <c r="BX71" s="2">
        <v>-0.81</v>
      </c>
      <c r="BY71" s="2">
        <v>-0.68</v>
      </c>
      <c r="BZ71" s="2">
        <v>-0.89</v>
      </c>
      <c r="CA71" s="2">
        <v>-0.68</v>
      </c>
      <c r="CB71" s="2">
        <v>-2.77</v>
      </c>
      <c r="CC71" s="2">
        <v>-1.1299999999999999</v>
      </c>
      <c r="CD71" s="2">
        <v>-5.03</v>
      </c>
      <c r="CE71" s="2">
        <v>-0.95</v>
      </c>
      <c r="CF71" s="2">
        <v>-4.04</v>
      </c>
      <c r="CG71" s="2">
        <v>-1.43</v>
      </c>
      <c r="CH71" s="2">
        <v>-3.19</v>
      </c>
      <c r="CI71" s="2">
        <v>-0.79</v>
      </c>
      <c r="CJ71" s="2">
        <v>-1.08</v>
      </c>
      <c r="CK71" s="2">
        <v>-0.84</v>
      </c>
      <c r="CL71" s="2">
        <v>-0.78</v>
      </c>
    </row>
    <row r="72" spans="2:90" x14ac:dyDescent="0.3">
      <c r="B72" s="1" t="s">
        <v>28</v>
      </c>
      <c r="C72" s="2">
        <v>249.9</v>
      </c>
      <c r="D72" s="2">
        <v>278.07</v>
      </c>
      <c r="E72" s="2">
        <v>33.36</v>
      </c>
      <c r="F72" s="2">
        <v>41.48</v>
      </c>
      <c r="G72" s="2">
        <v>17.39</v>
      </c>
      <c r="H72" s="2">
        <v>19.850000000000001</v>
      </c>
      <c r="I72" s="2">
        <v>54.06</v>
      </c>
      <c r="J72" s="2">
        <v>269.45999999999998</v>
      </c>
      <c r="K72" s="2">
        <v>309.14999999999998</v>
      </c>
      <c r="L72" s="2">
        <v>241.07</v>
      </c>
      <c r="M72" s="2">
        <v>623.48</v>
      </c>
      <c r="N72" s="2">
        <v>497.41</v>
      </c>
      <c r="O72" s="2">
        <v>537.16999999999996</v>
      </c>
      <c r="P72" s="2">
        <v>555.87</v>
      </c>
      <c r="Q72" s="2">
        <v>570.95000000000005</v>
      </c>
      <c r="R72" s="2">
        <v>593.28</v>
      </c>
      <c r="S72" s="2">
        <v>636.73</v>
      </c>
      <c r="T72" s="2">
        <v>343.94</v>
      </c>
      <c r="U72" s="2">
        <v>686.63</v>
      </c>
      <c r="V72" s="2">
        <v>401.62</v>
      </c>
      <c r="X72" s="1" t="s">
        <v>28</v>
      </c>
      <c r="Y72" s="2">
        <v>59.99</v>
      </c>
      <c r="Z72" s="2">
        <v>59.94</v>
      </c>
      <c r="AA72" s="2">
        <v>59.98</v>
      </c>
      <c r="AB72" s="2">
        <v>59.97</v>
      </c>
      <c r="AC72" s="2">
        <v>60</v>
      </c>
      <c r="AD72" s="2">
        <v>59.97</v>
      </c>
      <c r="AE72" s="2">
        <v>70</v>
      </c>
      <c r="AF72" s="2">
        <v>69.959999999999994</v>
      </c>
      <c r="AG72" s="2">
        <v>70</v>
      </c>
      <c r="AH72" s="2">
        <v>69.97</v>
      </c>
      <c r="AI72" s="2">
        <v>69.989999999999995</v>
      </c>
      <c r="AJ72" s="2">
        <v>69.97</v>
      </c>
      <c r="AK72" s="2">
        <v>69.989999999999995</v>
      </c>
      <c r="AL72" s="2">
        <v>69.97</v>
      </c>
      <c r="AM72" s="2">
        <v>69.989999999999995</v>
      </c>
      <c r="AN72" s="2">
        <v>69.989999999999995</v>
      </c>
      <c r="AO72" s="2">
        <v>70</v>
      </c>
      <c r="AP72" s="2">
        <v>70</v>
      </c>
      <c r="AQ72" s="2">
        <v>70</v>
      </c>
      <c r="AR72" s="2">
        <v>70</v>
      </c>
      <c r="AU72" s="1" t="s">
        <v>28</v>
      </c>
      <c r="AV72" s="2">
        <v>50.57</v>
      </c>
      <c r="AW72" s="2">
        <v>43.74</v>
      </c>
      <c r="AX72" s="2">
        <v>54.88</v>
      </c>
      <c r="AY72" s="2">
        <v>54.83</v>
      </c>
      <c r="AZ72" s="2">
        <v>54.96</v>
      </c>
      <c r="BA72" s="2">
        <v>54.7</v>
      </c>
      <c r="BB72" s="2">
        <v>64.94</v>
      </c>
      <c r="BC72" s="2">
        <v>50.19</v>
      </c>
      <c r="BD72" s="2">
        <v>62.46</v>
      </c>
      <c r="BE72" s="2">
        <v>52.77</v>
      </c>
      <c r="BF72" s="2">
        <v>53.24</v>
      </c>
      <c r="BG72" s="2">
        <v>52.64</v>
      </c>
      <c r="BH72" s="2">
        <v>53.02</v>
      </c>
      <c r="BI72" s="2">
        <v>52.48</v>
      </c>
      <c r="BJ72" s="2">
        <v>53.6</v>
      </c>
      <c r="BK72" s="2">
        <v>55.11</v>
      </c>
      <c r="BL72" s="2">
        <v>56.03</v>
      </c>
      <c r="BM72" s="2">
        <v>62.02</v>
      </c>
      <c r="BN72" s="2">
        <v>60.34</v>
      </c>
      <c r="BO72" s="2">
        <v>65.349999999999994</v>
      </c>
      <c r="BR72" s="1" t="s">
        <v>28</v>
      </c>
      <c r="BS72" s="2">
        <v>-0.24</v>
      </c>
      <c r="BT72" s="2">
        <v>-0.48</v>
      </c>
      <c r="BU72" s="2">
        <v>-0.12</v>
      </c>
      <c r="BV72" s="2">
        <v>-0.12</v>
      </c>
      <c r="BW72" s="2">
        <v>-0.05</v>
      </c>
      <c r="BX72" s="2">
        <v>-0.05</v>
      </c>
      <c r="BY72" s="2">
        <v>-0.11</v>
      </c>
      <c r="BZ72" s="2">
        <v>-0.54</v>
      </c>
      <c r="CA72" s="2">
        <v>-0.21</v>
      </c>
      <c r="CB72" s="2">
        <v>-0.56000000000000005</v>
      </c>
      <c r="CC72" s="2">
        <v>-0.97</v>
      </c>
      <c r="CD72" s="2">
        <v>-1.02</v>
      </c>
      <c r="CE72" s="2">
        <v>-0.8</v>
      </c>
      <c r="CF72" s="2">
        <v>-0.83</v>
      </c>
      <c r="CG72" s="2">
        <v>-1</v>
      </c>
      <c r="CH72" s="2">
        <v>-0.88</v>
      </c>
      <c r="CI72" s="2">
        <v>-0.73</v>
      </c>
      <c r="CJ72" s="2">
        <v>-0.37</v>
      </c>
      <c r="CK72" s="2">
        <v>-0.62</v>
      </c>
      <c r="CL72" s="2">
        <v>-0.27</v>
      </c>
    </row>
    <row r="75" spans="2:90" x14ac:dyDescent="0.3">
      <c r="B75" t="s">
        <v>45</v>
      </c>
      <c r="X75" t="s">
        <v>46</v>
      </c>
      <c r="AU75" t="s">
        <v>47</v>
      </c>
      <c r="BR75" t="s">
        <v>48</v>
      </c>
    </row>
    <row r="76" spans="2:90" x14ac:dyDescent="0.3">
      <c r="B76" s="1" t="s">
        <v>16</v>
      </c>
      <c r="C76" s="1" t="s">
        <v>17</v>
      </c>
      <c r="D76" s="1" t="s">
        <v>18</v>
      </c>
      <c r="E76" s="1" t="s">
        <v>17</v>
      </c>
      <c r="F76" s="1" t="s">
        <v>18</v>
      </c>
      <c r="G76" s="1" t="s">
        <v>17</v>
      </c>
      <c r="H76" s="1" t="s">
        <v>18</v>
      </c>
      <c r="I76" s="1" t="s">
        <v>17</v>
      </c>
      <c r="J76" s="1" t="s">
        <v>18</v>
      </c>
      <c r="K76" s="1" t="s">
        <v>17</v>
      </c>
      <c r="L76" s="1" t="s">
        <v>18</v>
      </c>
      <c r="M76" s="1" t="s">
        <v>17</v>
      </c>
      <c r="N76" s="1" t="s">
        <v>18</v>
      </c>
      <c r="O76" s="1" t="s">
        <v>17</v>
      </c>
      <c r="P76" s="1" t="s">
        <v>18</v>
      </c>
      <c r="Q76" s="1" t="s">
        <v>17</v>
      </c>
      <c r="R76" s="1" t="s">
        <v>18</v>
      </c>
      <c r="S76" s="1" t="s">
        <v>17</v>
      </c>
      <c r="T76" s="1" t="s">
        <v>18</v>
      </c>
      <c r="U76" s="1" t="s">
        <v>17</v>
      </c>
      <c r="V76" s="1" t="s">
        <v>18</v>
      </c>
      <c r="X76" s="1" t="s">
        <v>16</v>
      </c>
      <c r="Y76" s="1" t="s">
        <v>17</v>
      </c>
      <c r="Z76" s="1" t="s">
        <v>18</v>
      </c>
      <c r="AA76" s="1" t="s">
        <v>17</v>
      </c>
      <c r="AB76" s="1" t="s">
        <v>18</v>
      </c>
      <c r="AC76" s="1" t="s">
        <v>17</v>
      </c>
      <c r="AD76" s="1" t="s">
        <v>18</v>
      </c>
      <c r="AE76" s="1" t="s">
        <v>17</v>
      </c>
      <c r="AF76" s="1" t="s">
        <v>18</v>
      </c>
      <c r="AG76" s="1" t="s">
        <v>17</v>
      </c>
      <c r="AH76" s="1" t="s">
        <v>18</v>
      </c>
      <c r="AI76" s="1" t="s">
        <v>17</v>
      </c>
      <c r="AJ76" s="1" t="s">
        <v>18</v>
      </c>
      <c r="AK76" s="1" t="s">
        <v>17</v>
      </c>
      <c r="AL76" s="1" t="s">
        <v>18</v>
      </c>
      <c r="AM76" s="1" t="s">
        <v>17</v>
      </c>
      <c r="AN76" s="1" t="s">
        <v>18</v>
      </c>
      <c r="AO76" s="1" t="s">
        <v>17</v>
      </c>
      <c r="AP76" s="1" t="s">
        <v>18</v>
      </c>
      <c r="AQ76" s="1" t="s">
        <v>17</v>
      </c>
      <c r="AR76" s="1" t="s">
        <v>18</v>
      </c>
      <c r="AU76" s="1" t="s">
        <v>16</v>
      </c>
      <c r="AV76" s="1" t="s">
        <v>17</v>
      </c>
      <c r="AW76" s="1" t="s">
        <v>18</v>
      </c>
      <c r="AX76" s="1" t="s">
        <v>17</v>
      </c>
      <c r="AY76" s="1" t="s">
        <v>18</v>
      </c>
      <c r="AZ76" s="1" t="s">
        <v>17</v>
      </c>
      <c r="BA76" s="1" t="s">
        <v>18</v>
      </c>
      <c r="BB76" s="1" t="s">
        <v>17</v>
      </c>
      <c r="BC76" s="1" t="s">
        <v>18</v>
      </c>
      <c r="BD76" s="1" t="s">
        <v>17</v>
      </c>
      <c r="BE76" s="1" t="s">
        <v>18</v>
      </c>
      <c r="BF76" s="1" t="s">
        <v>17</v>
      </c>
      <c r="BG76" s="1" t="s">
        <v>18</v>
      </c>
      <c r="BH76" s="1" t="s">
        <v>17</v>
      </c>
      <c r="BI76" s="1" t="s">
        <v>18</v>
      </c>
      <c r="BJ76" s="1" t="s">
        <v>17</v>
      </c>
      <c r="BK76" s="1" t="s">
        <v>18</v>
      </c>
      <c r="BL76" s="1" t="s">
        <v>17</v>
      </c>
      <c r="BM76" s="1" t="s">
        <v>18</v>
      </c>
      <c r="BN76" s="1" t="s">
        <v>17</v>
      </c>
      <c r="BO76" s="1" t="s">
        <v>18</v>
      </c>
      <c r="BR76" s="1" t="s">
        <v>16</v>
      </c>
      <c r="BS76" s="1" t="s">
        <v>17</v>
      </c>
      <c r="BT76" s="1" t="s">
        <v>18</v>
      </c>
      <c r="BU76" s="1" t="s">
        <v>17</v>
      </c>
      <c r="BV76" s="1" t="s">
        <v>18</v>
      </c>
      <c r="BW76" s="1" t="s">
        <v>17</v>
      </c>
      <c r="BX76" s="1" t="s">
        <v>18</v>
      </c>
      <c r="BY76" s="1" t="s">
        <v>17</v>
      </c>
      <c r="BZ76" s="1" t="s">
        <v>18</v>
      </c>
      <c r="CA76" s="1" t="s">
        <v>17</v>
      </c>
      <c r="CB76" s="1" t="s">
        <v>18</v>
      </c>
      <c r="CC76" s="1" t="s">
        <v>17</v>
      </c>
      <c r="CD76" s="1" t="s">
        <v>18</v>
      </c>
      <c r="CE76" s="1" t="s">
        <v>17</v>
      </c>
      <c r="CF76" s="1" t="s">
        <v>18</v>
      </c>
      <c r="CG76" s="1" t="s">
        <v>17</v>
      </c>
      <c r="CH76" s="1" t="s">
        <v>18</v>
      </c>
      <c r="CI76" s="1" t="s">
        <v>17</v>
      </c>
      <c r="CJ76" s="1" t="s">
        <v>18</v>
      </c>
      <c r="CK76" s="1" t="s">
        <v>17</v>
      </c>
      <c r="CL76" s="1" t="s">
        <v>18</v>
      </c>
    </row>
    <row r="77" spans="2:90" x14ac:dyDescent="0.3">
      <c r="B77" s="1" t="s">
        <v>19</v>
      </c>
      <c r="C77" s="1" t="s">
        <v>1</v>
      </c>
      <c r="D77" s="1" t="s">
        <v>1</v>
      </c>
      <c r="E77" s="1" t="s">
        <v>2</v>
      </c>
      <c r="F77" s="1" t="s">
        <v>2</v>
      </c>
      <c r="G77" s="1" t="s">
        <v>3</v>
      </c>
      <c r="H77" s="1" t="s">
        <v>3</v>
      </c>
      <c r="I77" s="1" t="s">
        <v>4</v>
      </c>
      <c r="J77" s="1" t="s">
        <v>4</v>
      </c>
      <c r="K77" s="1" t="s">
        <v>5</v>
      </c>
      <c r="L77" s="1" t="s">
        <v>5</v>
      </c>
      <c r="M77" s="1" t="s">
        <v>6</v>
      </c>
      <c r="N77" s="1" t="s">
        <v>6</v>
      </c>
      <c r="O77" s="1" t="s">
        <v>7</v>
      </c>
      <c r="P77" s="1" t="s">
        <v>7</v>
      </c>
      <c r="Q77" s="1" t="s">
        <v>8</v>
      </c>
      <c r="R77" s="1" t="s">
        <v>8</v>
      </c>
      <c r="S77" s="1" t="s">
        <v>9</v>
      </c>
      <c r="T77" s="1" t="s">
        <v>9</v>
      </c>
      <c r="U77" s="1" t="s">
        <v>10</v>
      </c>
      <c r="V77" s="1" t="s">
        <v>10</v>
      </c>
      <c r="X77" s="1" t="s">
        <v>19</v>
      </c>
      <c r="Y77" s="1" t="s">
        <v>1</v>
      </c>
      <c r="Z77" s="1" t="s">
        <v>1</v>
      </c>
      <c r="AA77" s="1" t="s">
        <v>2</v>
      </c>
      <c r="AB77" s="1" t="s">
        <v>2</v>
      </c>
      <c r="AC77" s="1" t="s">
        <v>3</v>
      </c>
      <c r="AD77" s="1" t="s">
        <v>3</v>
      </c>
      <c r="AE77" s="1" t="s">
        <v>4</v>
      </c>
      <c r="AF77" s="1" t="s">
        <v>4</v>
      </c>
      <c r="AG77" s="1" t="s">
        <v>5</v>
      </c>
      <c r="AH77" s="1" t="s">
        <v>5</v>
      </c>
      <c r="AI77" s="1" t="s">
        <v>6</v>
      </c>
      <c r="AJ77" s="1" t="s">
        <v>6</v>
      </c>
      <c r="AK77" s="1" t="s">
        <v>7</v>
      </c>
      <c r="AL77" s="1" t="s">
        <v>7</v>
      </c>
      <c r="AM77" s="1" t="s">
        <v>8</v>
      </c>
      <c r="AN77" s="1" t="s">
        <v>8</v>
      </c>
      <c r="AO77" s="1" t="s">
        <v>9</v>
      </c>
      <c r="AP77" s="1" t="s">
        <v>9</v>
      </c>
      <c r="AQ77" s="1" t="s">
        <v>10</v>
      </c>
      <c r="AR77" s="1" t="s">
        <v>10</v>
      </c>
      <c r="AU77" s="1" t="s">
        <v>19</v>
      </c>
      <c r="AV77" s="1" t="s">
        <v>1</v>
      </c>
      <c r="AW77" s="1" t="s">
        <v>1</v>
      </c>
      <c r="AX77" s="1" t="s">
        <v>2</v>
      </c>
      <c r="AY77" s="1" t="s">
        <v>2</v>
      </c>
      <c r="AZ77" s="1" t="s">
        <v>3</v>
      </c>
      <c r="BA77" s="1" t="s">
        <v>3</v>
      </c>
      <c r="BB77" s="1" t="s">
        <v>4</v>
      </c>
      <c r="BC77" s="1" t="s">
        <v>4</v>
      </c>
      <c r="BD77" s="1" t="s">
        <v>5</v>
      </c>
      <c r="BE77" s="1" t="s">
        <v>5</v>
      </c>
      <c r="BF77" s="1" t="s">
        <v>6</v>
      </c>
      <c r="BG77" s="1" t="s">
        <v>6</v>
      </c>
      <c r="BH77" s="1" t="s">
        <v>7</v>
      </c>
      <c r="BI77" s="1" t="s">
        <v>7</v>
      </c>
      <c r="BJ77" s="1" t="s">
        <v>8</v>
      </c>
      <c r="BK77" s="1" t="s">
        <v>8</v>
      </c>
      <c r="BL77" s="1" t="s">
        <v>9</v>
      </c>
      <c r="BM77" s="1" t="s">
        <v>9</v>
      </c>
      <c r="BN77" s="1" t="s">
        <v>10</v>
      </c>
      <c r="BO77" s="1" t="s">
        <v>10</v>
      </c>
      <c r="BR77" s="1" t="s">
        <v>19</v>
      </c>
      <c r="BS77" s="1" t="s">
        <v>1</v>
      </c>
      <c r="BT77" s="1" t="s">
        <v>1</v>
      </c>
      <c r="BU77" s="1" t="s">
        <v>2</v>
      </c>
      <c r="BV77" s="1" t="s">
        <v>2</v>
      </c>
      <c r="BW77" s="1" t="s">
        <v>3</v>
      </c>
      <c r="BX77" s="1" t="s">
        <v>3</v>
      </c>
      <c r="BY77" s="1" t="s">
        <v>4</v>
      </c>
      <c r="BZ77" s="1" t="s">
        <v>4</v>
      </c>
      <c r="CA77" s="1" t="s">
        <v>5</v>
      </c>
      <c r="CB77" s="1" t="s">
        <v>5</v>
      </c>
      <c r="CC77" s="1" t="s">
        <v>6</v>
      </c>
      <c r="CD77" s="1" t="s">
        <v>6</v>
      </c>
      <c r="CE77" s="1" t="s">
        <v>7</v>
      </c>
      <c r="CF77" s="1" t="s">
        <v>7</v>
      </c>
      <c r="CG77" s="1" t="s">
        <v>8</v>
      </c>
      <c r="CH77" s="1" t="s">
        <v>8</v>
      </c>
      <c r="CI77" s="1" t="s">
        <v>9</v>
      </c>
      <c r="CJ77" s="1" t="s">
        <v>9</v>
      </c>
      <c r="CK77" s="1" t="s">
        <v>10</v>
      </c>
      <c r="CL77" s="1" t="s">
        <v>10</v>
      </c>
    </row>
    <row r="78" spans="2:90" x14ac:dyDescent="0.3">
      <c r="B78" s="1" t="s">
        <v>20</v>
      </c>
      <c r="X78" s="1" t="s">
        <v>20</v>
      </c>
      <c r="AU78" s="1" t="s">
        <v>20</v>
      </c>
      <c r="BR78" s="1" t="s">
        <v>20</v>
      </c>
    </row>
    <row r="79" spans="2:90" x14ac:dyDescent="0.3">
      <c r="B79" s="1" t="s">
        <v>21</v>
      </c>
      <c r="C79" s="2">
        <v>23.2</v>
      </c>
      <c r="D79" s="2">
        <v>37.090000000000003</v>
      </c>
      <c r="E79" s="2">
        <v>18.399999999999999</v>
      </c>
      <c r="F79" s="2">
        <v>18.399999999999999</v>
      </c>
      <c r="G79" s="2">
        <v>5.95</v>
      </c>
      <c r="H79" s="2">
        <v>12.19</v>
      </c>
      <c r="I79" s="2">
        <v>56.51</v>
      </c>
      <c r="J79" s="2">
        <v>28.03</v>
      </c>
      <c r="K79" s="2">
        <v>59.8</v>
      </c>
      <c r="L79" s="2">
        <v>78.59</v>
      </c>
      <c r="M79" s="2">
        <v>56.5</v>
      </c>
      <c r="N79" s="2">
        <v>87.64</v>
      </c>
      <c r="O79" s="2">
        <v>50.17</v>
      </c>
      <c r="P79" s="2">
        <v>61</v>
      </c>
      <c r="Q79" s="2">
        <v>42.64</v>
      </c>
      <c r="R79" s="2">
        <v>43.24</v>
      </c>
      <c r="S79" s="2">
        <v>25.19</v>
      </c>
      <c r="T79" s="2">
        <v>44.53</v>
      </c>
      <c r="U79" s="2">
        <v>25.6</v>
      </c>
      <c r="V79" s="2">
        <v>34.53</v>
      </c>
      <c r="X79" s="1" t="s">
        <v>21</v>
      </c>
      <c r="Y79" s="2">
        <v>1.3</v>
      </c>
      <c r="Z79" s="2">
        <v>1.3</v>
      </c>
      <c r="AA79" s="2">
        <v>1.3</v>
      </c>
      <c r="AB79" s="2">
        <v>1.3</v>
      </c>
      <c r="AC79" s="2">
        <v>0.5</v>
      </c>
      <c r="AD79" s="2">
        <v>0.5</v>
      </c>
      <c r="AE79" s="2">
        <v>1.37</v>
      </c>
      <c r="AF79" s="2">
        <v>1.37</v>
      </c>
      <c r="AG79" s="2">
        <v>1.71</v>
      </c>
      <c r="AH79" s="2">
        <v>1.71</v>
      </c>
      <c r="AI79" s="2">
        <v>3.09</v>
      </c>
      <c r="AJ79" s="2">
        <v>3.09</v>
      </c>
      <c r="AK79" s="2">
        <v>2.4900000000000002</v>
      </c>
      <c r="AL79" s="2">
        <v>2.4900000000000002</v>
      </c>
      <c r="AM79" s="2">
        <v>3.26</v>
      </c>
      <c r="AN79" s="2">
        <v>3.26</v>
      </c>
      <c r="AO79" s="2">
        <v>2.91</v>
      </c>
      <c r="AP79" s="2">
        <v>2.91</v>
      </c>
      <c r="AQ79" s="2">
        <v>3.86</v>
      </c>
      <c r="AR79" s="2">
        <v>3.86</v>
      </c>
      <c r="AU79" s="1" t="s">
        <v>21</v>
      </c>
      <c r="AV79" s="2">
        <v>1.42</v>
      </c>
      <c r="AW79" s="2">
        <v>1.42</v>
      </c>
      <c r="AX79" s="2">
        <v>1.42</v>
      </c>
      <c r="AY79" s="2">
        <v>1.42</v>
      </c>
      <c r="AZ79" s="2">
        <v>0.55000000000000004</v>
      </c>
      <c r="BA79" s="2">
        <v>0.55000000000000004</v>
      </c>
      <c r="BB79" s="2">
        <v>1.48</v>
      </c>
      <c r="BC79" s="2">
        <v>2.0699999999999998</v>
      </c>
      <c r="BD79" s="2">
        <v>2.0699999999999998</v>
      </c>
      <c r="BE79" s="2">
        <v>2.29</v>
      </c>
      <c r="BF79" s="2">
        <v>4.32</v>
      </c>
      <c r="BG79" s="2">
        <v>4.0199999999999996</v>
      </c>
      <c r="BH79" s="2">
        <v>3.49</v>
      </c>
      <c r="BI79" s="2">
        <v>3.16</v>
      </c>
      <c r="BJ79" s="2">
        <v>4.5599999999999996</v>
      </c>
      <c r="BK79" s="2">
        <v>4.21</v>
      </c>
      <c r="BL79" s="2">
        <v>3.56</v>
      </c>
      <c r="BM79" s="2">
        <v>3.05</v>
      </c>
      <c r="BN79" s="2">
        <v>4.88</v>
      </c>
      <c r="BO79" s="2">
        <v>4.12</v>
      </c>
      <c r="BR79" s="1" t="s">
        <v>21</v>
      </c>
      <c r="BS79" s="2">
        <v>-0.08</v>
      </c>
      <c r="BT79" s="2">
        <v>-0.08</v>
      </c>
      <c r="BU79" s="2">
        <v>-0.08</v>
      </c>
      <c r="BV79" s="2">
        <v>-0.08</v>
      </c>
      <c r="BW79" s="2">
        <v>-0.08</v>
      </c>
      <c r="BX79" s="2">
        <v>-0.08</v>
      </c>
      <c r="BY79" s="2">
        <v>-7.0000000000000007E-2</v>
      </c>
      <c r="BZ79" s="2">
        <v>-0.34</v>
      </c>
      <c r="CA79" s="2">
        <v>-0.17</v>
      </c>
      <c r="CB79" s="2">
        <v>-0.25</v>
      </c>
      <c r="CC79" s="2">
        <v>-0.28999999999999998</v>
      </c>
      <c r="CD79" s="2">
        <v>-0.23</v>
      </c>
      <c r="CE79" s="2">
        <v>-0.28999999999999998</v>
      </c>
      <c r="CF79" s="2">
        <v>-0.21</v>
      </c>
      <c r="CG79" s="2">
        <v>-0.28999999999999998</v>
      </c>
      <c r="CH79" s="2">
        <v>-0.23</v>
      </c>
      <c r="CI79" s="2">
        <v>-0.18</v>
      </c>
      <c r="CJ79" s="2">
        <v>-0.05</v>
      </c>
      <c r="CK79" s="2">
        <v>-0.21</v>
      </c>
      <c r="CL79" s="2">
        <v>-0.06</v>
      </c>
    </row>
    <row r="80" spans="2:90" x14ac:dyDescent="0.3">
      <c r="B80" s="1" t="s">
        <v>22</v>
      </c>
      <c r="C80" s="2">
        <v>109.66</v>
      </c>
      <c r="D80" s="2">
        <v>38.71</v>
      </c>
      <c r="E80" s="2">
        <v>66.11</v>
      </c>
      <c r="F80" s="2">
        <v>27.41</v>
      </c>
      <c r="G80" s="2">
        <v>16.97</v>
      </c>
      <c r="H80" s="2">
        <v>24.85</v>
      </c>
      <c r="I80" s="2">
        <v>109.24</v>
      </c>
      <c r="J80" s="2">
        <v>199.2</v>
      </c>
      <c r="K80" s="2">
        <v>130.34</v>
      </c>
      <c r="L80" s="2">
        <v>150.82</v>
      </c>
      <c r="M80" s="2">
        <v>235.51</v>
      </c>
      <c r="N80" s="2">
        <v>216.05</v>
      </c>
      <c r="O80" s="2">
        <v>218.69</v>
      </c>
      <c r="P80" s="2">
        <v>201.74</v>
      </c>
      <c r="Q80" s="2">
        <v>268.91000000000003</v>
      </c>
      <c r="R80" s="2">
        <v>156.54</v>
      </c>
      <c r="S80" s="2">
        <v>173.16</v>
      </c>
      <c r="T80" s="2">
        <v>134.9</v>
      </c>
      <c r="U80" s="2">
        <v>198.55</v>
      </c>
      <c r="V80" s="2">
        <v>110.34</v>
      </c>
      <c r="X80" s="1" t="s">
        <v>22</v>
      </c>
      <c r="Y80" s="2">
        <v>1.3</v>
      </c>
      <c r="Z80" s="2">
        <v>1.3</v>
      </c>
      <c r="AA80" s="2">
        <v>1.31</v>
      </c>
      <c r="AB80" s="2">
        <v>1.3</v>
      </c>
      <c r="AC80" s="2">
        <v>0.5</v>
      </c>
      <c r="AD80" s="2">
        <v>0.5</v>
      </c>
      <c r="AE80" s="2">
        <v>1.38</v>
      </c>
      <c r="AF80" s="2">
        <v>1.37</v>
      </c>
      <c r="AG80" s="2">
        <v>1.72</v>
      </c>
      <c r="AH80" s="2">
        <v>1.72</v>
      </c>
      <c r="AI80" s="2">
        <v>3.1</v>
      </c>
      <c r="AJ80" s="2">
        <v>3.09</v>
      </c>
      <c r="AK80" s="2">
        <v>2.4900000000000002</v>
      </c>
      <c r="AL80" s="2">
        <v>2.4900000000000002</v>
      </c>
      <c r="AM80" s="2">
        <v>3.26</v>
      </c>
      <c r="AN80" s="2">
        <v>3.26</v>
      </c>
      <c r="AO80" s="2">
        <v>2.92</v>
      </c>
      <c r="AP80" s="2">
        <v>2.91</v>
      </c>
      <c r="AQ80" s="2">
        <v>3.87</v>
      </c>
      <c r="AR80" s="2">
        <v>3.86</v>
      </c>
      <c r="AU80" s="1" t="s">
        <v>22</v>
      </c>
      <c r="AV80" s="2">
        <v>1.67</v>
      </c>
      <c r="AW80" s="2">
        <v>1.44</v>
      </c>
      <c r="AX80" s="2">
        <v>1.6</v>
      </c>
      <c r="AY80" s="2">
        <v>1.43</v>
      </c>
      <c r="AZ80" s="2">
        <v>0.59</v>
      </c>
      <c r="BA80" s="2">
        <v>0.56999999999999995</v>
      </c>
      <c r="BB80" s="2">
        <v>1.83</v>
      </c>
      <c r="BC80" s="2">
        <v>1.9</v>
      </c>
      <c r="BD80" s="2">
        <v>2.21</v>
      </c>
      <c r="BE80" s="2">
        <v>1.96</v>
      </c>
      <c r="BF80" s="2">
        <v>4.37</v>
      </c>
      <c r="BG80" s="2">
        <v>3.58</v>
      </c>
      <c r="BH80" s="2">
        <v>3.5</v>
      </c>
      <c r="BI80" s="2">
        <v>3.1</v>
      </c>
      <c r="BJ80" s="2">
        <v>4.37</v>
      </c>
      <c r="BK80" s="2">
        <v>3.66</v>
      </c>
      <c r="BL80" s="2">
        <v>3.72</v>
      </c>
      <c r="BM80" s="2">
        <v>3.09</v>
      </c>
      <c r="BN80" s="2">
        <v>4.5599999999999996</v>
      </c>
      <c r="BO80" s="2">
        <v>3.92</v>
      </c>
      <c r="BR80" s="1" t="s">
        <v>22</v>
      </c>
      <c r="BS80" s="2">
        <v>-0.22</v>
      </c>
      <c r="BT80" s="2">
        <v>-0.1</v>
      </c>
      <c r="BU80" s="2">
        <v>-0.18</v>
      </c>
      <c r="BV80" s="2">
        <v>-0.09</v>
      </c>
      <c r="BW80" s="2">
        <v>-0.15</v>
      </c>
      <c r="BX80" s="2">
        <v>-0.12</v>
      </c>
      <c r="BY80" s="2">
        <v>-0.25</v>
      </c>
      <c r="BZ80" s="2">
        <v>-0.28000000000000003</v>
      </c>
      <c r="CA80" s="2">
        <v>-0.22</v>
      </c>
      <c r="CB80" s="2">
        <v>-0.12</v>
      </c>
      <c r="CC80" s="2">
        <v>-0.28999999999999998</v>
      </c>
      <c r="CD80" s="2">
        <v>-0.14000000000000001</v>
      </c>
      <c r="CE80" s="2">
        <v>-0.28999999999999998</v>
      </c>
      <c r="CF80" s="2">
        <v>-0.2</v>
      </c>
      <c r="CG80" s="2">
        <v>-0.25</v>
      </c>
      <c r="CH80" s="2">
        <v>-0.11</v>
      </c>
      <c r="CI80" s="2">
        <v>-0.22</v>
      </c>
      <c r="CJ80" s="2">
        <v>-0.06</v>
      </c>
      <c r="CK80" s="2">
        <v>-0.15</v>
      </c>
      <c r="CL80" s="2">
        <v>-0.01</v>
      </c>
    </row>
    <row r="81" spans="2:90" x14ac:dyDescent="0.3">
      <c r="B81" s="1" t="s">
        <v>23</v>
      </c>
      <c r="C81" s="2">
        <v>1074.8699999999999</v>
      </c>
      <c r="D81" s="2">
        <v>107.08</v>
      </c>
      <c r="E81" s="2">
        <v>886.88</v>
      </c>
      <c r="F81" s="2">
        <v>54.9</v>
      </c>
      <c r="G81" s="2">
        <v>285.93</v>
      </c>
      <c r="H81" s="2">
        <v>256.67</v>
      </c>
      <c r="I81" s="2">
        <v>1815.3</v>
      </c>
      <c r="J81" s="2">
        <v>819.32</v>
      </c>
      <c r="K81" s="2">
        <v>991.21</v>
      </c>
      <c r="L81" s="2">
        <v>755.75</v>
      </c>
      <c r="M81" s="2">
        <v>1661.36</v>
      </c>
      <c r="N81" s="2">
        <v>1243.3399999999999</v>
      </c>
      <c r="O81" s="2">
        <v>1495.86</v>
      </c>
      <c r="P81" s="2">
        <v>1069.9100000000001</v>
      </c>
      <c r="Q81" s="2">
        <v>1910.87</v>
      </c>
      <c r="R81" s="2">
        <v>1148.33</v>
      </c>
      <c r="S81" s="2">
        <v>928.91</v>
      </c>
      <c r="T81" s="2">
        <v>888.37</v>
      </c>
      <c r="U81" s="2">
        <v>949.91</v>
      </c>
      <c r="V81" s="2">
        <v>770.99</v>
      </c>
      <c r="X81" s="1" t="s">
        <v>23</v>
      </c>
      <c r="Y81" s="2">
        <v>1.33</v>
      </c>
      <c r="Z81" s="2">
        <v>1.3</v>
      </c>
      <c r="AA81" s="2">
        <v>1.33</v>
      </c>
      <c r="AB81" s="2">
        <v>1.3</v>
      </c>
      <c r="AC81" s="2">
        <v>0.5</v>
      </c>
      <c r="AD81" s="2">
        <v>0.53</v>
      </c>
      <c r="AE81" s="2">
        <v>1.4</v>
      </c>
      <c r="AF81" s="2">
        <v>1.39</v>
      </c>
      <c r="AG81" s="2">
        <v>2.13</v>
      </c>
      <c r="AH81" s="2">
        <v>1.72</v>
      </c>
      <c r="AI81" s="2">
        <v>3.82</v>
      </c>
      <c r="AJ81" s="2">
        <v>3.1</v>
      </c>
      <c r="AK81" s="2">
        <v>2.92</v>
      </c>
      <c r="AL81" s="2">
        <v>2.5</v>
      </c>
      <c r="AM81" s="2">
        <v>3.73</v>
      </c>
      <c r="AN81" s="2">
        <v>3.26</v>
      </c>
      <c r="AO81" s="2">
        <v>2.94</v>
      </c>
      <c r="AP81" s="2">
        <v>2.92</v>
      </c>
      <c r="AQ81" s="2">
        <v>3.86</v>
      </c>
      <c r="AR81" s="2">
        <v>3.86</v>
      </c>
      <c r="AU81" s="1" t="s">
        <v>23</v>
      </c>
      <c r="AV81" s="2">
        <v>3.66</v>
      </c>
      <c r="AW81" s="2">
        <v>1.43</v>
      </c>
      <c r="AX81" s="2">
        <v>3.54</v>
      </c>
      <c r="AY81" s="2">
        <v>1.42</v>
      </c>
      <c r="AZ81" s="2">
        <v>1.35</v>
      </c>
      <c r="BA81" s="2">
        <v>0.8</v>
      </c>
      <c r="BB81" s="2">
        <v>3.97</v>
      </c>
      <c r="BC81" s="2">
        <v>1.96</v>
      </c>
      <c r="BD81" s="2">
        <v>3.3</v>
      </c>
      <c r="BE81" s="2">
        <v>2.16</v>
      </c>
      <c r="BF81" s="2">
        <v>5.94</v>
      </c>
      <c r="BG81" s="2">
        <v>3.91</v>
      </c>
      <c r="BH81" s="2">
        <v>4.66</v>
      </c>
      <c r="BI81" s="2">
        <v>3.22</v>
      </c>
      <c r="BJ81" s="2">
        <v>6</v>
      </c>
      <c r="BK81" s="2">
        <v>4.05</v>
      </c>
      <c r="BL81" s="2">
        <v>3.92</v>
      </c>
      <c r="BM81" s="2">
        <v>3.31</v>
      </c>
      <c r="BN81" s="2">
        <v>4.3600000000000003</v>
      </c>
      <c r="BO81" s="2">
        <v>4.1399999999999997</v>
      </c>
      <c r="BR81" s="1" t="s">
        <v>23</v>
      </c>
      <c r="BS81" s="2">
        <v>-0.64</v>
      </c>
      <c r="BT81" s="2">
        <v>-0.09</v>
      </c>
      <c r="BU81" s="2">
        <v>-0.62</v>
      </c>
      <c r="BV81" s="2">
        <v>-0.09</v>
      </c>
      <c r="BW81" s="2">
        <v>-0.63</v>
      </c>
      <c r="BX81" s="2">
        <v>-0.34</v>
      </c>
      <c r="BY81" s="2">
        <v>-0.65</v>
      </c>
      <c r="BZ81" s="2">
        <v>-0.28999999999999998</v>
      </c>
      <c r="CA81" s="2">
        <v>-0.36</v>
      </c>
      <c r="CB81" s="2">
        <v>-0.2</v>
      </c>
      <c r="CC81" s="2">
        <v>-0.36</v>
      </c>
      <c r="CD81" s="2">
        <v>-0.21</v>
      </c>
      <c r="CE81" s="2">
        <v>-0.37</v>
      </c>
      <c r="CF81" s="2">
        <v>-0.22</v>
      </c>
      <c r="CG81" s="2">
        <v>-0.38</v>
      </c>
      <c r="CH81" s="2">
        <v>-0.19</v>
      </c>
      <c r="CI81" s="2">
        <v>-0.25</v>
      </c>
      <c r="CJ81" s="2">
        <v>-0.12</v>
      </c>
      <c r="CK81" s="2">
        <v>-0.11</v>
      </c>
      <c r="CL81" s="2">
        <v>-7.0000000000000007E-2</v>
      </c>
    </row>
    <row r="82" spans="2:90" x14ac:dyDescent="0.3">
      <c r="B82" s="1" t="s">
        <v>24</v>
      </c>
      <c r="C82" s="2">
        <v>152.6</v>
      </c>
      <c r="D82" s="2">
        <v>47.88</v>
      </c>
      <c r="E82" s="2">
        <v>130.16</v>
      </c>
      <c r="F82" s="2">
        <v>21.79</v>
      </c>
      <c r="G82" s="2">
        <v>44.95</v>
      </c>
      <c r="H82" s="2">
        <v>93.97</v>
      </c>
      <c r="I82" s="2">
        <v>311.95</v>
      </c>
      <c r="J82" s="2">
        <v>236.86</v>
      </c>
      <c r="K82" s="2">
        <v>394.05</v>
      </c>
      <c r="L82" s="2">
        <v>212.85</v>
      </c>
      <c r="M82" s="2">
        <v>650.85</v>
      </c>
      <c r="N82" s="2">
        <v>309.73</v>
      </c>
      <c r="O82" s="2">
        <v>770.85</v>
      </c>
      <c r="P82" s="2">
        <v>272.57</v>
      </c>
      <c r="Q82" s="2">
        <v>814.37</v>
      </c>
      <c r="R82" s="2">
        <v>390.33</v>
      </c>
      <c r="S82" s="2">
        <v>350.53</v>
      </c>
      <c r="T82" s="2">
        <v>214.27</v>
      </c>
      <c r="U82" s="2">
        <v>326.17</v>
      </c>
      <c r="V82" s="2">
        <v>276.41000000000003</v>
      </c>
      <c r="X82" s="1" t="s">
        <v>24</v>
      </c>
      <c r="Y82" s="2">
        <v>1.34</v>
      </c>
      <c r="Z82" s="2">
        <v>1.3</v>
      </c>
      <c r="AA82" s="2">
        <v>1.34</v>
      </c>
      <c r="AB82" s="2">
        <v>1.3</v>
      </c>
      <c r="AC82" s="2">
        <v>0.51</v>
      </c>
      <c r="AD82" s="2">
        <v>0.5</v>
      </c>
      <c r="AE82" s="2">
        <v>1.42</v>
      </c>
      <c r="AF82" s="2">
        <v>1.38</v>
      </c>
      <c r="AG82" s="2">
        <v>1.76</v>
      </c>
      <c r="AH82" s="2">
        <v>1.72</v>
      </c>
      <c r="AI82" s="2">
        <v>3.16</v>
      </c>
      <c r="AJ82" s="2">
        <v>3.09</v>
      </c>
      <c r="AK82" s="2">
        <v>2.4900000000000002</v>
      </c>
      <c r="AL82" s="2">
        <v>2.4900000000000002</v>
      </c>
      <c r="AM82" s="2">
        <v>3.34</v>
      </c>
      <c r="AN82" s="2">
        <v>3.26</v>
      </c>
      <c r="AO82" s="2">
        <v>2.92</v>
      </c>
      <c r="AP82" s="2">
        <v>2.92</v>
      </c>
      <c r="AQ82" s="2">
        <v>3.86</v>
      </c>
      <c r="AR82" s="2">
        <v>3.86</v>
      </c>
      <c r="AU82" s="1" t="s">
        <v>24</v>
      </c>
      <c r="AV82" s="2">
        <v>2.21</v>
      </c>
      <c r="AW82" s="2">
        <v>1.49</v>
      </c>
      <c r="AX82" s="2">
        <v>2.14</v>
      </c>
      <c r="AY82" s="2">
        <v>1.43</v>
      </c>
      <c r="AZ82" s="2">
        <v>0.82</v>
      </c>
      <c r="BA82" s="2">
        <v>1.03</v>
      </c>
      <c r="BB82" s="2">
        <v>2.35</v>
      </c>
      <c r="BC82" s="2">
        <v>2.15</v>
      </c>
      <c r="BD82" s="2">
        <v>2.81</v>
      </c>
      <c r="BE82" s="2">
        <v>2.34</v>
      </c>
      <c r="BF82" s="2">
        <v>5.0599999999999996</v>
      </c>
      <c r="BG82" s="2">
        <v>4.12</v>
      </c>
      <c r="BH82" s="2">
        <v>5.07</v>
      </c>
      <c r="BI82" s="2">
        <v>3.38</v>
      </c>
      <c r="BJ82" s="2">
        <v>5.35</v>
      </c>
      <c r="BK82" s="2">
        <v>4.18</v>
      </c>
      <c r="BL82" s="2">
        <v>3.66</v>
      </c>
      <c r="BM82" s="2">
        <v>3.44</v>
      </c>
      <c r="BN82" s="2">
        <v>4.53</v>
      </c>
      <c r="BO82" s="2">
        <v>4.3499999999999996</v>
      </c>
      <c r="BR82" s="1" t="s">
        <v>24</v>
      </c>
      <c r="BS82" s="2">
        <v>-0.39</v>
      </c>
      <c r="BT82" s="2">
        <v>-0.13</v>
      </c>
      <c r="BU82" s="2">
        <v>-0.37</v>
      </c>
      <c r="BV82" s="2">
        <v>-0.09</v>
      </c>
      <c r="BW82" s="2">
        <v>-0.38</v>
      </c>
      <c r="BX82" s="2">
        <v>-0.51</v>
      </c>
      <c r="BY82" s="2">
        <v>-0.4</v>
      </c>
      <c r="BZ82" s="2">
        <v>-0.36</v>
      </c>
      <c r="CA82" s="2">
        <v>-0.37</v>
      </c>
      <c r="CB82" s="2">
        <v>-0.27</v>
      </c>
      <c r="CC82" s="2">
        <v>-0.38</v>
      </c>
      <c r="CD82" s="2">
        <v>-0.25</v>
      </c>
      <c r="CE82" s="2">
        <v>-0.51</v>
      </c>
      <c r="CF82" s="2">
        <v>-0.26</v>
      </c>
      <c r="CG82" s="2">
        <v>-0.38</v>
      </c>
      <c r="CH82" s="2">
        <v>-0.22</v>
      </c>
      <c r="CI82" s="2">
        <v>-0.2</v>
      </c>
      <c r="CJ82" s="2">
        <v>-0.15</v>
      </c>
      <c r="CK82" s="2">
        <v>-0.15</v>
      </c>
      <c r="CL82" s="2">
        <v>-0.11</v>
      </c>
    </row>
    <row r="83" spans="2:90" x14ac:dyDescent="0.3">
      <c r="B83" s="1" t="s">
        <v>25</v>
      </c>
      <c r="C83" s="2">
        <v>404.59</v>
      </c>
      <c r="D83" s="2">
        <v>697.71</v>
      </c>
      <c r="E83" s="2">
        <v>487.17</v>
      </c>
      <c r="F83" s="2">
        <v>216.88</v>
      </c>
      <c r="G83" s="2">
        <v>142.01</v>
      </c>
      <c r="H83" s="2">
        <v>207.11</v>
      </c>
      <c r="I83" s="2">
        <v>583.82000000000005</v>
      </c>
      <c r="J83" s="2">
        <v>867.06</v>
      </c>
      <c r="K83" s="2">
        <v>1201.6300000000001</v>
      </c>
      <c r="L83" s="2">
        <v>1115.77</v>
      </c>
      <c r="M83" s="2">
        <v>1746.9</v>
      </c>
      <c r="N83" s="2">
        <v>1524</v>
      </c>
      <c r="O83" s="2">
        <v>1402.29</v>
      </c>
      <c r="P83" s="2">
        <v>1266.82</v>
      </c>
      <c r="Q83" s="2">
        <v>1684.61</v>
      </c>
      <c r="R83" s="2">
        <v>1434.68</v>
      </c>
      <c r="S83" s="2">
        <v>1285.68</v>
      </c>
      <c r="T83" s="2">
        <v>796.36</v>
      </c>
      <c r="U83" s="2">
        <v>1243.6099999999999</v>
      </c>
      <c r="V83" s="2">
        <v>804.37</v>
      </c>
      <c r="X83" s="1" t="s">
        <v>25</v>
      </c>
      <c r="Y83" s="2">
        <v>1.3</v>
      </c>
      <c r="Z83" s="2">
        <v>1.3</v>
      </c>
      <c r="AA83" s="2">
        <v>1.3</v>
      </c>
      <c r="AB83" s="2">
        <v>1.31</v>
      </c>
      <c r="AC83" s="2">
        <v>0.5</v>
      </c>
      <c r="AD83" s="2">
        <v>0.5</v>
      </c>
      <c r="AE83" s="2">
        <v>1.37</v>
      </c>
      <c r="AF83" s="2">
        <v>1.38</v>
      </c>
      <c r="AG83" s="2">
        <v>1.73</v>
      </c>
      <c r="AH83" s="2">
        <v>1.73</v>
      </c>
      <c r="AI83" s="2">
        <v>3.11</v>
      </c>
      <c r="AJ83" s="2">
        <v>3.1</v>
      </c>
      <c r="AK83" s="2">
        <v>2.4900000000000002</v>
      </c>
      <c r="AL83" s="2">
        <v>2.4900000000000002</v>
      </c>
      <c r="AM83" s="2">
        <v>3.26</v>
      </c>
      <c r="AN83" s="2">
        <v>3.26</v>
      </c>
      <c r="AO83" s="2">
        <v>2.92</v>
      </c>
      <c r="AP83" s="2">
        <v>2.92</v>
      </c>
      <c r="AQ83" s="2">
        <v>3.86</v>
      </c>
      <c r="AR83" s="2">
        <v>3.86</v>
      </c>
      <c r="AU83" s="1" t="s">
        <v>25</v>
      </c>
      <c r="AV83" s="2">
        <v>1.98</v>
      </c>
      <c r="AW83" s="2">
        <v>2.39</v>
      </c>
      <c r="AX83" s="2">
        <v>2.2599999999999998</v>
      </c>
      <c r="AY83" s="2">
        <v>1.69</v>
      </c>
      <c r="AZ83" s="2">
        <v>0.75</v>
      </c>
      <c r="BA83" s="2">
        <v>0.76</v>
      </c>
      <c r="BB83" s="2">
        <v>1.71</v>
      </c>
      <c r="BC83" s="2">
        <v>2.14</v>
      </c>
      <c r="BD83" s="2">
        <v>2.59</v>
      </c>
      <c r="BE83" s="2">
        <v>2.58</v>
      </c>
      <c r="BF83" s="2">
        <v>4.59</v>
      </c>
      <c r="BG83" s="2">
        <v>4.37</v>
      </c>
      <c r="BH83" s="2">
        <v>3.52</v>
      </c>
      <c r="BI83" s="2">
        <v>3.42</v>
      </c>
      <c r="BJ83" s="2">
        <v>4.3600000000000003</v>
      </c>
      <c r="BK83" s="2">
        <v>4.16</v>
      </c>
      <c r="BL83" s="2">
        <v>3.62</v>
      </c>
      <c r="BM83" s="2">
        <v>3.3</v>
      </c>
      <c r="BN83" s="2">
        <v>4.5</v>
      </c>
      <c r="BO83" s="2">
        <v>4.1500000000000004</v>
      </c>
      <c r="BR83" s="1" t="s">
        <v>25</v>
      </c>
      <c r="BS83" s="2">
        <v>-0.34</v>
      </c>
      <c r="BT83" s="2">
        <v>-0.46</v>
      </c>
      <c r="BU83" s="2">
        <v>-0.42</v>
      </c>
      <c r="BV83" s="2">
        <v>-0.22</v>
      </c>
      <c r="BW83" s="2">
        <v>-0.33</v>
      </c>
      <c r="BX83" s="2">
        <v>-0.34</v>
      </c>
      <c r="BY83" s="2">
        <v>-0.2</v>
      </c>
      <c r="BZ83" s="2">
        <v>-0.35</v>
      </c>
      <c r="CA83" s="2">
        <v>-0.33</v>
      </c>
      <c r="CB83" s="2">
        <v>-0.33</v>
      </c>
      <c r="CC83" s="2">
        <v>-0.32</v>
      </c>
      <c r="CD83" s="2">
        <v>-0.28999999999999998</v>
      </c>
      <c r="CE83" s="2">
        <v>-0.28999999999999998</v>
      </c>
      <c r="CF83" s="2">
        <v>-0.27</v>
      </c>
      <c r="CG83" s="2">
        <v>-0.25</v>
      </c>
      <c r="CH83" s="2">
        <v>-0.22</v>
      </c>
      <c r="CI83" s="2">
        <v>-0.19</v>
      </c>
      <c r="CJ83" s="2">
        <v>-0.12</v>
      </c>
      <c r="CK83" s="2">
        <v>-0.14000000000000001</v>
      </c>
      <c r="CL83" s="2">
        <v>-7.0000000000000007E-2</v>
      </c>
    </row>
    <row r="84" spans="2:90" x14ac:dyDescent="0.3">
      <c r="B84" s="1" t="s">
        <v>26</v>
      </c>
      <c r="C84" s="2">
        <v>100.78</v>
      </c>
      <c r="D84" s="2">
        <v>53.07</v>
      </c>
      <c r="E84" s="2">
        <v>89.03</v>
      </c>
      <c r="F84" s="2">
        <v>31.88</v>
      </c>
      <c r="G84" s="2">
        <v>27.68</v>
      </c>
      <c r="H84" s="2">
        <v>21</v>
      </c>
      <c r="I84" s="2">
        <v>74.64</v>
      </c>
      <c r="J84" s="2">
        <v>68.5</v>
      </c>
      <c r="K84" s="2">
        <v>77.19</v>
      </c>
      <c r="L84" s="2">
        <v>129.16999999999999</v>
      </c>
      <c r="M84" s="2">
        <v>210.35</v>
      </c>
      <c r="N84" s="2">
        <v>203.99</v>
      </c>
      <c r="O84" s="2">
        <v>193.96</v>
      </c>
      <c r="P84" s="2">
        <v>162.43</v>
      </c>
      <c r="Q84" s="2">
        <v>242.48</v>
      </c>
      <c r="R84" s="2">
        <v>277.45</v>
      </c>
      <c r="S84" s="2">
        <v>210.03</v>
      </c>
      <c r="T84" s="2">
        <v>145.08000000000001</v>
      </c>
      <c r="U84" s="2">
        <v>190.68</v>
      </c>
      <c r="V84" s="2">
        <v>116.42</v>
      </c>
      <c r="X84" s="1" t="s">
        <v>26</v>
      </c>
      <c r="Y84" s="2">
        <v>1.32</v>
      </c>
      <c r="Z84" s="2">
        <v>1.3</v>
      </c>
      <c r="AA84" s="2">
        <v>1.38</v>
      </c>
      <c r="AB84" s="2">
        <v>1.38</v>
      </c>
      <c r="AC84" s="2">
        <v>0.5</v>
      </c>
      <c r="AD84" s="2">
        <v>0.51</v>
      </c>
      <c r="AE84" s="2">
        <v>1.38</v>
      </c>
      <c r="AF84" s="2">
        <v>1.38</v>
      </c>
      <c r="AG84" s="2">
        <v>1.72</v>
      </c>
      <c r="AH84" s="2">
        <v>1.77</v>
      </c>
      <c r="AI84" s="2">
        <v>3.1</v>
      </c>
      <c r="AJ84" s="2">
        <v>3.19</v>
      </c>
      <c r="AK84" s="2">
        <v>2.5</v>
      </c>
      <c r="AL84" s="2">
        <v>2.57</v>
      </c>
      <c r="AM84" s="2">
        <v>3.27</v>
      </c>
      <c r="AN84" s="2">
        <v>3.37</v>
      </c>
      <c r="AO84" s="2">
        <v>2.92</v>
      </c>
      <c r="AP84" s="2">
        <v>3</v>
      </c>
      <c r="AQ84" s="2">
        <v>3.86</v>
      </c>
      <c r="AR84" s="2">
        <v>3.86</v>
      </c>
      <c r="AU84" s="1" t="s">
        <v>26</v>
      </c>
      <c r="AV84" s="2">
        <v>2.08</v>
      </c>
      <c r="AW84" s="2">
        <v>2.5499999999999998</v>
      </c>
      <c r="AX84" s="2">
        <v>2.13</v>
      </c>
      <c r="AY84" s="2">
        <v>2.12</v>
      </c>
      <c r="AZ84" s="2">
        <v>0.77</v>
      </c>
      <c r="BA84" s="2">
        <v>0.78</v>
      </c>
      <c r="BB84" s="2">
        <v>1.83</v>
      </c>
      <c r="BC84" s="2">
        <v>2.13</v>
      </c>
      <c r="BD84" s="2">
        <v>2.12</v>
      </c>
      <c r="BE84" s="2">
        <v>2.72</v>
      </c>
      <c r="BF84" s="2">
        <v>4.28</v>
      </c>
      <c r="BG84" s="2">
        <v>4.9000000000000004</v>
      </c>
      <c r="BH84" s="2">
        <v>3.45</v>
      </c>
      <c r="BI84" s="2">
        <v>3.95</v>
      </c>
      <c r="BJ84" s="2">
        <v>4.4800000000000004</v>
      </c>
      <c r="BK84" s="2">
        <v>5.18</v>
      </c>
      <c r="BL84" s="2">
        <v>3.72</v>
      </c>
      <c r="BM84" s="2">
        <v>4.5599999999999996</v>
      </c>
      <c r="BN84" s="2">
        <v>4.58</v>
      </c>
      <c r="BO84" s="2">
        <v>4.3099999999999996</v>
      </c>
      <c r="BR84" s="1" t="s">
        <v>26</v>
      </c>
      <c r="BS84" s="2">
        <v>-0.36</v>
      </c>
      <c r="BT84" s="2">
        <v>-0.49</v>
      </c>
      <c r="BU84" s="2">
        <v>-0.35</v>
      </c>
      <c r="BV84" s="2">
        <v>-0.35</v>
      </c>
      <c r="BW84" s="2">
        <v>-0.35</v>
      </c>
      <c r="BX84" s="2">
        <v>-0.35</v>
      </c>
      <c r="BY84" s="2">
        <v>-0.25</v>
      </c>
      <c r="BZ84" s="2">
        <v>-0.35</v>
      </c>
      <c r="CA84" s="2">
        <v>-0.19</v>
      </c>
      <c r="CB84" s="2">
        <v>-0.35</v>
      </c>
      <c r="CC84" s="2">
        <v>-0.28000000000000003</v>
      </c>
      <c r="CD84" s="2">
        <v>-0.35</v>
      </c>
      <c r="CE84" s="2">
        <v>-0.28000000000000003</v>
      </c>
      <c r="CF84" s="2">
        <v>-0.35</v>
      </c>
      <c r="CG84" s="2">
        <v>-0.27</v>
      </c>
      <c r="CH84" s="2">
        <v>-0.35</v>
      </c>
      <c r="CI84" s="2">
        <v>-0.21</v>
      </c>
      <c r="CJ84" s="2">
        <v>-0.34</v>
      </c>
      <c r="CK84" s="2">
        <v>-0.16</v>
      </c>
      <c r="CL84" s="2">
        <v>-0.1</v>
      </c>
    </row>
    <row r="85" spans="2:90" x14ac:dyDescent="0.3">
      <c r="B85" s="1" t="s">
        <v>27</v>
      </c>
      <c r="C85" s="2">
        <v>476.42</v>
      </c>
      <c r="D85" s="2">
        <v>493.15</v>
      </c>
      <c r="E85" s="2">
        <v>229.47</v>
      </c>
      <c r="F85" s="2">
        <v>414.2</v>
      </c>
      <c r="G85" s="2">
        <v>66.55</v>
      </c>
      <c r="H85" s="2">
        <v>205.17</v>
      </c>
      <c r="I85" s="2">
        <v>306.86</v>
      </c>
      <c r="J85" s="2">
        <v>260.5</v>
      </c>
      <c r="K85" s="2">
        <v>377.64</v>
      </c>
      <c r="L85" s="2">
        <v>754.74</v>
      </c>
      <c r="M85" s="2">
        <v>533.62</v>
      </c>
      <c r="N85" s="2">
        <v>1313.89</v>
      </c>
      <c r="O85" s="2">
        <v>430.45</v>
      </c>
      <c r="P85" s="2">
        <v>1170.04</v>
      </c>
      <c r="Q85" s="2">
        <v>738.54</v>
      </c>
      <c r="R85" s="2">
        <v>1183.45</v>
      </c>
      <c r="S85" s="2">
        <v>524.87</v>
      </c>
      <c r="T85" s="2">
        <v>440.27</v>
      </c>
      <c r="U85" s="2">
        <v>536.82000000000005</v>
      </c>
      <c r="V85" s="2">
        <v>398.02</v>
      </c>
      <c r="X85" s="1" t="s">
        <v>27</v>
      </c>
      <c r="Y85" s="2">
        <v>1.32</v>
      </c>
      <c r="Z85" s="2">
        <v>1.33</v>
      </c>
      <c r="AA85" s="2">
        <v>1.32</v>
      </c>
      <c r="AB85" s="2">
        <v>1.36</v>
      </c>
      <c r="AC85" s="2">
        <v>0.51</v>
      </c>
      <c r="AD85" s="2">
        <v>0.51</v>
      </c>
      <c r="AE85" s="2">
        <v>1.43</v>
      </c>
      <c r="AF85" s="2">
        <v>1.48</v>
      </c>
      <c r="AG85" s="2">
        <v>1.72</v>
      </c>
      <c r="AH85" s="2">
        <v>1.76</v>
      </c>
      <c r="AI85" s="2">
        <v>3.15</v>
      </c>
      <c r="AJ85" s="2">
        <v>3.16</v>
      </c>
      <c r="AK85" s="2">
        <v>2.54</v>
      </c>
      <c r="AL85" s="2">
        <v>2.5499999999999998</v>
      </c>
      <c r="AM85" s="2">
        <v>3.39</v>
      </c>
      <c r="AN85" s="2">
        <v>3.32</v>
      </c>
      <c r="AO85" s="2">
        <v>2.93</v>
      </c>
      <c r="AP85" s="2">
        <v>2.92</v>
      </c>
      <c r="AQ85" s="2">
        <v>3.87</v>
      </c>
      <c r="AR85" s="2">
        <v>3.87</v>
      </c>
      <c r="AU85" s="1" t="s">
        <v>27</v>
      </c>
      <c r="AV85" s="2">
        <v>3.48</v>
      </c>
      <c r="AW85" s="2">
        <v>3.52</v>
      </c>
      <c r="AX85" s="2">
        <v>2.4300000000000002</v>
      </c>
      <c r="AY85" s="2">
        <v>3.44</v>
      </c>
      <c r="AZ85" s="2">
        <v>0.74</v>
      </c>
      <c r="BA85" s="2">
        <v>1.31</v>
      </c>
      <c r="BB85" s="2">
        <v>2.12</v>
      </c>
      <c r="BC85" s="2">
        <v>2.37</v>
      </c>
      <c r="BD85" s="2">
        <v>2.4</v>
      </c>
      <c r="BE85" s="2">
        <v>4.53</v>
      </c>
      <c r="BF85" s="2">
        <v>4.2699999999999996</v>
      </c>
      <c r="BG85" s="2">
        <v>8.19</v>
      </c>
      <c r="BH85" s="2">
        <v>3.49</v>
      </c>
      <c r="BI85" s="2">
        <v>6.59</v>
      </c>
      <c r="BJ85" s="2">
        <v>4.82</v>
      </c>
      <c r="BK85" s="2">
        <v>6.51</v>
      </c>
      <c r="BL85" s="2">
        <v>3.72</v>
      </c>
      <c r="BM85" s="2">
        <v>4</v>
      </c>
      <c r="BN85" s="2">
        <v>4.7</v>
      </c>
      <c r="BO85" s="2">
        <v>4.6399999999999997</v>
      </c>
      <c r="BR85" s="1" t="s">
        <v>27</v>
      </c>
      <c r="BS85" s="2">
        <v>-0.62</v>
      </c>
      <c r="BT85" s="2">
        <v>-0.62</v>
      </c>
      <c r="BU85" s="2">
        <v>-0.46</v>
      </c>
      <c r="BV85" s="2">
        <v>-0.6</v>
      </c>
      <c r="BW85" s="2">
        <v>-0.31</v>
      </c>
      <c r="BX85" s="2">
        <v>-0.61</v>
      </c>
      <c r="BY85" s="2">
        <v>-0.32</v>
      </c>
      <c r="BZ85" s="2">
        <v>-0.37</v>
      </c>
      <c r="CA85" s="2">
        <v>-0.28000000000000003</v>
      </c>
      <c r="CB85" s="2">
        <v>-0.61</v>
      </c>
      <c r="CC85" s="2">
        <v>-0.26</v>
      </c>
      <c r="CD85" s="2">
        <v>-0.61</v>
      </c>
      <c r="CE85" s="2">
        <v>-0.27</v>
      </c>
      <c r="CF85" s="2">
        <v>-0.61</v>
      </c>
      <c r="CG85" s="2">
        <v>-0.3</v>
      </c>
      <c r="CH85" s="2">
        <v>-0.49</v>
      </c>
      <c r="CI85" s="2">
        <v>-0.21</v>
      </c>
      <c r="CJ85" s="2">
        <v>-0.27</v>
      </c>
      <c r="CK85" s="2">
        <v>-0.18</v>
      </c>
      <c r="CL85" s="2">
        <v>-0.17</v>
      </c>
    </row>
    <row r="86" spans="2:90" x14ac:dyDescent="0.3">
      <c r="B86" s="1" t="s">
        <v>28</v>
      </c>
      <c r="C86" s="2">
        <v>24.54</v>
      </c>
      <c r="D86" s="2">
        <v>64.37</v>
      </c>
      <c r="E86" s="2">
        <v>4.55</v>
      </c>
      <c r="F86" s="2">
        <v>6.36</v>
      </c>
      <c r="G86" s="2">
        <v>2.02</v>
      </c>
      <c r="H86" s="2">
        <v>2.85</v>
      </c>
      <c r="I86" s="2">
        <v>16.760000000000002</v>
      </c>
      <c r="J86" s="2">
        <v>42.16</v>
      </c>
      <c r="K86" s="2">
        <v>47.69</v>
      </c>
      <c r="L86" s="2">
        <v>86.73</v>
      </c>
      <c r="M86" s="2">
        <v>155.49</v>
      </c>
      <c r="N86" s="2">
        <v>106.51</v>
      </c>
      <c r="O86" s="2">
        <v>125.31</v>
      </c>
      <c r="P86" s="2">
        <v>65.67</v>
      </c>
      <c r="Q86" s="2">
        <v>95.99</v>
      </c>
      <c r="R86" s="2">
        <v>42.7</v>
      </c>
      <c r="S86" s="2">
        <v>37.15</v>
      </c>
      <c r="T86" s="2">
        <v>28.41</v>
      </c>
      <c r="U86" s="2">
        <v>83.85</v>
      </c>
      <c r="V86" s="2">
        <v>77.319999999999993</v>
      </c>
      <c r="X86" s="1" t="s">
        <v>28</v>
      </c>
      <c r="Y86" s="2">
        <v>1.3</v>
      </c>
      <c r="Z86" s="2">
        <v>1.3</v>
      </c>
      <c r="AA86" s="2">
        <v>1.3</v>
      </c>
      <c r="AB86" s="2">
        <v>1.3</v>
      </c>
      <c r="AC86" s="2">
        <v>0.5</v>
      </c>
      <c r="AD86" s="2">
        <v>0.5</v>
      </c>
      <c r="AE86" s="2">
        <v>1.37</v>
      </c>
      <c r="AF86" s="2">
        <v>1.37</v>
      </c>
      <c r="AG86" s="2">
        <v>1.71</v>
      </c>
      <c r="AH86" s="2">
        <v>1.71</v>
      </c>
      <c r="AI86" s="2">
        <v>3.09</v>
      </c>
      <c r="AJ86" s="2">
        <v>3.09</v>
      </c>
      <c r="AK86" s="2">
        <v>2.4900000000000002</v>
      </c>
      <c r="AL86" s="2">
        <v>2.4900000000000002</v>
      </c>
      <c r="AM86" s="2">
        <v>3.26</v>
      </c>
      <c r="AN86" s="2">
        <v>3.26</v>
      </c>
      <c r="AO86" s="2">
        <v>2.91</v>
      </c>
      <c r="AP86" s="2">
        <v>2.91</v>
      </c>
      <c r="AQ86" s="2">
        <v>3.86</v>
      </c>
      <c r="AR86" s="2">
        <v>3.86</v>
      </c>
      <c r="AU86" s="1" t="s">
        <v>28</v>
      </c>
      <c r="AV86" s="2">
        <v>1.54</v>
      </c>
      <c r="AW86" s="2">
        <v>1.78</v>
      </c>
      <c r="AX86" s="2">
        <v>1.42</v>
      </c>
      <c r="AY86" s="2">
        <v>1.42</v>
      </c>
      <c r="AZ86" s="2">
        <v>0.55000000000000004</v>
      </c>
      <c r="BA86" s="2">
        <v>0.55000000000000004</v>
      </c>
      <c r="BB86" s="2">
        <v>1.48</v>
      </c>
      <c r="BC86" s="2">
        <v>1.91</v>
      </c>
      <c r="BD86" s="2">
        <v>1.92</v>
      </c>
      <c r="BE86" s="2">
        <v>2.27</v>
      </c>
      <c r="BF86" s="2">
        <v>4.0599999999999996</v>
      </c>
      <c r="BG86" s="2">
        <v>4.0999999999999996</v>
      </c>
      <c r="BH86" s="2">
        <v>3.28</v>
      </c>
      <c r="BI86" s="2">
        <v>3.32</v>
      </c>
      <c r="BJ86" s="2">
        <v>4.25</v>
      </c>
      <c r="BK86" s="2">
        <v>4.1399999999999997</v>
      </c>
      <c r="BL86" s="2">
        <v>3.64</v>
      </c>
      <c r="BM86" s="2">
        <v>3.29</v>
      </c>
      <c r="BN86" s="2">
        <v>4.47</v>
      </c>
      <c r="BO86" s="2">
        <v>4.13</v>
      </c>
      <c r="BR86" s="1" t="s">
        <v>28</v>
      </c>
      <c r="BS86" s="2">
        <v>-0.16</v>
      </c>
      <c r="BT86" s="2">
        <v>-0.27</v>
      </c>
      <c r="BU86" s="2">
        <v>-0.09</v>
      </c>
      <c r="BV86" s="2">
        <v>-0.09</v>
      </c>
      <c r="BW86" s="2">
        <v>-0.08</v>
      </c>
      <c r="BX86" s="2">
        <v>-0.09</v>
      </c>
      <c r="BY86" s="2">
        <v>-7.0000000000000007E-2</v>
      </c>
      <c r="BZ86" s="2">
        <v>-0.28000000000000003</v>
      </c>
      <c r="CA86" s="2">
        <v>-0.11</v>
      </c>
      <c r="CB86" s="2">
        <v>-0.25</v>
      </c>
      <c r="CC86" s="2">
        <v>-0.24</v>
      </c>
      <c r="CD86" s="2">
        <v>-0.25</v>
      </c>
      <c r="CE86" s="2">
        <v>-0.24</v>
      </c>
      <c r="CF86" s="2">
        <v>-0.25</v>
      </c>
      <c r="CG86" s="2">
        <v>-0.23</v>
      </c>
      <c r="CH86" s="2">
        <v>-0.21</v>
      </c>
      <c r="CI86" s="2">
        <v>-0.2</v>
      </c>
      <c r="CJ86" s="2">
        <v>-0.11</v>
      </c>
      <c r="CK86" s="2">
        <v>-0.14000000000000001</v>
      </c>
      <c r="CL86" s="2">
        <v>-7.0000000000000007E-2</v>
      </c>
    </row>
    <row r="89" spans="2:90" x14ac:dyDescent="0.3">
      <c r="B89" t="s">
        <v>49</v>
      </c>
      <c r="X89" t="s">
        <v>50</v>
      </c>
      <c r="AU89" t="s">
        <v>51</v>
      </c>
      <c r="BR89" t="s">
        <v>52</v>
      </c>
    </row>
    <row r="90" spans="2:90" x14ac:dyDescent="0.3">
      <c r="B90" s="1" t="s">
        <v>16</v>
      </c>
      <c r="C90" s="1" t="s">
        <v>17</v>
      </c>
      <c r="D90" s="1" t="s">
        <v>18</v>
      </c>
      <c r="E90" s="1" t="s">
        <v>17</v>
      </c>
      <c r="F90" s="1" t="s">
        <v>18</v>
      </c>
      <c r="G90" s="1" t="s">
        <v>17</v>
      </c>
      <c r="H90" s="1" t="s">
        <v>18</v>
      </c>
      <c r="I90" s="1" t="s">
        <v>17</v>
      </c>
      <c r="J90" s="1" t="s">
        <v>18</v>
      </c>
      <c r="K90" s="1" t="s">
        <v>17</v>
      </c>
      <c r="L90" s="1" t="s">
        <v>18</v>
      </c>
      <c r="M90" s="1" t="s">
        <v>17</v>
      </c>
      <c r="N90" s="1" t="s">
        <v>18</v>
      </c>
      <c r="O90" s="1" t="s">
        <v>17</v>
      </c>
      <c r="P90" s="1" t="s">
        <v>18</v>
      </c>
      <c r="Q90" s="1" t="s">
        <v>17</v>
      </c>
      <c r="R90" s="1" t="s">
        <v>18</v>
      </c>
      <c r="S90" s="1" t="s">
        <v>17</v>
      </c>
      <c r="T90" s="1" t="s">
        <v>18</v>
      </c>
      <c r="U90" s="1" t="s">
        <v>17</v>
      </c>
      <c r="V90" s="1" t="s">
        <v>18</v>
      </c>
      <c r="X90" s="1" t="s">
        <v>16</v>
      </c>
      <c r="Y90" s="13" t="s">
        <v>17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 t="s">
        <v>18</v>
      </c>
      <c r="AJ90" s="13"/>
      <c r="AK90" s="13"/>
      <c r="AL90" s="13"/>
      <c r="AM90" s="13"/>
      <c r="AN90" s="13"/>
      <c r="AO90" s="13"/>
      <c r="AP90" s="13"/>
      <c r="AQ90" s="13"/>
      <c r="AR90" s="13"/>
      <c r="AU90" s="1" t="s">
        <v>16</v>
      </c>
      <c r="AV90" s="13" t="s">
        <v>17</v>
      </c>
      <c r="AW90" s="13"/>
      <c r="AX90" s="13"/>
      <c r="AY90" s="13"/>
      <c r="AZ90" s="13"/>
      <c r="BA90" s="13"/>
      <c r="BB90" s="13"/>
      <c r="BC90" s="13"/>
      <c r="BD90" s="13"/>
      <c r="BE90" s="13"/>
      <c r="BF90" s="13" t="s">
        <v>18</v>
      </c>
      <c r="BG90" s="13"/>
      <c r="BH90" s="13"/>
      <c r="BI90" s="13"/>
      <c r="BJ90" s="13"/>
      <c r="BK90" s="13"/>
      <c r="BL90" s="13"/>
      <c r="BM90" s="13"/>
      <c r="BN90" s="13"/>
      <c r="BO90" s="13"/>
      <c r="BR90" s="1" t="s">
        <v>16</v>
      </c>
      <c r="BS90" s="1" t="s">
        <v>17</v>
      </c>
      <c r="BT90" s="1" t="s">
        <v>18</v>
      </c>
      <c r="BU90" s="1" t="s">
        <v>17</v>
      </c>
      <c r="BV90" s="1" t="s">
        <v>18</v>
      </c>
      <c r="BW90" s="1" t="s">
        <v>17</v>
      </c>
      <c r="BX90" s="1" t="s">
        <v>18</v>
      </c>
      <c r="BY90" s="1" t="s">
        <v>17</v>
      </c>
      <c r="BZ90" s="1" t="s">
        <v>18</v>
      </c>
      <c r="CA90" s="1" t="s">
        <v>17</v>
      </c>
      <c r="CB90" s="1" t="s">
        <v>18</v>
      </c>
      <c r="CC90" s="1" t="s">
        <v>17</v>
      </c>
      <c r="CD90" s="1" t="s">
        <v>18</v>
      </c>
      <c r="CE90" s="1" t="s">
        <v>17</v>
      </c>
      <c r="CF90" s="1" t="s">
        <v>18</v>
      </c>
      <c r="CG90" s="1" t="s">
        <v>17</v>
      </c>
      <c r="CH90" s="1" t="s">
        <v>18</v>
      </c>
      <c r="CI90" s="1" t="s">
        <v>17</v>
      </c>
      <c r="CJ90" s="1" t="s">
        <v>18</v>
      </c>
      <c r="CK90" s="1" t="s">
        <v>17</v>
      </c>
      <c r="CL90" s="1" t="s">
        <v>18</v>
      </c>
    </row>
    <row r="91" spans="2:90" x14ac:dyDescent="0.3">
      <c r="B91" s="1" t="s">
        <v>19</v>
      </c>
      <c r="C91" s="1" t="s">
        <v>1</v>
      </c>
      <c r="D91" s="1" t="s">
        <v>1</v>
      </c>
      <c r="E91" s="1" t="s">
        <v>2</v>
      </c>
      <c r="F91" s="1" t="s">
        <v>2</v>
      </c>
      <c r="G91" s="1" t="s">
        <v>3</v>
      </c>
      <c r="H91" s="1" t="s">
        <v>3</v>
      </c>
      <c r="I91" s="1" t="s">
        <v>4</v>
      </c>
      <c r="J91" s="1" t="s">
        <v>4</v>
      </c>
      <c r="K91" s="1" t="s">
        <v>5</v>
      </c>
      <c r="L91" s="1" t="s">
        <v>5</v>
      </c>
      <c r="M91" s="1" t="s">
        <v>6</v>
      </c>
      <c r="N91" s="1" t="s">
        <v>6</v>
      </c>
      <c r="O91" s="1" t="s">
        <v>7</v>
      </c>
      <c r="P91" s="1" t="s">
        <v>7</v>
      </c>
      <c r="Q91" s="1" t="s">
        <v>8</v>
      </c>
      <c r="R91" s="1" t="s">
        <v>8</v>
      </c>
      <c r="S91" s="1" t="s">
        <v>9</v>
      </c>
      <c r="T91" s="1" t="s">
        <v>9</v>
      </c>
      <c r="U91" s="1" t="s">
        <v>10</v>
      </c>
      <c r="V91" s="1" t="s">
        <v>10</v>
      </c>
      <c r="X91" s="1" t="s">
        <v>19</v>
      </c>
      <c r="Y91" s="1" t="s">
        <v>1</v>
      </c>
      <c r="Z91" s="1" t="s">
        <v>10</v>
      </c>
      <c r="AA91" s="1" t="s">
        <v>2</v>
      </c>
      <c r="AB91" s="1" t="s">
        <v>3</v>
      </c>
      <c r="AC91" s="1" t="s">
        <v>4</v>
      </c>
      <c r="AD91" s="1" t="s">
        <v>5</v>
      </c>
      <c r="AE91" s="1" t="s">
        <v>6</v>
      </c>
      <c r="AF91" s="1" t="s">
        <v>7</v>
      </c>
      <c r="AG91" s="1" t="s">
        <v>8</v>
      </c>
      <c r="AH91" s="1" t="s">
        <v>9</v>
      </c>
      <c r="AI91" s="1" t="s">
        <v>1</v>
      </c>
      <c r="AJ91" s="1" t="s">
        <v>10</v>
      </c>
      <c r="AK91" s="1" t="s">
        <v>2</v>
      </c>
      <c r="AL91" s="1" t="s">
        <v>3</v>
      </c>
      <c r="AM91" s="1" t="s">
        <v>4</v>
      </c>
      <c r="AN91" s="1" t="s">
        <v>5</v>
      </c>
      <c r="AO91" s="1" t="s">
        <v>6</v>
      </c>
      <c r="AP91" s="1" t="s">
        <v>7</v>
      </c>
      <c r="AQ91" s="1" t="s">
        <v>8</v>
      </c>
      <c r="AR91" s="1" t="s">
        <v>9</v>
      </c>
      <c r="AU91" s="1" t="s">
        <v>19</v>
      </c>
      <c r="AV91" s="1" t="s">
        <v>1</v>
      </c>
      <c r="AW91" s="1" t="s">
        <v>10</v>
      </c>
      <c r="AX91" s="1" t="s">
        <v>2</v>
      </c>
      <c r="AY91" s="1" t="s">
        <v>3</v>
      </c>
      <c r="AZ91" s="1" t="s">
        <v>4</v>
      </c>
      <c r="BA91" s="1" t="s">
        <v>5</v>
      </c>
      <c r="BB91" s="1" t="s">
        <v>6</v>
      </c>
      <c r="BC91" s="1" t="s">
        <v>7</v>
      </c>
      <c r="BD91" s="1" t="s">
        <v>8</v>
      </c>
      <c r="BE91" s="1" t="s">
        <v>9</v>
      </c>
      <c r="BF91" s="1" t="s">
        <v>1</v>
      </c>
      <c r="BG91" s="1" t="s">
        <v>10</v>
      </c>
      <c r="BH91" s="1" t="s">
        <v>2</v>
      </c>
      <c r="BI91" s="1" t="s">
        <v>3</v>
      </c>
      <c r="BJ91" s="1" t="s">
        <v>4</v>
      </c>
      <c r="BK91" s="1" t="s">
        <v>5</v>
      </c>
      <c r="BL91" s="1" t="s">
        <v>6</v>
      </c>
      <c r="BM91" s="1" t="s">
        <v>7</v>
      </c>
      <c r="BN91" s="1" t="s">
        <v>8</v>
      </c>
      <c r="BO91" s="1" t="s">
        <v>9</v>
      </c>
      <c r="BR91" s="1" t="s">
        <v>19</v>
      </c>
      <c r="BS91" s="1" t="s">
        <v>1</v>
      </c>
      <c r="BT91" s="1" t="s">
        <v>1</v>
      </c>
      <c r="BU91" s="1" t="s">
        <v>2</v>
      </c>
      <c r="BV91" s="1" t="s">
        <v>2</v>
      </c>
      <c r="BW91" s="1" t="s">
        <v>3</v>
      </c>
      <c r="BX91" s="1" t="s">
        <v>3</v>
      </c>
      <c r="BY91" s="1" t="s">
        <v>4</v>
      </c>
      <c r="BZ91" s="1" t="s">
        <v>4</v>
      </c>
      <c r="CA91" s="1" t="s">
        <v>5</v>
      </c>
      <c r="CB91" s="1" t="s">
        <v>5</v>
      </c>
      <c r="CC91" s="1" t="s">
        <v>6</v>
      </c>
      <c r="CD91" s="1" t="s">
        <v>6</v>
      </c>
      <c r="CE91" s="1" t="s">
        <v>7</v>
      </c>
      <c r="CF91" s="1" t="s">
        <v>7</v>
      </c>
      <c r="CG91" s="1" t="s">
        <v>8</v>
      </c>
      <c r="CH91" s="1" t="s">
        <v>8</v>
      </c>
      <c r="CI91" s="1" t="s">
        <v>9</v>
      </c>
      <c r="CJ91" s="1" t="s">
        <v>9</v>
      </c>
      <c r="CK91" s="1" t="s">
        <v>10</v>
      </c>
      <c r="CL91" s="1" t="s">
        <v>10</v>
      </c>
    </row>
    <row r="92" spans="2:90" x14ac:dyDescent="0.3">
      <c r="B92" s="1" t="s">
        <v>20</v>
      </c>
      <c r="X92" s="1" t="s">
        <v>20</v>
      </c>
      <c r="AU92" s="1" t="s">
        <v>20</v>
      </c>
      <c r="BR92" s="1" t="s">
        <v>20</v>
      </c>
    </row>
    <row r="93" spans="2:90" x14ac:dyDescent="0.3">
      <c r="B93" s="1" t="s">
        <v>21</v>
      </c>
      <c r="C93" s="2">
        <v>574.64</v>
      </c>
      <c r="D93" s="2">
        <v>579.22</v>
      </c>
      <c r="E93" s="2">
        <v>289.63</v>
      </c>
      <c r="F93" s="2">
        <v>297.37</v>
      </c>
      <c r="G93" s="2">
        <v>169.74</v>
      </c>
      <c r="H93" s="2">
        <v>174.39</v>
      </c>
      <c r="I93" s="2">
        <v>606.29999999999995</v>
      </c>
      <c r="J93" s="2">
        <v>644.71</v>
      </c>
      <c r="K93" s="2">
        <v>799.89</v>
      </c>
      <c r="L93" s="2">
        <v>773.69</v>
      </c>
      <c r="M93" s="2">
        <v>1363.84</v>
      </c>
      <c r="N93" s="2">
        <v>1390.74</v>
      </c>
      <c r="O93" s="2">
        <v>1066.9100000000001</v>
      </c>
      <c r="P93" s="2">
        <v>1196.67</v>
      </c>
      <c r="Q93" s="2">
        <v>1546.95</v>
      </c>
      <c r="R93" s="2">
        <v>1525.31</v>
      </c>
      <c r="S93" s="2">
        <v>1174.48</v>
      </c>
      <c r="T93" s="2">
        <v>1231.6099999999999</v>
      </c>
      <c r="U93" s="2">
        <v>1886.07</v>
      </c>
      <c r="V93" s="2">
        <v>1920.6</v>
      </c>
      <c r="X93" s="1" t="s">
        <v>21</v>
      </c>
      <c r="Y93" s="2">
        <v>1712.66</v>
      </c>
      <c r="Z93" s="2">
        <v>5094.49</v>
      </c>
      <c r="AA93" s="2">
        <v>1734</v>
      </c>
      <c r="AB93" s="2">
        <v>487.72</v>
      </c>
      <c r="AC93" s="2">
        <v>2059.9</v>
      </c>
      <c r="AD93" s="2">
        <v>2863.28</v>
      </c>
      <c r="AE93" s="2">
        <v>4922.34</v>
      </c>
      <c r="AF93" s="2">
        <v>3759.24</v>
      </c>
      <c r="AG93" s="2">
        <v>5171.1899999999996</v>
      </c>
      <c r="AH93" s="2">
        <v>4063.85</v>
      </c>
      <c r="AI93" s="2">
        <v>1663.64</v>
      </c>
      <c r="AJ93" s="2">
        <v>3298.05</v>
      </c>
      <c r="AK93" s="2">
        <v>1572.39</v>
      </c>
      <c r="AL93" s="2">
        <v>620.11</v>
      </c>
      <c r="AM93" s="2">
        <v>1951.24</v>
      </c>
      <c r="AN93" s="2">
        <v>2360.96</v>
      </c>
      <c r="AO93" s="2">
        <v>4239.8999999999996</v>
      </c>
      <c r="AP93" s="2">
        <v>3268.71</v>
      </c>
      <c r="AQ93" s="2">
        <v>4597.01</v>
      </c>
      <c r="AR93" s="2">
        <v>2512.33</v>
      </c>
      <c r="AU93" s="1" t="s">
        <v>21</v>
      </c>
      <c r="AV93" s="2">
        <v>1712.66</v>
      </c>
      <c r="AW93" s="2">
        <v>5094.49</v>
      </c>
      <c r="AX93" s="2">
        <v>1734</v>
      </c>
      <c r="AY93" s="2">
        <v>487.72</v>
      </c>
      <c r="AZ93" s="2">
        <v>2059.9</v>
      </c>
      <c r="BA93" s="2">
        <v>2863.28</v>
      </c>
      <c r="BB93" s="2">
        <v>4922.34</v>
      </c>
      <c r="BC93" s="2">
        <v>3759.24</v>
      </c>
      <c r="BD93" s="2">
        <v>5171.1899999999996</v>
      </c>
      <c r="BE93" s="2">
        <v>4063.85</v>
      </c>
      <c r="BF93" s="2">
        <v>1663.64</v>
      </c>
      <c r="BG93" s="2">
        <v>3298.05</v>
      </c>
      <c r="BH93" s="2">
        <v>1572.39</v>
      </c>
      <c r="BI93" s="2">
        <v>620.11</v>
      </c>
      <c r="BJ93" s="2">
        <v>1951.24</v>
      </c>
      <c r="BK93" s="2">
        <v>2360.96</v>
      </c>
      <c r="BL93" s="2">
        <v>4239.8999999999996</v>
      </c>
      <c r="BM93" s="2">
        <v>3268.71</v>
      </c>
      <c r="BN93" s="2">
        <v>4597.01</v>
      </c>
      <c r="BO93" s="2">
        <v>2512.33</v>
      </c>
      <c r="BR93" s="1" t="s">
        <v>21</v>
      </c>
      <c r="BS93" s="2">
        <v>0.82</v>
      </c>
      <c r="BT93" s="2">
        <v>0.82</v>
      </c>
      <c r="BU93" s="2">
        <v>0.82</v>
      </c>
      <c r="BV93" s="2">
        <v>0.82</v>
      </c>
      <c r="BW93" s="2">
        <v>0.31</v>
      </c>
      <c r="BX93" s="2">
        <v>0.31</v>
      </c>
      <c r="BY93" s="2">
        <v>1.01</v>
      </c>
      <c r="BZ93" s="2">
        <v>1.01</v>
      </c>
      <c r="CA93" s="2">
        <v>1.26</v>
      </c>
      <c r="CB93" s="2">
        <v>1.26</v>
      </c>
      <c r="CC93" s="2">
        <v>2.27</v>
      </c>
      <c r="CD93" s="2">
        <v>2.27</v>
      </c>
      <c r="CE93" s="2">
        <v>1.83</v>
      </c>
      <c r="CF93" s="2">
        <v>1.83</v>
      </c>
      <c r="CG93" s="2">
        <v>2.39</v>
      </c>
      <c r="CH93" s="2">
        <v>2.39</v>
      </c>
      <c r="CI93" s="2">
        <v>2.14</v>
      </c>
      <c r="CJ93" s="2">
        <v>2.14</v>
      </c>
      <c r="CK93" s="2">
        <v>2.83</v>
      </c>
      <c r="CL93" s="2">
        <v>2.83</v>
      </c>
    </row>
    <row r="94" spans="2:90" x14ac:dyDescent="0.3">
      <c r="B94" s="1" t="s">
        <v>22</v>
      </c>
      <c r="C94" s="2">
        <v>103.21</v>
      </c>
      <c r="D94" s="2">
        <v>55.78</v>
      </c>
      <c r="E94" s="2">
        <v>47.86</v>
      </c>
      <c r="F94" s="2">
        <v>31.74</v>
      </c>
      <c r="G94" s="2">
        <v>25.06</v>
      </c>
      <c r="H94" s="2">
        <v>19.649999999999999</v>
      </c>
      <c r="I94" s="2">
        <v>101.57</v>
      </c>
      <c r="J94" s="2">
        <v>177.1</v>
      </c>
      <c r="K94" s="2">
        <v>136.66999999999999</v>
      </c>
      <c r="L94" s="2">
        <v>131.62</v>
      </c>
      <c r="M94" s="2">
        <v>297.3</v>
      </c>
      <c r="N94" s="2">
        <v>274.83</v>
      </c>
      <c r="O94" s="2">
        <v>306.7</v>
      </c>
      <c r="P94" s="2">
        <v>262.76</v>
      </c>
      <c r="Q94" s="2">
        <v>365.84</v>
      </c>
      <c r="R94" s="2">
        <v>236.43</v>
      </c>
      <c r="S94" s="2">
        <v>293.31</v>
      </c>
      <c r="T94" s="2">
        <v>195.09</v>
      </c>
      <c r="U94" s="2">
        <v>420.25</v>
      </c>
      <c r="V94" s="2">
        <v>184.04</v>
      </c>
      <c r="X94" s="1" t="s">
        <v>22</v>
      </c>
      <c r="Y94" s="2">
        <v>1495.42</v>
      </c>
      <c r="Z94" s="2">
        <v>4799.37</v>
      </c>
      <c r="AA94" s="2">
        <v>1712.86</v>
      </c>
      <c r="AB94" s="2">
        <v>412.73</v>
      </c>
      <c r="AC94" s="2">
        <v>2192.75</v>
      </c>
      <c r="AD94" s="2">
        <v>2484.0700000000002</v>
      </c>
      <c r="AE94" s="2">
        <v>4684.08</v>
      </c>
      <c r="AF94" s="2">
        <v>3362.3</v>
      </c>
      <c r="AG94" s="2">
        <v>3807.62</v>
      </c>
      <c r="AH94" s="2">
        <v>3214.62</v>
      </c>
      <c r="AI94" s="2">
        <v>876.75</v>
      </c>
      <c r="AJ94" s="2">
        <v>2853.43</v>
      </c>
      <c r="AK94" s="2">
        <v>1054.8399999999999</v>
      </c>
      <c r="AL94" s="2">
        <v>485.11</v>
      </c>
      <c r="AM94" s="2">
        <v>1389.73</v>
      </c>
      <c r="AN94" s="2">
        <v>1535.99</v>
      </c>
      <c r="AO94" s="2">
        <v>2768.75</v>
      </c>
      <c r="AP94" s="2">
        <v>2523.25</v>
      </c>
      <c r="AQ94" s="2">
        <v>3252.79</v>
      </c>
      <c r="AR94" s="2">
        <v>2267.0300000000002</v>
      </c>
      <c r="AU94" s="1" t="s">
        <v>22</v>
      </c>
      <c r="AV94" s="2">
        <v>1495.42</v>
      </c>
      <c r="AW94" s="2">
        <v>4799.37</v>
      </c>
      <c r="AX94" s="2">
        <v>1712.86</v>
      </c>
      <c r="AY94" s="2">
        <v>412.73</v>
      </c>
      <c r="AZ94" s="2">
        <v>2192.75</v>
      </c>
      <c r="BA94" s="2">
        <v>2484.0700000000002</v>
      </c>
      <c r="BB94" s="2">
        <v>4684.08</v>
      </c>
      <c r="BC94" s="2">
        <v>3362.3</v>
      </c>
      <c r="BD94" s="2">
        <v>3807.62</v>
      </c>
      <c r="BE94" s="2">
        <v>3214.62</v>
      </c>
      <c r="BF94" s="2">
        <v>876.75</v>
      </c>
      <c r="BG94" s="2">
        <v>2853.43</v>
      </c>
      <c r="BH94" s="2">
        <v>1054.8399999999999</v>
      </c>
      <c r="BI94" s="2">
        <v>485.11</v>
      </c>
      <c r="BJ94" s="2">
        <v>1389.73</v>
      </c>
      <c r="BK94" s="2">
        <v>1535.99</v>
      </c>
      <c r="BL94" s="2">
        <v>2768.75</v>
      </c>
      <c r="BM94" s="2">
        <v>2523.25</v>
      </c>
      <c r="BN94" s="2">
        <v>3252.79</v>
      </c>
      <c r="BO94" s="2">
        <v>2267.0300000000002</v>
      </c>
      <c r="BR94" s="1" t="s">
        <v>22</v>
      </c>
      <c r="BS94" s="2">
        <v>2.11</v>
      </c>
      <c r="BT94" s="2">
        <v>1.1000000000000001</v>
      </c>
      <c r="BU94" s="2">
        <v>1.73</v>
      </c>
      <c r="BV94" s="2">
        <v>0.94</v>
      </c>
      <c r="BW94" s="2">
        <v>0.7</v>
      </c>
      <c r="BX94" s="2">
        <v>0.48</v>
      </c>
      <c r="BY94" s="2">
        <v>2.64</v>
      </c>
      <c r="BZ94" s="2">
        <v>3.36</v>
      </c>
      <c r="CA94" s="2">
        <v>3.56</v>
      </c>
      <c r="CB94" s="2">
        <v>2.98</v>
      </c>
      <c r="CC94" s="2">
        <v>7.56</v>
      </c>
      <c r="CD94" s="2">
        <v>5.68</v>
      </c>
      <c r="CE94" s="2">
        <v>6.09</v>
      </c>
      <c r="CF94" s="2">
        <v>5.42</v>
      </c>
      <c r="CG94" s="2">
        <v>7.98</v>
      </c>
      <c r="CH94" s="2">
        <v>5.25</v>
      </c>
      <c r="CI94" s="2">
        <v>6.66</v>
      </c>
      <c r="CJ94" s="2">
        <v>3.97</v>
      </c>
      <c r="CK94" s="2">
        <v>6.7</v>
      </c>
      <c r="CL94" s="2">
        <v>3.36</v>
      </c>
    </row>
    <row r="95" spans="2:90" x14ac:dyDescent="0.3">
      <c r="B95" s="1" t="s">
        <v>23</v>
      </c>
      <c r="C95" s="2">
        <v>2723.73</v>
      </c>
      <c r="D95" s="2">
        <v>205.9</v>
      </c>
      <c r="E95" s="2">
        <v>1185.97</v>
      </c>
      <c r="F95" s="2">
        <v>79.8</v>
      </c>
      <c r="G95" s="2">
        <v>956.29</v>
      </c>
      <c r="H95" s="2">
        <v>361.77</v>
      </c>
      <c r="I95" s="2">
        <v>2714.75</v>
      </c>
      <c r="J95" s="2">
        <v>1091.94</v>
      </c>
      <c r="K95" s="2">
        <v>2002.15</v>
      </c>
      <c r="L95" s="2">
        <v>1134.45</v>
      </c>
      <c r="M95" s="2">
        <v>3663.88</v>
      </c>
      <c r="N95" s="2">
        <v>2183.0500000000002</v>
      </c>
      <c r="O95" s="2">
        <v>3416.79</v>
      </c>
      <c r="P95" s="2">
        <v>1978.14</v>
      </c>
      <c r="Q95" s="2">
        <v>4409</v>
      </c>
      <c r="R95" s="2">
        <v>2100.62</v>
      </c>
      <c r="S95" s="2">
        <v>2187.5500000000002</v>
      </c>
      <c r="T95" s="2">
        <v>1603.41</v>
      </c>
      <c r="U95" s="2">
        <v>1879.32</v>
      </c>
      <c r="V95" s="2">
        <v>1623.8</v>
      </c>
      <c r="X95" s="1" t="s">
        <v>23</v>
      </c>
      <c r="Y95" s="2">
        <v>5829.73</v>
      </c>
      <c r="Z95" s="2">
        <v>9657.98</v>
      </c>
      <c r="AA95" s="2">
        <v>6263.59</v>
      </c>
      <c r="AB95" s="2">
        <v>1783.16</v>
      </c>
      <c r="AC95" s="2">
        <v>7204.13</v>
      </c>
      <c r="AD95" s="2">
        <v>12774.65</v>
      </c>
      <c r="AE95" s="2">
        <v>23174.46</v>
      </c>
      <c r="AF95" s="2">
        <v>17115.63</v>
      </c>
      <c r="AG95" s="2">
        <v>21768.51</v>
      </c>
      <c r="AH95" s="2">
        <v>12564.89</v>
      </c>
      <c r="AI95" s="2">
        <v>2137.85</v>
      </c>
      <c r="AJ95" s="2">
        <v>8199.85</v>
      </c>
      <c r="AK95" s="2">
        <v>2361.1</v>
      </c>
      <c r="AL95" s="2">
        <v>2426.6</v>
      </c>
      <c r="AM95" s="2">
        <v>5944.74</v>
      </c>
      <c r="AN95" s="2">
        <v>5903.59</v>
      </c>
      <c r="AO95" s="2">
        <v>10584.39</v>
      </c>
      <c r="AP95" s="2">
        <v>9133.09</v>
      </c>
      <c r="AQ95" s="2">
        <v>11282.56</v>
      </c>
      <c r="AR95" s="2">
        <v>6975.74</v>
      </c>
      <c r="AU95" s="1" t="s">
        <v>23</v>
      </c>
      <c r="AV95" s="2">
        <v>5829.73</v>
      </c>
      <c r="AW95" s="2">
        <v>9657.98</v>
      </c>
      <c r="AX95" s="2">
        <v>6263.59</v>
      </c>
      <c r="AY95" s="2">
        <v>1783.16</v>
      </c>
      <c r="AZ95" s="2">
        <v>7204.13</v>
      </c>
      <c r="BA95" s="2">
        <v>12774.65</v>
      </c>
      <c r="BB95" s="2">
        <v>23174.46</v>
      </c>
      <c r="BC95" s="2">
        <v>17115.63</v>
      </c>
      <c r="BD95" s="2">
        <v>21768.51</v>
      </c>
      <c r="BE95" s="2">
        <v>12564.89</v>
      </c>
      <c r="BF95" s="2">
        <v>2137.85</v>
      </c>
      <c r="BG95" s="2">
        <v>8199.85</v>
      </c>
      <c r="BH95" s="2">
        <v>2361.1</v>
      </c>
      <c r="BI95" s="2">
        <v>2426.6</v>
      </c>
      <c r="BJ95" s="2">
        <v>5944.74</v>
      </c>
      <c r="BK95" s="2">
        <v>5903.59</v>
      </c>
      <c r="BL95" s="2">
        <v>10584.39</v>
      </c>
      <c r="BM95" s="2">
        <v>9133.09</v>
      </c>
      <c r="BN95" s="2">
        <v>11282.56</v>
      </c>
      <c r="BO95" s="2">
        <v>6975.74</v>
      </c>
      <c r="BR95" s="1" t="s">
        <v>23</v>
      </c>
      <c r="BS95" s="2">
        <v>8.19</v>
      </c>
      <c r="BT95" s="2">
        <v>1.37</v>
      </c>
      <c r="BU95" s="2">
        <v>8.19</v>
      </c>
      <c r="BV95" s="2">
        <v>1.04</v>
      </c>
      <c r="BW95" s="2">
        <v>3.15</v>
      </c>
      <c r="BX95" s="2">
        <v>1.05</v>
      </c>
      <c r="BY95" s="2">
        <v>10.08</v>
      </c>
      <c r="BZ95" s="2">
        <v>3.36</v>
      </c>
      <c r="CA95" s="2">
        <v>4.2</v>
      </c>
      <c r="CB95" s="2">
        <v>4.2</v>
      </c>
      <c r="CC95" s="2">
        <v>7.56</v>
      </c>
      <c r="CD95" s="2">
        <v>7.56</v>
      </c>
      <c r="CE95" s="2">
        <v>6.09</v>
      </c>
      <c r="CF95" s="2">
        <v>6.09</v>
      </c>
      <c r="CG95" s="2">
        <v>7.98</v>
      </c>
      <c r="CH95" s="2">
        <v>7.98</v>
      </c>
      <c r="CI95" s="2">
        <v>7.14</v>
      </c>
      <c r="CJ95" s="2">
        <v>7.14</v>
      </c>
      <c r="CK95" s="2">
        <v>9.4499999999999993</v>
      </c>
      <c r="CL95" s="2">
        <v>8.42</v>
      </c>
    </row>
    <row r="96" spans="2:90" x14ac:dyDescent="0.3">
      <c r="B96" s="1" t="s">
        <v>24</v>
      </c>
      <c r="C96" s="2">
        <v>499.82</v>
      </c>
      <c r="D96" s="2">
        <v>123.85</v>
      </c>
      <c r="E96" s="2">
        <v>211.8</v>
      </c>
      <c r="F96" s="2">
        <v>37.950000000000003</v>
      </c>
      <c r="G96" s="2">
        <v>160.94</v>
      </c>
      <c r="H96" s="2">
        <v>196.52</v>
      </c>
      <c r="I96" s="2">
        <v>455.46</v>
      </c>
      <c r="J96" s="2">
        <v>448.13</v>
      </c>
      <c r="K96" s="2">
        <v>570.07000000000005</v>
      </c>
      <c r="L96" s="2">
        <v>391.07</v>
      </c>
      <c r="M96" s="2">
        <v>1032.8499999999999</v>
      </c>
      <c r="N96" s="2">
        <v>697.33</v>
      </c>
      <c r="O96" s="2">
        <v>1092.07</v>
      </c>
      <c r="P96" s="2">
        <v>616.87</v>
      </c>
      <c r="Q96" s="2">
        <v>1188.1600000000001</v>
      </c>
      <c r="R96" s="2">
        <v>637.01</v>
      </c>
      <c r="S96" s="2">
        <v>493.57</v>
      </c>
      <c r="T96" s="2">
        <v>522.26</v>
      </c>
      <c r="U96" s="2">
        <v>626.91</v>
      </c>
      <c r="V96" s="2">
        <v>568.86</v>
      </c>
      <c r="X96" s="1" t="s">
        <v>24</v>
      </c>
      <c r="Y96" s="2">
        <v>1966.61</v>
      </c>
      <c r="Z96" s="2">
        <v>3031.3</v>
      </c>
      <c r="AA96" s="2">
        <v>2186.71</v>
      </c>
      <c r="AB96" s="2">
        <v>662.06</v>
      </c>
      <c r="AC96" s="2">
        <v>2413.19</v>
      </c>
      <c r="AD96" s="2">
        <v>2848.88</v>
      </c>
      <c r="AE96" s="2">
        <v>5105.91</v>
      </c>
      <c r="AF96" s="2">
        <v>2681.39</v>
      </c>
      <c r="AG96" s="2">
        <v>5218.84</v>
      </c>
      <c r="AH96" s="2">
        <v>2565.1999999999998</v>
      </c>
      <c r="AI96" s="2">
        <v>754.31</v>
      </c>
      <c r="AJ96" s="2">
        <v>2858.26</v>
      </c>
      <c r="AK96" s="2">
        <v>926.99</v>
      </c>
      <c r="AL96" s="2">
        <v>579.19000000000005</v>
      </c>
      <c r="AM96" s="2">
        <v>1956.8</v>
      </c>
      <c r="AN96" s="2">
        <v>1769.98</v>
      </c>
      <c r="AO96" s="2">
        <v>2902.17</v>
      </c>
      <c r="AP96" s="2">
        <v>2500.87</v>
      </c>
      <c r="AQ96" s="2">
        <v>2820.09</v>
      </c>
      <c r="AR96" s="2">
        <v>2264.5</v>
      </c>
      <c r="AU96" s="1" t="s">
        <v>24</v>
      </c>
      <c r="AV96" s="2">
        <v>1966.61</v>
      </c>
      <c r="AW96" s="2">
        <v>3031.3</v>
      </c>
      <c r="AX96" s="2">
        <v>2186.71</v>
      </c>
      <c r="AY96" s="2">
        <v>662.06</v>
      </c>
      <c r="AZ96" s="2">
        <v>2413.19</v>
      </c>
      <c r="BA96" s="2">
        <v>2848.88</v>
      </c>
      <c r="BB96" s="2">
        <v>5105.91</v>
      </c>
      <c r="BC96" s="2">
        <v>2681.39</v>
      </c>
      <c r="BD96" s="2">
        <v>5218.84</v>
      </c>
      <c r="BE96" s="2">
        <v>2565.1999999999998</v>
      </c>
      <c r="BF96" s="2">
        <v>754.31</v>
      </c>
      <c r="BG96" s="2">
        <v>2858.26</v>
      </c>
      <c r="BH96" s="2">
        <v>926.99</v>
      </c>
      <c r="BI96" s="2">
        <v>579.19000000000005</v>
      </c>
      <c r="BJ96" s="2">
        <v>1956.8</v>
      </c>
      <c r="BK96" s="2">
        <v>1769.98</v>
      </c>
      <c r="BL96" s="2">
        <v>2902.17</v>
      </c>
      <c r="BM96" s="2">
        <v>2500.87</v>
      </c>
      <c r="BN96" s="2">
        <v>2820.09</v>
      </c>
      <c r="BO96" s="2">
        <v>2264.5</v>
      </c>
      <c r="BR96" s="1" t="s">
        <v>24</v>
      </c>
      <c r="BS96" s="2">
        <v>2.73</v>
      </c>
      <c r="BT96" s="2">
        <v>1.75</v>
      </c>
      <c r="BU96" s="2">
        <v>2.73</v>
      </c>
      <c r="BV96" s="2">
        <v>0.92</v>
      </c>
      <c r="BW96" s="2">
        <v>1.05</v>
      </c>
      <c r="BX96" s="2">
        <v>2.1</v>
      </c>
      <c r="BY96" s="2">
        <v>3.36</v>
      </c>
      <c r="BZ96" s="2">
        <v>3.36</v>
      </c>
      <c r="CA96" s="2">
        <v>4.2</v>
      </c>
      <c r="CB96" s="2">
        <v>4.2</v>
      </c>
      <c r="CC96" s="2">
        <v>7.56</v>
      </c>
      <c r="CD96" s="2">
        <v>7.56</v>
      </c>
      <c r="CE96" s="2">
        <v>12.18</v>
      </c>
      <c r="CF96" s="2">
        <v>6.09</v>
      </c>
      <c r="CG96" s="2">
        <v>7.98</v>
      </c>
      <c r="CH96" s="2">
        <v>7.73</v>
      </c>
      <c r="CI96" s="2">
        <v>6.6</v>
      </c>
      <c r="CJ96" s="2">
        <v>5.81</v>
      </c>
      <c r="CK96" s="2">
        <v>7.57</v>
      </c>
      <c r="CL96" s="2">
        <v>6.83</v>
      </c>
    </row>
    <row r="97" spans="2:90" x14ac:dyDescent="0.3">
      <c r="B97" s="1" t="s">
        <v>25</v>
      </c>
      <c r="C97" s="2">
        <v>1427.24</v>
      </c>
      <c r="D97" s="2">
        <v>1948.18</v>
      </c>
      <c r="E97" s="2">
        <v>817.07</v>
      </c>
      <c r="F97" s="2">
        <v>464.38</v>
      </c>
      <c r="G97" s="2">
        <v>459.56</v>
      </c>
      <c r="H97" s="2">
        <v>434.51</v>
      </c>
      <c r="I97" s="2">
        <v>790.64</v>
      </c>
      <c r="J97" s="2">
        <v>1584.4</v>
      </c>
      <c r="K97" s="2">
        <v>1898.65</v>
      </c>
      <c r="L97" s="2">
        <v>1947.17</v>
      </c>
      <c r="M97" s="2">
        <v>3363.57</v>
      </c>
      <c r="N97" s="2">
        <v>2926.88</v>
      </c>
      <c r="O97" s="2">
        <v>2475.23</v>
      </c>
      <c r="P97" s="2">
        <v>2199.9899999999998</v>
      </c>
      <c r="Q97" s="2">
        <v>2838.46</v>
      </c>
      <c r="R97" s="2">
        <v>2467.9499999999998</v>
      </c>
      <c r="S97" s="2">
        <v>2203.9899999999998</v>
      </c>
      <c r="T97" s="2">
        <v>1586.21</v>
      </c>
      <c r="U97" s="2">
        <v>2697.35</v>
      </c>
      <c r="V97" s="2">
        <v>1961.09</v>
      </c>
      <c r="X97" s="1" t="s">
        <v>25</v>
      </c>
      <c r="Y97" s="2">
        <v>6645.27</v>
      </c>
      <c r="Z97" s="2">
        <v>16849.16</v>
      </c>
      <c r="AA97" s="2">
        <v>6971.52</v>
      </c>
      <c r="AB97" s="2">
        <v>2578.6999999999998</v>
      </c>
      <c r="AC97" s="2">
        <v>8235.81</v>
      </c>
      <c r="AD97" s="2">
        <v>12514.71</v>
      </c>
      <c r="AE97" s="2">
        <v>21733.79</v>
      </c>
      <c r="AF97" s="2">
        <v>15207.07</v>
      </c>
      <c r="AG97" s="2">
        <v>16757.689999999999</v>
      </c>
      <c r="AH97" s="2">
        <v>13107.85</v>
      </c>
      <c r="AI97" s="2">
        <v>5913.3</v>
      </c>
      <c r="AJ97" s="2">
        <v>19262.189999999999</v>
      </c>
      <c r="AK97" s="2">
        <v>8546.7000000000007</v>
      </c>
      <c r="AL97" s="2">
        <v>2862.57</v>
      </c>
      <c r="AM97" s="2">
        <v>9619.57</v>
      </c>
      <c r="AN97" s="2">
        <v>12431.43</v>
      </c>
      <c r="AO97" s="2">
        <v>20066.63</v>
      </c>
      <c r="AP97" s="2">
        <v>15079.96</v>
      </c>
      <c r="AQ97" s="2">
        <v>15948.51</v>
      </c>
      <c r="AR97" s="2">
        <v>13521.85</v>
      </c>
      <c r="AU97" s="1" t="s">
        <v>25</v>
      </c>
      <c r="AV97" s="2">
        <v>6645.27</v>
      </c>
      <c r="AW97" s="2">
        <v>16849.16</v>
      </c>
      <c r="AX97" s="2">
        <v>6971.52</v>
      </c>
      <c r="AY97" s="2">
        <v>2578.6999999999998</v>
      </c>
      <c r="AZ97" s="2">
        <v>8235.81</v>
      </c>
      <c r="BA97" s="2">
        <v>12514.71</v>
      </c>
      <c r="BB97" s="2">
        <v>21733.79</v>
      </c>
      <c r="BC97" s="2">
        <v>15207.07</v>
      </c>
      <c r="BD97" s="2">
        <v>16757.689999999999</v>
      </c>
      <c r="BE97" s="2">
        <v>13107.85</v>
      </c>
      <c r="BF97" s="2">
        <v>5913.3</v>
      </c>
      <c r="BG97" s="2">
        <v>19262.189999999999</v>
      </c>
      <c r="BH97" s="2">
        <v>8546.7000000000007</v>
      </c>
      <c r="BI97" s="2">
        <v>2862.57</v>
      </c>
      <c r="BJ97" s="2">
        <v>9619.57</v>
      </c>
      <c r="BK97" s="2">
        <v>12431.43</v>
      </c>
      <c r="BL97" s="2">
        <v>20066.63</v>
      </c>
      <c r="BM97" s="2">
        <v>15079.96</v>
      </c>
      <c r="BN97" s="2">
        <v>15948.51</v>
      </c>
      <c r="BO97" s="2">
        <v>13521.85</v>
      </c>
      <c r="BR97" s="1" t="s">
        <v>25</v>
      </c>
      <c r="BS97" s="2">
        <v>2.73</v>
      </c>
      <c r="BT97" s="2">
        <v>4.92</v>
      </c>
      <c r="BU97" s="2">
        <v>4.4000000000000004</v>
      </c>
      <c r="BV97" s="2">
        <v>2.0499999999999998</v>
      </c>
      <c r="BW97" s="2">
        <v>1.05</v>
      </c>
      <c r="BX97" s="2">
        <v>1.05</v>
      </c>
      <c r="BY97" s="2">
        <v>2.37</v>
      </c>
      <c r="BZ97" s="2">
        <v>3.36</v>
      </c>
      <c r="CA97" s="2">
        <v>4.2</v>
      </c>
      <c r="CB97" s="2">
        <v>4.2</v>
      </c>
      <c r="CC97" s="2">
        <v>7.56</v>
      </c>
      <c r="CD97" s="2">
        <v>7.56</v>
      </c>
      <c r="CE97" s="2">
        <v>6.09</v>
      </c>
      <c r="CF97" s="2">
        <v>6.09</v>
      </c>
      <c r="CG97" s="2">
        <v>7.98</v>
      </c>
      <c r="CH97" s="2">
        <v>7.49</v>
      </c>
      <c r="CI97" s="2">
        <v>6.37</v>
      </c>
      <c r="CJ97" s="2">
        <v>4.91</v>
      </c>
      <c r="CK97" s="2">
        <v>7.23</v>
      </c>
      <c r="CL97" s="2">
        <v>4.91</v>
      </c>
    </row>
    <row r="98" spans="2:90" x14ac:dyDescent="0.3">
      <c r="B98" s="1" t="s">
        <v>26</v>
      </c>
      <c r="C98" s="2">
        <v>302.58</v>
      </c>
      <c r="D98" s="2">
        <v>323.88</v>
      </c>
      <c r="E98" s="2">
        <v>128.81</v>
      </c>
      <c r="F98" s="2">
        <v>80.92</v>
      </c>
      <c r="G98" s="2">
        <v>86.31</v>
      </c>
      <c r="H98" s="2">
        <v>77.77</v>
      </c>
      <c r="I98" s="2">
        <v>128.22999999999999</v>
      </c>
      <c r="J98" s="2">
        <v>226.05</v>
      </c>
      <c r="K98" s="2">
        <v>149.24</v>
      </c>
      <c r="L98" s="2">
        <v>316.10000000000002</v>
      </c>
      <c r="M98" s="2">
        <v>407.73</v>
      </c>
      <c r="N98" s="2">
        <v>472.88</v>
      </c>
      <c r="O98" s="2">
        <v>335.51</v>
      </c>
      <c r="P98" s="2">
        <v>361.97</v>
      </c>
      <c r="Q98" s="2">
        <v>446.71</v>
      </c>
      <c r="R98" s="2">
        <v>543.03</v>
      </c>
      <c r="S98" s="2">
        <v>365.41</v>
      </c>
      <c r="T98" s="2">
        <v>412.81</v>
      </c>
      <c r="U98" s="2">
        <v>436.76</v>
      </c>
      <c r="V98" s="2">
        <v>228.13</v>
      </c>
      <c r="X98" s="1" t="s">
        <v>26</v>
      </c>
      <c r="Y98" s="2">
        <v>1933.07</v>
      </c>
      <c r="Z98" s="2">
        <v>4526.51</v>
      </c>
      <c r="AA98" s="2">
        <v>2557.35</v>
      </c>
      <c r="AB98" s="2">
        <v>665.56</v>
      </c>
      <c r="AC98" s="2">
        <v>2040.88</v>
      </c>
      <c r="AD98" s="2">
        <v>2336.0700000000002</v>
      </c>
      <c r="AE98" s="2">
        <v>4270.13</v>
      </c>
      <c r="AF98" s="2">
        <v>3480.13</v>
      </c>
      <c r="AG98" s="2">
        <v>4403.3500000000004</v>
      </c>
      <c r="AH98" s="2">
        <v>3702.13</v>
      </c>
      <c r="AI98" s="2">
        <v>1437.13</v>
      </c>
      <c r="AJ98" s="2">
        <v>4650.5200000000004</v>
      </c>
      <c r="AK98" s="2">
        <v>2598.06</v>
      </c>
      <c r="AL98" s="2">
        <v>766.66</v>
      </c>
      <c r="AM98" s="2">
        <v>2025.29</v>
      </c>
      <c r="AN98" s="2">
        <v>3346.34</v>
      </c>
      <c r="AO98" s="2">
        <v>6220.02</v>
      </c>
      <c r="AP98" s="2">
        <v>5077.1499999999996</v>
      </c>
      <c r="AQ98" s="2">
        <v>6473.55</v>
      </c>
      <c r="AR98" s="2">
        <v>5810.25</v>
      </c>
      <c r="AU98" s="1" t="s">
        <v>26</v>
      </c>
      <c r="AV98" s="2">
        <v>1933.07</v>
      </c>
      <c r="AW98" s="2">
        <v>4526.51</v>
      </c>
      <c r="AX98" s="2">
        <v>2557.35</v>
      </c>
      <c r="AY98" s="2">
        <v>665.56</v>
      </c>
      <c r="AZ98" s="2">
        <v>2040.88</v>
      </c>
      <c r="BA98" s="2">
        <v>2336.0700000000002</v>
      </c>
      <c r="BB98" s="2">
        <v>4270.13</v>
      </c>
      <c r="BC98" s="2">
        <v>3480.13</v>
      </c>
      <c r="BD98" s="2">
        <v>4403.3500000000004</v>
      </c>
      <c r="BE98" s="2">
        <v>3702.13</v>
      </c>
      <c r="BF98" s="2">
        <v>1437.13</v>
      </c>
      <c r="BG98" s="2">
        <v>4650.5200000000004</v>
      </c>
      <c r="BH98" s="2">
        <v>2598.06</v>
      </c>
      <c r="BI98" s="2">
        <v>766.66</v>
      </c>
      <c r="BJ98" s="2">
        <v>2025.29</v>
      </c>
      <c r="BK98" s="2">
        <v>3346.34</v>
      </c>
      <c r="BL98" s="2">
        <v>6220.02</v>
      </c>
      <c r="BM98" s="2">
        <v>5077.1499999999996</v>
      </c>
      <c r="BN98" s="2">
        <v>6473.55</v>
      </c>
      <c r="BO98" s="2">
        <v>5810.25</v>
      </c>
      <c r="BR98" s="1" t="s">
        <v>26</v>
      </c>
      <c r="BS98" s="2">
        <v>2.73</v>
      </c>
      <c r="BT98" s="2">
        <v>5.25</v>
      </c>
      <c r="BU98" s="2">
        <v>2.73</v>
      </c>
      <c r="BV98" s="2">
        <v>2.73</v>
      </c>
      <c r="BW98" s="2">
        <v>1.05</v>
      </c>
      <c r="BX98" s="2">
        <v>1.05</v>
      </c>
      <c r="BY98" s="2">
        <v>2.67</v>
      </c>
      <c r="BZ98" s="2">
        <v>3.36</v>
      </c>
      <c r="CA98" s="2">
        <v>3.16</v>
      </c>
      <c r="CB98" s="2">
        <v>4.2</v>
      </c>
      <c r="CC98" s="2">
        <v>7.56</v>
      </c>
      <c r="CD98" s="2">
        <v>7.56</v>
      </c>
      <c r="CE98" s="2">
        <v>6.08</v>
      </c>
      <c r="CF98" s="2">
        <v>6.09</v>
      </c>
      <c r="CG98" s="2">
        <v>7.92</v>
      </c>
      <c r="CH98" s="2">
        <v>7.98</v>
      </c>
      <c r="CI98" s="2">
        <v>6.04</v>
      </c>
      <c r="CJ98" s="2">
        <v>7.14</v>
      </c>
      <c r="CK98" s="2">
        <v>6.83</v>
      </c>
      <c r="CL98" s="2">
        <v>5.51</v>
      </c>
    </row>
    <row r="99" spans="2:90" x14ac:dyDescent="0.3">
      <c r="B99" s="1" t="s">
        <v>27</v>
      </c>
      <c r="C99" s="2">
        <v>2053.6799999999998</v>
      </c>
      <c r="D99" s="2">
        <v>2286.62</v>
      </c>
      <c r="E99" s="2">
        <v>608.78</v>
      </c>
      <c r="F99" s="2">
        <v>915.82</v>
      </c>
      <c r="G99" s="2">
        <v>268.26</v>
      </c>
      <c r="H99" s="2">
        <v>700.54</v>
      </c>
      <c r="I99" s="2">
        <v>803.06</v>
      </c>
      <c r="J99" s="2">
        <v>1289.95</v>
      </c>
      <c r="K99" s="2">
        <v>929.43</v>
      </c>
      <c r="L99" s="2">
        <v>2584.5300000000002</v>
      </c>
      <c r="M99" s="2">
        <v>1681.61</v>
      </c>
      <c r="N99" s="2">
        <v>4438.3900000000003</v>
      </c>
      <c r="O99" s="2">
        <v>1461.31</v>
      </c>
      <c r="P99" s="2">
        <v>3670.32</v>
      </c>
      <c r="Q99" s="2">
        <v>2362.2399999999998</v>
      </c>
      <c r="R99" s="2">
        <v>3469.29</v>
      </c>
      <c r="S99" s="2">
        <v>1665.52</v>
      </c>
      <c r="T99" s="2">
        <v>1773.79</v>
      </c>
      <c r="U99" s="2">
        <v>2009.39</v>
      </c>
      <c r="V99" s="2">
        <v>1759.05</v>
      </c>
      <c r="X99" s="1" t="s">
        <v>27</v>
      </c>
      <c r="Y99" s="2">
        <v>6140.83</v>
      </c>
      <c r="Z99" s="2">
        <v>15399.77</v>
      </c>
      <c r="AA99" s="2">
        <v>6056.5</v>
      </c>
      <c r="AB99" s="2">
        <v>2339.61</v>
      </c>
      <c r="AC99" s="2">
        <v>8696.3700000000008</v>
      </c>
      <c r="AD99" s="2">
        <v>7450.28</v>
      </c>
      <c r="AE99" s="2">
        <v>17027.45</v>
      </c>
      <c r="AF99" s="2">
        <v>14142.61</v>
      </c>
      <c r="AG99" s="2">
        <v>19999.75</v>
      </c>
      <c r="AH99" s="2">
        <v>13100.59</v>
      </c>
      <c r="AI99" s="2">
        <v>6357.13</v>
      </c>
      <c r="AJ99" s="2">
        <v>15049.58</v>
      </c>
      <c r="AK99" s="2">
        <v>7552.29</v>
      </c>
      <c r="AL99" s="2">
        <v>2402.5700000000002</v>
      </c>
      <c r="AM99" s="2">
        <v>9369.44</v>
      </c>
      <c r="AN99" s="2">
        <v>9987.7800000000007</v>
      </c>
      <c r="AO99" s="2">
        <v>17986.89</v>
      </c>
      <c r="AP99" s="2">
        <v>14586.04</v>
      </c>
      <c r="AQ99" s="2">
        <v>17752.2</v>
      </c>
      <c r="AR99" s="2">
        <v>12058.08</v>
      </c>
      <c r="AU99" s="1" t="s">
        <v>27</v>
      </c>
      <c r="AV99" s="2">
        <v>6140.83</v>
      </c>
      <c r="AW99" s="2">
        <v>15399.77</v>
      </c>
      <c r="AX99" s="2">
        <v>6056.5</v>
      </c>
      <c r="AY99" s="2">
        <v>2339.61</v>
      </c>
      <c r="AZ99" s="2">
        <v>8696.3700000000008</v>
      </c>
      <c r="BA99" s="2">
        <v>7450.28</v>
      </c>
      <c r="BB99" s="2">
        <v>17027.45</v>
      </c>
      <c r="BC99" s="2">
        <v>14142.61</v>
      </c>
      <c r="BD99" s="2">
        <v>19999.75</v>
      </c>
      <c r="BE99" s="2">
        <v>13100.59</v>
      </c>
      <c r="BF99" s="2">
        <v>6357.13</v>
      </c>
      <c r="BG99" s="2">
        <v>15049.58</v>
      </c>
      <c r="BH99" s="2">
        <v>7552.29</v>
      </c>
      <c r="BI99" s="2">
        <v>2402.5700000000002</v>
      </c>
      <c r="BJ99" s="2">
        <v>9369.44</v>
      </c>
      <c r="BK99" s="2">
        <v>9987.7800000000007</v>
      </c>
      <c r="BL99" s="2">
        <v>17986.89</v>
      </c>
      <c r="BM99" s="2">
        <v>14586.04</v>
      </c>
      <c r="BN99" s="2">
        <v>17752.2</v>
      </c>
      <c r="BO99" s="2">
        <v>12058.08</v>
      </c>
      <c r="BR99" s="1" t="s">
        <v>27</v>
      </c>
      <c r="BS99" s="2">
        <v>8.19</v>
      </c>
      <c r="BT99" s="2">
        <v>8.19</v>
      </c>
      <c r="BU99" s="2">
        <v>5.46</v>
      </c>
      <c r="BV99" s="2">
        <v>8.02</v>
      </c>
      <c r="BW99" s="2">
        <v>1.05</v>
      </c>
      <c r="BX99" s="2">
        <v>3.15</v>
      </c>
      <c r="BY99" s="2">
        <v>3.36</v>
      </c>
      <c r="BZ99" s="2">
        <v>3.36</v>
      </c>
      <c r="CA99" s="2">
        <v>5.57</v>
      </c>
      <c r="CB99" s="2">
        <v>11.88</v>
      </c>
      <c r="CC99" s="2">
        <v>7.56</v>
      </c>
      <c r="CD99" s="2">
        <v>21.56</v>
      </c>
      <c r="CE99" s="2">
        <v>6.09</v>
      </c>
      <c r="CF99" s="2">
        <v>17.309999999999999</v>
      </c>
      <c r="CG99" s="2">
        <v>7.98</v>
      </c>
      <c r="CH99" s="2">
        <v>15.96</v>
      </c>
      <c r="CI99" s="2">
        <v>7.14</v>
      </c>
      <c r="CJ99" s="2">
        <v>9.5500000000000007</v>
      </c>
      <c r="CK99" s="2">
        <v>9.4499999999999993</v>
      </c>
      <c r="CL99" s="2">
        <v>9.4499999999999993</v>
      </c>
    </row>
    <row r="100" spans="2:90" x14ac:dyDescent="0.3">
      <c r="B100" s="1" t="s">
        <v>28</v>
      </c>
      <c r="C100" s="2">
        <v>300.07</v>
      </c>
      <c r="D100" s="2">
        <v>466.02</v>
      </c>
      <c r="E100" s="2">
        <v>38.270000000000003</v>
      </c>
      <c r="F100" s="2">
        <v>43.31</v>
      </c>
      <c r="G100" s="2">
        <v>31.03</v>
      </c>
      <c r="H100" s="2">
        <v>32.56</v>
      </c>
      <c r="I100" s="2">
        <v>91.66</v>
      </c>
      <c r="J100" s="2">
        <v>456.4</v>
      </c>
      <c r="K100" s="2">
        <v>416.98</v>
      </c>
      <c r="L100" s="2">
        <v>537.73</v>
      </c>
      <c r="M100" s="2">
        <v>1265.44</v>
      </c>
      <c r="N100" s="2">
        <v>1010.08</v>
      </c>
      <c r="O100" s="2">
        <v>1039.56</v>
      </c>
      <c r="P100" s="2">
        <v>932.16</v>
      </c>
      <c r="Q100" s="2">
        <v>1344.87</v>
      </c>
      <c r="R100" s="2">
        <v>1127.98</v>
      </c>
      <c r="S100" s="2">
        <v>989.21</v>
      </c>
      <c r="T100" s="2">
        <v>739.34</v>
      </c>
      <c r="U100" s="2">
        <v>1147.8</v>
      </c>
      <c r="V100" s="2">
        <v>988.29</v>
      </c>
      <c r="X100" s="1" t="s">
        <v>28</v>
      </c>
      <c r="Y100" s="2">
        <v>3064.42</v>
      </c>
      <c r="Z100" s="2">
        <v>7879.16</v>
      </c>
      <c r="AA100" s="2">
        <v>3384.7</v>
      </c>
      <c r="AB100" s="2">
        <v>719.77</v>
      </c>
      <c r="AC100" s="2">
        <v>2879.6</v>
      </c>
      <c r="AD100" s="2">
        <v>3880.13</v>
      </c>
      <c r="AE100" s="2">
        <v>7830.09</v>
      </c>
      <c r="AF100" s="2">
        <v>6153.61</v>
      </c>
      <c r="AG100" s="2">
        <v>7876.06</v>
      </c>
      <c r="AH100" s="2">
        <v>5772.73</v>
      </c>
      <c r="AI100" s="2">
        <v>4020.93</v>
      </c>
      <c r="AJ100" s="2">
        <v>8112.26</v>
      </c>
      <c r="AK100" s="2">
        <v>3587.31</v>
      </c>
      <c r="AL100" s="2">
        <v>1398.65</v>
      </c>
      <c r="AM100" s="2">
        <v>4503.4399999999996</v>
      </c>
      <c r="AN100" s="2">
        <v>5357.39</v>
      </c>
      <c r="AO100" s="2">
        <v>9870.41</v>
      </c>
      <c r="AP100" s="2">
        <v>7865.59</v>
      </c>
      <c r="AQ100" s="2">
        <v>7818.23</v>
      </c>
      <c r="AR100" s="2">
        <v>5907.54</v>
      </c>
      <c r="AU100" s="1" t="s">
        <v>28</v>
      </c>
      <c r="AV100" s="2">
        <v>3064.42</v>
      </c>
      <c r="AW100" s="2">
        <v>7879.16</v>
      </c>
      <c r="AX100" s="2">
        <v>3384.7</v>
      </c>
      <c r="AY100" s="2">
        <v>719.77</v>
      </c>
      <c r="AZ100" s="2">
        <v>2879.6</v>
      </c>
      <c r="BA100" s="2">
        <v>3880.13</v>
      </c>
      <c r="BB100" s="2">
        <v>7830.09</v>
      </c>
      <c r="BC100" s="2">
        <v>6153.61</v>
      </c>
      <c r="BD100" s="2">
        <v>7876.06</v>
      </c>
      <c r="BE100" s="2">
        <v>5772.73</v>
      </c>
      <c r="BF100" s="2">
        <v>4020.93</v>
      </c>
      <c r="BG100" s="2">
        <v>8112.26</v>
      </c>
      <c r="BH100" s="2">
        <v>3587.31</v>
      </c>
      <c r="BI100" s="2">
        <v>1398.65</v>
      </c>
      <c r="BJ100" s="2">
        <v>4503.4399999999996</v>
      </c>
      <c r="BK100" s="2">
        <v>5357.39</v>
      </c>
      <c r="BL100" s="2">
        <v>9870.41</v>
      </c>
      <c r="BM100" s="2">
        <v>7865.59</v>
      </c>
      <c r="BN100" s="2">
        <v>7818.23</v>
      </c>
      <c r="BO100" s="2">
        <v>5907.54</v>
      </c>
      <c r="BR100" s="1" t="s">
        <v>28</v>
      </c>
      <c r="BS100" s="2">
        <v>1.89</v>
      </c>
      <c r="BT100" s="2">
        <v>2.73</v>
      </c>
      <c r="BU100" s="2">
        <v>0.54</v>
      </c>
      <c r="BV100" s="2">
        <v>0.56999999999999995</v>
      </c>
      <c r="BW100" s="2">
        <v>0.27</v>
      </c>
      <c r="BX100" s="2">
        <v>0.26</v>
      </c>
      <c r="BY100" s="2">
        <v>0.68</v>
      </c>
      <c r="BZ100" s="2">
        <v>3.36</v>
      </c>
      <c r="CA100" s="2">
        <v>3.06</v>
      </c>
      <c r="CB100" s="2">
        <v>4.2</v>
      </c>
      <c r="CC100" s="2">
        <v>7.56</v>
      </c>
      <c r="CD100" s="2">
        <v>7.56</v>
      </c>
      <c r="CE100" s="2">
        <v>6.09</v>
      </c>
      <c r="CF100" s="2">
        <v>6.09</v>
      </c>
      <c r="CG100" s="2">
        <v>7.98</v>
      </c>
      <c r="CH100" s="2">
        <v>7.98</v>
      </c>
      <c r="CI100" s="2">
        <v>7.14</v>
      </c>
      <c r="CJ100" s="2">
        <v>5.53</v>
      </c>
      <c r="CK100" s="2">
        <v>7.88</v>
      </c>
      <c r="CL100" s="2">
        <v>5.86</v>
      </c>
    </row>
    <row r="103" spans="2:90" x14ac:dyDescent="0.3">
      <c r="B103" t="s">
        <v>53</v>
      </c>
      <c r="X103" t="s">
        <v>54</v>
      </c>
      <c r="AU103" t="s">
        <v>55</v>
      </c>
      <c r="BR103" t="s">
        <v>56</v>
      </c>
    </row>
    <row r="104" spans="2:90" x14ac:dyDescent="0.3">
      <c r="B104" s="1" t="s">
        <v>16</v>
      </c>
      <c r="C104" s="1" t="s">
        <v>17</v>
      </c>
      <c r="D104" s="1" t="s">
        <v>18</v>
      </c>
      <c r="E104" s="1" t="s">
        <v>17</v>
      </c>
      <c r="F104" s="1" t="s">
        <v>18</v>
      </c>
      <c r="G104" s="1" t="s">
        <v>17</v>
      </c>
      <c r="H104" s="1" t="s">
        <v>18</v>
      </c>
      <c r="I104" s="1" t="s">
        <v>17</v>
      </c>
      <c r="J104" s="1" t="s">
        <v>18</v>
      </c>
      <c r="K104" s="1" t="s">
        <v>17</v>
      </c>
      <c r="L104" s="1" t="s">
        <v>18</v>
      </c>
      <c r="M104" s="1" t="s">
        <v>17</v>
      </c>
      <c r="N104" s="1" t="s">
        <v>18</v>
      </c>
      <c r="O104" s="1" t="s">
        <v>17</v>
      </c>
      <c r="P104" s="1" t="s">
        <v>18</v>
      </c>
      <c r="Q104" s="1" t="s">
        <v>17</v>
      </c>
      <c r="R104" s="1" t="s">
        <v>18</v>
      </c>
      <c r="S104" s="1" t="s">
        <v>17</v>
      </c>
      <c r="T104" s="1" t="s">
        <v>18</v>
      </c>
      <c r="U104" s="1" t="s">
        <v>17</v>
      </c>
      <c r="V104" s="1" t="s">
        <v>18</v>
      </c>
      <c r="X104" s="1" t="s">
        <v>16</v>
      </c>
      <c r="Y104" s="1" t="s">
        <v>17</v>
      </c>
      <c r="Z104" s="1" t="s">
        <v>18</v>
      </c>
      <c r="AA104" s="1" t="s">
        <v>17</v>
      </c>
      <c r="AB104" s="1" t="s">
        <v>18</v>
      </c>
      <c r="AC104" s="1" t="s">
        <v>17</v>
      </c>
      <c r="AD104" s="1" t="s">
        <v>18</v>
      </c>
      <c r="AE104" s="1" t="s">
        <v>17</v>
      </c>
      <c r="AF104" s="1" t="s">
        <v>18</v>
      </c>
      <c r="AG104" s="1" t="s">
        <v>17</v>
      </c>
      <c r="AH104" s="1" t="s">
        <v>18</v>
      </c>
      <c r="AI104" s="1" t="s">
        <v>17</v>
      </c>
      <c r="AJ104" s="1" t="s">
        <v>18</v>
      </c>
      <c r="AK104" s="1" t="s">
        <v>17</v>
      </c>
      <c r="AL104" s="1" t="s">
        <v>18</v>
      </c>
      <c r="AM104" s="1" t="s">
        <v>17</v>
      </c>
      <c r="AN104" s="1" t="s">
        <v>18</v>
      </c>
      <c r="AO104" s="1" t="s">
        <v>17</v>
      </c>
      <c r="AP104" s="1" t="s">
        <v>18</v>
      </c>
      <c r="AQ104" s="1" t="s">
        <v>17</v>
      </c>
      <c r="AR104" s="1" t="s">
        <v>18</v>
      </c>
      <c r="AU104" s="1" t="s">
        <v>16</v>
      </c>
      <c r="AV104" s="1" t="s">
        <v>17</v>
      </c>
      <c r="AW104" s="1" t="s">
        <v>18</v>
      </c>
      <c r="AX104" s="1" t="s">
        <v>17</v>
      </c>
      <c r="AY104" s="1" t="s">
        <v>18</v>
      </c>
      <c r="AZ104" s="1" t="s">
        <v>17</v>
      </c>
      <c r="BA104" s="1" t="s">
        <v>18</v>
      </c>
      <c r="BB104" s="1" t="s">
        <v>17</v>
      </c>
      <c r="BC104" s="1" t="s">
        <v>18</v>
      </c>
      <c r="BD104" s="1" t="s">
        <v>17</v>
      </c>
      <c r="BE104" s="1" t="s">
        <v>18</v>
      </c>
      <c r="BF104" s="1" t="s">
        <v>17</v>
      </c>
      <c r="BG104" s="1" t="s">
        <v>18</v>
      </c>
      <c r="BH104" s="1" t="s">
        <v>17</v>
      </c>
      <c r="BI104" s="1" t="s">
        <v>18</v>
      </c>
      <c r="BJ104" s="1" t="s">
        <v>17</v>
      </c>
      <c r="BK104" s="1" t="s">
        <v>18</v>
      </c>
      <c r="BL104" s="1" t="s">
        <v>17</v>
      </c>
      <c r="BM104" s="1" t="s">
        <v>18</v>
      </c>
      <c r="BN104" s="1" t="s">
        <v>17</v>
      </c>
      <c r="BO104" s="1" t="s">
        <v>18</v>
      </c>
      <c r="BR104" s="1" t="s">
        <v>16</v>
      </c>
      <c r="BS104" s="1" t="s">
        <v>17</v>
      </c>
      <c r="BT104" s="1" t="s">
        <v>18</v>
      </c>
      <c r="BU104" s="1" t="s">
        <v>17</v>
      </c>
      <c r="BV104" s="1" t="s">
        <v>18</v>
      </c>
      <c r="BW104" s="1" t="s">
        <v>17</v>
      </c>
      <c r="BX104" s="1" t="s">
        <v>18</v>
      </c>
      <c r="BY104" s="1" t="s">
        <v>17</v>
      </c>
      <c r="BZ104" s="1" t="s">
        <v>18</v>
      </c>
      <c r="CA104" s="1" t="s">
        <v>17</v>
      </c>
      <c r="CB104" s="1" t="s">
        <v>18</v>
      </c>
      <c r="CC104" s="1" t="s">
        <v>17</v>
      </c>
      <c r="CD104" s="1" t="s">
        <v>18</v>
      </c>
      <c r="CE104" s="1" t="s">
        <v>17</v>
      </c>
      <c r="CF104" s="1" t="s">
        <v>18</v>
      </c>
      <c r="CG104" s="1" t="s">
        <v>17</v>
      </c>
      <c r="CH104" s="1" t="s">
        <v>18</v>
      </c>
      <c r="CI104" s="1" t="s">
        <v>17</v>
      </c>
      <c r="CJ104" s="1" t="s">
        <v>18</v>
      </c>
      <c r="CK104" s="1" t="s">
        <v>17</v>
      </c>
      <c r="CL104" s="1" t="s">
        <v>18</v>
      </c>
    </row>
    <row r="105" spans="2:90" x14ac:dyDescent="0.3">
      <c r="B105" s="1" t="s">
        <v>19</v>
      </c>
      <c r="C105" s="1" t="s">
        <v>1</v>
      </c>
      <c r="D105" s="1" t="s">
        <v>1</v>
      </c>
      <c r="E105" s="1" t="s">
        <v>2</v>
      </c>
      <c r="F105" s="1" t="s">
        <v>2</v>
      </c>
      <c r="G105" s="1" t="s">
        <v>3</v>
      </c>
      <c r="H105" s="1" t="s">
        <v>3</v>
      </c>
      <c r="I105" s="1" t="s">
        <v>4</v>
      </c>
      <c r="J105" s="1" t="s">
        <v>4</v>
      </c>
      <c r="K105" s="1" t="s">
        <v>5</v>
      </c>
      <c r="L105" s="1" t="s">
        <v>5</v>
      </c>
      <c r="M105" s="1" t="s">
        <v>6</v>
      </c>
      <c r="N105" s="1" t="s">
        <v>6</v>
      </c>
      <c r="O105" s="1" t="s">
        <v>7</v>
      </c>
      <c r="P105" s="1" t="s">
        <v>7</v>
      </c>
      <c r="Q105" s="1" t="s">
        <v>8</v>
      </c>
      <c r="R105" s="1" t="s">
        <v>8</v>
      </c>
      <c r="S105" s="1" t="s">
        <v>9</v>
      </c>
      <c r="T105" s="1" t="s">
        <v>9</v>
      </c>
      <c r="U105" s="1" t="s">
        <v>10</v>
      </c>
      <c r="V105" s="1" t="s">
        <v>10</v>
      </c>
      <c r="X105" s="1" t="s">
        <v>19</v>
      </c>
      <c r="Y105" s="1" t="s">
        <v>1</v>
      </c>
      <c r="Z105" s="1" t="s">
        <v>1</v>
      </c>
      <c r="AA105" s="1" t="s">
        <v>2</v>
      </c>
      <c r="AB105" s="1" t="s">
        <v>2</v>
      </c>
      <c r="AC105" s="1" t="s">
        <v>3</v>
      </c>
      <c r="AD105" s="1" t="s">
        <v>3</v>
      </c>
      <c r="AE105" s="1" t="s">
        <v>4</v>
      </c>
      <c r="AF105" s="1" t="s">
        <v>4</v>
      </c>
      <c r="AG105" s="1" t="s">
        <v>5</v>
      </c>
      <c r="AH105" s="1" t="s">
        <v>5</v>
      </c>
      <c r="AI105" s="1" t="s">
        <v>6</v>
      </c>
      <c r="AJ105" s="1" t="s">
        <v>6</v>
      </c>
      <c r="AK105" s="1" t="s">
        <v>7</v>
      </c>
      <c r="AL105" s="1" t="s">
        <v>7</v>
      </c>
      <c r="AM105" s="1" t="s">
        <v>8</v>
      </c>
      <c r="AN105" s="1" t="s">
        <v>8</v>
      </c>
      <c r="AO105" s="1" t="s">
        <v>9</v>
      </c>
      <c r="AP105" s="1" t="s">
        <v>9</v>
      </c>
      <c r="AQ105" s="1" t="s">
        <v>10</v>
      </c>
      <c r="AR105" s="1" t="s">
        <v>10</v>
      </c>
      <c r="AU105" s="1" t="s">
        <v>19</v>
      </c>
      <c r="AV105" s="1" t="s">
        <v>1</v>
      </c>
      <c r="AW105" s="1" t="s">
        <v>1</v>
      </c>
      <c r="AX105" s="1" t="s">
        <v>2</v>
      </c>
      <c r="AY105" s="1" t="s">
        <v>2</v>
      </c>
      <c r="AZ105" s="1" t="s">
        <v>3</v>
      </c>
      <c r="BA105" s="1" t="s">
        <v>3</v>
      </c>
      <c r="BB105" s="1" t="s">
        <v>4</v>
      </c>
      <c r="BC105" s="1" t="s">
        <v>4</v>
      </c>
      <c r="BD105" s="1" t="s">
        <v>5</v>
      </c>
      <c r="BE105" s="1" t="s">
        <v>5</v>
      </c>
      <c r="BF105" s="1" t="s">
        <v>6</v>
      </c>
      <c r="BG105" s="1" t="s">
        <v>6</v>
      </c>
      <c r="BH105" s="1" t="s">
        <v>7</v>
      </c>
      <c r="BI105" s="1" t="s">
        <v>7</v>
      </c>
      <c r="BJ105" s="1" t="s">
        <v>8</v>
      </c>
      <c r="BK105" s="1" t="s">
        <v>8</v>
      </c>
      <c r="BL105" s="1" t="s">
        <v>9</v>
      </c>
      <c r="BM105" s="1" t="s">
        <v>9</v>
      </c>
      <c r="BN105" s="1" t="s">
        <v>10</v>
      </c>
      <c r="BO105" s="1" t="s">
        <v>10</v>
      </c>
      <c r="BR105" s="1" t="s">
        <v>19</v>
      </c>
      <c r="BS105" s="1" t="s">
        <v>1</v>
      </c>
      <c r="BT105" s="1" t="s">
        <v>1</v>
      </c>
      <c r="BU105" s="1" t="s">
        <v>2</v>
      </c>
      <c r="BV105" s="1" t="s">
        <v>2</v>
      </c>
      <c r="BW105" s="1" t="s">
        <v>3</v>
      </c>
      <c r="BX105" s="1" t="s">
        <v>3</v>
      </c>
      <c r="BY105" s="1" t="s">
        <v>4</v>
      </c>
      <c r="BZ105" s="1" t="s">
        <v>4</v>
      </c>
      <c r="CA105" s="1" t="s">
        <v>5</v>
      </c>
      <c r="CB105" s="1" t="s">
        <v>5</v>
      </c>
      <c r="CC105" s="1" t="s">
        <v>6</v>
      </c>
      <c r="CD105" s="1" t="s">
        <v>6</v>
      </c>
      <c r="CE105" s="1" t="s">
        <v>7</v>
      </c>
      <c r="CF105" s="1" t="s">
        <v>7</v>
      </c>
      <c r="CG105" s="1" t="s">
        <v>8</v>
      </c>
      <c r="CH105" s="1" t="s">
        <v>8</v>
      </c>
      <c r="CI105" s="1" t="s">
        <v>9</v>
      </c>
      <c r="CJ105" s="1" t="s">
        <v>9</v>
      </c>
      <c r="CK105" s="1" t="s">
        <v>10</v>
      </c>
      <c r="CL105" s="1" t="s">
        <v>10</v>
      </c>
    </row>
    <row r="106" spans="2:90" x14ac:dyDescent="0.3">
      <c r="B106" s="1" t="s">
        <v>20</v>
      </c>
      <c r="X106" s="1" t="s">
        <v>20</v>
      </c>
      <c r="AU106" s="1" t="s">
        <v>20</v>
      </c>
      <c r="BR106" s="1" t="s">
        <v>20</v>
      </c>
    </row>
    <row r="107" spans="2:90" x14ac:dyDescent="0.3">
      <c r="B107" s="1" t="s">
        <v>21</v>
      </c>
      <c r="C107" s="2">
        <v>1.4071782858004169E-2</v>
      </c>
      <c r="D107" s="2">
        <v>1.8403620482014261E-2</v>
      </c>
      <c r="E107" s="2">
        <v>1.2628454170147531E-2</v>
      </c>
      <c r="F107" s="2">
        <v>1.7542448369865259E-2</v>
      </c>
      <c r="G107" s="2">
        <v>1.6326723208708441E-2</v>
      </c>
      <c r="H107" s="2">
        <v>1.6463758660245631E-2</v>
      </c>
      <c r="I107" s="2">
        <v>1.88260001217983E-2</v>
      </c>
      <c r="J107" s="2">
        <v>2.257456891358153E-2</v>
      </c>
      <c r="K107" s="2">
        <v>2.401771485836059E-2</v>
      </c>
      <c r="L107" s="2">
        <v>1.6883471201542391E-2</v>
      </c>
      <c r="M107" s="2">
        <v>2.187234847958772E-2</v>
      </c>
      <c r="N107" s="2">
        <v>1.704381351392608E-2</v>
      </c>
      <c r="O107" s="2">
        <v>2.1703323691631492E-2</v>
      </c>
      <c r="P107" s="2">
        <v>1.686007217549363E-2</v>
      </c>
      <c r="Q107" s="2">
        <v>2.4190897385577462E-2</v>
      </c>
      <c r="R107" s="2">
        <v>2.2781992931343111E-2</v>
      </c>
      <c r="S107" s="2">
        <v>2.930963263531032E-2</v>
      </c>
      <c r="T107" s="2">
        <v>2.582209226089098E-2</v>
      </c>
      <c r="U107" s="2">
        <v>3.8086191983352467E-2</v>
      </c>
      <c r="V107" s="2">
        <v>3.7915649791490161E-2</v>
      </c>
      <c r="X107" s="1" t="s">
        <v>21</v>
      </c>
      <c r="Y107" s="2">
        <v>1317.43</v>
      </c>
      <c r="Z107" s="2">
        <v>1279.73</v>
      </c>
      <c r="AA107" s="2">
        <v>1333.85</v>
      </c>
      <c r="AB107" s="2">
        <v>1209.53</v>
      </c>
      <c r="AC107" s="2">
        <v>975.45</v>
      </c>
      <c r="AD107" s="2">
        <v>1240.22</v>
      </c>
      <c r="AE107" s="2">
        <v>1287.44</v>
      </c>
      <c r="AF107" s="2">
        <v>1219.52</v>
      </c>
      <c r="AG107" s="2">
        <v>1431.64</v>
      </c>
      <c r="AH107" s="2">
        <v>1180.48</v>
      </c>
      <c r="AI107" s="2">
        <v>1367.32</v>
      </c>
      <c r="AJ107" s="2">
        <v>1177.75</v>
      </c>
      <c r="AK107" s="2">
        <v>1296.29</v>
      </c>
      <c r="AL107" s="2">
        <v>1127.1400000000001</v>
      </c>
      <c r="AM107" s="2">
        <v>1360.84</v>
      </c>
      <c r="AN107" s="2">
        <v>1209.74</v>
      </c>
      <c r="AO107" s="2">
        <v>1195.25</v>
      </c>
      <c r="AP107" s="2">
        <v>738.92</v>
      </c>
      <c r="AQ107" s="2">
        <v>1132.1099999999999</v>
      </c>
      <c r="AR107" s="2">
        <v>732.9</v>
      </c>
      <c r="AU107" s="1" t="s">
        <v>21</v>
      </c>
      <c r="AV107" s="2">
        <v>11856.88</v>
      </c>
      <c r="AW107" s="2">
        <v>11517.53</v>
      </c>
      <c r="AX107" s="2">
        <v>12004.65</v>
      </c>
      <c r="AY107" s="2">
        <v>10885.77</v>
      </c>
      <c r="AZ107" s="2">
        <v>8779.0499999999993</v>
      </c>
      <c r="BA107" s="2">
        <v>11162.03</v>
      </c>
      <c r="BB107" s="2">
        <v>11586.96</v>
      </c>
      <c r="BC107" s="2">
        <v>10975.72</v>
      </c>
      <c r="BD107" s="2">
        <v>12884.76</v>
      </c>
      <c r="BE107" s="2">
        <v>10624.32</v>
      </c>
      <c r="BF107" s="2">
        <v>12305.85</v>
      </c>
      <c r="BG107" s="2">
        <v>10599.75</v>
      </c>
      <c r="BH107" s="2">
        <v>11666.62</v>
      </c>
      <c r="BI107" s="2">
        <v>10144.26</v>
      </c>
      <c r="BJ107" s="2">
        <v>12247.56</v>
      </c>
      <c r="BK107" s="2">
        <v>10887.66</v>
      </c>
      <c r="BL107" s="2">
        <v>10757.25</v>
      </c>
      <c r="BM107" s="2">
        <v>6650.28</v>
      </c>
      <c r="BN107" s="2">
        <v>10188.99</v>
      </c>
      <c r="BO107" s="2">
        <v>6596.1</v>
      </c>
      <c r="BR107" s="1" t="s">
        <v>21</v>
      </c>
      <c r="BS107" s="2">
        <v>2.46</v>
      </c>
      <c r="BT107" s="2">
        <v>2.46</v>
      </c>
      <c r="BU107" s="2">
        <v>2.46</v>
      </c>
      <c r="BV107" s="2">
        <v>2.46</v>
      </c>
      <c r="BW107" s="2">
        <v>0.94</v>
      </c>
      <c r="BX107" s="2">
        <v>0.94</v>
      </c>
      <c r="BY107" s="2">
        <v>3.02</v>
      </c>
      <c r="BZ107" s="2">
        <v>3.02</v>
      </c>
      <c r="CA107" s="2">
        <v>3.78</v>
      </c>
      <c r="CB107" s="2">
        <v>3.78</v>
      </c>
      <c r="CC107" s="2">
        <v>6.8</v>
      </c>
      <c r="CD107" s="2">
        <v>6.8</v>
      </c>
      <c r="CE107" s="2">
        <v>5.48</v>
      </c>
      <c r="CF107" s="2">
        <v>5.48</v>
      </c>
      <c r="CG107" s="2">
        <v>7.18</v>
      </c>
      <c r="CH107" s="2">
        <v>7.18</v>
      </c>
      <c r="CI107" s="2">
        <v>6.43</v>
      </c>
      <c r="CJ107" s="2">
        <v>6.43</v>
      </c>
      <c r="CK107" s="2">
        <v>8.5</v>
      </c>
      <c r="CL107" s="2">
        <v>8.5</v>
      </c>
    </row>
    <row r="108" spans="2:90" x14ac:dyDescent="0.3">
      <c r="B108" s="1" t="s">
        <v>22</v>
      </c>
      <c r="C108" s="2">
        <v>2.2785494487527161E-2</v>
      </c>
      <c r="D108" s="2">
        <v>9.6515282914919689E-3</v>
      </c>
      <c r="E108" s="2">
        <v>2.1472375698711819E-2</v>
      </c>
      <c r="F108" s="2">
        <v>1.135526077467554E-2</v>
      </c>
      <c r="G108" s="2">
        <v>2.116346239650347E-2</v>
      </c>
      <c r="H108" s="2">
        <v>1.491848472775209E-2</v>
      </c>
      <c r="I108" s="2">
        <v>3.7155818913808633E-2</v>
      </c>
      <c r="J108" s="2">
        <v>4.1119658469235591E-2</v>
      </c>
      <c r="K108" s="2">
        <v>4.2784077919867061E-2</v>
      </c>
      <c r="L108" s="2">
        <v>1.9855937897157089E-2</v>
      </c>
      <c r="M108" s="2">
        <v>5.1078067912790043E-2</v>
      </c>
      <c r="N108" s="2">
        <v>2.1605888228858589E-2</v>
      </c>
      <c r="O108" s="2">
        <v>4.8288188843707718E-2</v>
      </c>
      <c r="P108" s="2">
        <v>2.7685045180010019E-2</v>
      </c>
      <c r="Q108" s="2">
        <v>4.4499875244952428E-2</v>
      </c>
      <c r="R108" s="2">
        <v>2.5860768001962142E-2</v>
      </c>
      <c r="S108" s="2">
        <v>5.3214282118662269E-2</v>
      </c>
      <c r="T108" s="2">
        <v>2.8017862837616168E-2</v>
      </c>
      <c r="U108" s="2">
        <v>5.8961526463940692E-2</v>
      </c>
      <c r="V108" s="2">
        <v>2.3658461978587859E-2</v>
      </c>
      <c r="X108" s="1" t="s">
        <v>22</v>
      </c>
      <c r="Y108" s="2">
        <v>1150.32</v>
      </c>
      <c r="Z108" s="2">
        <v>674.42</v>
      </c>
      <c r="AA108" s="2">
        <v>1317.58</v>
      </c>
      <c r="AB108" s="2">
        <v>811.42</v>
      </c>
      <c r="AC108" s="2">
        <v>825.46</v>
      </c>
      <c r="AD108" s="2">
        <v>970.22</v>
      </c>
      <c r="AE108" s="2">
        <v>1370.47</v>
      </c>
      <c r="AF108" s="2">
        <v>868.58</v>
      </c>
      <c r="AG108" s="2">
        <v>1242.03</v>
      </c>
      <c r="AH108" s="2">
        <v>767.99</v>
      </c>
      <c r="AI108" s="2">
        <v>1301.1300000000001</v>
      </c>
      <c r="AJ108" s="2">
        <v>769.1</v>
      </c>
      <c r="AK108" s="2">
        <v>1159.4100000000001</v>
      </c>
      <c r="AL108" s="2">
        <v>870.08</v>
      </c>
      <c r="AM108" s="2">
        <v>1002</v>
      </c>
      <c r="AN108" s="2">
        <v>856</v>
      </c>
      <c r="AO108" s="2">
        <v>945.48</v>
      </c>
      <c r="AP108" s="2">
        <v>666.77</v>
      </c>
      <c r="AQ108" s="2">
        <v>1066.53</v>
      </c>
      <c r="AR108" s="2">
        <v>634.1</v>
      </c>
      <c r="AU108" s="1" t="s">
        <v>22</v>
      </c>
      <c r="AV108" s="2">
        <v>5960.24</v>
      </c>
      <c r="AW108" s="2">
        <v>3421.12</v>
      </c>
      <c r="AX108" s="2">
        <v>6388.53</v>
      </c>
      <c r="AY108" s="2">
        <v>3835.51</v>
      </c>
      <c r="AZ108" s="2">
        <v>3877.24</v>
      </c>
      <c r="BA108" s="2">
        <v>4570.2700000000004</v>
      </c>
      <c r="BB108" s="2">
        <v>6776.73</v>
      </c>
      <c r="BC108" s="2">
        <v>4015.72</v>
      </c>
      <c r="BD108" s="2">
        <v>6610.29</v>
      </c>
      <c r="BE108" s="2">
        <v>3935.41</v>
      </c>
      <c r="BF108" s="2">
        <v>6375.82</v>
      </c>
      <c r="BG108" s="2">
        <v>3995</v>
      </c>
      <c r="BH108" s="2">
        <v>5316.09</v>
      </c>
      <c r="BI108" s="2">
        <v>4535.32</v>
      </c>
      <c r="BJ108" s="2">
        <v>5104.7299999999996</v>
      </c>
      <c r="BK108" s="2">
        <v>4473.6899999999996</v>
      </c>
      <c r="BL108" s="2">
        <v>4990.96</v>
      </c>
      <c r="BM108" s="2">
        <v>3415.32</v>
      </c>
      <c r="BN108" s="2">
        <v>5827.53</v>
      </c>
      <c r="BO108" s="2">
        <v>3265.08</v>
      </c>
      <c r="BR108" s="1" t="s">
        <v>22</v>
      </c>
      <c r="BS108" s="2">
        <v>6.34</v>
      </c>
      <c r="BT108" s="2">
        <v>3.29</v>
      </c>
      <c r="BU108" s="2">
        <v>5.18</v>
      </c>
      <c r="BV108" s="2">
        <v>2.83</v>
      </c>
      <c r="BW108" s="2">
        <v>2.09</v>
      </c>
      <c r="BX108" s="2">
        <v>1.43</v>
      </c>
      <c r="BY108" s="2">
        <v>7.91</v>
      </c>
      <c r="BZ108" s="2">
        <v>10.08</v>
      </c>
      <c r="CA108" s="2">
        <v>10.68</v>
      </c>
      <c r="CB108" s="2">
        <v>8.93</v>
      </c>
      <c r="CC108" s="2">
        <v>22.68</v>
      </c>
      <c r="CD108" s="2">
        <v>17.05</v>
      </c>
      <c r="CE108" s="2">
        <v>18.27</v>
      </c>
      <c r="CF108" s="2">
        <v>16.27</v>
      </c>
      <c r="CG108" s="2">
        <v>23.94</v>
      </c>
      <c r="CH108" s="2">
        <v>15.74</v>
      </c>
      <c r="CI108" s="2">
        <v>19.97</v>
      </c>
      <c r="CJ108" s="2">
        <v>11.91</v>
      </c>
      <c r="CK108" s="2">
        <v>20.11</v>
      </c>
      <c r="CL108" s="2">
        <v>10.08</v>
      </c>
    </row>
    <row r="109" spans="2:90" x14ac:dyDescent="0.3">
      <c r="B109" s="1" t="s">
        <v>23</v>
      </c>
      <c r="C109" s="2">
        <v>0.35814922764066681</v>
      </c>
      <c r="D109" s="2">
        <v>3.019875587095483E-2</v>
      </c>
      <c r="E109" s="2">
        <v>0.38817435581147208</v>
      </c>
      <c r="F109" s="2">
        <v>2.8416844951912299E-2</v>
      </c>
      <c r="G109" s="2">
        <v>0.4498340781466571</v>
      </c>
      <c r="H109" s="2">
        <v>0.17709737712545359</v>
      </c>
      <c r="I109" s="2">
        <v>0.50723241610408321</v>
      </c>
      <c r="J109" s="2">
        <v>0.18324038588024091</v>
      </c>
      <c r="K109" s="2">
        <v>0.28781236019903411</v>
      </c>
      <c r="L109" s="2">
        <v>0.11462737253875541</v>
      </c>
      <c r="M109" s="2">
        <v>0.27869490414833742</v>
      </c>
      <c r="N109" s="2">
        <v>0.11793378183060629</v>
      </c>
      <c r="O109" s="2">
        <v>0.27249705772398969</v>
      </c>
      <c r="P109" s="2">
        <v>0.12410245656367699</v>
      </c>
      <c r="Q109" s="2">
        <v>0.2802389196189049</v>
      </c>
      <c r="R109" s="2">
        <v>0.14912697102387079</v>
      </c>
      <c r="S109" s="2">
        <v>0.24381640165102211</v>
      </c>
      <c r="T109" s="2">
        <v>0.17176764326055849</v>
      </c>
      <c r="U109" s="2">
        <v>0.1844203927607202</v>
      </c>
      <c r="V109" s="2">
        <v>0.1787329203481399</v>
      </c>
      <c r="X109" s="1" t="s">
        <v>23</v>
      </c>
      <c r="Y109" s="2">
        <v>4484.41</v>
      </c>
      <c r="Z109" s="2">
        <v>1644.5</v>
      </c>
      <c r="AA109" s="2">
        <v>4818.1400000000003</v>
      </c>
      <c r="AB109" s="2">
        <v>1816.23</v>
      </c>
      <c r="AC109" s="2">
        <v>3566.31</v>
      </c>
      <c r="AD109" s="2">
        <v>4853.1899999999996</v>
      </c>
      <c r="AE109" s="2">
        <v>4502.58</v>
      </c>
      <c r="AF109" s="2">
        <v>3715.47</v>
      </c>
      <c r="AG109" s="2">
        <v>6387.32</v>
      </c>
      <c r="AH109" s="2">
        <v>2951.79</v>
      </c>
      <c r="AI109" s="2">
        <v>6437.35</v>
      </c>
      <c r="AJ109" s="2">
        <v>2940.11</v>
      </c>
      <c r="AK109" s="2">
        <v>5901.94</v>
      </c>
      <c r="AL109" s="2">
        <v>3149.34</v>
      </c>
      <c r="AM109" s="2">
        <v>5728.56</v>
      </c>
      <c r="AN109" s="2">
        <v>2969.1</v>
      </c>
      <c r="AO109" s="2">
        <v>3695.56</v>
      </c>
      <c r="AP109" s="2">
        <v>2051.69</v>
      </c>
      <c r="AQ109" s="2">
        <v>2146.2199999999998</v>
      </c>
      <c r="AR109" s="2">
        <v>1822.19</v>
      </c>
      <c r="AU109" s="1" t="s">
        <v>23</v>
      </c>
      <c r="AV109" s="2">
        <v>17172.04</v>
      </c>
      <c r="AW109" s="2">
        <v>8342.4699999999993</v>
      </c>
      <c r="AX109" s="2">
        <v>19071.18</v>
      </c>
      <c r="AY109" s="2">
        <v>8574.01</v>
      </c>
      <c r="AZ109" s="2">
        <v>12488.01</v>
      </c>
      <c r="BA109" s="2">
        <v>13268.96</v>
      </c>
      <c r="BB109" s="2">
        <v>18749.3</v>
      </c>
      <c r="BC109" s="2">
        <v>12555.93</v>
      </c>
      <c r="BD109" s="2">
        <v>16348.98</v>
      </c>
      <c r="BE109" s="2">
        <v>11736.56</v>
      </c>
      <c r="BF109" s="2">
        <v>16475.03</v>
      </c>
      <c r="BG109" s="2">
        <v>11547.2</v>
      </c>
      <c r="BH109" s="2">
        <v>14164.49</v>
      </c>
      <c r="BI109" s="2">
        <v>11835.77</v>
      </c>
      <c r="BJ109" s="2">
        <v>13424.12</v>
      </c>
      <c r="BK109" s="2">
        <v>12135.79</v>
      </c>
      <c r="BL109" s="2">
        <v>13394.48</v>
      </c>
      <c r="BM109" s="2">
        <v>9951.9500000000007</v>
      </c>
      <c r="BN109" s="2">
        <v>10734.08</v>
      </c>
      <c r="BO109" s="2">
        <v>9395.52</v>
      </c>
      <c r="BR109" s="1" t="s">
        <v>23</v>
      </c>
      <c r="BS109" s="2">
        <v>24.57</v>
      </c>
      <c r="BT109" s="2">
        <v>4.12</v>
      </c>
      <c r="BU109" s="2">
        <v>24.57</v>
      </c>
      <c r="BV109" s="2">
        <v>3.13</v>
      </c>
      <c r="BW109" s="2">
        <v>9.4499999999999993</v>
      </c>
      <c r="BX109" s="2">
        <v>3.15</v>
      </c>
      <c r="BY109" s="2">
        <v>30.24</v>
      </c>
      <c r="BZ109" s="2">
        <v>10.08</v>
      </c>
      <c r="CA109" s="2">
        <v>12.6</v>
      </c>
      <c r="CB109" s="2">
        <v>12.6</v>
      </c>
      <c r="CC109" s="2">
        <v>22.68</v>
      </c>
      <c r="CD109" s="2">
        <v>22.68</v>
      </c>
      <c r="CE109" s="2">
        <v>18.27</v>
      </c>
      <c r="CF109" s="2">
        <v>18.27</v>
      </c>
      <c r="CG109" s="2">
        <v>23.94</v>
      </c>
      <c r="CH109" s="2">
        <v>23.94</v>
      </c>
      <c r="CI109" s="2">
        <v>21.42</v>
      </c>
      <c r="CJ109" s="2">
        <v>21.42</v>
      </c>
      <c r="CK109" s="2">
        <v>28.35</v>
      </c>
      <c r="CL109" s="2">
        <v>25.27</v>
      </c>
    </row>
    <row r="110" spans="2:90" x14ac:dyDescent="0.3">
      <c r="B110" s="1" t="s">
        <v>24</v>
      </c>
      <c r="C110" s="2">
        <v>4.2570136971952867E-2</v>
      </c>
      <c r="D110" s="2">
        <v>1.3708954182141891E-2</v>
      </c>
      <c r="E110" s="2">
        <v>4.5792922619375287E-2</v>
      </c>
      <c r="F110" s="2">
        <v>1.011159789608466E-2</v>
      </c>
      <c r="G110" s="2">
        <v>5.6948848305247421E-2</v>
      </c>
      <c r="H110" s="2">
        <v>8.0664957123260939E-2</v>
      </c>
      <c r="I110" s="2">
        <v>6.0290067055100517E-2</v>
      </c>
      <c r="J110" s="2">
        <v>5.8886531886411388E-2</v>
      </c>
      <c r="K110" s="2">
        <v>6.678867789934613E-2</v>
      </c>
      <c r="L110" s="2">
        <v>3.3923409633124728E-2</v>
      </c>
      <c r="M110" s="2">
        <v>6.4673923751195461E-2</v>
      </c>
      <c r="N110" s="2">
        <v>3.1978475799458977E-2</v>
      </c>
      <c r="O110" s="2">
        <v>8.7921950363764031E-2</v>
      </c>
      <c r="P110" s="2">
        <v>3.3505377118184652E-2</v>
      </c>
      <c r="Q110" s="2">
        <v>7.0333535658138283E-2</v>
      </c>
      <c r="R110" s="2">
        <v>3.7481994806808153E-2</v>
      </c>
      <c r="S110" s="2">
        <v>4.8487438797108692E-2</v>
      </c>
      <c r="T110" s="2">
        <v>4.4138510311168909E-2</v>
      </c>
      <c r="U110" s="2">
        <v>4.8237665121896582E-2</v>
      </c>
      <c r="V110" s="2">
        <v>5.1219964129705232E-2</v>
      </c>
      <c r="X110" s="1" t="s">
        <v>24</v>
      </c>
      <c r="Y110" s="2">
        <v>1512.78</v>
      </c>
      <c r="Z110" s="2">
        <v>580.24</v>
      </c>
      <c r="AA110" s="2">
        <v>1682.09</v>
      </c>
      <c r="AB110" s="2">
        <v>713.07</v>
      </c>
      <c r="AC110" s="2">
        <v>1324.11</v>
      </c>
      <c r="AD110" s="2">
        <v>1158.3800000000001</v>
      </c>
      <c r="AE110" s="2">
        <v>1508.24</v>
      </c>
      <c r="AF110" s="2">
        <v>1223</v>
      </c>
      <c r="AG110" s="2">
        <v>1424.44</v>
      </c>
      <c r="AH110" s="2">
        <v>884.99</v>
      </c>
      <c r="AI110" s="2">
        <v>1418.31</v>
      </c>
      <c r="AJ110" s="2">
        <v>806.16</v>
      </c>
      <c r="AK110" s="2">
        <v>924.62</v>
      </c>
      <c r="AL110" s="2">
        <v>862.37</v>
      </c>
      <c r="AM110" s="2">
        <v>1373.38</v>
      </c>
      <c r="AN110" s="2">
        <v>742.13</v>
      </c>
      <c r="AO110" s="2">
        <v>754.47</v>
      </c>
      <c r="AP110" s="2">
        <v>666.03</v>
      </c>
      <c r="AQ110" s="2">
        <v>673.62</v>
      </c>
      <c r="AR110" s="2">
        <v>635.16999999999996</v>
      </c>
      <c r="AU110" s="1" t="s">
        <v>24</v>
      </c>
      <c r="AV110" s="2">
        <v>4329.91</v>
      </c>
      <c r="AW110" s="2">
        <v>2931.93</v>
      </c>
      <c r="AX110" s="2">
        <v>5099.93</v>
      </c>
      <c r="AY110" s="2">
        <v>3362.43</v>
      </c>
      <c r="AZ110" s="2">
        <v>3477.85</v>
      </c>
      <c r="BA110" s="2">
        <v>5255.46</v>
      </c>
      <c r="BB110" s="2">
        <v>4700.29</v>
      </c>
      <c r="BC110" s="2">
        <v>4334.8599999999997</v>
      </c>
      <c r="BD110" s="2">
        <v>4706.96</v>
      </c>
      <c r="BE110" s="2">
        <v>4089.84</v>
      </c>
      <c r="BF110" s="2">
        <v>4694.7299999999996</v>
      </c>
      <c r="BG110" s="2">
        <v>3910.64</v>
      </c>
      <c r="BH110" s="2">
        <v>4988.2299999999996</v>
      </c>
      <c r="BI110" s="2">
        <v>4004.42</v>
      </c>
      <c r="BJ110" s="2">
        <v>4499.2</v>
      </c>
      <c r="BK110" s="2">
        <v>3850.96</v>
      </c>
      <c r="BL110" s="2">
        <v>3907.66</v>
      </c>
      <c r="BM110" s="2">
        <v>3404.79</v>
      </c>
      <c r="BN110" s="2">
        <v>3469.97</v>
      </c>
      <c r="BO110" s="2">
        <v>3252.87</v>
      </c>
      <c r="BR110" s="1" t="s">
        <v>24</v>
      </c>
      <c r="BS110" s="2">
        <v>8.19</v>
      </c>
      <c r="BT110" s="2">
        <v>5.24</v>
      </c>
      <c r="BU110" s="2">
        <v>8.19</v>
      </c>
      <c r="BV110" s="2">
        <v>2.76</v>
      </c>
      <c r="BW110" s="2">
        <v>3.15</v>
      </c>
      <c r="BX110" s="2">
        <v>6.3</v>
      </c>
      <c r="BY110" s="2">
        <v>10.08</v>
      </c>
      <c r="BZ110" s="2">
        <v>10.08</v>
      </c>
      <c r="CA110" s="2">
        <v>12.6</v>
      </c>
      <c r="CB110" s="2">
        <v>12.6</v>
      </c>
      <c r="CC110" s="2">
        <v>22.68</v>
      </c>
      <c r="CD110" s="2">
        <v>22.68</v>
      </c>
      <c r="CE110" s="2">
        <v>36.54</v>
      </c>
      <c r="CF110" s="2">
        <v>18.27</v>
      </c>
      <c r="CG110" s="2">
        <v>23.94</v>
      </c>
      <c r="CH110" s="2">
        <v>23.18</v>
      </c>
      <c r="CI110" s="2">
        <v>19.809999999999999</v>
      </c>
      <c r="CJ110" s="2">
        <v>17.440000000000001</v>
      </c>
      <c r="CK110" s="2">
        <v>22.71</v>
      </c>
      <c r="CL110" s="2">
        <v>20.49</v>
      </c>
    </row>
    <row r="111" spans="2:90" x14ac:dyDescent="0.3">
      <c r="B111" s="1" t="s">
        <v>25</v>
      </c>
      <c r="C111" s="2">
        <v>0.13786690740757301</v>
      </c>
      <c r="D111" s="2">
        <v>0.28571149894864772</v>
      </c>
      <c r="E111" s="2">
        <v>0.23190217525420759</v>
      </c>
      <c r="F111" s="2">
        <v>0.19632311819293441</v>
      </c>
      <c r="G111" s="2">
        <v>0.21103179703414279</v>
      </c>
      <c r="H111" s="2">
        <v>0.1927327470259026</v>
      </c>
      <c r="I111" s="2">
        <v>0.1387244122681705</v>
      </c>
      <c r="J111" s="2">
        <v>0.27833651878717669</v>
      </c>
      <c r="K111" s="2">
        <v>0.28243663134821212</v>
      </c>
      <c r="L111" s="2">
        <v>0.22082474794128551</v>
      </c>
      <c r="M111" s="2">
        <v>0.26264665507635943</v>
      </c>
      <c r="N111" s="2">
        <v>0.19999271728225451</v>
      </c>
      <c r="O111" s="2">
        <v>0.23637956515750261</v>
      </c>
      <c r="P111" s="2">
        <v>0.1864105273483706</v>
      </c>
      <c r="Q111" s="2">
        <v>0.21225025457417299</v>
      </c>
      <c r="R111" s="2">
        <v>0.19073027596253381</v>
      </c>
      <c r="S111" s="2">
        <v>0.23238032445037271</v>
      </c>
      <c r="T111" s="2">
        <v>0.202394463416468</v>
      </c>
      <c r="U111" s="2">
        <v>0.24224542000001539</v>
      </c>
      <c r="V111" s="2">
        <v>0.2297518347765809</v>
      </c>
      <c r="X111" s="1" t="s">
        <v>25</v>
      </c>
      <c r="Y111" s="2">
        <v>5111.75</v>
      </c>
      <c r="Z111" s="2">
        <v>4548.6899999999996</v>
      </c>
      <c r="AA111" s="2">
        <v>5362.71</v>
      </c>
      <c r="AB111" s="2">
        <v>6574.39</v>
      </c>
      <c r="AC111" s="2">
        <v>5157.3900000000003</v>
      </c>
      <c r="AD111" s="2">
        <v>5725.14</v>
      </c>
      <c r="AE111" s="2">
        <v>5147.38</v>
      </c>
      <c r="AF111" s="2">
        <v>6012.23</v>
      </c>
      <c r="AG111" s="2">
        <v>6257.35</v>
      </c>
      <c r="AH111" s="2">
        <v>6215.71</v>
      </c>
      <c r="AI111" s="2">
        <v>6037.17</v>
      </c>
      <c r="AJ111" s="2">
        <v>5574.07</v>
      </c>
      <c r="AK111" s="2">
        <v>5243.82</v>
      </c>
      <c r="AL111" s="2">
        <v>5199.99</v>
      </c>
      <c r="AM111" s="2">
        <v>4409.92</v>
      </c>
      <c r="AN111" s="2">
        <v>4196.9799999999996</v>
      </c>
      <c r="AO111" s="2">
        <v>3855.25</v>
      </c>
      <c r="AP111" s="2">
        <v>3977.02</v>
      </c>
      <c r="AQ111" s="2">
        <v>3744.26</v>
      </c>
      <c r="AR111" s="2">
        <v>4280.49</v>
      </c>
      <c r="AU111" s="1" t="s">
        <v>25</v>
      </c>
      <c r="AV111" s="2">
        <v>15354.14</v>
      </c>
      <c r="AW111" s="2">
        <v>23169.48</v>
      </c>
      <c r="AX111" s="2">
        <v>25789.81</v>
      </c>
      <c r="AY111" s="2">
        <v>31607.06</v>
      </c>
      <c r="AZ111" s="2">
        <v>15208.63</v>
      </c>
      <c r="BA111" s="2">
        <v>17639.419999999998</v>
      </c>
      <c r="BB111" s="2">
        <v>24447.97</v>
      </c>
      <c r="BC111" s="2">
        <v>20582.259999999998</v>
      </c>
      <c r="BD111" s="2">
        <v>24317.83</v>
      </c>
      <c r="BE111" s="2">
        <v>23831.03</v>
      </c>
      <c r="BF111" s="2">
        <v>24165.85</v>
      </c>
      <c r="BG111" s="2">
        <v>25411.13</v>
      </c>
      <c r="BH111" s="2">
        <v>23048.59</v>
      </c>
      <c r="BI111" s="2">
        <v>25352.959999999999</v>
      </c>
      <c r="BJ111" s="2">
        <v>21911.68</v>
      </c>
      <c r="BK111" s="2">
        <v>21730.61</v>
      </c>
      <c r="BL111" s="2">
        <v>19725.25</v>
      </c>
      <c r="BM111" s="2">
        <v>20294.53</v>
      </c>
      <c r="BN111" s="2">
        <v>19185.89</v>
      </c>
      <c r="BO111" s="2">
        <v>22220.71</v>
      </c>
      <c r="BR111" s="1" t="s">
        <v>25</v>
      </c>
      <c r="BS111" s="2">
        <v>8.19</v>
      </c>
      <c r="BT111" s="2">
        <v>14.75</v>
      </c>
      <c r="BU111" s="2">
        <v>13.19</v>
      </c>
      <c r="BV111" s="2">
        <v>6.14</v>
      </c>
      <c r="BW111" s="2">
        <v>3.15</v>
      </c>
      <c r="BX111" s="2">
        <v>3.15</v>
      </c>
      <c r="BY111" s="2">
        <v>7.11</v>
      </c>
      <c r="BZ111" s="2">
        <v>10.08</v>
      </c>
      <c r="CA111" s="2">
        <v>12.6</v>
      </c>
      <c r="CB111" s="2">
        <v>12.6</v>
      </c>
      <c r="CC111" s="2">
        <v>22.68</v>
      </c>
      <c r="CD111" s="2">
        <v>22.68</v>
      </c>
      <c r="CE111" s="2">
        <v>18.27</v>
      </c>
      <c r="CF111" s="2">
        <v>18.27</v>
      </c>
      <c r="CG111" s="2">
        <v>23.94</v>
      </c>
      <c r="CH111" s="2">
        <v>22.48</v>
      </c>
      <c r="CI111" s="2">
        <v>19.100000000000001</v>
      </c>
      <c r="CJ111" s="2">
        <v>14.72</v>
      </c>
      <c r="CK111" s="2">
        <v>21.68</v>
      </c>
      <c r="CL111" s="2">
        <v>14.73</v>
      </c>
    </row>
    <row r="112" spans="2:90" x14ac:dyDescent="0.3">
      <c r="B112" s="1" t="s">
        <v>26</v>
      </c>
      <c r="C112" s="2">
        <v>3.8022075438679408E-2</v>
      </c>
      <c r="D112" s="2">
        <v>6.8925164420296336E-2</v>
      </c>
      <c r="E112" s="2">
        <v>5.0709596634621122E-2</v>
      </c>
      <c r="F112" s="2">
        <v>7.5566001748736816E-2</v>
      </c>
      <c r="G112" s="2">
        <v>5.2077762748120419E-2</v>
      </c>
      <c r="H112" s="2">
        <v>4.8099759612170737E-2</v>
      </c>
      <c r="I112" s="2">
        <v>3.5979566500771512E-2</v>
      </c>
      <c r="J112" s="2">
        <v>5.3545581467843863E-2</v>
      </c>
      <c r="K112" s="2">
        <v>3.6535995328017268E-2</v>
      </c>
      <c r="L112" s="2">
        <v>5.5029579561738443E-2</v>
      </c>
      <c r="M112" s="2">
        <v>4.8531731638322799E-2</v>
      </c>
      <c r="N112" s="2">
        <v>5.7434760994727531E-2</v>
      </c>
      <c r="O112" s="2">
        <v>5.0132185633556578E-2</v>
      </c>
      <c r="P112" s="2">
        <v>5.7505265560817267E-2</v>
      </c>
      <c r="Q112" s="2">
        <v>5.1416571521580252E-2</v>
      </c>
      <c r="R112" s="2">
        <v>7.5684537451530642E-2</v>
      </c>
      <c r="S112" s="2">
        <v>5.7803336950617998E-2</v>
      </c>
      <c r="T112" s="2">
        <v>0.11484996034459551</v>
      </c>
      <c r="U112" s="2">
        <v>5.7444697724665691E-2</v>
      </c>
      <c r="V112" s="2">
        <v>5.7256824708691402E-2</v>
      </c>
      <c r="X112" s="1" t="s">
        <v>26</v>
      </c>
      <c r="Y112" s="2">
        <v>1486.98</v>
      </c>
      <c r="Z112" s="2">
        <v>1105.48</v>
      </c>
      <c r="AA112" s="2">
        <v>1967.19</v>
      </c>
      <c r="AB112" s="2">
        <v>1998.51</v>
      </c>
      <c r="AC112" s="2">
        <v>1331.13</v>
      </c>
      <c r="AD112" s="2">
        <v>1533.31</v>
      </c>
      <c r="AE112" s="2">
        <v>1275.55</v>
      </c>
      <c r="AF112" s="2">
        <v>1265.81</v>
      </c>
      <c r="AG112" s="2">
        <v>1168.03</v>
      </c>
      <c r="AH112" s="2">
        <v>1673.17</v>
      </c>
      <c r="AI112" s="2">
        <v>1186.1500000000001</v>
      </c>
      <c r="AJ112" s="2">
        <v>1727.78</v>
      </c>
      <c r="AK112" s="2">
        <v>1200.04</v>
      </c>
      <c r="AL112" s="2">
        <v>1750.74</v>
      </c>
      <c r="AM112" s="2">
        <v>1158.78</v>
      </c>
      <c r="AN112" s="2">
        <v>1703.57</v>
      </c>
      <c r="AO112" s="2">
        <v>1088.8599999999999</v>
      </c>
      <c r="AP112" s="2">
        <v>1708.9</v>
      </c>
      <c r="AQ112" s="2">
        <v>1005.89</v>
      </c>
      <c r="AR112" s="2">
        <v>1033.45</v>
      </c>
      <c r="AU112" s="1" t="s">
        <v>26</v>
      </c>
      <c r="AV112" s="2">
        <v>3762.71</v>
      </c>
      <c r="AW112" s="2">
        <v>4490.93</v>
      </c>
      <c r="AX112" s="2">
        <v>5973.23</v>
      </c>
      <c r="AY112" s="2">
        <v>6232.93</v>
      </c>
      <c r="AZ112" s="2">
        <v>3201.77</v>
      </c>
      <c r="BA112" s="2">
        <v>3924.85</v>
      </c>
      <c r="BB112" s="2">
        <v>4812.51</v>
      </c>
      <c r="BC112" s="2">
        <v>3245.64</v>
      </c>
      <c r="BD112" s="2">
        <v>4751.21</v>
      </c>
      <c r="BE112" s="2">
        <v>5350.73</v>
      </c>
      <c r="BF112" s="2">
        <v>5056.03</v>
      </c>
      <c r="BG112" s="2">
        <v>5714.62</v>
      </c>
      <c r="BH112" s="2">
        <v>5062.8900000000003</v>
      </c>
      <c r="BI112" s="2">
        <v>5811.86</v>
      </c>
      <c r="BJ112" s="2">
        <v>4969.51</v>
      </c>
      <c r="BK112" s="2">
        <v>5590.32</v>
      </c>
      <c r="BL112" s="2">
        <v>4534.6000000000004</v>
      </c>
      <c r="BM112" s="2">
        <v>5824.71</v>
      </c>
      <c r="BN112" s="2">
        <v>4176.09</v>
      </c>
      <c r="BO112" s="2">
        <v>4291.8100000000004</v>
      </c>
      <c r="BR112" s="1" t="s">
        <v>26</v>
      </c>
      <c r="BS112" s="2">
        <v>8.19</v>
      </c>
      <c r="BT112" s="2">
        <v>15.75</v>
      </c>
      <c r="BU112" s="2">
        <v>8.19</v>
      </c>
      <c r="BV112" s="2">
        <v>8.19</v>
      </c>
      <c r="BW112" s="2">
        <v>3.15</v>
      </c>
      <c r="BX112" s="2">
        <v>3.15</v>
      </c>
      <c r="BY112" s="2">
        <v>8</v>
      </c>
      <c r="BZ112" s="2">
        <v>10.08</v>
      </c>
      <c r="CA112" s="2">
        <v>9.49</v>
      </c>
      <c r="CB112" s="2">
        <v>12.6</v>
      </c>
      <c r="CC112" s="2">
        <v>22.68</v>
      </c>
      <c r="CD112" s="2">
        <v>22.68</v>
      </c>
      <c r="CE112" s="2">
        <v>18.239999999999998</v>
      </c>
      <c r="CF112" s="2">
        <v>18.27</v>
      </c>
      <c r="CG112" s="2">
        <v>23.77</v>
      </c>
      <c r="CH112" s="2">
        <v>23.94</v>
      </c>
      <c r="CI112" s="2">
        <v>18.12</v>
      </c>
      <c r="CJ112" s="2">
        <v>21.42</v>
      </c>
      <c r="CK112" s="2">
        <v>20.49</v>
      </c>
      <c r="CL112" s="2">
        <v>16.53</v>
      </c>
    </row>
    <row r="113" spans="2:90" x14ac:dyDescent="0.3">
      <c r="B113" s="1" t="s">
        <v>27</v>
      </c>
      <c r="C113" s="2">
        <v>0.34642500392790038</v>
      </c>
      <c r="D113" s="2">
        <v>0.47636311082812621</v>
      </c>
      <c r="E113" s="2">
        <v>0.23660443182310401</v>
      </c>
      <c r="F113" s="2">
        <v>0.63952452599523135</v>
      </c>
      <c r="G113" s="2">
        <v>0.17836839979944291</v>
      </c>
      <c r="H113" s="2">
        <v>0.44935758424938299</v>
      </c>
      <c r="I113" s="2">
        <v>0.18905930256532169</v>
      </c>
      <c r="J113" s="2">
        <v>0.249264950537953</v>
      </c>
      <c r="K113" s="2">
        <v>0.20208125413215119</v>
      </c>
      <c r="L113" s="2">
        <v>0.45592620660464189</v>
      </c>
      <c r="M113" s="2">
        <v>0.1871988118512376</v>
      </c>
      <c r="N113" s="2">
        <v>0.46718591589230468</v>
      </c>
      <c r="O113" s="2">
        <v>0.19710007018898709</v>
      </c>
      <c r="P113" s="2">
        <v>0.46673392598023922</v>
      </c>
      <c r="Q113" s="2">
        <v>0.2286497166618647</v>
      </c>
      <c r="R113" s="2">
        <v>0.40999103955278032</v>
      </c>
      <c r="S113" s="2">
        <v>0.2336805333818153</v>
      </c>
      <c r="T113" s="2">
        <v>0.32204626639232897</v>
      </c>
      <c r="U113" s="2">
        <v>0.26032418917458178</v>
      </c>
      <c r="V113" s="2">
        <v>0.31560560280800598</v>
      </c>
      <c r="X113" s="1" t="s">
        <v>27</v>
      </c>
      <c r="Y113" s="2">
        <v>4723.72</v>
      </c>
      <c r="Z113" s="2">
        <v>4890.1000000000004</v>
      </c>
      <c r="AA113" s="2">
        <v>4658.8500000000004</v>
      </c>
      <c r="AB113" s="2">
        <v>5809.45</v>
      </c>
      <c r="AC113" s="2">
        <v>4679.22</v>
      </c>
      <c r="AD113" s="2">
        <v>4805.13</v>
      </c>
      <c r="AE113" s="2">
        <v>5435.23</v>
      </c>
      <c r="AF113" s="2">
        <v>5855.9</v>
      </c>
      <c r="AG113" s="2">
        <v>3725.14</v>
      </c>
      <c r="AH113" s="2">
        <v>4993.8900000000003</v>
      </c>
      <c r="AI113" s="2">
        <v>4729.8500000000004</v>
      </c>
      <c r="AJ113" s="2">
        <v>4996.3599999999997</v>
      </c>
      <c r="AK113" s="2">
        <v>4876.76</v>
      </c>
      <c r="AL113" s="2">
        <v>5029.67</v>
      </c>
      <c r="AM113" s="2">
        <v>5263.09</v>
      </c>
      <c r="AN113" s="2">
        <v>4671.63</v>
      </c>
      <c r="AO113" s="2">
        <v>3853.11</v>
      </c>
      <c r="AP113" s="2">
        <v>3546.49</v>
      </c>
      <c r="AQ113" s="2">
        <v>3422.17</v>
      </c>
      <c r="AR113" s="2">
        <v>3344.35</v>
      </c>
      <c r="AU113" s="1" t="s">
        <v>27</v>
      </c>
      <c r="AV113" s="2">
        <v>16402.79</v>
      </c>
      <c r="AW113" s="2">
        <v>17038.55</v>
      </c>
      <c r="AX113" s="2">
        <v>18832.96</v>
      </c>
      <c r="AY113" s="2">
        <v>22059.78</v>
      </c>
      <c r="AZ113" s="2">
        <v>10312.68</v>
      </c>
      <c r="BA113" s="2">
        <v>16429.77</v>
      </c>
      <c r="BB113" s="2">
        <v>15396.98</v>
      </c>
      <c r="BC113" s="2">
        <v>11126.21</v>
      </c>
      <c r="BD113" s="2">
        <v>15607.5</v>
      </c>
      <c r="BE113" s="2">
        <v>19817.78</v>
      </c>
      <c r="BF113" s="2">
        <v>15371.87</v>
      </c>
      <c r="BG113" s="2">
        <v>20190.89</v>
      </c>
      <c r="BH113" s="2">
        <v>15465.94</v>
      </c>
      <c r="BI113" s="2">
        <v>20154.09</v>
      </c>
      <c r="BJ113" s="2">
        <v>15521.86</v>
      </c>
      <c r="BK113" s="2">
        <v>17997.099999999999</v>
      </c>
      <c r="BL113" s="2">
        <v>13724.63</v>
      </c>
      <c r="BM113" s="2">
        <v>15323.06</v>
      </c>
      <c r="BN113" s="2">
        <v>13189.87</v>
      </c>
      <c r="BO113" s="2">
        <v>13402.7</v>
      </c>
      <c r="BR113" s="1" t="s">
        <v>27</v>
      </c>
      <c r="BS113" s="2">
        <v>24.57</v>
      </c>
      <c r="BT113" s="2">
        <v>24.57</v>
      </c>
      <c r="BU113" s="2">
        <v>16.38</v>
      </c>
      <c r="BV113" s="2">
        <v>24.06</v>
      </c>
      <c r="BW113" s="2">
        <v>3.15</v>
      </c>
      <c r="BX113" s="2">
        <v>9.4499999999999993</v>
      </c>
      <c r="BY113" s="2">
        <v>10.08</v>
      </c>
      <c r="BZ113" s="2">
        <v>10.08</v>
      </c>
      <c r="CA113" s="2">
        <v>16.72</v>
      </c>
      <c r="CB113" s="2">
        <v>35.64</v>
      </c>
      <c r="CC113" s="2">
        <v>22.68</v>
      </c>
      <c r="CD113" s="2">
        <v>64.680000000000007</v>
      </c>
      <c r="CE113" s="2">
        <v>18.27</v>
      </c>
      <c r="CF113" s="2">
        <v>51.94</v>
      </c>
      <c r="CG113" s="2">
        <v>23.94</v>
      </c>
      <c r="CH113" s="2">
        <v>47.88</v>
      </c>
      <c r="CI113" s="2">
        <v>21.42</v>
      </c>
      <c r="CJ113" s="2">
        <v>28.64</v>
      </c>
      <c r="CK113" s="2">
        <v>28.35</v>
      </c>
      <c r="CL113" s="2">
        <v>28.35</v>
      </c>
    </row>
    <row r="114" spans="2:90" x14ac:dyDescent="0.3">
      <c r="B114" s="1" t="s">
        <v>28</v>
      </c>
      <c r="C114" s="2">
        <v>4.0109371267696307E-2</v>
      </c>
      <c r="D114" s="2">
        <v>9.7037366976326755E-2</v>
      </c>
      <c r="E114" s="2">
        <v>1.2715687988360541E-2</v>
      </c>
      <c r="F114" s="2">
        <v>2.116020207055971E-2</v>
      </c>
      <c r="G114" s="2">
        <v>1.4248928361177429E-2</v>
      </c>
      <c r="H114" s="2">
        <v>2.0665331475831539E-2</v>
      </c>
      <c r="I114" s="2">
        <v>1.27324164709456E-2</v>
      </c>
      <c r="J114" s="2">
        <v>0.113031804057557</v>
      </c>
      <c r="K114" s="2">
        <v>5.7543288315011501E-2</v>
      </c>
      <c r="L114" s="2">
        <v>8.2929274621754506E-2</v>
      </c>
      <c r="M114" s="2">
        <v>8.5303557142169653E-2</v>
      </c>
      <c r="N114" s="2">
        <v>8.682464645786328E-2</v>
      </c>
      <c r="O114" s="2">
        <v>8.5977658396860973E-2</v>
      </c>
      <c r="P114" s="2">
        <v>8.7197330073207582E-2</v>
      </c>
      <c r="Q114" s="2">
        <v>8.8420229334808947E-2</v>
      </c>
      <c r="R114" s="2">
        <v>8.8342420269171024E-2</v>
      </c>
      <c r="S114" s="2">
        <v>0.10130805001509061</v>
      </c>
      <c r="T114" s="2">
        <v>9.0963201176372965E-2</v>
      </c>
      <c r="U114" s="2">
        <v>0.11027991677082701</v>
      </c>
      <c r="V114" s="2">
        <v>0.1058587414587987</v>
      </c>
      <c r="X114" s="1" t="s">
        <v>28</v>
      </c>
      <c r="Y114" s="2">
        <v>2357.2399999999998</v>
      </c>
      <c r="Z114" s="2">
        <v>3093.02</v>
      </c>
      <c r="AA114" s="2">
        <v>2603.62</v>
      </c>
      <c r="AB114" s="2">
        <v>2759.47</v>
      </c>
      <c r="AC114" s="2">
        <v>1439.55</v>
      </c>
      <c r="AD114" s="2">
        <v>2797.3</v>
      </c>
      <c r="AE114" s="2">
        <v>1799.75</v>
      </c>
      <c r="AF114" s="2">
        <v>2814.65</v>
      </c>
      <c r="AG114" s="2">
        <v>1940.06</v>
      </c>
      <c r="AH114" s="2">
        <v>2678.69</v>
      </c>
      <c r="AI114" s="2">
        <v>2175.02</v>
      </c>
      <c r="AJ114" s="2">
        <v>2741.78</v>
      </c>
      <c r="AK114" s="2">
        <v>2121.94</v>
      </c>
      <c r="AL114" s="2">
        <v>2712.27</v>
      </c>
      <c r="AM114" s="2">
        <v>2072.65</v>
      </c>
      <c r="AN114" s="2">
        <v>2057.4299999999998</v>
      </c>
      <c r="AO114" s="2">
        <v>1697.86</v>
      </c>
      <c r="AP114" s="2">
        <v>1737.51</v>
      </c>
      <c r="AQ114" s="2">
        <v>1750.92</v>
      </c>
      <c r="AR114" s="2">
        <v>1802.73</v>
      </c>
      <c r="AU114" s="1" t="s">
        <v>28</v>
      </c>
      <c r="AV114" s="2">
        <v>9244.36</v>
      </c>
      <c r="AW114" s="2">
        <v>12052.48</v>
      </c>
      <c r="AX114" s="2">
        <v>9478.9599999999991</v>
      </c>
      <c r="AY114" s="2">
        <v>10060.11</v>
      </c>
      <c r="AZ114" s="2">
        <v>6086.73</v>
      </c>
      <c r="BA114" s="2">
        <v>10129.16</v>
      </c>
      <c r="BB114" s="2">
        <v>6522.82</v>
      </c>
      <c r="BC114" s="2">
        <v>9278.8799999999992</v>
      </c>
      <c r="BD114" s="2">
        <v>7602.34</v>
      </c>
      <c r="BE114" s="2">
        <v>9711.8700000000008</v>
      </c>
      <c r="BF114" s="2">
        <v>7277.98</v>
      </c>
      <c r="BG114" s="2">
        <v>10047.86</v>
      </c>
      <c r="BH114" s="2">
        <v>6839.09</v>
      </c>
      <c r="BI114" s="2">
        <v>9782.19</v>
      </c>
      <c r="BJ114" s="2">
        <v>6950.75</v>
      </c>
      <c r="BK114" s="2">
        <v>8018.67</v>
      </c>
      <c r="BL114" s="2">
        <v>6549.14</v>
      </c>
      <c r="BM114" s="2">
        <v>6805.59</v>
      </c>
      <c r="BN114" s="2">
        <v>6872.88</v>
      </c>
      <c r="BO114" s="2">
        <v>7071.57</v>
      </c>
      <c r="BR114" s="1" t="s">
        <v>28</v>
      </c>
      <c r="BS114" s="2">
        <v>5.66</v>
      </c>
      <c r="BT114" s="2">
        <v>8.19</v>
      </c>
      <c r="BU114" s="2">
        <v>1.61</v>
      </c>
      <c r="BV114" s="2">
        <v>1.7</v>
      </c>
      <c r="BW114" s="2">
        <v>0.82</v>
      </c>
      <c r="BX114" s="2">
        <v>0.77</v>
      </c>
      <c r="BY114" s="2">
        <v>2.04</v>
      </c>
      <c r="BZ114" s="2">
        <v>10.08</v>
      </c>
      <c r="CA114" s="2">
        <v>9.18</v>
      </c>
      <c r="CB114" s="2">
        <v>12.6</v>
      </c>
      <c r="CC114" s="2">
        <v>22.68</v>
      </c>
      <c r="CD114" s="2">
        <v>22.68</v>
      </c>
      <c r="CE114" s="2">
        <v>18.27</v>
      </c>
      <c r="CF114" s="2">
        <v>18.27</v>
      </c>
      <c r="CG114" s="2">
        <v>23.94</v>
      </c>
      <c r="CH114" s="2">
        <v>23.94</v>
      </c>
      <c r="CI114" s="2">
        <v>21.42</v>
      </c>
      <c r="CJ114" s="2">
        <v>16.59</v>
      </c>
      <c r="CK114" s="2">
        <v>23.65</v>
      </c>
      <c r="CL114" s="2">
        <v>17.57</v>
      </c>
    </row>
    <row r="117" spans="2:90" x14ac:dyDescent="0.3">
      <c r="X117" t="s">
        <v>57</v>
      </c>
      <c r="AU117" t="s">
        <v>58</v>
      </c>
      <c r="BR117" t="s">
        <v>59</v>
      </c>
    </row>
    <row r="118" spans="2:90" x14ac:dyDescent="0.3">
      <c r="X118" s="1" t="s">
        <v>16</v>
      </c>
      <c r="Y118" s="13" t="s">
        <v>17</v>
      </c>
      <c r="Z118" s="13"/>
      <c r="AA118" s="13"/>
      <c r="AB118" s="13"/>
      <c r="AC118" s="13"/>
      <c r="AD118" s="13"/>
      <c r="AE118" s="13"/>
      <c r="AF118" s="13"/>
      <c r="AG118" s="13"/>
      <c r="AH118" s="13"/>
      <c r="AI118" s="13" t="s">
        <v>18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U118" s="1" t="s">
        <v>16</v>
      </c>
      <c r="AV118" s="13" t="s">
        <v>17</v>
      </c>
      <c r="AW118" s="13"/>
      <c r="AX118" s="13"/>
      <c r="AY118" s="13"/>
      <c r="AZ118" s="13"/>
      <c r="BA118" s="13"/>
      <c r="BB118" s="13"/>
      <c r="BC118" s="13"/>
      <c r="BD118" s="13"/>
      <c r="BE118" s="13"/>
      <c r="BF118" s="13" t="s">
        <v>18</v>
      </c>
      <c r="BG118" s="13"/>
      <c r="BH118" s="13"/>
      <c r="BI118" s="13"/>
      <c r="BJ118" s="13"/>
      <c r="BK118" s="13"/>
      <c r="BL118" s="13"/>
      <c r="BM118" s="13"/>
      <c r="BN118" s="13"/>
      <c r="BO118" s="13"/>
      <c r="BR118" s="1" t="s">
        <v>16</v>
      </c>
      <c r="BS118" s="1" t="s">
        <v>17</v>
      </c>
      <c r="BT118" s="1" t="s">
        <v>18</v>
      </c>
      <c r="BU118" s="1" t="s">
        <v>17</v>
      </c>
      <c r="BV118" s="1" t="s">
        <v>18</v>
      </c>
      <c r="BW118" s="1" t="s">
        <v>17</v>
      </c>
      <c r="BX118" s="1" t="s">
        <v>18</v>
      </c>
      <c r="BY118" s="1" t="s">
        <v>17</v>
      </c>
      <c r="BZ118" s="1" t="s">
        <v>18</v>
      </c>
      <c r="CA118" s="1" t="s">
        <v>17</v>
      </c>
      <c r="CB118" s="1" t="s">
        <v>18</v>
      </c>
      <c r="CC118" s="1" t="s">
        <v>17</v>
      </c>
      <c r="CD118" s="1" t="s">
        <v>18</v>
      </c>
      <c r="CE118" s="1" t="s">
        <v>17</v>
      </c>
      <c r="CF118" s="1" t="s">
        <v>18</v>
      </c>
      <c r="CG118" s="1" t="s">
        <v>17</v>
      </c>
      <c r="CH118" s="1" t="s">
        <v>18</v>
      </c>
      <c r="CI118" s="1" t="s">
        <v>17</v>
      </c>
      <c r="CJ118" s="1" t="s">
        <v>18</v>
      </c>
      <c r="CK118" s="1" t="s">
        <v>17</v>
      </c>
      <c r="CL118" s="1" t="s">
        <v>18</v>
      </c>
    </row>
    <row r="119" spans="2:90" x14ac:dyDescent="0.3">
      <c r="X119" s="1" t="s">
        <v>19</v>
      </c>
      <c r="Y119" s="1" t="s">
        <v>1</v>
      </c>
      <c r="Z119" s="1" t="s">
        <v>10</v>
      </c>
      <c r="AA119" s="1" t="s">
        <v>2</v>
      </c>
      <c r="AB119" s="1" t="s">
        <v>3</v>
      </c>
      <c r="AC119" s="1" t="s">
        <v>4</v>
      </c>
      <c r="AD119" s="1" t="s">
        <v>5</v>
      </c>
      <c r="AE119" s="1" t="s">
        <v>6</v>
      </c>
      <c r="AF119" s="1" t="s">
        <v>7</v>
      </c>
      <c r="AG119" s="1" t="s">
        <v>8</v>
      </c>
      <c r="AH119" s="1" t="s">
        <v>9</v>
      </c>
      <c r="AI119" s="1" t="s">
        <v>1</v>
      </c>
      <c r="AJ119" s="1" t="s">
        <v>10</v>
      </c>
      <c r="AK119" s="1" t="s">
        <v>2</v>
      </c>
      <c r="AL119" s="1" t="s">
        <v>3</v>
      </c>
      <c r="AM119" s="1" t="s">
        <v>4</v>
      </c>
      <c r="AN119" s="1" t="s">
        <v>5</v>
      </c>
      <c r="AO119" s="1" t="s">
        <v>6</v>
      </c>
      <c r="AP119" s="1" t="s">
        <v>7</v>
      </c>
      <c r="AQ119" s="1" t="s">
        <v>8</v>
      </c>
      <c r="AR119" s="1" t="s">
        <v>9</v>
      </c>
      <c r="AU119" s="1" t="s">
        <v>19</v>
      </c>
      <c r="AV119" s="1" t="s">
        <v>1</v>
      </c>
      <c r="AW119" s="1" t="s">
        <v>10</v>
      </c>
      <c r="AX119" s="1" t="s">
        <v>2</v>
      </c>
      <c r="AY119" s="1" t="s">
        <v>3</v>
      </c>
      <c r="AZ119" s="1" t="s">
        <v>4</v>
      </c>
      <c r="BA119" s="1" t="s">
        <v>5</v>
      </c>
      <c r="BB119" s="1" t="s">
        <v>6</v>
      </c>
      <c r="BC119" s="1" t="s">
        <v>7</v>
      </c>
      <c r="BD119" s="1" t="s">
        <v>8</v>
      </c>
      <c r="BE119" s="1" t="s">
        <v>9</v>
      </c>
      <c r="BF119" s="1" t="s">
        <v>1</v>
      </c>
      <c r="BG119" s="1" t="s">
        <v>10</v>
      </c>
      <c r="BH119" s="1" t="s">
        <v>2</v>
      </c>
      <c r="BI119" s="1" t="s">
        <v>3</v>
      </c>
      <c r="BJ119" s="1" t="s">
        <v>4</v>
      </c>
      <c r="BK119" s="1" t="s">
        <v>5</v>
      </c>
      <c r="BL119" s="1" t="s">
        <v>6</v>
      </c>
      <c r="BM119" s="1" t="s">
        <v>7</v>
      </c>
      <c r="BN119" s="1" t="s">
        <v>8</v>
      </c>
      <c r="BO119" s="1" t="s">
        <v>9</v>
      </c>
      <c r="BR119" s="1" t="s">
        <v>19</v>
      </c>
      <c r="BS119" s="1" t="s">
        <v>1</v>
      </c>
      <c r="BT119" s="1" t="s">
        <v>1</v>
      </c>
      <c r="BU119" s="1" t="s">
        <v>2</v>
      </c>
      <c r="BV119" s="1" t="s">
        <v>2</v>
      </c>
      <c r="BW119" s="1" t="s">
        <v>3</v>
      </c>
      <c r="BX119" s="1" t="s">
        <v>3</v>
      </c>
      <c r="BY119" s="1" t="s">
        <v>4</v>
      </c>
      <c r="BZ119" s="1" t="s">
        <v>4</v>
      </c>
      <c r="CA119" s="1" t="s">
        <v>5</v>
      </c>
      <c r="CB119" s="1" t="s">
        <v>5</v>
      </c>
      <c r="CC119" s="1" t="s">
        <v>6</v>
      </c>
      <c r="CD119" s="1" t="s">
        <v>6</v>
      </c>
      <c r="CE119" s="1" t="s">
        <v>7</v>
      </c>
      <c r="CF119" s="1" t="s">
        <v>7</v>
      </c>
      <c r="CG119" s="1" t="s">
        <v>8</v>
      </c>
      <c r="CH119" s="1" t="s">
        <v>8</v>
      </c>
      <c r="CI119" s="1" t="s">
        <v>9</v>
      </c>
      <c r="CJ119" s="1" t="s">
        <v>9</v>
      </c>
      <c r="CK119" s="1" t="s">
        <v>10</v>
      </c>
      <c r="CL119" s="1" t="s">
        <v>10</v>
      </c>
    </row>
    <row r="120" spans="2:90" x14ac:dyDescent="0.3">
      <c r="X120" s="1" t="s">
        <v>20</v>
      </c>
      <c r="AU120" s="1" t="s">
        <v>20</v>
      </c>
      <c r="BR120" s="1" t="s">
        <v>20</v>
      </c>
    </row>
    <row r="121" spans="2:90" x14ac:dyDescent="0.3">
      <c r="X121" s="1" t="s">
        <v>21</v>
      </c>
      <c r="Y121" s="2">
        <v>45.39</v>
      </c>
      <c r="Z121" s="2">
        <v>163.16999999999999</v>
      </c>
      <c r="AA121" s="2">
        <v>33.4</v>
      </c>
      <c r="AB121" s="2">
        <v>13.58</v>
      </c>
      <c r="AC121" s="2">
        <v>48.73</v>
      </c>
      <c r="AD121" s="2">
        <v>73.22</v>
      </c>
      <c r="AE121" s="2">
        <v>115.83</v>
      </c>
      <c r="AF121" s="2">
        <v>109.14</v>
      </c>
      <c r="AG121" s="2">
        <v>120.68</v>
      </c>
      <c r="AH121" s="2">
        <v>120.9</v>
      </c>
      <c r="AI121" s="2">
        <v>47.81</v>
      </c>
      <c r="AJ121" s="2">
        <v>145.21</v>
      </c>
      <c r="AK121" s="2">
        <v>33.4</v>
      </c>
      <c r="AL121" s="2">
        <v>20.350000000000001</v>
      </c>
      <c r="AM121" s="2">
        <v>74.16</v>
      </c>
      <c r="AN121" s="2">
        <v>67.2</v>
      </c>
      <c r="AO121" s="2">
        <v>124.99</v>
      </c>
      <c r="AP121" s="2">
        <v>93.79</v>
      </c>
      <c r="AQ121" s="2">
        <v>118.64</v>
      </c>
      <c r="AR121" s="2">
        <v>97.34</v>
      </c>
      <c r="AU121" s="1" t="s">
        <v>21</v>
      </c>
      <c r="AV121" s="2">
        <v>45.39</v>
      </c>
      <c r="AW121" s="2">
        <v>163.16999999999999</v>
      </c>
      <c r="AX121" s="2">
        <v>33.4</v>
      </c>
      <c r="AY121" s="2">
        <v>13.58</v>
      </c>
      <c r="AZ121" s="2">
        <v>48.73</v>
      </c>
      <c r="BA121" s="2">
        <v>73.22</v>
      </c>
      <c r="BB121" s="2">
        <v>115.83</v>
      </c>
      <c r="BC121" s="2">
        <v>109.14</v>
      </c>
      <c r="BD121" s="2">
        <v>120.68</v>
      </c>
      <c r="BE121" s="2">
        <v>120.9</v>
      </c>
      <c r="BF121" s="2">
        <v>47.81</v>
      </c>
      <c r="BG121" s="2">
        <v>145.21</v>
      </c>
      <c r="BH121" s="2">
        <v>33.4</v>
      </c>
      <c r="BI121" s="2">
        <v>20.350000000000001</v>
      </c>
      <c r="BJ121" s="2">
        <v>74.16</v>
      </c>
      <c r="BK121" s="2">
        <v>67.2</v>
      </c>
      <c r="BL121" s="2">
        <v>124.99</v>
      </c>
      <c r="BM121" s="2">
        <v>93.79</v>
      </c>
      <c r="BN121" s="2">
        <v>118.64</v>
      </c>
      <c r="BO121" s="2">
        <v>97.34</v>
      </c>
      <c r="BR121" s="1" t="s">
        <v>21</v>
      </c>
      <c r="BS121" s="2">
        <v>411.82</v>
      </c>
      <c r="BT121" s="2">
        <v>411.82</v>
      </c>
      <c r="BU121" s="2">
        <v>409.61</v>
      </c>
      <c r="BV121" s="2">
        <v>409.62</v>
      </c>
      <c r="BW121" s="2">
        <v>410.38</v>
      </c>
      <c r="BX121" s="2">
        <v>410.43</v>
      </c>
      <c r="BY121" s="2">
        <v>566.30999999999995</v>
      </c>
      <c r="BZ121" s="2">
        <v>86.26</v>
      </c>
      <c r="CA121" s="2">
        <v>209.92</v>
      </c>
      <c r="CB121" s="2">
        <v>132.11000000000001</v>
      </c>
      <c r="CC121" s="2">
        <v>109.98</v>
      </c>
      <c r="CD121" s="2">
        <v>145.58000000000001</v>
      </c>
      <c r="CE121" s="2">
        <v>109.16</v>
      </c>
      <c r="CF121" s="2">
        <v>163.77000000000001</v>
      </c>
      <c r="CG121" s="2">
        <v>109.99</v>
      </c>
      <c r="CH121" s="2">
        <v>150.47</v>
      </c>
      <c r="CI121" s="2">
        <v>197.96</v>
      </c>
      <c r="CJ121" s="2">
        <v>933.6</v>
      </c>
      <c r="CK121" s="2">
        <v>167.08</v>
      </c>
      <c r="CL121" s="2">
        <v>649.22</v>
      </c>
    </row>
    <row r="122" spans="2:90" x14ac:dyDescent="0.3">
      <c r="X122" s="1" t="s">
        <v>22</v>
      </c>
      <c r="Y122" s="2">
        <v>42.97</v>
      </c>
      <c r="Z122" s="2">
        <v>142.91</v>
      </c>
      <c r="AA122" s="2">
        <v>24.69</v>
      </c>
      <c r="AB122" s="2">
        <v>10.36</v>
      </c>
      <c r="AC122" s="2">
        <v>46.1</v>
      </c>
      <c r="AD122" s="2">
        <v>56.97</v>
      </c>
      <c r="AE122" s="2">
        <v>111.21</v>
      </c>
      <c r="AF122" s="2">
        <v>99.6</v>
      </c>
      <c r="AG122" s="2">
        <v>112.04</v>
      </c>
      <c r="AH122" s="2">
        <v>81.63</v>
      </c>
      <c r="AI122" s="2">
        <v>34.369999999999997</v>
      </c>
      <c r="AJ122" s="2">
        <v>117.56</v>
      </c>
      <c r="AK122" s="2">
        <v>27.78</v>
      </c>
      <c r="AL122" s="2">
        <v>17.88</v>
      </c>
      <c r="AM122" s="2">
        <v>67.47</v>
      </c>
      <c r="AN122" s="2">
        <v>74.489999999999995</v>
      </c>
      <c r="AO122" s="2">
        <v>147.47</v>
      </c>
      <c r="AP122" s="2">
        <v>99.06</v>
      </c>
      <c r="AQ122" s="2">
        <v>105.79</v>
      </c>
      <c r="AR122" s="2">
        <v>92.78</v>
      </c>
      <c r="AU122" s="1" t="s">
        <v>22</v>
      </c>
      <c r="AV122" s="2">
        <v>42.97</v>
      </c>
      <c r="AW122" s="2">
        <v>142.91</v>
      </c>
      <c r="AX122" s="2">
        <v>24.69</v>
      </c>
      <c r="AY122" s="2">
        <v>10.36</v>
      </c>
      <c r="AZ122" s="2">
        <v>46.1</v>
      </c>
      <c r="BA122" s="2">
        <v>56.97</v>
      </c>
      <c r="BB122" s="2">
        <v>111.21</v>
      </c>
      <c r="BC122" s="2">
        <v>99.6</v>
      </c>
      <c r="BD122" s="2">
        <v>112.04</v>
      </c>
      <c r="BE122" s="2">
        <v>81.63</v>
      </c>
      <c r="BF122" s="2">
        <v>34.369999999999997</v>
      </c>
      <c r="BG122" s="2">
        <v>117.56</v>
      </c>
      <c r="BH122" s="2">
        <v>27.78</v>
      </c>
      <c r="BI122" s="2">
        <v>17.88</v>
      </c>
      <c r="BJ122" s="2">
        <v>67.47</v>
      </c>
      <c r="BK122" s="2">
        <v>74.489999999999995</v>
      </c>
      <c r="BL122" s="2">
        <v>147.47</v>
      </c>
      <c r="BM122" s="2">
        <v>99.06</v>
      </c>
      <c r="BN122" s="2">
        <v>105.79</v>
      </c>
      <c r="BO122" s="2">
        <v>92.78</v>
      </c>
      <c r="BR122" s="1" t="s">
        <v>22</v>
      </c>
      <c r="BS122" s="2">
        <v>350.51</v>
      </c>
      <c r="BT122" s="2">
        <v>478.14</v>
      </c>
      <c r="BU122" s="2">
        <v>352.07</v>
      </c>
      <c r="BV122" s="2">
        <v>423.61</v>
      </c>
      <c r="BW122" s="2">
        <v>468.44</v>
      </c>
      <c r="BX122" s="2">
        <v>419.68</v>
      </c>
      <c r="BY122" s="2">
        <v>352.69</v>
      </c>
      <c r="BZ122" s="2">
        <v>382.21</v>
      </c>
      <c r="CA122" s="2">
        <v>438.23</v>
      </c>
      <c r="CB122" s="2">
        <v>740.8</v>
      </c>
      <c r="CC122" s="2">
        <v>356.8</v>
      </c>
      <c r="CD122" s="2">
        <v>689.48</v>
      </c>
      <c r="CE122" s="2">
        <v>363.16</v>
      </c>
      <c r="CF122" s="2">
        <v>529.87</v>
      </c>
      <c r="CG122" s="2">
        <v>432.24</v>
      </c>
      <c r="CH122" s="2">
        <v>793.45</v>
      </c>
      <c r="CI122" s="2">
        <v>498.8</v>
      </c>
      <c r="CJ122" s="2">
        <v>1322.23</v>
      </c>
      <c r="CK122" s="2">
        <v>582.09</v>
      </c>
      <c r="CL122" s="2">
        <v>3441.25</v>
      </c>
    </row>
    <row r="123" spans="2:90" x14ac:dyDescent="0.3">
      <c r="X123" s="1" t="s">
        <v>23</v>
      </c>
      <c r="Y123" s="2">
        <v>229.37</v>
      </c>
      <c r="Z123" s="2">
        <v>504.78</v>
      </c>
      <c r="AA123" s="2">
        <v>182.76</v>
      </c>
      <c r="AB123" s="2">
        <v>81.36</v>
      </c>
      <c r="AC123" s="2">
        <v>285.14999999999998</v>
      </c>
      <c r="AD123" s="2">
        <v>596.27</v>
      </c>
      <c r="AE123" s="2">
        <v>1017.32</v>
      </c>
      <c r="AF123" s="2">
        <v>872.33</v>
      </c>
      <c r="AG123" s="2">
        <v>1073.58</v>
      </c>
      <c r="AH123" s="2">
        <v>583.39</v>
      </c>
      <c r="AI123" s="2">
        <v>96.99</v>
      </c>
      <c r="AJ123" s="2">
        <v>456.36</v>
      </c>
      <c r="AK123" s="2">
        <v>79.37</v>
      </c>
      <c r="AL123" s="2">
        <v>144.25</v>
      </c>
      <c r="AM123" s="2">
        <v>346.24</v>
      </c>
      <c r="AN123" s="2">
        <v>390.38</v>
      </c>
      <c r="AO123" s="2">
        <v>744.97</v>
      </c>
      <c r="AP123" s="2">
        <v>554.35</v>
      </c>
      <c r="AQ123" s="2">
        <v>595.29</v>
      </c>
      <c r="AR123" s="2">
        <v>492.11</v>
      </c>
      <c r="AU123" s="1" t="s">
        <v>23</v>
      </c>
      <c r="AV123" s="2">
        <v>229.37</v>
      </c>
      <c r="AW123" s="2">
        <v>504.78</v>
      </c>
      <c r="AX123" s="2">
        <v>182.76</v>
      </c>
      <c r="AY123" s="2">
        <v>81.36</v>
      </c>
      <c r="AZ123" s="2">
        <v>285.14999999999998</v>
      </c>
      <c r="BA123" s="2">
        <v>596.27</v>
      </c>
      <c r="BB123" s="2">
        <v>1017.32</v>
      </c>
      <c r="BC123" s="2">
        <v>872.33</v>
      </c>
      <c r="BD123" s="2">
        <v>1073.58</v>
      </c>
      <c r="BE123" s="2">
        <v>583.39</v>
      </c>
      <c r="BF123" s="2">
        <v>96.99</v>
      </c>
      <c r="BG123" s="2">
        <v>456.36</v>
      </c>
      <c r="BH123" s="2">
        <v>79.37</v>
      </c>
      <c r="BI123" s="2">
        <v>144.25</v>
      </c>
      <c r="BJ123" s="2">
        <v>346.24</v>
      </c>
      <c r="BK123" s="2">
        <v>390.38</v>
      </c>
      <c r="BL123" s="2">
        <v>744.97</v>
      </c>
      <c r="BM123" s="2">
        <v>554.35</v>
      </c>
      <c r="BN123" s="2">
        <v>595.29</v>
      </c>
      <c r="BO123" s="2">
        <v>492.11</v>
      </c>
      <c r="BR123" s="1" t="s">
        <v>23</v>
      </c>
      <c r="BS123" s="2">
        <v>210.57</v>
      </c>
      <c r="BT123" s="2">
        <v>655.97</v>
      </c>
      <c r="BU123" s="2">
        <v>222.7</v>
      </c>
      <c r="BV123" s="2">
        <v>516.14</v>
      </c>
      <c r="BW123" s="2">
        <v>224.26</v>
      </c>
      <c r="BX123" s="2">
        <v>231.21</v>
      </c>
      <c r="BY123" s="2">
        <v>235.27</v>
      </c>
      <c r="BZ123" s="2">
        <v>351.74</v>
      </c>
      <c r="CA123" s="2">
        <v>215.09</v>
      </c>
      <c r="CB123" s="2">
        <v>571.28</v>
      </c>
      <c r="CC123" s="2">
        <v>214.44</v>
      </c>
      <c r="CD123" s="2">
        <v>558.94000000000005</v>
      </c>
      <c r="CE123" s="2">
        <v>210.1</v>
      </c>
      <c r="CF123" s="2">
        <v>506.22</v>
      </c>
      <c r="CG123" s="2">
        <v>210.16</v>
      </c>
      <c r="CH123" s="2">
        <v>610.4</v>
      </c>
      <c r="CI123" s="2">
        <v>437.16</v>
      </c>
      <c r="CJ123" s="2">
        <v>1076.49</v>
      </c>
      <c r="CK123" s="2">
        <v>1138</v>
      </c>
      <c r="CL123" s="2">
        <v>1799.35</v>
      </c>
    </row>
    <row r="124" spans="2:90" x14ac:dyDescent="0.3">
      <c r="X124" s="1" t="s">
        <v>24</v>
      </c>
      <c r="Y124" s="2">
        <v>87.29</v>
      </c>
      <c r="Z124" s="2">
        <v>163.12</v>
      </c>
      <c r="AA124" s="2">
        <v>59.23</v>
      </c>
      <c r="AB124" s="2">
        <v>28.24</v>
      </c>
      <c r="AC124" s="2">
        <v>117.22</v>
      </c>
      <c r="AD124" s="2">
        <v>134.11000000000001</v>
      </c>
      <c r="AE124" s="2">
        <v>255.63</v>
      </c>
      <c r="AF124" s="2">
        <v>145.28</v>
      </c>
      <c r="AG124" s="2">
        <v>284.87</v>
      </c>
      <c r="AH124" s="2">
        <v>132.72999999999999</v>
      </c>
      <c r="AI124" s="2">
        <v>30.48</v>
      </c>
      <c r="AJ124" s="2">
        <v>139.44999999999999</v>
      </c>
      <c r="AK124" s="2">
        <v>34.44</v>
      </c>
      <c r="AL124" s="2">
        <v>23.3</v>
      </c>
      <c r="AM124" s="2">
        <v>84.57</v>
      </c>
      <c r="AN124" s="2">
        <v>100.85</v>
      </c>
      <c r="AO124" s="2">
        <v>178.91</v>
      </c>
      <c r="AP124" s="2">
        <v>127.4</v>
      </c>
      <c r="AQ124" s="2">
        <v>156.30000000000001</v>
      </c>
      <c r="AR124" s="2">
        <v>115.79</v>
      </c>
      <c r="AU124" s="1" t="s">
        <v>24</v>
      </c>
      <c r="AV124" s="2">
        <v>87.29</v>
      </c>
      <c r="AW124" s="2">
        <v>163.12</v>
      </c>
      <c r="AX124" s="2">
        <v>59.23</v>
      </c>
      <c r="AY124" s="2">
        <v>28.24</v>
      </c>
      <c r="AZ124" s="2">
        <v>117.22</v>
      </c>
      <c r="BA124" s="2">
        <v>134.11000000000001</v>
      </c>
      <c r="BB124" s="2">
        <v>255.63</v>
      </c>
      <c r="BC124" s="2">
        <v>145.28</v>
      </c>
      <c r="BD124" s="2">
        <v>284.87</v>
      </c>
      <c r="BE124" s="2">
        <v>132.72999999999999</v>
      </c>
      <c r="BF124" s="2">
        <v>30.48</v>
      </c>
      <c r="BG124" s="2">
        <v>139.44999999999999</v>
      </c>
      <c r="BH124" s="2">
        <v>34.44</v>
      </c>
      <c r="BI124" s="2">
        <v>23.3</v>
      </c>
      <c r="BJ124" s="2">
        <v>84.57</v>
      </c>
      <c r="BK124" s="2">
        <v>100.85</v>
      </c>
      <c r="BL124" s="2">
        <v>178.91</v>
      </c>
      <c r="BM124" s="2">
        <v>127.4</v>
      </c>
      <c r="BN124" s="2">
        <v>156.30000000000001</v>
      </c>
      <c r="BO124" s="2">
        <v>115.79</v>
      </c>
      <c r="BR124" s="1" t="s">
        <v>24</v>
      </c>
      <c r="BS124" s="2">
        <v>190.01</v>
      </c>
      <c r="BT124" s="2">
        <v>539.79</v>
      </c>
      <c r="BU124" s="2">
        <v>204.63</v>
      </c>
      <c r="BV124" s="2">
        <v>426.75</v>
      </c>
      <c r="BW124" s="2">
        <v>203.77</v>
      </c>
      <c r="BX124" s="2">
        <v>238.87</v>
      </c>
      <c r="BY124" s="2">
        <v>217.31</v>
      </c>
      <c r="BZ124" s="2">
        <v>262.81</v>
      </c>
      <c r="CA124" s="2">
        <v>239.19</v>
      </c>
      <c r="CB124" s="2">
        <v>401.71</v>
      </c>
      <c r="CC124" s="2">
        <v>238.94</v>
      </c>
      <c r="CD124" s="2">
        <v>438.97</v>
      </c>
      <c r="CE124" s="2">
        <v>283.26</v>
      </c>
      <c r="CF124" s="2">
        <v>412</v>
      </c>
      <c r="CG124" s="2">
        <v>237.82</v>
      </c>
      <c r="CH124" s="2">
        <v>505.84</v>
      </c>
      <c r="CI124" s="2">
        <v>529.91999999999996</v>
      </c>
      <c r="CJ124" s="2">
        <v>666.63</v>
      </c>
      <c r="CK124" s="2">
        <v>675.31</v>
      </c>
      <c r="CL124" s="2">
        <v>825.75</v>
      </c>
    </row>
    <row r="125" spans="2:90" x14ac:dyDescent="0.3">
      <c r="X125" s="1" t="s">
        <v>25</v>
      </c>
      <c r="Y125" s="2">
        <v>235.24</v>
      </c>
      <c r="Z125" s="2">
        <v>733.81</v>
      </c>
      <c r="AA125" s="2">
        <v>196.32</v>
      </c>
      <c r="AB125" s="2">
        <v>88.49</v>
      </c>
      <c r="AC125" s="2">
        <v>351.09</v>
      </c>
      <c r="AD125" s="2">
        <v>566.39</v>
      </c>
      <c r="AE125" s="2">
        <v>979.56</v>
      </c>
      <c r="AF125" s="2">
        <v>697.67</v>
      </c>
      <c r="AG125" s="2">
        <v>764.8</v>
      </c>
      <c r="AH125" s="2">
        <v>639.26</v>
      </c>
      <c r="AI125" s="2">
        <v>197.25</v>
      </c>
      <c r="AJ125" s="2">
        <v>706.33</v>
      </c>
      <c r="AK125" s="2">
        <v>250.45</v>
      </c>
      <c r="AL125" s="2">
        <v>88.06</v>
      </c>
      <c r="AM125" s="2">
        <v>401.06</v>
      </c>
      <c r="AN125" s="2">
        <v>491.07</v>
      </c>
      <c r="AO125" s="2">
        <v>773.27</v>
      </c>
      <c r="AP125" s="2">
        <v>555.29999999999995</v>
      </c>
      <c r="AQ125" s="2">
        <v>658.61</v>
      </c>
      <c r="AR125" s="2">
        <v>450.44</v>
      </c>
      <c r="AU125" s="1" t="s">
        <v>25</v>
      </c>
      <c r="AV125" s="2">
        <v>235.24</v>
      </c>
      <c r="AW125" s="2">
        <v>733.81</v>
      </c>
      <c r="AX125" s="2">
        <v>196.32</v>
      </c>
      <c r="AY125" s="2">
        <v>88.49</v>
      </c>
      <c r="AZ125" s="2">
        <v>351.09</v>
      </c>
      <c r="BA125" s="2">
        <v>566.39</v>
      </c>
      <c r="BB125" s="2">
        <v>979.56</v>
      </c>
      <c r="BC125" s="2">
        <v>697.67</v>
      </c>
      <c r="BD125" s="2">
        <v>764.8</v>
      </c>
      <c r="BE125" s="2">
        <v>639.26</v>
      </c>
      <c r="BF125" s="2">
        <v>197.25</v>
      </c>
      <c r="BG125" s="2">
        <v>706.33</v>
      </c>
      <c r="BH125" s="2">
        <v>250.45</v>
      </c>
      <c r="BI125" s="2">
        <v>88.06</v>
      </c>
      <c r="BJ125" s="2">
        <v>401.06</v>
      </c>
      <c r="BK125" s="2">
        <v>491.07</v>
      </c>
      <c r="BL125" s="2">
        <v>773.27</v>
      </c>
      <c r="BM125" s="2">
        <v>555.29999999999995</v>
      </c>
      <c r="BN125" s="2">
        <v>658.61</v>
      </c>
      <c r="BO125" s="2">
        <v>450.44</v>
      </c>
      <c r="BR125" s="1" t="s">
        <v>25</v>
      </c>
      <c r="BS125" s="2">
        <v>241.16</v>
      </c>
      <c r="BT125" s="2">
        <v>271.02999999999997</v>
      </c>
      <c r="BU125" s="2">
        <v>276.63</v>
      </c>
      <c r="BV125" s="2">
        <v>325.58999999999997</v>
      </c>
      <c r="BW125" s="2">
        <v>252.01</v>
      </c>
      <c r="BX125" s="2">
        <v>246.98</v>
      </c>
      <c r="BY125" s="2">
        <v>420.32</v>
      </c>
      <c r="BZ125" s="2">
        <v>265.72000000000003</v>
      </c>
      <c r="CA125" s="2">
        <v>293.08999999999997</v>
      </c>
      <c r="CB125" s="2">
        <v>294.67</v>
      </c>
      <c r="CC125" s="2">
        <v>306.14999999999998</v>
      </c>
      <c r="CD125" s="2">
        <v>357.43</v>
      </c>
      <c r="CE125" s="2">
        <v>356.75</v>
      </c>
      <c r="CF125" s="2">
        <v>394.09</v>
      </c>
      <c r="CG125" s="2">
        <v>436.72</v>
      </c>
      <c r="CH125" s="2">
        <v>499.19</v>
      </c>
      <c r="CI125" s="2">
        <v>544.65</v>
      </c>
      <c r="CJ125" s="2">
        <v>763.78</v>
      </c>
      <c r="CK125" s="2">
        <v>675.94</v>
      </c>
      <c r="CL125" s="2">
        <v>1013.95</v>
      </c>
    </row>
    <row r="126" spans="2:90" x14ac:dyDescent="0.3">
      <c r="X126" s="1" t="s">
        <v>26</v>
      </c>
      <c r="Y126" s="2">
        <v>47.58</v>
      </c>
      <c r="Z126" s="2">
        <v>152.27000000000001</v>
      </c>
      <c r="AA126" s="2">
        <v>45.83</v>
      </c>
      <c r="AB126" s="2">
        <v>17.57</v>
      </c>
      <c r="AC126" s="2">
        <v>63.73</v>
      </c>
      <c r="AD126" s="2">
        <v>71.69</v>
      </c>
      <c r="AE126" s="2">
        <v>148.08000000000001</v>
      </c>
      <c r="AF126" s="2">
        <v>111.89</v>
      </c>
      <c r="AG126" s="2">
        <v>146.52000000000001</v>
      </c>
      <c r="AH126" s="2">
        <v>134.03</v>
      </c>
      <c r="AI126" s="2">
        <v>32.36</v>
      </c>
      <c r="AJ126" s="2">
        <v>126.69</v>
      </c>
      <c r="AK126" s="2">
        <v>52.47</v>
      </c>
      <c r="AL126" s="2">
        <v>14.3</v>
      </c>
      <c r="AM126" s="2">
        <v>47.02</v>
      </c>
      <c r="AN126" s="2">
        <v>90.05</v>
      </c>
      <c r="AO126" s="2">
        <v>165.13</v>
      </c>
      <c r="AP126" s="2">
        <v>116.1</v>
      </c>
      <c r="AQ126" s="2">
        <v>184.46</v>
      </c>
      <c r="AR126" s="2">
        <v>122.94</v>
      </c>
      <c r="AU126" s="1" t="s">
        <v>26</v>
      </c>
      <c r="AV126" s="2">
        <v>47.58</v>
      </c>
      <c r="AW126" s="2">
        <v>152.27000000000001</v>
      </c>
      <c r="AX126" s="2">
        <v>45.83</v>
      </c>
      <c r="AY126" s="2">
        <v>17.57</v>
      </c>
      <c r="AZ126" s="2">
        <v>63.73</v>
      </c>
      <c r="BA126" s="2">
        <v>71.69</v>
      </c>
      <c r="BB126" s="2">
        <v>148.08000000000001</v>
      </c>
      <c r="BC126" s="2">
        <v>111.89</v>
      </c>
      <c r="BD126" s="2">
        <v>146.52000000000001</v>
      </c>
      <c r="BE126" s="2">
        <v>134.03</v>
      </c>
      <c r="BF126" s="2">
        <v>32.36</v>
      </c>
      <c r="BG126" s="2">
        <v>126.69</v>
      </c>
      <c r="BH126" s="2">
        <v>52.47</v>
      </c>
      <c r="BI126" s="2">
        <v>14.3</v>
      </c>
      <c r="BJ126" s="2">
        <v>47.02</v>
      </c>
      <c r="BK126" s="2">
        <v>90.05</v>
      </c>
      <c r="BL126" s="2">
        <v>165.13</v>
      </c>
      <c r="BM126" s="2">
        <v>116.1</v>
      </c>
      <c r="BN126" s="2">
        <v>184.46</v>
      </c>
      <c r="BO126" s="2">
        <v>122.94</v>
      </c>
      <c r="BR126" s="1" t="s">
        <v>26</v>
      </c>
      <c r="BS126" s="2">
        <v>217.39</v>
      </c>
      <c r="BT126" s="2">
        <v>253.28</v>
      </c>
      <c r="BU126" s="2">
        <v>219.63</v>
      </c>
      <c r="BV126" s="2">
        <v>221.66</v>
      </c>
      <c r="BW126" s="2">
        <v>235.9</v>
      </c>
      <c r="BX126" s="2">
        <v>229.55</v>
      </c>
      <c r="BY126" s="2">
        <v>351.82</v>
      </c>
      <c r="BZ126" s="2">
        <v>268.41000000000003</v>
      </c>
      <c r="CA126" s="2">
        <v>478.55</v>
      </c>
      <c r="CB126" s="2">
        <v>264.66000000000003</v>
      </c>
      <c r="CC126" s="2">
        <v>384.54</v>
      </c>
      <c r="CD126" s="2">
        <v>264.8</v>
      </c>
      <c r="CE126" s="2">
        <v>380.96</v>
      </c>
      <c r="CF126" s="2">
        <v>265.38</v>
      </c>
      <c r="CG126" s="2">
        <v>394.01</v>
      </c>
      <c r="CH126" s="2">
        <v>263.98</v>
      </c>
      <c r="CI126" s="2">
        <v>454.74</v>
      </c>
      <c r="CJ126" s="2">
        <v>274.16000000000003</v>
      </c>
      <c r="CK126" s="2">
        <v>568.99</v>
      </c>
      <c r="CL126" s="2">
        <v>734.06</v>
      </c>
    </row>
    <row r="127" spans="2:90" x14ac:dyDescent="0.3">
      <c r="X127" s="1" t="s">
        <v>27</v>
      </c>
      <c r="Y127" s="2">
        <v>115.1</v>
      </c>
      <c r="Z127" s="2">
        <v>353.37</v>
      </c>
      <c r="AA127" s="2">
        <v>90.94</v>
      </c>
      <c r="AB127" s="2">
        <v>49.01</v>
      </c>
      <c r="AC127" s="2">
        <v>197.04</v>
      </c>
      <c r="AD127" s="2">
        <v>180.74</v>
      </c>
      <c r="AE127" s="2">
        <v>412.41</v>
      </c>
      <c r="AF127" s="2">
        <v>307.14999999999998</v>
      </c>
      <c r="AG127" s="2">
        <v>456.03</v>
      </c>
      <c r="AH127" s="2">
        <v>332.89</v>
      </c>
      <c r="AI127" s="2">
        <v>137.08000000000001</v>
      </c>
      <c r="AJ127" s="2">
        <v>332.19</v>
      </c>
      <c r="AK127" s="2">
        <v>108.57</v>
      </c>
      <c r="AL127" s="2">
        <v>40.39</v>
      </c>
      <c r="AM127" s="2">
        <v>210.01</v>
      </c>
      <c r="AN127" s="2">
        <v>221.63</v>
      </c>
      <c r="AO127" s="2">
        <v>375.66</v>
      </c>
      <c r="AP127" s="2">
        <v>268.26</v>
      </c>
      <c r="AQ127" s="2">
        <v>410.36</v>
      </c>
      <c r="AR127" s="2">
        <v>222.75</v>
      </c>
      <c r="AU127" s="1" t="s">
        <v>27</v>
      </c>
      <c r="AV127" s="2">
        <v>115.1</v>
      </c>
      <c r="AW127" s="2">
        <v>353.37</v>
      </c>
      <c r="AX127" s="2">
        <v>90.94</v>
      </c>
      <c r="AY127" s="2">
        <v>49.01</v>
      </c>
      <c r="AZ127" s="2">
        <v>197.04</v>
      </c>
      <c r="BA127" s="2">
        <v>180.74</v>
      </c>
      <c r="BB127" s="2">
        <v>412.41</v>
      </c>
      <c r="BC127" s="2">
        <v>307.14999999999998</v>
      </c>
      <c r="BD127" s="2">
        <v>456.03</v>
      </c>
      <c r="BE127" s="2">
        <v>332.89</v>
      </c>
      <c r="BF127" s="2">
        <v>137.08000000000001</v>
      </c>
      <c r="BG127" s="2">
        <v>332.19</v>
      </c>
      <c r="BH127" s="2">
        <v>108.57</v>
      </c>
      <c r="BI127" s="2">
        <v>40.39</v>
      </c>
      <c r="BJ127" s="2">
        <v>210.01</v>
      </c>
      <c r="BK127" s="2">
        <v>221.63</v>
      </c>
      <c r="BL127" s="2">
        <v>375.66</v>
      </c>
      <c r="BM127" s="2">
        <v>268.26</v>
      </c>
      <c r="BN127" s="2">
        <v>410.36</v>
      </c>
      <c r="BO127" s="2">
        <v>222.75</v>
      </c>
      <c r="BR127" s="1" t="s">
        <v>27</v>
      </c>
      <c r="BS127" s="2">
        <v>228.07</v>
      </c>
      <c r="BT127" s="2">
        <v>224.84</v>
      </c>
      <c r="BU127" s="2">
        <v>295.52</v>
      </c>
      <c r="BV127" s="2">
        <v>232.23</v>
      </c>
      <c r="BW127" s="2">
        <v>277.62</v>
      </c>
      <c r="BX127" s="2">
        <v>234.76</v>
      </c>
      <c r="BY127" s="2">
        <v>295.64999999999998</v>
      </c>
      <c r="BZ127" s="2">
        <v>227.57</v>
      </c>
      <c r="CA127" s="2">
        <v>495.14</v>
      </c>
      <c r="CB127" s="2">
        <v>256.95999999999998</v>
      </c>
      <c r="CC127" s="2">
        <v>402.41</v>
      </c>
      <c r="CD127" s="2">
        <v>257.06</v>
      </c>
      <c r="CE127" s="2">
        <v>385.2</v>
      </c>
      <c r="CF127" s="2">
        <v>256.95999999999998</v>
      </c>
      <c r="CG127" s="2">
        <v>334.23</v>
      </c>
      <c r="CH127" s="2">
        <v>299.79000000000002</v>
      </c>
      <c r="CI127" s="2">
        <v>541.6</v>
      </c>
      <c r="CJ127" s="2">
        <v>531.59</v>
      </c>
      <c r="CK127" s="2">
        <v>677.79</v>
      </c>
      <c r="CL127" s="2">
        <v>730.94</v>
      </c>
    </row>
    <row r="128" spans="2:90" x14ac:dyDescent="0.3">
      <c r="X128" s="1" t="s">
        <v>28</v>
      </c>
      <c r="Y128" s="2">
        <v>57.37</v>
      </c>
      <c r="Z128" s="2">
        <v>130.65</v>
      </c>
      <c r="AA128" s="2">
        <v>26.93</v>
      </c>
      <c r="AB128" s="2">
        <v>10.6</v>
      </c>
      <c r="AC128" s="2">
        <v>42.33</v>
      </c>
      <c r="AD128" s="2">
        <v>67.319999999999993</v>
      </c>
      <c r="AE128" s="2">
        <v>98.96</v>
      </c>
      <c r="AF128" s="2">
        <v>85.26</v>
      </c>
      <c r="AG128" s="2">
        <v>90.63</v>
      </c>
      <c r="AH128" s="2">
        <v>101.07</v>
      </c>
      <c r="AI128" s="2">
        <v>44.14</v>
      </c>
      <c r="AJ128" s="2">
        <v>102.85</v>
      </c>
      <c r="AK128" s="2">
        <v>31.78</v>
      </c>
      <c r="AL128" s="2">
        <v>12.9</v>
      </c>
      <c r="AM128" s="2">
        <v>42.77</v>
      </c>
      <c r="AN128" s="2">
        <v>38.26</v>
      </c>
      <c r="AO128" s="2">
        <v>78.95</v>
      </c>
      <c r="AP128" s="2">
        <v>88.23</v>
      </c>
      <c r="AQ128" s="2">
        <v>94.17</v>
      </c>
      <c r="AR128" s="2">
        <v>70.489999999999995</v>
      </c>
      <c r="AU128" s="1" t="s">
        <v>28</v>
      </c>
      <c r="AV128" s="2">
        <v>57.37</v>
      </c>
      <c r="AW128" s="2">
        <v>130.65</v>
      </c>
      <c r="AX128" s="2">
        <v>26.93</v>
      </c>
      <c r="AY128" s="2">
        <v>10.6</v>
      </c>
      <c r="AZ128" s="2">
        <v>42.33</v>
      </c>
      <c r="BA128" s="2">
        <v>67.319999999999993</v>
      </c>
      <c r="BB128" s="2">
        <v>98.96</v>
      </c>
      <c r="BC128" s="2">
        <v>85.26</v>
      </c>
      <c r="BD128" s="2">
        <v>90.63</v>
      </c>
      <c r="BE128" s="2">
        <v>101.07</v>
      </c>
      <c r="BF128" s="2">
        <v>44.14</v>
      </c>
      <c r="BG128" s="2">
        <v>102.85</v>
      </c>
      <c r="BH128" s="2">
        <v>31.78</v>
      </c>
      <c r="BI128" s="2">
        <v>12.9</v>
      </c>
      <c r="BJ128" s="2">
        <v>42.77</v>
      </c>
      <c r="BK128" s="2">
        <v>38.26</v>
      </c>
      <c r="BL128" s="2">
        <v>78.95</v>
      </c>
      <c r="BM128" s="2">
        <v>88.23</v>
      </c>
      <c r="BN128" s="2">
        <v>94.17</v>
      </c>
      <c r="BO128" s="2">
        <v>70.489999999999995</v>
      </c>
      <c r="BR128" s="1" t="s">
        <v>28</v>
      </c>
      <c r="BS128" s="2">
        <v>467.8</v>
      </c>
      <c r="BT128" s="2">
        <v>339.9</v>
      </c>
      <c r="BU128" s="2">
        <v>266.47000000000003</v>
      </c>
      <c r="BV128" s="2">
        <v>277.89999999999998</v>
      </c>
      <c r="BW128" s="2">
        <v>357.69</v>
      </c>
      <c r="BX128" s="2">
        <v>319.27999999999997</v>
      </c>
      <c r="BY128" s="2">
        <v>382.25</v>
      </c>
      <c r="BZ128" s="2">
        <v>373.01</v>
      </c>
      <c r="CA128" s="2">
        <v>888.59</v>
      </c>
      <c r="CB128" s="2">
        <v>450.67</v>
      </c>
      <c r="CC128" s="2">
        <v>467.17</v>
      </c>
      <c r="CD128" s="2">
        <v>446.45</v>
      </c>
      <c r="CE128" s="2">
        <v>459.05</v>
      </c>
      <c r="CF128" s="2">
        <v>440.87</v>
      </c>
      <c r="CG128" s="2">
        <v>480.54</v>
      </c>
      <c r="CH128" s="2">
        <v>544.41999999999996</v>
      </c>
      <c r="CI128" s="2">
        <v>589.75</v>
      </c>
      <c r="CJ128" s="2">
        <v>885.08</v>
      </c>
      <c r="CK128" s="2">
        <v>766.08</v>
      </c>
      <c r="CL128" s="2">
        <v>1279.9100000000001</v>
      </c>
    </row>
    <row r="131" spans="24:67" x14ac:dyDescent="0.3">
      <c r="X131" t="s">
        <v>60</v>
      </c>
      <c r="AU131" t="s">
        <v>61</v>
      </c>
    </row>
    <row r="132" spans="24:67" x14ac:dyDescent="0.3">
      <c r="X132" s="1" t="s">
        <v>16</v>
      </c>
      <c r="Y132" s="1" t="s">
        <v>17</v>
      </c>
      <c r="Z132" s="1" t="s">
        <v>18</v>
      </c>
      <c r="AA132" s="1" t="s">
        <v>17</v>
      </c>
      <c r="AB132" s="1" t="s">
        <v>18</v>
      </c>
      <c r="AC132" s="1" t="s">
        <v>17</v>
      </c>
      <c r="AD132" s="1" t="s">
        <v>18</v>
      </c>
      <c r="AE132" s="1" t="s">
        <v>17</v>
      </c>
      <c r="AF132" s="1" t="s">
        <v>18</v>
      </c>
      <c r="AG132" s="1" t="s">
        <v>17</v>
      </c>
      <c r="AH132" s="1" t="s">
        <v>18</v>
      </c>
      <c r="AI132" s="1" t="s">
        <v>17</v>
      </c>
      <c r="AJ132" s="1" t="s">
        <v>18</v>
      </c>
      <c r="AK132" s="1" t="s">
        <v>17</v>
      </c>
      <c r="AL132" s="1" t="s">
        <v>18</v>
      </c>
      <c r="AM132" s="1" t="s">
        <v>17</v>
      </c>
      <c r="AN132" s="1" t="s">
        <v>18</v>
      </c>
      <c r="AO132" s="1" t="s">
        <v>17</v>
      </c>
      <c r="AP132" s="1" t="s">
        <v>18</v>
      </c>
      <c r="AQ132" s="1" t="s">
        <v>17</v>
      </c>
      <c r="AR132" s="1" t="s">
        <v>18</v>
      </c>
      <c r="AU132" s="1" t="s">
        <v>16</v>
      </c>
      <c r="AV132" s="1" t="s">
        <v>17</v>
      </c>
      <c r="AW132" s="1" t="s">
        <v>18</v>
      </c>
      <c r="AX132" s="1" t="s">
        <v>17</v>
      </c>
      <c r="AY132" s="1" t="s">
        <v>18</v>
      </c>
      <c r="AZ132" s="1" t="s">
        <v>17</v>
      </c>
      <c r="BA132" s="1" t="s">
        <v>18</v>
      </c>
      <c r="BB132" s="1" t="s">
        <v>17</v>
      </c>
      <c r="BC132" s="1" t="s">
        <v>18</v>
      </c>
      <c r="BD132" s="1" t="s">
        <v>17</v>
      </c>
      <c r="BE132" s="1" t="s">
        <v>18</v>
      </c>
      <c r="BF132" s="1" t="s">
        <v>17</v>
      </c>
      <c r="BG132" s="1" t="s">
        <v>18</v>
      </c>
      <c r="BH132" s="1" t="s">
        <v>17</v>
      </c>
      <c r="BI132" s="1" t="s">
        <v>18</v>
      </c>
      <c r="BJ132" s="1" t="s">
        <v>17</v>
      </c>
      <c r="BK132" s="1" t="s">
        <v>18</v>
      </c>
      <c r="BL132" s="1" t="s">
        <v>17</v>
      </c>
      <c r="BM132" s="1" t="s">
        <v>18</v>
      </c>
      <c r="BN132" s="1" t="s">
        <v>17</v>
      </c>
      <c r="BO132" s="1" t="s">
        <v>18</v>
      </c>
    </row>
    <row r="133" spans="24:67" x14ac:dyDescent="0.3">
      <c r="X133" s="1" t="s">
        <v>19</v>
      </c>
      <c r="Y133" s="1" t="s">
        <v>1</v>
      </c>
      <c r="Z133" s="1" t="s">
        <v>1</v>
      </c>
      <c r="AA133" s="1" t="s">
        <v>2</v>
      </c>
      <c r="AB133" s="1" t="s">
        <v>2</v>
      </c>
      <c r="AC133" s="1" t="s">
        <v>3</v>
      </c>
      <c r="AD133" s="1" t="s">
        <v>3</v>
      </c>
      <c r="AE133" s="1" t="s">
        <v>4</v>
      </c>
      <c r="AF133" s="1" t="s">
        <v>4</v>
      </c>
      <c r="AG133" s="1" t="s">
        <v>5</v>
      </c>
      <c r="AH133" s="1" t="s">
        <v>5</v>
      </c>
      <c r="AI133" s="1" t="s">
        <v>6</v>
      </c>
      <c r="AJ133" s="1" t="s">
        <v>6</v>
      </c>
      <c r="AK133" s="1" t="s">
        <v>7</v>
      </c>
      <c r="AL133" s="1" t="s">
        <v>7</v>
      </c>
      <c r="AM133" s="1" t="s">
        <v>8</v>
      </c>
      <c r="AN133" s="1" t="s">
        <v>8</v>
      </c>
      <c r="AO133" s="1" t="s">
        <v>9</v>
      </c>
      <c r="AP133" s="1" t="s">
        <v>9</v>
      </c>
      <c r="AQ133" s="1" t="s">
        <v>10</v>
      </c>
      <c r="AR133" s="1" t="s">
        <v>10</v>
      </c>
      <c r="AU133" s="1" t="s">
        <v>19</v>
      </c>
      <c r="AV133" s="1" t="s">
        <v>1</v>
      </c>
      <c r="AW133" s="1" t="s">
        <v>1</v>
      </c>
      <c r="AX133" s="1" t="s">
        <v>2</v>
      </c>
      <c r="AY133" s="1" t="s">
        <v>2</v>
      </c>
      <c r="AZ133" s="1" t="s">
        <v>3</v>
      </c>
      <c r="BA133" s="1" t="s">
        <v>3</v>
      </c>
      <c r="BB133" s="1" t="s">
        <v>4</v>
      </c>
      <c r="BC133" s="1" t="s">
        <v>4</v>
      </c>
      <c r="BD133" s="1" t="s">
        <v>5</v>
      </c>
      <c r="BE133" s="1" t="s">
        <v>5</v>
      </c>
      <c r="BF133" s="1" t="s">
        <v>6</v>
      </c>
      <c r="BG133" s="1" t="s">
        <v>6</v>
      </c>
      <c r="BH133" s="1" t="s">
        <v>7</v>
      </c>
      <c r="BI133" s="1" t="s">
        <v>7</v>
      </c>
      <c r="BJ133" s="1" t="s">
        <v>8</v>
      </c>
      <c r="BK133" s="1" t="s">
        <v>8</v>
      </c>
      <c r="BL133" s="1" t="s">
        <v>9</v>
      </c>
      <c r="BM133" s="1" t="s">
        <v>9</v>
      </c>
      <c r="BN133" s="1" t="s">
        <v>10</v>
      </c>
      <c r="BO133" s="1" t="s">
        <v>10</v>
      </c>
    </row>
    <row r="134" spans="24:67" x14ac:dyDescent="0.3">
      <c r="X134" s="1" t="s">
        <v>20</v>
      </c>
      <c r="AU134" s="1" t="s">
        <v>20</v>
      </c>
    </row>
    <row r="135" spans="24:67" x14ac:dyDescent="0.3">
      <c r="X135" s="1" t="s">
        <v>21</v>
      </c>
      <c r="Y135" s="2">
        <v>34.909999999999997</v>
      </c>
      <c r="Z135" s="2">
        <v>36.770000000000003</v>
      </c>
      <c r="AA135" s="2">
        <v>25.69</v>
      </c>
      <c r="AB135" s="2">
        <v>25.69</v>
      </c>
      <c r="AC135" s="2">
        <v>27.16</v>
      </c>
      <c r="AD135" s="2">
        <v>40.700000000000003</v>
      </c>
      <c r="AE135" s="2">
        <v>30.46</v>
      </c>
      <c r="AF135" s="2">
        <v>46.35</v>
      </c>
      <c r="AG135" s="2">
        <v>36.61</v>
      </c>
      <c r="AH135" s="2">
        <v>33.6</v>
      </c>
      <c r="AI135" s="2">
        <v>32.18</v>
      </c>
      <c r="AJ135" s="2">
        <v>34.72</v>
      </c>
      <c r="AK135" s="2">
        <v>37.630000000000003</v>
      </c>
      <c r="AL135" s="2">
        <v>32.340000000000003</v>
      </c>
      <c r="AM135" s="2">
        <v>31.76</v>
      </c>
      <c r="AN135" s="2">
        <v>31.22</v>
      </c>
      <c r="AO135" s="2">
        <v>35.56</v>
      </c>
      <c r="AP135" s="2">
        <v>28.63</v>
      </c>
      <c r="AQ135" s="2">
        <v>36.26</v>
      </c>
      <c r="AR135" s="2">
        <v>32.270000000000003</v>
      </c>
      <c r="AU135" s="1" t="s">
        <v>21</v>
      </c>
      <c r="AV135" s="2">
        <v>314.20999999999998</v>
      </c>
      <c r="AW135" s="2">
        <v>330.97</v>
      </c>
      <c r="AX135" s="2">
        <v>231.21</v>
      </c>
      <c r="AY135" s="2">
        <v>231.21</v>
      </c>
      <c r="AZ135" s="2">
        <v>244.44</v>
      </c>
      <c r="BA135" s="2">
        <v>366.28</v>
      </c>
      <c r="BB135" s="2">
        <v>274.11</v>
      </c>
      <c r="BC135" s="2">
        <v>417.13</v>
      </c>
      <c r="BD135" s="2">
        <v>329.49</v>
      </c>
      <c r="BE135" s="2">
        <v>302.39999999999998</v>
      </c>
      <c r="BF135" s="2">
        <v>289.58</v>
      </c>
      <c r="BG135" s="2">
        <v>312.48</v>
      </c>
      <c r="BH135" s="2">
        <v>338.71</v>
      </c>
      <c r="BI135" s="2">
        <v>291.06</v>
      </c>
      <c r="BJ135" s="2">
        <v>285.81</v>
      </c>
      <c r="BK135" s="2">
        <v>280.98</v>
      </c>
      <c r="BL135" s="2">
        <v>320.04000000000002</v>
      </c>
      <c r="BM135" s="2">
        <v>257.67</v>
      </c>
      <c r="BN135" s="2">
        <v>326.33999999999997</v>
      </c>
      <c r="BO135" s="2">
        <v>290.43</v>
      </c>
    </row>
    <row r="136" spans="24:67" x14ac:dyDescent="0.3">
      <c r="X136" s="1" t="s">
        <v>22</v>
      </c>
      <c r="Y136" s="2">
        <v>33.049999999999997</v>
      </c>
      <c r="Z136" s="2">
        <v>26.44</v>
      </c>
      <c r="AA136" s="2">
        <v>18.989999999999998</v>
      </c>
      <c r="AB136" s="2">
        <v>21.37</v>
      </c>
      <c r="AC136" s="2">
        <v>20.71</v>
      </c>
      <c r="AD136" s="2">
        <v>35.770000000000003</v>
      </c>
      <c r="AE136" s="2">
        <v>28.81</v>
      </c>
      <c r="AF136" s="2">
        <v>42.17</v>
      </c>
      <c r="AG136" s="2">
        <v>28.49</v>
      </c>
      <c r="AH136" s="2">
        <v>37.24</v>
      </c>
      <c r="AI136" s="2">
        <v>30.89</v>
      </c>
      <c r="AJ136" s="2">
        <v>40.96</v>
      </c>
      <c r="AK136" s="2">
        <v>34.35</v>
      </c>
      <c r="AL136" s="2">
        <v>34.159999999999997</v>
      </c>
      <c r="AM136" s="2">
        <v>29.48</v>
      </c>
      <c r="AN136" s="2">
        <v>27.84</v>
      </c>
      <c r="AO136" s="2">
        <v>24.01</v>
      </c>
      <c r="AP136" s="2">
        <v>27.29</v>
      </c>
      <c r="AQ136" s="2">
        <v>31.76</v>
      </c>
      <c r="AR136" s="2">
        <v>26.12</v>
      </c>
      <c r="AU136" s="1" t="s">
        <v>22</v>
      </c>
      <c r="AV136" s="2">
        <v>170.34</v>
      </c>
      <c r="AW136" s="2">
        <v>133.91999999999999</v>
      </c>
      <c r="AX136" s="2">
        <v>91.49</v>
      </c>
      <c r="AY136" s="2">
        <v>100.8</v>
      </c>
      <c r="AZ136" s="2">
        <v>97.19</v>
      </c>
      <c r="BA136" s="2">
        <v>168.29</v>
      </c>
      <c r="BB136" s="2">
        <v>141.05000000000001</v>
      </c>
      <c r="BC136" s="2">
        <v>194.33</v>
      </c>
      <c r="BD136" s="2">
        <v>150.02000000000001</v>
      </c>
      <c r="BE136" s="2">
        <v>190.16</v>
      </c>
      <c r="BF136" s="2">
        <v>149.51</v>
      </c>
      <c r="BG136" s="2">
        <v>211.34</v>
      </c>
      <c r="BH136" s="2">
        <v>156.25</v>
      </c>
      <c r="BI136" s="2">
        <v>176.64</v>
      </c>
      <c r="BJ136" s="2">
        <v>148.66999999999999</v>
      </c>
      <c r="BK136" s="2">
        <v>144.30000000000001</v>
      </c>
      <c r="BL136" s="2">
        <v>125.3</v>
      </c>
      <c r="BM136" s="2">
        <v>139.19999999999999</v>
      </c>
      <c r="BN136" s="2">
        <v>170.69</v>
      </c>
      <c r="BO136" s="2">
        <v>133.94999999999999</v>
      </c>
    </row>
    <row r="137" spans="24:67" x14ac:dyDescent="0.3">
      <c r="X137" s="1" t="s">
        <v>23</v>
      </c>
      <c r="Y137" s="2">
        <v>176.44</v>
      </c>
      <c r="Z137" s="2">
        <v>74.61</v>
      </c>
      <c r="AA137" s="2">
        <v>140.59</v>
      </c>
      <c r="AB137" s="2">
        <v>61.06</v>
      </c>
      <c r="AC137" s="2">
        <v>162.72999999999999</v>
      </c>
      <c r="AD137" s="2">
        <v>288.5</v>
      </c>
      <c r="AE137" s="2">
        <v>178.22</v>
      </c>
      <c r="AF137" s="2">
        <v>216.4</v>
      </c>
      <c r="AG137" s="2">
        <v>298.13</v>
      </c>
      <c r="AH137" s="2">
        <v>195.19</v>
      </c>
      <c r="AI137" s="2">
        <v>282.58999999999997</v>
      </c>
      <c r="AJ137" s="2">
        <v>206.94</v>
      </c>
      <c r="AK137" s="2">
        <v>300.81</v>
      </c>
      <c r="AL137" s="2">
        <v>191.15</v>
      </c>
      <c r="AM137" s="2">
        <v>282.52</v>
      </c>
      <c r="AN137" s="2">
        <v>156.66</v>
      </c>
      <c r="AO137" s="2">
        <v>171.58</v>
      </c>
      <c r="AP137" s="2">
        <v>144.74</v>
      </c>
      <c r="AQ137" s="2">
        <v>112.17</v>
      </c>
      <c r="AR137" s="2">
        <v>101.41</v>
      </c>
      <c r="AU137" s="1" t="s">
        <v>23</v>
      </c>
      <c r="AV137" s="2">
        <v>669.64</v>
      </c>
      <c r="AW137" s="2">
        <v>377.97</v>
      </c>
      <c r="AX137" s="2">
        <v>550.07000000000005</v>
      </c>
      <c r="AY137" s="2">
        <v>287.77999999999997</v>
      </c>
      <c r="AZ137" s="2">
        <v>568.30999999999995</v>
      </c>
      <c r="BA137" s="2">
        <v>787.88</v>
      </c>
      <c r="BB137" s="2">
        <v>731.93</v>
      </c>
      <c r="BC137" s="2">
        <v>728.78</v>
      </c>
      <c r="BD137" s="2">
        <v>758.94</v>
      </c>
      <c r="BE137" s="2">
        <v>773.44</v>
      </c>
      <c r="BF137" s="2">
        <v>716.02</v>
      </c>
      <c r="BG137" s="2">
        <v>807.89</v>
      </c>
      <c r="BH137" s="2">
        <v>717.12</v>
      </c>
      <c r="BI137" s="2">
        <v>714.72</v>
      </c>
      <c r="BJ137" s="2">
        <v>656.61</v>
      </c>
      <c r="BK137" s="2">
        <v>635.79</v>
      </c>
      <c r="BL137" s="2">
        <v>617.45000000000005</v>
      </c>
      <c r="BM137" s="2">
        <v>698.68</v>
      </c>
      <c r="BN137" s="2">
        <v>556.86</v>
      </c>
      <c r="BO137" s="2">
        <v>519.25</v>
      </c>
    </row>
    <row r="138" spans="24:67" x14ac:dyDescent="0.3">
      <c r="X138" s="1" t="s">
        <v>24</v>
      </c>
      <c r="Y138" s="2">
        <v>67.150000000000006</v>
      </c>
      <c r="Z138" s="2">
        <v>23.45</v>
      </c>
      <c r="AA138" s="2">
        <v>45.56</v>
      </c>
      <c r="AB138" s="2">
        <v>26.49</v>
      </c>
      <c r="AC138" s="2">
        <v>56.48</v>
      </c>
      <c r="AD138" s="2">
        <v>46.6</v>
      </c>
      <c r="AE138" s="2">
        <v>73.27</v>
      </c>
      <c r="AF138" s="2">
        <v>52.86</v>
      </c>
      <c r="AG138" s="2">
        <v>67.06</v>
      </c>
      <c r="AH138" s="2">
        <v>50.43</v>
      </c>
      <c r="AI138" s="2">
        <v>71.010000000000005</v>
      </c>
      <c r="AJ138" s="2">
        <v>49.7</v>
      </c>
      <c r="AK138" s="2">
        <v>50.1</v>
      </c>
      <c r="AL138" s="2">
        <v>43.93</v>
      </c>
      <c r="AM138" s="2">
        <v>74.97</v>
      </c>
      <c r="AN138" s="2">
        <v>41.13</v>
      </c>
      <c r="AO138" s="2">
        <v>39.04</v>
      </c>
      <c r="AP138" s="2">
        <v>34.06</v>
      </c>
      <c r="AQ138" s="2">
        <v>36.25</v>
      </c>
      <c r="AR138" s="2">
        <v>30.99</v>
      </c>
      <c r="AU138" s="1" t="s">
        <v>24</v>
      </c>
      <c r="AV138" s="2">
        <v>191.68</v>
      </c>
      <c r="AW138" s="2">
        <v>118.33</v>
      </c>
      <c r="AX138" s="2">
        <v>137.62</v>
      </c>
      <c r="AY138" s="2">
        <v>124.75</v>
      </c>
      <c r="AZ138" s="2">
        <v>148.22</v>
      </c>
      <c r="BA138" s="2">
        <v>210.83</v>
      </c>
      <c r="BB138" s="2">
        <v>227.41</v>
      </c>
      <c r="BC138" s="2">
        <v>186.65</v>
      </c>
      <c r="BD138" s="2">
        <v>220.59</v>
      </c>
      <c r="BE138" s="2">
        <v>232.17</v>
      </c>
      <c r="BF138" s="2">
        <v>233.19</v>
      </c>
      <c r="BG138" s="2">
        <v>239.56</v>
      </c>
      <c r="BH138" s="2">
        <v>265.49</v>
      </c>
      <c r="BI138" s="2">
        <v>202.9</v>
      </c>
      <c r="BJ138" s="2">
        <v>243.66</v>
      </c>
      <c r="BK138" s="2">
        <v>211.67</v>
      </c>
      <c r="BL138" s="2">
        <v>200.7</v>
      </c>
      <c r="BM138" s="2">
        <v>173.18</v>
      </c>
      <c r="BN138" s="2">
        <v>185.41</v>
      </c>
      <c r="BO138" s="2">
        <v>157.76</v>
      </c>
    </row>
    <row r="139" spans="24:67" x14ac:dyDescent="0.3">
      <c r="X139" s="1" t="s">
        <v>25</v>
      </c>
      <c r="Y139" s="2">
        <v>180.95</v>
      </c>
      <c r="Z139" s="2">
        <v>151.72999999999999</v>
      </c>
      <c r="AA139" s="2">
        <v>151.01</v>
      </c>
      <c r="AB139" s="2">
        <v>192.66</v>
      </c>
      <c r="AC139" s="2">
        <v>176.98</v>
      </c>
      <c r="AD139" s="2">
        <v>176.12</v>
      </c>
      <c r="AE139" s="2">
        <v>219.43</v>
      </c>
      <c r="AF139" s="2">
        <v>250.66</v>
      </c>
      <c r="AG139" s="2">
        <v>283.2</v>
      </c>
      <c r="AH139" s="2">
        <v>245.54</v>
      </c>
      <c r="AI139" s="2">
        <v>272.10000000000002</v>
      </c>
      <c r="AJ139" s="2">
        <v>214.8</v>
      </c>
      <c r="AK139" s="2">
        <v>240.58</v>
      </c>
      <c r="AL139" s="2">
        <v>191.48</v>
      </c>
      <c r="AM139" s="2">
        <v>201.26</v>
      </c>
      <c r="AN139" s="2">
        <v>173.32</v>
      </c>
      <c r="AO139" s="2">
        <v>188.02</v>
      </c>
      <c r="AP139" s="2">
        <v>132.47999999999999</v>
      </c>
      <c r="AQ139" s="2">
        <v>163.07</v>
      </c>
      <c r="AR139" s="2">
        <v>156.96</v>
      </c>
      <c r="AU139" s="1" t="s">
        <v>25</v>
      </c>
      <c r="AV139" s="2">
        <v>542.55999999999995</v>
      </c>
      <c r="AW139" s="2">
        <v>767.55</v>
      </c>
      <c r="AX139" s="2">
        <v>719.81</v>
      </c>
      <c r="AY139" s="2">
        <v>919.79</v>
      </c>
      <c r="AZ139" s="2">
        <v>521.5</v>
      </c>
      <c r="BA139" s="2">
        <v>542.14</v>
      </c>
      <c r="BB139" s="2">
        <v>1036.94</v>
      </c>
      <c r="BC139" s="2">
        <v>855.17</v>
      </c>
      <c r="BD139" s="2">
        <v>1095.49</v>
      </c>
      <c r="BE139" s="2">
        <v>937.06</v>
      </c>
      <c r="BF139" s="2">
        <v>1080.1600000000001</v>
      </c>
      <c r="BG139" s="2">
        <v>970.33</v>
      </c>
      <c r="BH139" s="2">
        <v>1050.69</v>
      </c>
      <c r="BI139" s="2">
        <v>926.67</v>
      </c>
      <c r="BJ139" s="2">
        <v>992.04</v>
      </c>
      <c r="BK139" s="2">
        <v>888.38</v>
      </c>
      <c r="BL139" s="2">
        <v>954.98</v>
      </c>
      <c r="BM139" s="2">
        <v>671.69</v>
      </c>
      <c r="BN139" s="2">
        <v>828.73</v>
      </c>
      <c r="BO139" s="2">
        <v>807.76</v>
      </c>
    </row>
    <row r="140" spans="24:67" x14ac:dyDescent="0.3">
      <c r="X140" s="1" t="s">
        <v>26</v>
      </c>
      <c r="Y140" s="2">
        <v>36.6</v>
      </c>
      <c r="Z140" s="2">
        <v>24.89</v>
      </c>
      <c r="AA140" s="2">
        <v>35.26</v>
      </c>
      <c r="AB140" s="2">
        <v>40.36</v>
      </c>
      <c r="AC140" s="2">
        <v>35.15</v>
      </c>
      <c r="AD140" s="2">
        <v>28.6</v>
      </c>
      <c r="AE140" s="2">
        <v>39.83</v>
      </c>
      <c r="AF140" s="2">
        <v>29.39</v>
      </c>
      <c r="AG140" s="2">
        <v>35.840000000000003</v>
      </c>
      <c r="AH140" s="2">
        <v>45.02</v>
      </c>
      <c r="AI140" s="2">
        <v>41.13</v>
      </c>
      <c r="AJ140" s="2">
        <v>45.87</v>
      </c>
      <c r="AK140" s="2">
        <v>38.58</v>
      </c>
      <c r="AL140" s="2">
        <v>40.04</v>
      </c>
      <c r="AM140" s="2">
        <v>38.56</v>
      </c>
      <c r="AN140" s="2">
        <v>48.54</v>
      </c>
      <c r="AO140" s="2">
        <v>39.42</v>
      </c>
      <c r="AP140" s="2">
        <v>36.159999999999997</v>
      </c>
      <c r="AQ140" s="2">
        <v>33.840000000000003</v>
      </c>
      <c r="AR140" s="2">
        <v>28.15</v>
      </c>
      <c r="AU140" s="1" t="s">
        <v>26</v>
      </c>
      <c r="AV140" s="2">
        <v>92.39</v>
      </c>
      <c r="AW140" s="2">
        <v>100.29</v>
      </c>
      <c r="AX140" s="2">
        <v>106.55</v>
      </c>
      <c r="AY140" s="2">
        <v>125.26</v>
      </c>
      <c r="AZ140" s="2">
        <v>84.47</v>
      </c>
      <c r="BA140" s="2">
        <v>73.12</v>
      </c>
      <c r="BB140" s="2">
        <v>149.30000000000001</v>
      </c>
      <c r="BC140" s="2">
        <v>75.14</v>
      </c>
      <c r="BD140" s="2">
        <v>144.86000000000001</v>
      </c>
      <c r="BE140" s="2">
        <v>143.19</v>
      </c>
      <c r="BF140" s="2">
        <v>172.76</v>
      </c>
      <c r="BG140" s="2">
        <v>150.09</v>
      </c>
      <c r="BH140" s="2">
        <v>160.75</v>
      </c>
      <c r="BI140" s="2">
        <v>131.72</v>
      </c>
      <c r="BJ140" s="2">
        <v>162.80000000000001</v>
      </c>
      <c r="BK140" s="2">
        <v>157.55000000000001</v>
      </c>
      <c r="BL140" s="2">
        <v>162.43</v>
      </c>
      <c r="BM140" s="2">
        <v>121.96</v>
      </c>
      <c r="BN140" s="2">
        <v>138.97</v>
      </c>
      <c r="BO140" s="2">
        <v>115.76</v>
      </c>
    </row>
    <row r="141" spans="24:67" x14ac:dyDescent="0.3">
      <c r="X141" s="1" t="s">
        <v>27</v>
      </c>
      <c r="Y141" s="2">
        <v>88.54</v>
      </c>
      <c r="Z141" s="2">
        <v>105.45</v>
      </c>
      <c r="AA141" s="2">
        <v>69.95</v>
      </c>
      <c r="AB141" s="2">
        <v>83.51</v>
      </c>
      <c r="AC141" s="2">
        <v>98.02</v>
      </c>
      <c r="AD141" s="2">
        <v>80.78</v>
      </c>
      <c r="AE141" s="2">
        <v>123.15</v>
      </c>
      <c r="AF141" s="2">
        <v>131.26</v>
      </c>
      <c r="AG141" s="2">
        <v>90.37</v>
      </c>
      <c r="AH141" s="2">
        <v>110.81</v>
      </c>
      <c r="AI141" s="2">
        <v>114.56</v>
      </c>
      <c r="AJ141" s="2">
        <v>104.35</v>
      </c>
      <c r="AK141" s="2">
        <v>105.91</v>
      </c>
      <c r="AL141" s="2">
        <v>92.5</v>
      </c>
      <c r="AM141" s="2">
        <v>120.01</v>
      </c>
      <c r="AN141" s="2">
        <v>107.99</v>
      </c>
      <c r="AO141" s="2">
        <v>97.91</v>
      </c>
      <c r="AP141" s="2">
        <v>65.510000000000005</v>
      </c>
      <c r="AQ141" s="2">
        <v>78.53</v>
      </c>
      <c r="AR141" s="2">
        <v>73.819999999999993</v>
      </c>
      <c r="AU141" s="1" t="s">
        <v>27</v>
      </c>
      <c r="AV141" s="2">
        <v>304.63</v>
      </c>
      <c r="AW141" s="2">
        <v>363.93</v>
      </c>
      <c r="AX141" s="2">
        <v>277.7</v>
      </c>
      <c r="AY141" s="2">
        <v>311.52999999999997</v>
      </c>
      <c r="AZ141" s="2">
        <v>215.81</v>
      </c>
      <c r="BA141" s="2">
        <v>275.10000000000002</v>
      </c>
      <c r="BB141" s="2">
        <v>347.15</v>
      </c>
      <c r="BC141" s="2">
        <v>249.39</v>
      </c>
      <c r="BD141" s="2">
        <v>374.1</v>
      </c>
      <c r="BE141" s="2">
        <v>432.09</v>
      </c>
      <c r="BF141" s="2">
        <v>368.71</v>
      </c>
      <c r="BG141" s="2">
        <v>408.1</v>
      </c>
      <c r="BH141" s="2">
        <v>333.23</v>
      </c>
      <c r="BI141" s="2">
        <v>361.01</v>
      </c>
      <c r="BJ141" s="2">
        <v>350.24</v>
      </c>
      <c r="BK141" s="2">
        <v>406.15</v>
      </c>
      <c r="BL141" s="2">
        <v>345.92</v>
      </c>
      <c r="BM141" s="2">
        <v>277.63</v>
      </c>
      <c r="BN141" s="2">
        <v>299.52999999999997</v>
      </c>
      <c r="BO141" s="2">
        <v>292.22000000000003</v>
      </c>
    </row>
    <row r="142" spans="24:67" x14ac:dyDescent="0.3">
      <c r="X142" s="1" t="s">
        <v>28</v>
      </c>
      <c r="Y142" s="2">
        <v>44.13</v>
      </c>
      <c r="Z142" s="2">
        <v>33.950000000000003</v>
      </c>
      <c r="AA142" s="2">
        <v>20.72</v>
      </c>
      <c r="AB142" s="2">
        <v>24.45</v>
      </c>
      <c r="AC142" s="2">
        <v>21.21</v>
      </c>
      <c r="AD142" s="2">
        <v>25.79</v>
      </c>
      <c r="AE142" s="2">
        <v>26.46</v>
      </c>
      <c r="AF142" s="2">
        <v>26.73</v>
      </c>
      <c r="AG142" s="2">
        <v>33.659999999999997</v>
      </c>
      <c r="AH142" s="2">
        <v>19.13</v>
      </c>
      <c r="AI142" s="2">
        <v>27.49</v>
      </c>
      <c r="AJ142" s="2">
        <v>21.93</v>
      </c>
      <c r="AK142" s="2">
        <v>29.4</v>
      </c>
      <c r="AL142" s="2">
        <v>30.43</v>
      </c>
      <c r="AM142" s="2">
        <v>23.85</v>
      </c>
      <c r="AN142" s="2">
        <v>24.78</v>
      </c>
      <c r="AO142" s="2">
        <v>29.73</v>
      </c>
      <c r="AP142" s="2">
        <v>20.73</v>
      </c>
      <c r="AQ142" s="2">
        <v>29.03</v>
      </c>
      <c r="AR142" s="2">
        <v>22.86</v>
      </c>
      <c r="AU142" s="1" t="s">
        <v>28</v>
      </c>
      <c r="AV142" s="2">
        <v>172.77</v>
      </c>
      <c r="AW142" s="2">
        <v>131.94999999999999</v>
      </c>
      <c r="AX142" s="2">
        <v>75.33</v>
      </c>
      <c r="AY142" s="2">
        <v>88.98</v>
      </c>
      <c r="AZ142" s="2">
        <v>89.37</v>
      </c>
      <c r="BA142" s="2">
        <v>93.34</v>
      </c>
      <c r="BB142" s="2">
        <v>95.81</v>
      </c>
      <c r="BC142" s="2">
        <v>87.89</v>
      </c>
      <c r="BD142" s="2">
        <v>131.63999999999999</v>
      </c>
      <c r="BE142" s="2">
        <v>69.14</v>
      </c>
      <c r="BF142" s="2">
        <v>91.61</v>
      </c>
      <c r="BG142" s="2">
        <v>79.89</v>
      </c>
      <c r="BH142" s="2">
        <v>94.47</v>
      </c>
      <c r="BI142" s="2">
        <v>109.22</v>
      </c>
      <c r="BJ142" s="2">
        <v>79.650000000000006</v>
      </c>
      <c r="BK142" s="2">
        <v>96.12</v>
      </c>
      <c r="BL142" s="2">
        <v>114.27</v>
      </c>
      <c r="BM142" s="2">
        <v>80.97</v>
      </c>
      <c r="BN142" s="2">
        <v>113.47</v>
      </c>
      <c r="BO142" s="2">
        <v>89.34</v>
      </c>
    </row>
    <row r="145" spans="24:67" x14ac:dyDescent="0.3">
      <c r="X145" t="s">
        <v>62</v>
      </c>
      <c r="AU145" t="s">
        <v>63</v>
      </c>
    </row>
    <row r="146" spans="24:67" x14ac:dyDescent="0.3">
      <c r="X146" s="1" t="s">
        <v>16</v>
      </c>
      <c r="Y146" s="13" t="s">
        <v>17</v>
      </c>
      <c r="Z146" s="13"/>
      <c r="AA146" s="13"/>
      <c r="AB146" s="13"/>
      <c r="AC146" s="13"/>
      <c r="AD146" s="13"/>
      <c r="AE146" s="13"/>
      <c r="AF146" s="13"/>
      <c r="AG146" s="13"/>
      <c r="AH146" s="13"/>
      <c r="AI146" s="13" t="s">
        <v>18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U146" s="1" t="s">
        <v>16</v>
      </c>
      <c r="AV146" s="13" t="s">
        <v>17</v>
      </c>
      <c r="AW146" s="13"/>
      <c r="AX146" s="13"/>
      <c r="AY146" s="13"/>
      <c r="AZ146" s="13"/>
      <c r="BA146" s="13"/>
      <c r="BB146" s="13"/>
      <c r="BC146" s="13"/>
      <c r="BD146" s="13"/>
      <c r="BE146" s="13"/>
      <c r="BF146" s="13" t="s">
        <v>18</v>
      </c>
      <c r="BG146" s="13"/>
      <c r="BH146" s="13"/>
      <c r="BI146" s="13"/>
      <c r="BJ146" s="13"/>
      <c r="BK146" s="13"/>
      <c r="BL146" s="13"/>
      <c r="BM146" s="13"/>
      <c r="BN146" s="13"/>
      <c r="BO146" s="13"/>
    </row>
    <row r="147" spans="24:67" x14ac:dyDescent="0.3">
      <c r="X147" s="1" t="s">
        <v>19</v>
      </c>
      <c r="Y147" s="1" t="s">
        <v>1</v>
      </c>
      <c r="Z147" s="1" t="s">
        <v>10</v>
      </c>
      <c r="AA147" s="1" t="s">
        <v>2</v>
      </c>
      <c r="AB147" s="1" t="s">
        <v>3</v>
      </c>
      <c r="AC147" s="1" t="s">
        <v>4</v>
      </c>
      <c r="AD147" s="1" t="s">
        <v>5</v>
      </c>
      <c r="AE147" s="1" t="s">
        <v>6</v>
      </c>
      <c r="AF147" s="1" t="s">
        <v>7</v>
      </c>
      <c r="AG147" s="1" t="s">
        <v>8</v>
      </c>
      <c r="AH147" s="1" t="s">
        <v>9</v>
      </c>
      <c r="AI147" s="1" t="s">
        <v>1</v>
      </c>
      <c r="AJ147" s="1" t="s">
        <v>10</v>
      </c>
      <c r="AK147" s="1" t="s">
        <v>2</v>
      </c>
      <c r="AL147" s="1" t="s">
        <v>3</v>
      </c>
      <c r="AM147" s="1" t="s">
        <v>4</v>
      </c>
      <c r="AN147" s="1" t="s">
        <v>5</v>
      </c>
      <c r="AO147" s="1" t="s">
        <v>6</v>
      </c>
      <c r="AP147" s="1" t="s">
        <v>7</v>
      </c>
      <c r="AQ147" s="1" t="s">
        <v>8</v>
      </c>
      <c r="AR147" s="1" t="s">
        <v>9</v>
      </c>
      <c r="AU147" s="1" t="s">
        <v>19</v>
      </c>
      <c r="AV147" s="1" t="s">
        <v>1</v>
      </c>
      <c r="AW147" s="1" t="s">
        <v>10</v>
      </c>
      <c r="AX147" s="1" t="s">
        <v>2</v>
      </c>
      <c r="AY147" s="1" t="s">
        <v>3</v>
      </c>
      <c r="AZ147" s="1" t="s">
        <v>4</v>
      </c>
      <c r="BA147" s="1" t="s">
        <v>5</v>
      </c>
      <c r="BB147" s="1" t="s">
        <v>6</v>
      </c>
      <c r="BC147" s="1" t="s">
        <v>7</v>
      </c>
      <c r="BD147" s="1" t="s">
        <v>8</v>
      </c>
      <c r="BE147" s="1" t="s">
        <v>9</v>
      </c>
      <c r="BF147" s="1" t="s">
        <v>1</v>
      </c>
      <c r="BG147" s="1" t="s">
        <v>10</v>
      </c>
      <c r="BH147" s="1" t="s">
        <v>2</v>
      </c>
      <c r="BI147" s="1" t="s">
        <v>3</v>
      </c>
      <c r="BJ147" s="1" t="s">
        <v>4</v>
      </c>
      <c r="BK147" s="1" t="s">
        <v>5</v>
      </c>
      <c r="BL147" s="1" t="s">
        <v>6</v>
      </c>
      <c r="BM147" s="1" t="s">
        <v>7</v>
      </c>
      <c r="BN147" s="1" t="s">
        <v>8</v>
      </c>
      <c r="BO147" s="1" t="s">
        <v>9</v>
      </c>
    </row>
    <row r="148" spans="24:67" x14ac:dyDescent="0.3">
      <c r="X148" s="1" t="s">
        <v>20</v>
      </c>
      <c r="AU148" s="1" t="s">
        <v>20</v>
      </c>
    </row>
    <row r="149" spans="24:67" x14ac:dyDescent="0.3">
      <c r="X149" s="1" t="s">
        <v>21</v>
      </c>
      <c r="Y149" s="2">
        <v>12.28</v>
      </c>
      <c r="Z149" s="2">
        <v>13.54</v>
      </c>
      <c r="AA149" s="2">
        <v>9.74</v>
      </c>
      <c r="AB149" s="2">
        <v>3.15</v>
      </c>
      <c r="AC149" s="2">
        <v>29.9</v>
      </c>
      <c r="AD149" s="2">
        <v>31.64</v>
      </c>
      <c r="AE149" s="2">
        <v>29.89</v>
      </c>
      <c r="AF149" s="2">
        <v>26.55</v>
      </c>
      <c r="AG149" s="2">
        <v>22.56</v>
      </c>
      <c r="AH149" s="2">
        <v>13.33</v>
      </c>
      <c r="AI149" s="2">
        <v>19.62</v>
      </c>
      <c r="AJ149" s="2">
        <v>18.27</v>
      </c>
      <c r="AK149" s="2">
        <v>9.74</v>
      </c>
      <c r="AL149" s="2">
        <v>6.45</v>
      </c>
      <c r="AM149" s="2">
        <v>14.83</v>
      </c>
      <c r="AN149" s="2">
        <v>41.58</v>
      </c>
      <c r="AO149" s="2">
        <v>46.37</v>
      </c>
      <c r="AP149" s="2">
        <v>32.28</v>
      </c>
      <c r="AQ149" s="2">
        <v>22.88</v>
      </c>
      <c r="AR149" s="2">
        <v>23.56</v>
      </c>
      <c r="AU149" s="1" t="s">
        <v>21</v>
      </c>
      <c r="AV149" s="2">
        <v>12.28</v>
      </c>
      <c r="AW149" s="2">
        <v>13.54</v>
      </c>
      <c r="AX149" s="2">
        <v>9.74</v>
      </c>
      <c r="AY149" s="2">
        <v>3.15</v>
      </c>
      <c r="AZ149" s="2">
        <v>29.9</v>
      </c>
      <c r="BA149" s="2">
        <v>31.64</v>
      </c>
      <c r="BB149" s="2">
        <v>29.89</v>
      </c>
      <c r="BC149" s="2">
        <v>26.55</v>
      </c>
      <c r="BD149" s="2">
        <v>22.56</v>
      </c>
      <c r="BE149" s="2">
        <v>13.33</v>
      </c>
      <c r="BF149" s="2">
        <v>19.62</v>
      </c>
      <c r="BG149" s="2">
        <v>18.27</v>
      </c>
      <c r="BH149" s="2">
        <v>9.74</v>
      </c>
      <c r="BI149" s="2">
        <v>6.45</v>
      </c>
      <c r="BJ149" s="2">
        <v>14.83</v>
      </c>
      <c r="BK149" s="2">
        <v>41.58</v>
      </c>
      <c r="BL149" s="2">
        <v>46.37</v>
      </c>
      <c r="BM149" s="2">
        <v>32.28</v>
      </c>
      <c r="BN149" s="2">
        <v>22.88</v>
      </c>
      <c r="BO149" s="2">
        <v>23.56</v>
      </c>
    </row>
    <row r="150" spans="24:67" x14ac:dyDescent="0.3">
      <c r="X150" s="1" t="s">
        <v>22</v>
      </c>
      <c r="Y150" s="2">
        <v>22.48</v>
      </c>
      <c r="Z150" s="2">
        <v>44.44</v>
      </c>
      <c r="AA150" s="2">
        <v>16.579999999999998</v>
      </c>
      <c r="AB150" s="2">
        <v>4.07</v>
      </c>
      <c r="AC150" s="2">
        <v>22.1</v>
      </c>
      <c r="AD150" s="2">
        <v>24.42</v>
      </c>
      <c r="AE150" s="2">
        <v>37.380000000000003</v>
      </c>
      <c r="AF150" s="2">
        <v>34.71</v>
      </c>
      <c r="AG150" s="2">
        <v>42.68</v>
      </c>
      <c r="AH150" s="2">
        <v>29.47</v>
      </c>
      <c r="AI150" s="2">
        <v>15.31</v>
      </c>
      <c r="AJ150" s="2">
        <v>49.27</v>
      </c>
      <c r="AK150" s="2">
        <v>12.57</v>
      </c>
      <c r="AL150" s="2">
        <v>8.69</v>
      </c>
      <c r="AM150" s="2">
        <v>31.62</v>
      </c>
      <c r="AN150" s="2">
        <v>33.78</v>
      </c>
      <c r="AO150" s="2">
        <v>45.62</v>
      </c>
      <c r="AP150" s="2">
        <v>35.97</v>
      </c>
      <c r="AQ150" s="2">
        <v>37.79</v>
      </c>
      <c r="AR150" s="2">
        <v>38.51</v>
      </c>
      <c r="AU150" s="1" t="s">
        <v>22</v>
      </c>
      <c r="AV150" s="2">
        <v>22.48</v>
      </c>
      <c r="AW150" s="2">
        <v>44.44</v>
      </c>
      <c r="AX150" s="2">
        <v>16.579999999999998</v>
      </c>
      <c r="AY150" s="2">
        <v>4.07</v>
      </c>
      <c r="AZ150" s="2">
        <v>22.1</v>
      </c>
      <c r="BA150" s="2">
        <v>24.42</v>
      </c>
      <c r="BB150" s="2">
        <v>37.380000000000003</v>
      </c>
      <c r="BC150" s="2">
        <v>34.71</v>
      </c>
      <c r="BD150" s="2">
        <v>42.68</v>
      </c>
      <c r="BE150" s="2">
        <v>29.47</v>
      </c>
      <c r="BF150" s="2">
        <v>15.31</v>
      </c>
      <c r="BG150" s="2">
        <v>49.27</v>
      </c>
      <c r="BH150" s="2">
        <v>12.57</v>
      </c>
      <c r="BI150" s="2">
        <v>8.69</v>
      </c>
      <c r="BJ150" s="2">
        <v>31.62</v>
      </c>
      <c r="BK150" s="2">
        <v>33.78</v>
      </c>
      <c r="BL150" s="2">
        <v>45.62</v>
      </c>
      <c r="BM150" s="2">
        <v>35.97</v>
      </c>
      <c r="BN150" s="2">
        <v>37.79</v>
      </c>
      <c r="BO150" s="2">
        <v>38.51</v>
      </c>
    </row>
    <row r="151" spans="24:67" x14ac:dyDescent="0.3">
      <c r="X151" s="1" t="s">
        <v>23</v>
      </c>
      <c r="Y151" s="2">
        <v>56.87</v>
      </c>
      <c r="Z151" s="2">
        <v>150.78</v>
      </c>
      <c r="AA151" s="2">
        <v>46.92</v>
      </c>
      <c r="AB151" s="2">
        <v>15.13</v>
      </c>
      <c r="AC151" s="2">
        <v>96.05</v>
      </c>
      <c r="AD151" s="2">
        <v>157.34</v>
      </c>
      <c r="AE151" s="2">
        <v>263.70999999999998</v>
      </c>
      <c r="AF151" s="2">
        <v>237.44</v>
      </c>
      <c r="AG151" s="2">
        <v>303.31</v>
      </c>
      <c r="AH151" s="2">
        <v>147.44999999999999</v>
      </c>
      <c r="AI151" s="2">
        <v>33.78</v>
      </c>
      <c r="AJ151" s="2">
        <v>137.31</v>
      </c>
      <c r="AK151" s="2">
        <v>22.83</v>
      </c>
      <c r="AL151" s="2">
        <v>40.74</v>
      </c>
      <c r="AM151" s="2">
        <v>130.05000000000001</v>
      </c>
      <c r="AN151" s="2">
        <v>119.96</v>
      </c>
      <c r="AO151" s="2">
        <v>197.36</v>
      </c>
      <c r="AP151" s="2">
        <v>169.83</v>
      </c>
      <c r="AQ151" s="2">
        <v>182.27</v>
      </c>
      <c r="AR151" s="2">
        <v>141.01</v>
      </c>
      <c r="AU151" s="1" t="s">
        <v>23</v>
      </c>
      <c r="AV151" s="2">
        <v>56.87</v>
      </c>
      <c r="AW151" s="2">
        <v>150.78</v>
      </c>
      <c r="AX151" s="2">
        <v>46.92</v>
      </c>
      <c r="AY151" s="2">
        <v>15.13</v>
      </c>
      <c r="AZ151" s="2">
        <v>96.05</v>
      </c>
      <c r="BA151" s="2">
        <v>157.34</v>
      </c>
      <c r="BB151" s="2">
        <v>263.70999999999998</v>
      </c>
      <c r="BC151" s="2">
        <v>237.44</v>
      </c>
      <c r="BD151" s="2">
        <v>303.31</v>
      </c>
      <c r="BE151" s="2">
        <v>147.44999999999999</v>
      </c>
      <c r="BF151" s="2">
        <v>33.78</v>
      </c>
      <c r="BG151" s="2">
        <v>137.31</v>
      </c>
      <c r="BH151" s="2">
        <v>22.83</v>
      </c>
      <c r="BI151" s="2">
        <v>40.74</v>
      </c>
      <c r="BJ151" s="2">
        <v>130.05000000000001</v>
      </c>
      <c r="BK151" s="2">
        <v>119.96</v>
      </c>
      <c r="BL151" s="2">
        <v>197.36</v>
      </c>
      <c r="BM151" s="2">
        <v>169.83</v>
      </c>
      <c r="BN151" s="2">
        <v>182.27</v>
      </c>
      <c r="BO151" s="2">
        <v>141.01</v>
      </c>
    </row>
    <row r="152" spans="24:67" x14ac:dyDescent="0.3">
      <c r="X152" s="1" t="s">
        <v>24</v>
      </c>
      <c r="Y152" s="2">
        <v>24.22</v>
      </c>
      <c r="Z152" s="2">
        <v>64.62</v>
      </c>
      <c r="AA152" s="2">
        <v>20.66</v>
      </c>
      <c r="AB152" s="2">
        <v>7.14</v>
      </c>
      <c r="AC152" s="2">
        <v>49.52</v>
      </c>
      <c r="AD152" s="2">
        <v>62.55</v>
      </c>
      <c r="AE152" s="2">
        <v>103.31</v>
      </c>
      <c r="AF152" s="2">
        <v>61.18</v>
      </c>
      <c r="AG152" s="2">
        <v>129.26</v>
      </c>
      <c r="AH152" s="2">
        <v>60.18</v>
      </c>
      <c r="AI152" s="2">
        <v>11.89</v>
      </c>
      <c r="AJ152" s="2">
        <v>60.7</v>
      </c>
      <c r="AK152" s="2">
        <v>10.26</v>
      </c>
      <c r="AL152" s="2">
        <v>7.46</v>
      </c>
      <c r="AM152" s="2">
        <v>37.6</v>
      </c>
      <c r="AN152" s="2">
        <v>33.79</v>
      </c>
      <c r="AO152" s="2">
        <v>49.16</v>
      </c>
      <c r="AP152" s="2">
        <v>43.26</v>
      </c>
      <c r="AQ152" s="2">
        <v>63.99</v>
      </c>
      <c r="AR152" s="2">
        <v>41.78</v>
      </c>
      <c r="AU152" s="1" t="s">
        <v>24</v>
      </c>
      <c r="AV152" s="2">
        <v>24.22</v>
      </c>
      <c r="AW152" s="2">
        <v>64.62</v>
      </c>
      <c r="AX152" s="2">
        <v>20.66</v>
      </c>
      <c r="AY152" s="2">
        <v>7.14</v>
      </c>
      <c r="AZ152" s="2">
        <v>49.52</v>
      </c>
      <c r="BA152" s="2">
        <v>62.55</v>
      </c>
      <c r="BB152" s="2">
        <v>103.31</v>
      </c>
      <c r="BC152" s="2">
        <v>61.18</v>
      </c>
      <c r="BD152" s="2">
        <v>129.26</v>
      </c>
      <c r="BE152" s="2">
        <v>60.18</v>
      </c>
      <c r="BF152" s="2">
        <v>11.89</v>
      </c>
      <c r="BG152" s="2">
        <v>60.7</v>
      </c>
      <c r="BH152" s="2">
        <v>10.26</v>
      </c>
      <c r="BI152" s="2">
        <v>7.46</v>
      </c>
      <c r="BJ152" s="2">
        <v>37.6</v>
      </c>
      <c r="BK152" s="2">
        <v>33.79</v>
      </c>
      <c r="BL152" s="2">
        <v>49.16</v>
      </c>
      <c r="BM152" s="2">
        <v>43.26</v>
      </c>
      <c r="BN152" s="2">
        <v>63.99</v>
      </c>
      <c r="BO152" s="2">
        <v>41.78</v>
      </c>
    </row>
    <row r="153" spans="24:67" x14ac:dyDescent="0.3">
      <c r="X153" s="1" t="s">
        <v>25</v>
      </c>
      <c r="Y153" s="2">
        <v>64.22</v>
      </c>
      <c r="Z153" s="2">
        <v>258.13</v>
      </c>
      <c r="AA153" s="2">
        <v>48.01</v>
      </c>
      <c r="AB153" s="2">
        <v>22.54</v>
      </c>
      <c r="AC153" s="2">
        <v>131.46</v>
      </c>
      <c r="AD153" s="2">
        <v>190.73</v>
      </c>
      <c r="AE153" s="2">
        <v>277.29000000000002</v>
      </c>
      <c r="AF153" s="2">
        <v>222.59</v>
      </c>
      <c r="AG153" s="2">
        <v>267.39999999999998</v>
      </c>
      <c r="AH153" s="2">
        <v>228.9</v>
      </c>
      <c r="AI153" s="2">
        <v>61.51</v>
      </c>
      <c r="AJ153" s="2">
        <v>245.67</v>
      </c>
      <c r="AK153" s="2">
        <v>45.9</v>
      </c>
      <c r="AL153" s="2">
        <v>32.869999999999997</v>
      </c>
      <c r="AM153" s="2">
        <v>137.63</v>
      </c>
      <c r="AN153" s="2">
        <v>177.11</v>
      </c>
      <c r="AO153" s="2">
        <v>241.91</v>
      </c>
      <c r="AP153" s="2">
        <v>201.08</v>
      </c>
      <c r="AQ153" s="2">
        <v>242.47</v>
      </c>
      <c r="AR153" s="2">
        <v>183.91</v>
      </c>
      <c r="AU153" s="1" t="s">
        <v>25</v>
      </c>
      <c r="AV153" s="2">
        <v>64.22</v>
      </c>
      <c r="AW153" s="2">
        <v>258.13</v>
      </c>
      <c r="AX153" s="2">
        <v>48.01</v>
      </c>
      <c r="AY153" s="2">
        <v>22.54</v>
      </c>
      <c r="AZ153" s="2">
        <v>131.46</v>
      </c>
      <c r="BA153" s="2">
        <v>190.73</v>
      </c>
      <c r="BB153" s="2">
        <v>277.29000000000002</v>
      </c>
      <c r="BC153" s="2">
        <v>222.59</v>
      </c>
      <c r="BD153" s="2">
        <v>267.39999999999998</v>
      </c>
      <c r="BE153" s="2">
        <v>228.9</v>
      </c>
      <c r="BF153" s="2">
        <v>61.51</v>
      </c>
      <c r="BG153" s="2">
        <v>245.67</v>
      </c>
      <c r="BH153" s="2">
        <v>45.9</v>
      </c>
      <c r="BI153" s="2">
        <v>32.869999999999997</v>
      </c>
      <c r="BJ153" s="2">
        <v>137.63</v>
      </c>
      <c r="BK153" s="2">
        <v>177.11</v>
      </c>
      <c r="BL153" s="2">
        <v>241.91</v>
      </c>
      <c r="BM153" s="2">
        <v>201.08</v>
      </c>
      <c r="BN153" s="2">
        <v>242.47</v>
      </c>
      <c r="BO153" s="2">
        <v>183.91</v>
      </c>
    </row>
    <row r="154" spans="24:67" x14ac:dyDescent="0.3">
      <c r="X154" s="1" t="s">
        <v>26</v>
      </c>
      <c r="Y154" s="2">
        <v>16</v>
      </c>
      <c r="Z154" s="2">
        <v>41.89</v>
      </c>
      <c r="AA154" s="2">
        <v>14.13</v>
      </c>
      <c r="AB154" s="2">
        <v>4.3899999999999997</v>
      </c>
      <c r="AC154" s="2">
        <v>14.93</v>
      </c>
      <c r="AD154" s="2">
        <v>16.260000000000002</v>
      </c>
      <c r="AE154" s="2">
        <v>33.39</v>
      </c>
      <c r="AF154" s="2">
        <v>30.85</v>
      </c>
      <c r="AG154" s="2">
        <v>38.76</v>
      </c>
      <c r="AH154" s="2">
        <v>39.409999999999997</v>
      </c>
      <c r="AI154" s="2">
        <v>4.38</v>
      </c>
      <c r="AJ154" s="2">
        <v>31.69</v>
      </c>
      <c r="AK154" s="2">
        <v>5.0599999999999996</v>
      </c>
      <c r="AL154" s="2">
        <v>3.33</v>
      </c>
      <c r="AM154" s="2">
        <v>10.87</v>
      </c>
      <c r="AN154" s="2">
        <v>20.5</v>
      </c>
      <c r="AO154" s="2">
        <v>32.380000000000003</v>
      </c>
      <c r="AP154" s="2">
        <v>25.78</v>
      </c>
      <c r="AQ154" s="2">
        <v>44.04</v>
      </c>
      <c r="AR154" s="2">
        <v>23.03</v>
      </c>
      <c r="AU154" s="1" t="s">
        <v>26</v>
      </c>
      <c r="AV154" s="2">
        <v>16</v>
      </c>
      <c r="AW154" s="2">
        <v>41.89</v>
      </c>
      <c r="AX154" s="2">
        <v>14.13</v>
      </c>
      <c r="AY154" s="2">
        <v>4.3899999999999997</v>
      </c>
      <c r="AZ154" s="2">
        <v>14.93</v>
      </c>
      <c r="BA154" s="2">
        <v>16.260000000000002</v>
      </c>
      <c r="BB154" s="2">
        <v>33.39</v>
      </c>
      <c r="BC154" s="2">
        <v>30.85</v>
      </c>
      <c r="BD154" s="2">
        <v>38.76</v>
      </c>
      <c r="BE154" s="2">
        <v>39.409999999999997</v>
      </c>
      <c r="BF154" s="2">
        <v>4.38</v>
      </c>
      <c r="BG154" s="2">
        <v>31.69</v>
      </c>
      <c r="BH154" s="2">
        <v>5.0599999999999996</v>
      </c>
      <c r="BI154" s="2">
        <v>3.33</v>
      </c>
      <c r="BJ154" s="2">
        <v>10.87</v>
      </c>
      <c r="BK154" s="2">
        <v>20.5</v>
      </c>
      <c r="BL154" s="2">
        <v>32.380000000000003</v>
      </c>
      <c r="BM154" s="2">
        <v>25.78</v>
      </c>
      <c r="BN154" s="2">
        <v>44.04</v>
      </c>
      <c r="BO154" s="2">
        <v>23.03</v>
      </c>
    </row>
    <row r="155" spans="24:67" x14ac:dyDescent="0.3">
      <c r="X155" s="1" t="s">
        <v>27</v>
      </c>
      <c r="Y155" s="2">
        <v>25.21</v>
      </c>
      <c r="Z155" s="2">
        <v>85.21</v>
      </c>
      <c r="AA155" s="2">
        <v>18.21</v>
      </c>
      <c r="AB155" s="2">
        <v>10.56</v>
      </c>
      <c r="AC155" s="2">
        <v>48.71</v>
      </c>
      <c r="AD155" s="2">
        <v>45.18</v>
      </c>
      <c r="AE155" s="2">
        <v>84.7</v>
      </c>
      <c r="AF155" s="2">
        <v>68.33</v>
      </c>
      <c r="AG155" s="2">
        <v>117.23</v>
      </c>
      <c r="AH155" s="2">
        <v>83.31</v>
      </c>
      <c r="AI155" s="2">
        <v>26.09</v>
      </c>
      <c r="AJ155" s="2">
        <v>63.18</v>
      </c>
      <c r="AK155" s="2">
        <v>22.38</v>
      </c>
      <c r="AL155" s="2">
        <v>10.86</v>
      </c>
      <c r="AM155" s="2">
        <v>41.35</v>
      </c>
      <c r="AN155" s="2">
        <v>42.36</v>
      </c>
      <c r="AO155" s="2">
        <v>73.13</v>
      </c>
      <c r="AP155" s="2">
        <v>65.319999999999993</v>
      </c>
      <c r="AQ155" s="2">
        <v>93.92</v>
      </c>
      <c r="AR155" s="2">
        <v>52.26</v>
      </c>
      <c r="AU155" s="1" t="s">
        <v>27</v>
      </c>
      <c r="AV155" s="2">
        <v>25.21</v>
      </c>
      <c r="AW155" s="2">
        <v>85.21</v>
      </c>
      <c r="AX155" s="2">
        <v>18.21</v>
      </c>
      <c r="AY155" s="2">
        <v>10.56</v>
      </c>
      <c r="AZ155" s="2">
        <v>48.71</v>
      </c>
      <c r="BA155" s="2">
        <v>45.18</v>
      </c>
      <c r="BB155" s="2">
        <v>84.7</v>
      </c>
      <c r="BC155" s="2">
        <v>68.33</v>
      </c>
      <c r="BD155" s="2">
        <v>117.23</v>
      </c>
      <c r="BE155" s="2">
        <v>83.31</v>
      </c>
      <c r="BF155" s="2">
        <v>26.09</v>
      </c>
      <c r="BG155" s="2">
        <v>63.18</v>
      </c>
      <c r="BH155" s="2">
        <v>22.38</v>
      </c>
      <c r="BI155" s="2">
        <v>10.86</v>
      </c>
      <c r="BJ155" s="2">
        <v>41.35</v>
      </c>
      <c r="BK155" s="2">
        <v>42.36</v>
      </c>
      <c r="BL155" s="2">
        <v>73.13</v>
      </c>
      <c r="BM155" s="2">
        <v>65.319999999999993</v>
      </c>
      <c r="BN155" s="2">
        <v>93.92</v>
      </c>
      <c r="BO155" s="2">
        <v>52.26</v>
      </c>
    </row>
    <row r="156" spans="24:67" x14ac:dyDescent="0.3">
      <c r="X156" s="1" t="s">
        <v>28</v>
      </c>
      <c r="Y156" s="2">
        <v>5.63</v>
      </c>
      <c r="Z156" s="2">
        <v>15.96</v>
      </c>
      <c r="AA156" s="2">
        <v>3.68</v>
      </c>
      <c r="AB156" s="2">
        <v>1.23</v>
      </c>
      <c r="AC156" s="2">
        <v>13.12</v>
      </c>
      <c r="AD156" s="2">
        <v>10.39</v>
      </c>
      <c r="AE156" s="2">
        <v>24.68</v>
      </c>
      <c r="AF156" s="2">
        <v>19.89</v>
      </c>
      <c r="AG156" s="2">
        <v>15.24</v>
      </c>
      <c r="AH156" s="2">
        <v>5.9</v>
      </c>
      <c r="AI156" s="2">
        <v>10.220000000000001</v>
      </c>
      <c r="AJ156" s="2">
        <v>19.8</v>
      </c>
      <c r="AK156" s="2">
        <v>4.87</v>
      </c>
      <c r="AL156" s="2">
        <v>1.85</v>
      </c>
      <c r="AM156" s="2">
        <v>6.69</v>
      </c>
      <c r="AN156" s="2">
        <v>13.77</v>
      </c>
      <c r="AO156" s="2">
        <v>16.91</v>
      </c>
      <c r="AP156" s="2">
        <v>10.42</v>
      </c>
      <c r="AQ156" s="2">
        <v>6.78</v>
      </c>
      <c r="AR156" s="2">
        <v>5.82</v>
      </c>
      <c r="AU156" s="1" t="s">
        <v>28</v>
      </c>
      <c r="AV156" s="2">
        <v>5.63</v>
      </c>
      <c r="AW156" s="2">
        <v>15.96</v>
      </c>
      <c r="AX156" s="2">
        <v>3.68</v>
      </c>
      <c r="AY156" s="2">
        <v>1.23</v>
      </c>
      <c r="AZ156" s="2">
        <v>13.12</v>
      </c>
      <c r="BA156" s="2">
        <v>10.39</v>
      </c>
      <c r="BB156" s="2">
        <v>24.68</v>
      </c>
      <c r="BC156" s="2">
        <v>19.89</v>
      </c>
      <c r="BD156" s="2">
        <v>15.24</v>
      </c>
      <c r="BE156" s="2">
        <v>5.9</v>
      </c>
      <c r="BF156" s="2">
        <v>10.220000000000001</v>
      </c>
      <c r="BG156" s="2">
        <v>19.8</v>
      </c>
      <c r="BH156" s="2">
        <v>4.87</v>
      </c>
      <c r="BI156" s="2">
        <v>1.85</v>
      </c>
      <c r="BJ156" s="2">
        <v>6.69</v>
      </c>
      <c r="BK156" s="2">
        <v>13.77</v>
      </c>
      <c r="BL156" s="2">
        <v>16.91</v>
      </c>
      <c r="BM156" s="2">
        <v>10.42</v>
      </c>
      <c r="BN156" s="2">
        <v>6.78</v>
      </c>
      <c r="BO156" s="2">
        <v>5.82</v>
      </c>
    </row>
    <row r="159" spans="24:67" x14ac:dyDescent="0.3">
      <c r="X159" t="s">
        <v>64</v>
      </c>
      <c r="AU159" t="s">
        <v>65</v>
      </c>
    </row>
    <row r="160" spans="24:67" x14ac:dyDescent="0.3">
      <c r="X160" s="1" t="s">
        <v>16</v>
      </c>
      <c r="Y160" s="1" t="s">
        <v>17</v>
      </c>
      <c r="Z160" s="1" t="s">
        <v>18</v>
      </c>
      <c r="AA160" s="1" t="s">
        <v>17</v>
      </c>
      <c r="AB160" s="1" t="s">
        <v>18</v>
      </c>
      <c r="AC160" s="1" t="s">
        <v>17</v>
      </c>
      <c r="AD160" s="1" t="s">
        <v>18</v>
      </c>
      <c r="AE160" s="1" t="s">
        <v>17</v>
      </c>
      <c r="AF160" s="1" t="s">
        <v>18</v>
      </c>
      <c r="AG160" s="1" t="s">
        <v>17</v>
      </c>
      <c r="AH160" s="1" t="s">
        <v>18</v>
      </c>
      <c r="AI160" s="1" t="s">
        <v>17</v>
      </c>
      <c r="AJ160" s="1" t="s">
        <v>18</v>
      </c>
      <c r="AK160" s="1" t="s">
        <v>17</v>
      </c>
      <c r="AL160" s="1" t="s">
        <v>18</v>
      </c>
      <c r="AM160" s="1" t="s">
        <v>17</v>
      </c>
      <c r="AN160" s="1" t="s">
        <v>18</v>
      </c>
      <c r="AO160" s="1" t="s">
        <v>17</v>
      </c>
      <c r="AP160" s="1" t="s">
        <v>18</v>
      </c>
      <c r="AQ160" s="1" t="s">
        <v>17</v>
      </c>
      <c r="AR160" s="1" t="s">
        <v>18</v>
      </c>
      <c r="AU160" s="1" t="s">
        <v>16</v>
      </c>
      <c r="AV160" s="1" t="s">
        <v>17</v>
      </c>
      <c r="AW160" s="1" t="s">
        <v>18</v>
      </c>
      <c r="AX160" s="1" t="s">
        <v>17</v>
      </c>
      <c r="AY160" s="1" t="s">
        <v>18</v>
      </c>
      <c r="AZ160" s="1" t="s">
        <v>17</v>
      </c>
      <c r="BA160" s="1" t="s">
        <v>18</v>
      </c>
      <c r="BB160" s="1" t="s">
        <v>17</v>
      </c>
      <c r="BC160" s="1" t="s">
        <v>18</v>
      </c>
      <c r="BD160" s="1" t="s">
        <v>17</v>
      </c>
      <c r="BE160" s="1" t="s">
        <v>18</v>
      </c>
      <c r="BF160" s="1" t="s">
        <v>17</v>
      </c>
      <c r="BG160" s="1" t="s">
        <v>18</v>
      </c>
      <c r="BH160" s="1" t="s">
        <v>17</v>
      </c>
      <c r="BI160" s="1" t="s">
        <v>18</v>
      </c>
      <c r="BJ160" s="1" t="s">
        <v>17</v>
      </c>
      <c r="BK160" s="1" t="s">
        <v>18</v>
      </c>
      <c r="BL160" s="1" t="s">
        <v>17</v>
      </c>
      <c r="BM160" s="1" t="s">
        <v>18</v>
      </c>
      <c r="BN160" s="1" t="s">
        <v>17</v>
      </c>
      <c r="BO160" s="1" t="s">
        <v>18</v>
      </c>
    </row>
    <row r="161" spans="24:67" x14ac:dyDescent="0.3">
      <c r="X161" s="1" t="s">
        <v>19</v>
      </c>
      <c r="Y161" s="1" t="s">
        <v>1</v>
      </c>
      <c r="Z161" s="1" t="s">
        <v>1</v>
      </c>
      <c r="AA161" s="1" t="s">
        <v>2</v>
      </c>
      <c r="AB161" s="1" t="s">
        <v>2</v>
      </c>
      <c r="AC161" s="1" t="s">
        <v>3</v>
      </c>
      <c r="AD161" s="1" t="s">
        <v>3</v>
      </c>
      <c r="AE161" s="1" t="s">
        <v>4</v>
      </c>
      <c r="AF161" s="1" t="s">
        <v>4</v>
      </c>
      <c r="AG161" s="1" t="s">
        <v>5</v>
      </c>
      <c r="AH161" s="1" t="s">
        <v>5</v>
      </c>
      <c r="AI161" s="1" t="s">
        <v>6</v>
      </c>
      <c r="AJ161" s="1" t="s">
        <v>6</v>
      </c>
      <c r="AK161" s="1" t="s">
        <v>7</v>
      </c>
      <c r="AL161" s="1" t="s">
        <v>7</v>
      </c>
      <c r="AM161" s="1" t="s">
        <v>8</v>
      </c>
      <c r="AN161" s="1" t="s">
        <v>8</v>
      </c>
      <c r="AO161" s="1" t="s">
        <v>9</v>
      </c>
      <c r="AP161" s="1" t="s">
        <v>9</v>
      </c>
      <c r="AQ161" s="1" t="s">
        <v>10</v>
      </c>
      <c r="AR161" s="1" t="s">
        <v>10</v>
      </c>
      <c r="AU161" s="1" t="s">
        <v>19</v>
      </c>
      <c r="AV161" s="1" t="s">
        <v>1</v>
      </c>
      <c r="AW161" s="1" t="s">
        <v>1</v>
      </c>
      <c r="AX161" s="1" t="s">
        <v>2</v>
      </c>
      <c r="AY161" s="1" t="s">
        <v>2</v>
      </c>
      <c r="AZ161" s="1" t="s">
        <v>3</v>
      </c>
      <c r="BA161" s="1" t="s">
        <v>3</v>
      </c>
      <c r="BB161" s="1" t="s">
        <v>4</v>
      </c>
      <c r="BC161" s="1" t="s">
        <v>4</v>
      </c>
      <c r="BD161" s="1" t="s">
        <v>5</v>
      </c>
      <c r="BE161" s="1" t="s">
        <v>5</v>
      </c>
      <c r="BF161" s="1" t="s">
        <v>6</v>
      </c>
      <c r="BG161" s="1" t="s">
        <v>6</v>
      </c>
      <c r="BH161" s="1" t="s">
        <v>7</v>
      </c>
      <c r="BI161" s="1" t="s">
        <v>7</v>
      </c>
      <c r="BJ161" s="1" t="s">
        <v>8</v>
      </c>
      <c r="BK161" s="1" t="s">
        <v>8</v>
      </c>
      <c r="BL161" s="1" t="s">
        <v>9</v>
      </c>
      <c r="BM161" s="1" t="s">
        <v>9</v>
      </c>
      <c r="BN161" s="1" t="s">
        <v>10</v>
      </c>
      <c r="BO161" s="1" t="s">
        <v>10</v>
      </c>
    </row>
    <row r="162" spans="24:67" x14ac:dyDescent="0.3">
      <c r="X162" s="1" t="s">
        <v>20</v>
      </c>
      <c r="AU162" s="1" t="s">
        <v>20</v>
      </c>
    </row>
    <row r="163" spans="24:67" x14ac:dyDescent="0.3">
      <c r="X163" s="1" t="s">
        <v>21</v>
      </c>
      <c r="Y163" s="2">
        <v>9.44</v>
      </c>
      <c r="Z163" s="2">
        <v>15.1</v>
      </c>
      <c r="AA163" s="2">
        <v>7.49</v>
      </c>
      <c r="AB163" s="2">
        <v>7.49</v>
      </c>
      <c r="AC163" s="2">
        <v>6.3</v>
      </c>
      <c r="AD163" s="2">
        <v>12.9</v>
      </c>
      <c r="AE163" s="2">
        <v>18.690000000000001</v>
      </c>
      <c r="AF163" s="2">
        <v>9.27</v>
      </c>
      <c r="AG163" s="2">
        <v>15.82</v>
      </c>
      <c r="AH163" s="2">
        <v>20.79</v>
      </c>
      <c r="AI163" s="2">
        <v>8.3000000000000007</v>
      </c>
      <c r="AJ163" s="2">
        <v>12.88</v>
      </c>
      <c r="AK163" s="2">
        <v>9.15</v>
      </c>
      <c r="AL163" s="2">
        <v>11.13</v>
      </c>
      <c r="AM163" s="2">
        <v>5.94</v>
      </c>
      <c r="AN163" s="2">
        <v>6.02</v>
      </c>
      <c r="AO163" s="2">
        <v>3.92</v>
      </c>
      <c r="AP163" s="2">
        <v>6.93</v>
      </c>
      <c r="AQ163" s="2">
        <v>3.01</v>
      </c>
      <c r="AR163" s="2">
        <v>4.0599999999999996</v>
      </c>
      <c r="AU163" s="1" t="s">
        <v>21</v>
      </c>
      <c r="AV163" s="2">
        <v>9.44</v>
      </c>
      <c r="AW163" s="2">
        <v>15.1</v>
      </c>
      <c r="AX163" s="2">
        <v>7.49</v>
      </c>
      <c r="AY163" s="2">
        <v>7.49</v>
      </c>
      <c r="AZ163" s="2">
        <v>6.3</v>
      </c>
      <c r="BA163" s="2">
        <v>12.9</v>
      </c>
      <c r="BB163" s="2">
        <v>18.690000000000001</v>
      </c>
      <c r="BC163" s="2">
        <v>9.27</v>
      </c>
      <c r="BD163" s="2">
        <v>15.82</v>
      </c>
      <c r="BE163" s="2">
        <v>20.79</v>
      </c>
      <c r="BF163" s="2">
        <v>8.3000000000000007</v>
      </c>
      <c r="BG163" s="2">
        <v>12.88</v>
      </c>
      <c r="BH163" s="2">
        <v>9.15</v>
      </c>
      <c r="BI163" s="2">
        <v>11.13</v>
      </c>
      <c r="BJ163" s="2">
        <v>5.94</v>
      </c>
      <c r="BK163" s="2">
        <v>6.02</v>
      </c>
      <c r="BL163" s="2">
        <v>3.92</v>
      </c>
      <c r="BM163" s="2">
        <v>6.93</v>
      </c>
      <c r="BN163" s="2">
        <v>3.01</v>
      </c>
      <c r="BO163" s="2">
        <v>4.0599999999999996</v>
      </c>
    </row>
    <row r="164" spans="24:67" x14ac:dyDescent="0.3">
      <c r="X164" s="1" t="s">
        <v>22</v>
      </c>
      <c r="Y164" s="2">
        <v>17.29</v>
      </c>
      <c r="Z164" s="2">
        <v>11.78</v>
      </c>
      <c r="AA164" s="2">
        <v>12.76</v>
      </c>
      <c r="AB164" s="2">
        <v>9.67</v>
      </c>
      <c r="AC164" s="2">
        <v>8.1300000000000008</v>
      </c>
      <c r="AD164" s="2">
        <v>17.38</v>
      </c>
      <c r="AE164" s="2">
        <v>13.81</v>
      </c>
      <c r="AF164" s="2">
        <v>19.760000000000002</v>
      </c>
      <c r="AG164" s="2">
        <v>12.21</v>
      </c>
      <c r="AH164" s="2">
        <v>16.89</v>
      </c>
      <c r="AI164" s="2">
        <v>10.38</v>
      </c>
      <c r="AJ164" s="2">
        <v>12.67</v>
      </c>
      <c r="AK164" s="2">
        <v>11.97</v>
      </c>
      <c r="AL164" s="2">
        <v>12.4</v>
      </c>
      <c r="AM164" s="2">
        <v>11.23</v>
      </c>
      <c r="AN164" s="2">
        <v>9.94</v>
      </c>
      <c r="AO164" s="2">
        <v>8.67</v>
      </c>
      <c r="AP164" s="2">
        <v>11.33</v>
      </c>
      <c r="AQ164" s="2">
        <v>9.8699999999999992</v>
      </c>
      <c r="AR164" s="2">
        <v>10.95</v>
      </c>
      <c r="AU164" s="1" t="s">
        <v>22</v>
      </c>
      <c r="AV164" s="2">
        <v>17.29</v>
      </c>
      <c r="AW164" s="2">
        <v>11.78</v>
      </c>
      <c r="AX164" s="2">
        <v>12.76</v>
      </c>
      <c r="AY164" s="2">
        <v>9.67</v>
      </c>
      <c r="AZ164" s="2">
        <v>8.1300000000000008</v>
      </c>
      <c r="BA164" s="2">
        <v>17.38</v>
      </c>
      <c r="BB164" s="2">
        <v>13.81</v>
      </c>
      <c r="BC164" s="2">
        <v>19.760000000000002</v>
      </c>
      <c r="BD164" s="2">
        <v>12.21</v>
      </c>
      <c r="BE164" s="2">
        <v>16.89</v>
      </c>
      <c r="BF164" s="2">
        <v>10.38</v>
      </c>
      <c r="BG164" s="2">
        <v>12.67</v>
      </c>
      <c r="BH164" s="2">
        <v>11.97</v>
      </c>
      <c r="BI164" s="2">
        <v>12.4</v>
      </c>
      <c r="BJ164" s="2">
        <v>11.23</v>
      </c>
      <c r="BK164" s="2">
        <v>9.94</v>
      </c>
      <c r="BL164" s="2">
        <v>8.67</v>
      </c>
      <c r="BM164" s="2">
        <v>11.33</v>
      </c>
      <c r="BN164" s="2">
        <v>9.8699999999999992</v>
      </c>
      <c r="BO164" s="2">
        <v>10.95</v>
      </c>
    </row>
    <row r="165" spans="24:67" x14ac:dyDescent="0.3">
      <c r="X165" s="1" t="s">
        <v>23</v>
      </c>
      <c r="Y165" s="2">
        <v>43.75</v>
      </c>
      <c r="Z165" s="2">
        <v>25.98</v>
      </c>
      <c r="AA165" s="2">
        <v>36.1</v>
      </c>
      <c r="AB165" s="2">
        <v>17.559999999999999</v>
      </c>
      <c r="AC165" s="2">
        <v>30.26</v>
      </c>
      <c r="AD165" s="2">
        <v>81.48</v>
      </c>
      <c r="AE165" s="2">
        <v>60.03</v>
      </c>
      <c r="AF165" s="2">
        <v>81.28</v>
      </c>
      <c r="AG165" s="2">
        <v>78.67</v>
      </c>
      <c r="AH165" s="2">
        <v>59.98</v>
      </c>
      <c r="AI165" s="2">
        <v>73.25</v>
      </c>
      <c r="AJ165" s="2">
        <v>54.82</v>
      </c>
      <c r="AK165" s="2">
        <v>81.88</v>
      </c>
      <c r="AL165" s="2">
        <v>58.56</v>
      </c>
      <c r="AM165" s="2">
        <v>79.819999999999993</v>
      </c>
      <c r="AN165" s="2">
        <v>47.97</v>
      </c>
      <c r="AO165" s="2">
        <v>43.37</v>
      </c>
      <c r="AP165" s="2">
        <v>41.47</v>
      </c>
      <c r="AQ165" s="2">
        <v>33.51</v>
      </c>
      <c r="AR165" s="2">
        <v>30.51</v>
      </c>
      <c r="AU165" s="1" t="s">
        <v>23</v>
      </c>
      <c r="AV165" s="2">
        <v>43.75</v>
      </c>
      <c r="AW165" s="2">
        <v>25.98</v>
      </c>
      <c r="AX165" s="2">
        <v>36.1</v>
      </c>
      <c r="AY165" s="2">
        <v>17.559999999999999</v>
      </c>
      <c r="AZ165" s="2">
        <v>30.26</v>
      </c>
      <c r="BA165" s="2">
        <v>81.48</v>
      </c>
      <c r="BB165" s="2">
        <v>60.03</v>
      </c>
      <c r="BC165" s="2">
        <v>81.28</v>
      </c>
      <c r="BD165" s="2">
        <v>78.67</v>
      </c>
      <c r="BE165" s="2">
        <v>59.98</v>
      </c>
      <c r="BF165" s="2">
        <v>73.25</v>
      </c>
      <c r="BG165" s="2">
        <v>54.82</v>
      </c>
      <c r="BH165" s="2">
        <v>81.88</v>
      </c>
      <c r="BI165" s="2">
        <v>58.56</v>
      </c>
      <c r="BJ165" s="2">
        <v>79.819999999999993</v>
      </c>
      <c r="BK165" s="2">
        <v>47.97</v>
      </c>
      <c r="BL165" s="2">
        <v>43.37</v>
      </c>
      <c r="BM165" s="2">
        <v>41.47</v>
      </c>
      <c r="BN165" s="2">
        <v>33.51</v>
      </c>
      <c r="BO165" s="2">
        <v>30.51</v>
      </c>
    </row>
    <row r="166" spans="24:67" x14ac:dyDescent="0.3">
      <c r="X166" s="1" t="s">
        <v>24</v>
      </c>
      <c r="Y166" s="2">
        <v>18.63</v>
      </c>
      <c r="Z166" s="2">
        <v>9.15</v>
      </c>
      <c r="AA166" s="2">
        <v>15.89</v>
      </c>
      <c r="AB166" s="2">
        <v>7.89</v>
      </c>
      <c r="AC166" s="2">
        <v>14.27</v>
      </c>
      <c r="AD166" s="2">
        <v>14.92</v>
      </c>
      <c r="AE166" s="2">
        <v>30.95</v>
      </c>
      <c r="AF166" s="2">
        <v>23.5</v>
      </c>
      <c r="AG166" s="2">
        <v>31.27</v>
      </c>
      <c r="AH166" s="2">
        <v>16.89</v>
      </c>
      <c r="AI166" s="2">
        <v>28.7</v>
      </c>
      <c r="AJ166" s="2">
        <v>13.66</v>
      </c>
      <c r="AK166" s="2">
        <v>21.1</v>
      </c>
      <c r="AL166" s="2">
        <v>14.92</v>
      </c>
      <c r="AM166" s="2">
        <v>34.020000000000003</v>
      </c>
      <c r="AN166" s="2">
        <v>16.84</v>
      </c>
      <c r="AO166" s="2">
        <v>17.7</v>
      </c>
      <c r="AP166" s="2">
        <v>12.29</v>
      </c>
      <c r="AQ166" s="2">
        <v>14.36</v>
      </c>
      <c r="AR166" s="2">
        <v>13.49</v>
      </c>
      <c r="AU166" s="1" t="s">
        <v>24</v>
      </c>
      <c r="AV166" s="2">
        <v>18.63</v>
      </c>
      <c r="AW166" s="2">
        <v>9.15</v>
      </c>
      <c r="AX166" s="2">
        <v>15.89</v>
      </c>
      <c r="AY166" s="2">
        <v>7.89</v>
      </c>
      <c r="AZ166" s="2">
        <v>14.27</v>
      </c>
      <c r="BA166" s="2">
        <v>14.92</v>
      </c>
      <c r="BB166" s="2">
        <v>30.95</v>
      </c>
      <c r="BC166" s="2">
        <v>23.5</v>
      </c>
      <c r="BD166" s="2">
        <v>31.27</v>
      </c>
      <c r="BE166" s="2">
        <v>16.89</v>
      </c>
      <c r="BF166" s="2">
        <v>28.7</v>
      </c>
      <c r="BG166" s="2">
        <v>13.66</v>
      </c>
      <c r="BH166" s="2">
        <v>21.1</v>
      </c>
      <c r="BI166" s="2">
        <v>14.92</v>
      </c>
      <c r="BJ166" s="2">
        <v>34.020000000000003</v>
      </c>
      <c r="BK166" s="2">
        <v>16.84</v>
      </c>
      <c r="BL166" s="2">
        <v>17.7</v>
      </c>
      <c r="BM166" s="2">
        <v>12.29</v>
      </c>
      <c r="BN166" s="2">
        <v>14.36</v>
      </c>
      <c r="BO166" s="2">
        <v>13.49</v>
      </c>
    </row>
    <row r="167" spans="24:67" x14ac:dyDescent="0.3">
      <c r="X167" s="1" t="s">
        <v>25</v>
      </c>
      <c r="Y167" s="2">
        <v>49.4</v>
      </c>
      <c r="Z167" s="2">
        <v>47.31</v>
      </c>
      <c r="AA167" s="2">
        <v>36.93</v>
      </c>
      <c r="AB167" s="2">
        <v>35.31</v>
      </c>
      <c r="AC167" s="2">
        <v>45.08</v>
      </c>
      <c r="AD167" s="2">
        <v>65.75</v>
      </c>
      <c r="AE167" s="2">
        <v>82.16</v>
      </c>
      <c r="AF167" s="2">
        <v>86.02</v>
      </c>
      <c r="AG167" s="2">
        <v>95.37</v>
      </c>
      <c r="AH167" s="2">
        <v>88.55</v>
      </c>
      <c r="AI167" s="2">
        <v>77.02</v>
      </c>
      <c r="AJ167" s="2">
        <v>67.2</v>
      </c>
      <c r="AK167" s="2">
        <v>76.75</v>
      </c>
      <c r="AL167" s="2">
        <v>69.34</v>
      </c>
      <c r="AM167" s="2">
        <v>70.37</v>
      </c>
      <c r="AN167" s="2">
        <v>63.81</v>
      </c>
      <c r="AO167" s="2">
        <v>67.319999999999993</v>
      </c>
      <c r="AP167" s="2">
        <v>54.09</v>
      </c>
      <c r="AQ167" s="2">
        <v>57.36</v>
      </c>
      <c r="AR167" s="2">
        <v>54.59</v>
      </c>
      <c r="AU167" s="1" t="s">
        <v>25</v>
      </c>
      <c r="AV167" s="2">
        <v>49.4</v>
      </c>
      <c r="AW167" s="2">
        <v>47.31</v>
      </c>
      <c r="AX167" s="2">
        <v>36.93</v>
      </c>
      <c r="AY167" s="2">
        <v>35.31</v>
      </c>
      <c r="AZ167" s="2">
        <v>45.08</v>
      </c>
      <c r="BA167" s="2">
        <v>65.75</v>
      </c>
      <c r="BB167" s="2">
        <v>82.16</v>
      </c>
      <c r="BC167" s="2">
        <v>86.02</v>
      </c>
      <c r="BD167" s="2">
        <v>95.37</v>
      </c>
      <c r="BE167" s="2">
        <v>88.55</v>
      </c>
      <c r="BF167" s="2">
        <v>77.02</v>
      </c>
      <c r="BG167" s="2">
        <v>67.2</v>
      </c>
      <c r="BH167" s="2">
        <v>76.75</v>
      </c>
      <c r="BI167" s="2">
        <v>69.34</v>
      </c>
      <c r="BJ167" s="2">
        <v>70.37</v>
      </c>
      <c r="BK167" s="2">
        <v>63.81</v>
      </c>
      <c r="BL167" s="2">
        <v>67.319999999999993</v>
      </c>
      <c r="BM167" s="2">
        <v>54.09</v>
      </c>
      <c r="BN167" s="2">
        <v>57.36</v>
      </c>
      <c r="BO167" s="2">
        <v>54.59</v>
      </c>
    </row>
    <row r="168" spans="24:67" x14ac:dyDescent="0.3">
      <c r="X168" s="1" t="s">
        <v>26</v>
      </c>
      <c r="Y168" s="2">
        <v>12.31</v>
      </c>
      <c r="Z168" s="2">
        <v>3.37</v>
      </c>
      <c r="AA168" s="2">
        <v>10.87</v>
      </c>
      <c r="AB168" s="2">
        <v>3.89</v>
      </c>
      <c r="AC168" s="2">
        <v>8.7899999999999991</v>
      </c>
      <c r="AD168" s="2">
        <v>6.67</v>
      </c>
      <c r="AE168" s="2">
        <v>9.33</v>
      </c>
      <c r="AF168" s="2">
        <v>6.8</v>
      </c>
      <c r="AG168" s="2">
        <v>8.1300000000000008</v>
      </c>
      <c r="AH168" s="2">
        <v>10.25</v>
      </c>
      <c r="AI168" s="2">
        <v>9.27</v>
      </c>
      <c r="AJ168" s="2">
        <v>8.99</v>
      </c>
      <c r="AK168" s="2">
        <v>10.64</v>
      </c>
      <c r="AL168" s="2">
        <v>8.89</v>
      </c>
      <c r="AM168" s="2">
        <v>10.199999999999999</v>
      </c>
      <c r="AN168" s="2">
        <v>11.59</v>
      </c>
      <c r="AO168" s="2">
        <v>11.59</v>
      </c>
      <c r="AP168" s="2">
        <v>6.77</v>
      </c>
      <c r="AQ168" s="2">
        <v>9.31</v>
      </c>
      <c r="AR168" s="2">
        <v>7.04</v>
      </c>
      <c r="AU168" s="1" t="s">
        <v>26</v>
      </c>
      <c r="AV168" s="2">
        <v>12.31</v>
      </c>
      <c r="AW168" s="2">
        <v>3.37</v>
      </c>
      <c r="AX168" s="2">
        <v>10.87</v>
      </c>
      <c r="AY168" s="2">
        <v>3.89</v>
      </c>
      <c r="AZ168" s="2">
        <v>8.7899999999999991</v>
      </c>
      <c r="BA168" s="2">
        <v>6.67</v>
      </c>
      <c r="BB168" s="2">
        <v>9.33</v>
      </c>
      <c r="BC168" s="2">
        <v>6.8</v>
      </c>
      <c r="BD168" s="2">
        <v>8.1300000000000008</v>
      </c>
      <c r="BE168" s="2">
        <v>10.25</v>
      </c>
      <c r="BF168" s="2">
        <v>9.27</v>
      </c>
      <c r="BG168" s="2">
        <v>8.99</v>
      </c>
      <c r="BH168" s="2">
        <v>10.64</v>
      </c>
      <c r="BI168" s="2">
        <v>8.89</v>
      </c>
      <c r="BJ168" s="2">
        <v>10.199999999999999</v>
      </c>
      <c r="BK168" s="2">
        <v>11.59</v>
      </c>
      <c r="BL168" s="2">
        <v>11.59</v>
      </c>
      <c r="BM168" s="2">
        <v>6.77</v>
      </c>
      <c r="BN168" s="2">
        <v>9.31</v>
      </c>
      <c r="BO168" s="2">
        <v>7.04</v>
      </c>
    </row>
    <row r="169" spans="24:67" x14ac:dyDescent="0.3">
      <c r="X169" s="1" t="s">
        <v>27</v>
      </c>
      <c r="Y169" s="2">
        <v>19.39</v>
      </c>
      <c r="Z169" s="2">
        <v>20.07</v>
      </c>
      <c r="AA169" s="2">
        <v>14.01</v>
      </c>
      <c r="AB169" s="2">
        <v>17.22</v>
      </c>
      <c r="AC169" s="2">
        <v>21.13</v>
      </c>
      <c r="AD169" s="2">
        <v>21.71</v>
      </c>
      <c r="AE169" s="2">
        <v>30.44</v>
      </c>
      <c r="AF169" s="2">
        <v>25.84</v>
      </c>
      <c r="AG169" s="2">
        <v>22.59</v>
      </c>
      <c r="AH169" s="2">
        <v>21.18</v>
      </c>
      <c r="AI169" s="2">
        <v>23.53</v>
      </c>
      <c r="AJ169" s="2">
        <v>20.309999999999999</v>
      </c>
      <c r="AK169" s="2">
        <v>23.56</v>
      </c>
      <c r="AL169" s="2">
        <v>22.53</v>
      </c>
      <c r="AM169" s="2">
        <v>30.85</v>
      </c>
      <c r="AN169" s="2">
        <v>24.72</v>
      </c>
      <c r="AO169" s="2">
        <v>24.5</v>
      </c>
      <c r="AP169" s="2">
        <v>15.37</v>
      </c>
      <c r="AQ169" s="2">
        <v>18.940000000000001</v>
      </c>
      <c r="AR169" s="2">
        <v>14.04</v>
      </c>
      <c r="AU169" s="1" t="s">
        <v>27</v>
      </c>
      <c r="AV169" s="2">
        <v>19.39</v>
      </c>
      <c r="AW169" s="2">
        <v>20.07</v>
      </c>
      <c r="AX169" s="2">
        <v>14.01</v>
      </c>
      <c r="AY169" s="2">
        <v>17.22</v>
      </c>
      <c r="AZ169" s="2">
        <v>21.13</v>
      </c>
      <c r="BA169" s="2">
        <v>21.71</v>
      </c>
      <c r="BB169" s="2">
        <v>30.44</v>
      </c>
      <c r="BC169" s="2">
        <v>25.84</v>
      </c>
      <c r="BD169" s="2">
        <v>22.59</v>
      </c>
      <c r="BE169" s="2">
        <v>21.18</v>
      </c>
      <c r="BF169" s="2">
        <v>23.53</v>
      </c>
      <c r="BG169" s="2">
        <v>20.309999999999999</v>
      </c>
      <c r="BH169" s="2">
        <v>23.56</v>
      </c>
      <c r="BI169" s="2">
        <v>22.53</v>
      </c>
      <c r="BJ169" s="2">
        <v>30.85</v>
      </c>
      <c r="BK169" s="2">
        <v>24.72</v>
      </c>
      <c r="BL169" s="2">
        <v>24.5</v>
      </c>
      <c r="BM169" s="2">
        <v>15.37</v>
      </c>
      <c r="BN169" s="2">
        <v>18.940000000000001</v>
      </c>
      <c r="BO169" s="2">
        <v>14.04</v>
      </c>
    </row>
    <row r="170" spans="24:67" x14ac:dyDescent="0.3">
      <c r="X170" s="1" t="s">
        <v>28</v>
      </c>
      <c r="Y170" s="2">
        <v>4.33</v>
      </c>
      <c r="Z170" s="2">
        <v>7.86</v>
      </c>
      <c r="AA170" s="2">
        <v>2.83</v>
      </c>
      <c r="AB170" s="2">
        <v>3.75</v>
      </c>
      <c r="AC170" s="2">
        <v>2.4700000000000002</v>
      </c>
      <c r="AD170" s="2">
        <v>3.7</v>
      </c>
      <c r="AE170" s="2">
        <v>8.1999999999999993</v>
      </c>
      <c r="AF170" s="2">
        <v>4.18</v>
      </c>
      <c r="AG170" s="2">
        <v>5.19</v>
      </c>
      <c r="AH170" s="2">
        <v>6.88</v>
      </c>
      <c r="AI170" s="2">
        <v>6.86</v>
      </c>
      <c r="AJ170" s="2">
        <v>4.7</v>
      </c>
      <c r="AK170" s="2">
        <v>6.86</v>
      </c>
      <c r="AL170" s="2">
        <v>3.59</v>
      </c>
      <c r="AM170" s="2">
        <v>4.01</v>
      </c>
      <c r="AN170" s="2">
        <v>1.78</v>
      </c>
      <c r="AO170" s="2">
        <v>1.73</v>
      </c>
      <c r="AP170" s="2">
        <v>1.71</v>
      </c>
      <c r="AQ170" s="2">
        <v>3.55</v>
      </c>
      <c r="AR170" s="2">
        <v>4.4000000000000004</v>
      </c>
      <c r="AU170" s="1" t="s">
        <v>28</v>
      </c>
      <c r="AV170" s="2">
        <v>4.33</v>
      </c>
      <c r="AW170" s="2">
        <v>7.86</v>
      </c>
      <c r="AX170" s="2">
        <v>2.83</v>
      </c>
      <c r="AY170" s="2">
        <v>3.75</v>
      </c>
      <c r="AZ170" s="2">
        <v>2.4700000000000002</v>
      </c>
      <c r="BA170" s="2">
        <v>3.7</v>
      </c>
      <c r="BB170" s="2">
        <v>8.1999999999999993</v>
      </c>
      <c r="BC170" s="2">
        <v>4.18</v>
      </c>
      <c r="BD170" s="2">
        <v>5.19</v>
      </c>
      <c r="BE170" s="2">
        <v>6.88</v>
      </c>
      <c r="BF170" s="2">
        <v>6.86</v>
      </c>
      <c r="BG170" s="2">
        <v>4.7</v>
      </c>
      <c r="BH170" s="2">
        <v>6.86</v>
      </c>
      <c r="BI170" s="2">
        <v>3.59</v>
      </c>
      <c r="BJ170" s="2">
        <v>4.01</v>
      </c>
      <c r="BK170" s="2">
        <v>1.78</v>
      </c>
      <c r="BL170" s="2">
        <v>1.73</v>
      </c>
      <c r="BM170" s="2">
        <v>1.71</v>
      </c>
      <c r="BN170" s="2">
        <v>3.55</v>
      </c>
      <c r="BO170" s="2">
        <v>4.4000000000000004</v>
      </c>
    </row>
    <row r="173" spans="24:67" x14ac:dyDescent="0.3">
      <c r="X173" t="s">
        <v>66</v>
      </c>
      <c r="AU173" t="s">
        <v>67</v>
      </c>
    </row>
    <row r="174" spans="24:67" x14ac:dyDescent="0.3">
      <c r="X174" s="1" t="s">
        <v>16</v>
      </c>
      <c r="Y174" s="13" t="s">
        <v>17</v>
      </c>
      <c r="Z174" s="13"/>
      <c r="AA174" s="13"/>
      <c r="AB174" s="13"/>
      <c r="AC174" s="13"/>
      <c r="AD174" s="13"/>
      <c r="AE174" s="13"/>
      <c r="AF174" s="13"/>
      <c r="AG174" s="13"/>
      <c r="AH174" s="13"/>
      <c r="AI174" s="13" t="s">
        <v>18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U174" s="1" t="s">
        <v>16</v>
      </c>
      <c r="AV174" s="13" t="s">
        <v>17</v>
      </c>
      <c r="AW174" s="13"/>
      <c r="AX174" s="13"/>
      <c r="AY174" s="13"/>
      <c r="AZ174" s="13"/>
      <c r="BA174" s="13"/>
      <c r="BB174" s="13"/>
      <c r="BC174" s="13"/>
      <c r="BD174" s="13"/>
      <c r="BE174" s="13"/>
      <c r="BF174" s="13" t="s">
        <v>18</v>
      </c>
      <c r="BG174" s="13"/>
      <c r="BH174" s="13"/>
      <c r="BI174" s="13"/>
      <c r="BJ174" s="13"/>
      <c r="BK174" s="13"/>
      <c r="BL174" s="13"/>
      <c r="BM174" s="13"/>
      <c r="BN174" s="13"/>
      <c r="BO174" s="13"/>
    </row>
    <row r="175" spans="24:67" x14ac:dyDescent="0.3">
      <c r="X175" s="1" t="s">
        <v>19</v>
      </c>
      <c r="Y175" s="1" t="s">
        <v>1</v>
      </c>
      <c r="Z175" s="1" t="s">
        <v>10</v>
      </c>
      <c r="AA175" s="1" t="s">
        <v>2</v>
      </c>
      <c r="AB175" s="1" t="s">
        <v>3</v>
      </c>
      <c r="AC175" s="1" t="s">
        <v>4</v>
      </c>
      <c r="AD175" s="1" t="s">
        <v>5</v>
      </c>
      <c r="AE175" s="1" t="s">
        <v>6</v>
      </c>
      <c r="AF175" s="1" t="s">
        <v>7</v>
      </c>
      <c r="AG175" s="1" t="s">
        <v>8</v>
      </c>
      <c r="AH175" s="1" t="s">
        <v>9</v>
      </c>
      <c r="AI175" s="1" t="s">
        <v>1</v>
      </c>
      <c r="AJ175" s="1" t="s">
        <v>10</v>
      </c>
      <c r="AK175" s="1" t="s">
        <v>2</v>
      </c>
      <c r="AL175" s="1" t="s">
        <v>3</v>
      </c>
      <c r="AM175" s="1" t="s">
        <v>4</v>
      </c>
      <c r="AN175" s="1" t="s">
        <v>5</v>
      </c>
      <c r="AO175" s="1" t="s">
        <v>6</v>
      </c>
      <c r="AP175" s="1" t="s">
        <v>7</v>
      </c>
      <c r="AQ175" s="1" t="s">
        <v>8</v>
      </c>
      <c r="AR175" s="1" t="s">
        <v>9</v>
      </c>
      <c r="AU175" s="1" t="s">
        <v>19</v>
      </c>
      <c r="AV175" s="1" t="s">
        <v>1</v>
      </c>
      <c r="AW175" s="1" t="s">
        <v>10</v>
      </c>
      <c r="AX175" s="1" t="s">
        <v>2</v>
      </c>
      <c r="AY175" s="1" t="s">
        <v>3</v>
      </c>
      <c r="AZ175" s="1" t="s">
        <v>4</v>
      </c>
      <c r="BA175" s="1" t="s">
        <v>5</v>
      </c>
      <c r="BB175" s="1" t="s">
        <v>6</v>
      </c>
      <c r="BC175" s="1" t="s">
        <v>7</v>
      </c>
      <c r="BD175" s="1" t="s">
        <v>8</v>
      </c>
      <c r="BE175" s="1" t="s">
        <v>9</v>
      </c>
      <c r="BF175" s="1" t="s">
        <v>1</v>
      </c>
      <c r="BG175" s="1" t="s">
        <v>10</v>
      </c>
      <c r="BH175" s="1" t="s">
        <v>2</v>
      </c>
      <c r="BI175" s="1" t="s">
        <v>3</v>
      </c>
      <c r="BJ175" s="1" t="s">
        <v>4</v>
      </c>
      <c r="BK175" s="1" t="s">
        <v>5</v>
      </c>
      <c r="BL175" s="1" t="s">
        <v>6</v>
      </c>
      <c r="BM175" s="1" t="s">
        <v>7</v>
      </c>
      <c r="BN175" s="1" t="s">
        <v>8</v>
      </c>
      <c r="BO175" s="1" t="s">
        <v>9</v>
      </c>
    </row>
    <row r="176" spans="24:67" x14ac:dyDescent="0.3">
      <c r="X176" s="1" t="s">
        <v>20</v>
      </c>
      <c r="AU176" s="1" t="s">
        <v>20</v>
      </c>
    </row>
    <row r="177" spans="24:67" x14ac:dyDescent="0.3">
      <c r="X177" s="1" t="s">
        <v>21</v>
      </c>
      <c r="Y177" s="2">
        <v>304.04000000000002</v>
      </c>
      <c r="Z177" s="2">
        <v>997.92</v>
      </c>
      <c r="AA177" s="2">
        <v>153.24</v>
      </c>
      <c r="AB177" s="2">
        <v>89.81</v>
      </c>
      <c r="AC177" s="2">
        <v>320.8</v>
      </c>
      <c r="AD177" s="2">
        <v>423.22</v>
      </c>
      <c r="AE177" s="2">
        <v>721.61</v>
      </c>
      <c r="AF177" s="2">
        <v>564.5</v>
      </c>
      <c r="AG177" s="2">
        <v>818.49</v>
      </c>
      <c r="AH177" s="2">
        <v>621.41999999999996</v>
      </c>
      <c r="AI177" s="2">
        <v>306.47000000000003</v>
      </c>
      <c r="AJ177" s="2">
        <v>1016.19</v>
      </c>
      <c r="AK177" s="2">
        <v>157.34</v>
      </c>
      <c r="AL177" s="2">
        <v>92.27</v>
      </c>
      <c r="AM177" s="2">
        <v>341.12</v>
      </c>
      <c r="AN177" s="2">
        <v>409.36</v>
      </c>
      <c r="AO177" s="2">
        <v>735.84</v>
      </c>
      <c r="AP177" s="2">
        <v>633.16</v>
      </c>
      <c r="AQ177" s="2">
        <v>807.04</v>
      </c>
      <c r="AR177" s="2">
        <v>651.64</v>
      </c>
      <c r="AU177" s="1" t="s">
        <v>21</v>
      </c>
      <c r="AV177" s="2">
        <v>304.04000000000002</v>
      </c>
      <c r="AW177" s="2">
        <v>997.92</v>
      </c>
      <c r="AX177" s="2">
        <v>153.24</v>
      </c>
      <c r="AY177" s="2">
        <v>89.81</v>
      </c>
      <c r="AZ177" s="2">
        <v>320.8</v>
      </c>
      <c r="BA177" s="2">
        <v>423.22</v>
      </c>
      <c r="BB177" s="2">
        <v>721.61</v>
      </c>
      <c r="BC177" s="2">
        <v>564.5</v>
      </c>
      <c r="BD177" s="2">
        <v>818.49</v>
      </c>
      <c r="BE177" s="2">
        <v>621.41999999999996</v>
      </c>
      <c r="BF177" s="2">
        <v>306.47000000000003</v>
      </c>
      <c r="BG177" s="2">
        <v>1016.19</v>
      </c>
      <c r="BH177" s="2">
        <v>157.34</v>
      </c>
      <c r="BI177" s="2">
        <v>92.27</v>
      </c>
      <c r="BJ177" s="2">
        <v>341.12</v>
      </c>
      <c r="BK177" s="2">
        <v>409.36</v>
      </c>
      <c r="BL177" s="2">
        <v>735.84</v>
      </c>
      <c r="BM177" s="2">
        <v>633.16</v>
      </c>
      <c r="BN177" s="2">
        <v>807.04</v>
      </c>
      <c r="BO177" s="2">
        <v>651.64</v>
      </c>
    </row>
    <row r="178" spans="24:67" x14ac:dyDescent="0.3">
      <c r="X178" s="1" t="s">
        <v>22</v>
      </c>
      <c r="Y178" s="2">
        <v>21.16</v>
      </c>
      <c r="Z178" s="2">
        <v>94.05</v>
      </c>
      <c r="AA178" s="2">
        <v>12</v>
      </c>
      <c r="AB178" s="2">
        <v>6.01</v>
      </c>
      <c r="AC178" s="2">
        <v>20.55</v>
      </c>
      <c r="AD178" s="2">
        <v>25.6</v>
      </c>
      <c r="AE178" s="2">
        <v>47.19</v>
      </c>
      <c r="AF178" s="2">
        <v>48.68</v>
      </c>
      <c r="AG178" s="2">
        <v>58.07</v>
      </c>
      <c r="AH178" s="2">
        <v>49.93</v>
      </c>
      <c r="AI178" s="2">
        <v>22.06</v>
      </c>
      <c r="AJ178" s="2">
        <v>82.18</v>
      </c>
      <c r="AK178" s="2">
        <v>14.55</v>
      </c>
      <c r="AL178" s="2">
        <v>6.87</v>
      </c>
      <c r="AM178" s="2">
        <v>28.11</v>
      </c>
      <c r="AN178" s="2">
        <v>29.48</v>
      </c>
      <c r="AO178" s="2">
        <v>58.04</v>
      </c>
      <c r="AP178" s="2">
        <v>46.85</v>
      </c>
      <c r="AQ178" s="2">
        <v>57.08</v>
      </c>
      <c r="AR178" s="2">
        <v>55.7</v>
      </c>
      <c r="AU178" s="1" t="s">
        <v>22</v>
      </c>
      <c r="AV178" s="2">
        <v>21.16</v>
      </c>
      <c r="AW178" s="2">
        <v>94.05</v>
      </c>
      <c r="AX178" s="2">
        <v>12</v>
      </c>
      <c r="AY178" s="2">
        <v>6.01</v>
      </c>
      <c r="AZ178" s="2">
        <v>20.55</v>
      </c>
      <c r="BA178" s="2">
        <v>25.6</v>
      </c>
      <c r="BB178" s="2">
        <v>47.19</v>
      </c>
      <c r="BC178" s="2">
        <v>48.68</v>
      </c>
      <c r="BD178" s="2">
        <v>58.07</v>
      </c>
      <c r="BE178" s="2">
        <v>49.93</v>
      </c>
      <c r="BF178" s="2">
        <v>22.06</v>
      </c>
      <c r="BG178" s="2">
        <v>82.18</v>
      </c>
      <c r="BH178" s="2">
        <v>14.55</v>
      </c>
      <c r="BI178" s="2">
        <v>6.87</v>
      </c>
      <c r="BJ178" s="2">
        <v>28.11</v>
      </c>
      <c r="BK178" s="2">
        <v>29.48</v>
      </c>
      <c r="BL178" s="2">
        <v>58.04</v>
      </c>
      <c r="BM178" s="2">
        <v>46.85</v>
      </c>
      <c r="BN178" s="2">
        <v>57.08</v>
      </c>
      <c r="BO178" s="2">
        <v>55.7</v>
      </c>
    </row>
    <row r="179" spans="24:67" x14ac:dyDescent="0.3">
      <c r="X179" s="1" t="s">
        <v>23</v>
      </c>
      <c r="Y179" s="2">
        <v>144.11000000000001</v>
      </c>
      <c r="Z179" s="2">
        <v>298.31</v>
      </c>
      <c r="AA179" s="2">
        <v>62.75</v>
      </c>
      <c r="AB179" s="2">
        <v>50.6</v>
      </c>
      <c r="AC179" s="2">
        <v>143.63999999999999</v>
      </c>
      <c r="AD179" s="2">
        <v>317.8</v>
      </c>
      <c r="AE179" s="2">
        <v>581.57000000000005</v>
      </c>
      <c r="AF179" s="2">
        <v>542.35</v>
      </c>
      <c r="AG179" s="2">
        <v>699.84</v>
      </c>
      <c r="AH179" s="2">
        <v>347.23</v>
      </c>
      <c r="AI179" s="2">
        <v>64.95</v>
      </c>
      <c r="AJ179" s="2">
        <v>289.19</v>
      </c>
      <c r="AK179" s="2">
        <v>33.18</v>
      </c>
      <c r="AL179" s="2">
        <v>57.42</v>
      </c>
      <c r="AM179" s="2">
        <v>173.32</v>
      </c>
      <c r="AN179" s="2">
        <v>180.07</v>
      </c>
      <c r="AO179" s="2">
        <v>346.52</v>
      </c>
      <c r="AP179" s="2">
        <v>313.99</v>
      </c>
      <c r="AQ179" s="2">
        <v>333.43</v>
      </c>
      <c r="AR179" s="2">
        <v>254.51</v>
      </c>
      <c r="AU179" s="1" t="s">
        <v>23</v>
      </c>
      <c r="AV179" s="2">
        <v>144.11000000000001</v>
      </c>
      <c r="AW179" s="2">
        <v>298.31</v>
      </c>
      <c r="AX179" s="2">
        <v>62.75</v>
      </c>
      <c r="AY179" s="2">
        <v>50.6</v>
      </c>
      <c r="AZ179" s="2">
        <v>143.63999999999999</v>
      </c>
      <c r="BA179" s="2">
        <v>317.8</v>
      </c>
      <c r="BB179" s="2">
        <v>581.57000000000005</v>
      </c>
      <c r="BC179" s="2">
        <v>542.35</v>
      </c>
      <c r="BD179" s="2">
        <v>699.84</v>
      </c>
      <c r="BE179" s="2">
        <v>347.23</v>
      </c>
      <c r="BF179" s="2">
        <v>64.95</v>
      </c>
      <c r="BG179" s="2">
        <v>289.19</v>
      </c>
      <c r="BH179" s="2">
        <v>33.18</v>
      </c>
      <c r="BI179" s="2">
        <v>57.42</v>
      </c>
      <c r="BJ179" s="2">
        <v>173.32</v>
      </c>
      <c r="BK179" s="2">
        <v>180.07</v>
      </c>
      <c r="BL179" s="2">
        <v>346.52</v>
      </c>
      <c r="BM179" s="2">
        <v>313.99</v>
      </c>
      <c r="BN179" s="2">
        <v>333.43</v>
      </c>
      <c r="BO179" s="2">
        <v>254.51</v>
      </c>
    </row>
    <row r="180" spans="24:67" x14ac:dyDescent="0.3">
      <c r="X180" s="1" t="s">
        <v>24</v>
      </c>
      <c r="Y180" s="2">
        <v>79.34</v>
      </c>
      <c r="Z180" s="2">
        <v>124.2</v>
      </c>
      <c r="AA180" s="2">
        <v>33.619999999999997</v>
      </c>
      <c r="AB180" s="2">
        <v>25.55</v>
      </c>
      <c r="AC180" s="2">
        <v>72.3</v>
      </c>
      <c r="AD180" s="2">
        <v>90.49</v>
      </c>
      <c r="AE180" s="2">
        <v>163.94</v>
      </c>
      <c r="AF180" s="2">
        <v>86.67</v>
      </c>
      <c r="AG180" s="2">
        <v>188.6</v>
      </c>
      <c r="AH180" s="2">
        <v>84.73</v>
      </c>
      <c r="AI180" s="2">
        <v>30.75</v>
      </c>
      <c r="AJ180" s="2">
        <v>124.92</v>
      </c>
      <c r="AK180" s="2">
        <v>17.86</v>
      </c>
      <c r="AL180" s="2">
        <v>15.6</v>
      </c>
      <c r="AM180" s="2">
        <v>71.13</v>
      </c>
      <c r="AN180" s="2">
        <v>62.07</v>
      </c>
      <c r="AO180" s="2">
        <v>110.69</v>
      </c>
      <c r="AP180" s="2">
        <v>97.92</v>
      </c>
      <c r="AQ180" s="2">
        <v>104.44</v>
      </c>
      <c r="AR180" s="2">
        <v>101.84</v>
      </c>
      <c r="AU180" s="1" t="s">
        <v>24</v>
      </c>
      <c r="AV180" s="2">
        <v>79.34</v>
      </c>
      <c r="AW180" s="2">
        <v>124.2</v>
      </c>
      <c r="AX180" s="2">
        <v>33.619999999999997</v>
      </c>
      <c r="AY180" s="2">
        <v>25.55</v>
      </c>
      <c r="AZ180" s="2">
        <v>72.3</v>
      </c>
      <c r="BA180" s="2">
        <v>90.49</v>
      </c>
      <c r="BB180" s="2">
        <v>163.94</v>
      </c>
      <c r="BC180" s="2">
        <v>86.67</v>
      </c>
      <c r="BD180" s="2">
        <v>188.6</v>
      </c>
      <c r="BE180" s="2">
        <v>84.73</v>
      </c>
      <c r="BF180" s="2">
        <v>30.75</v>
      </c>
      <c r="BG180" s="2">
        <v>124.92</v>
      </c>
      <c r="BH180" s="2">
        <v>17.86</v>
      </c>
      <c r="BI180" s="2">
        <v>15.6</v>
      </c>
      <c r="BJ180" s="2">
        <v>71.13</v>
      </c>
      <c r="BK180" s="2">
        <v>62.07</v>
      </c>
      <c r="BL180" s="2">
        <v>110.69</v>
      </c>
      <c r="BM180" s="2">
        <v>97.92</v>
      </c>
      <c r="BN180" s="2">
        <v>104.44</v>
      </c>
      <c r="BO180" s="2">
        <v>101.84</v>
      </c>
    </row>
    <row r="181" spans="24:67" x14ac:dyDescent="0.3">
      <c r="X181" s="1" t="s">
        <v>25</v>
      </c>
      <c r="Y181" s="2">
        <v>226.55</v>
      </c>
      <c r="Z181" s="2">
        <v>559.88</v>
      </c>
      <c r="AA181" s="2">
        <v>80.52</v>
      </c>
      <c r="AB181" s="2">
        <v>72.95</v>
      </c>
      <c r="AC181" s="2">
        <v>178.03</v>
      </c>
      <c r="AD181" s="2">
        <v>301.37</v>
      </c>
      <c r="AE181" s="2">
        <v>533.9</v>
      </c>
      <c r="AF181" s="2">
        <v>392.89</v>
      </c>
      <c r="AG181" s="2">
        <v>450.55</v>
      </c>
      <c r="AH181" s="2">
        <v>392.39</v>
      </c>
      <c r="AI181" s="2">
        <v>171.75</v>
      </c>
      <c r="AJ181" s="2">
        <v>598.96</v>
      </c>
      <c r="AK181" s="2">
        <v>98.28</v>
      </c>
      <c r="AL181" s="2">
        <v>68.97</v>
      </c>
      <c r="AM181" s="2">
        <v>251.49</v>
      </c>
      <c r="AN181" s="2">
        <v>309.07</v>
      </c>
      <c r="AO181" s="2">
        <v>464.58</v>
      </c>
      <c r="AP181" s="2">
        <v>349.21</v>
      </c>
      <c r="AQ181" s="2">
        <v>417.1</v>
      </c>
      <c r="AR181" s="2">
        <v>366.32</v>
      </c>
      <c r="AU181" s="1" t="s">
        <v>25</v>
      </c>
      <c r="AV181" s="2">
        <v>226.55</v>
      </c>
      <c r="AW181" s="2">
        <v>559.88</v>
      </c>
      <c r="AX181" s="2">
        <v>80.52</v>
      </c>
      <c r="AY181" s="2">
        <v>72.95</v>
      </c>
      <c r="AZ181" s="2">
        <v>178.03</v>
      </c>
      <c r="BA181" s="2">
        <v>301.37</v>
      </c>
      <c r="BB181" s="2">
        <v>533.9</v>
      </c>
      <c r="BC181" s="2">
        <v>392.89</v>
      </c>
      <c r="BD181" s="2">
        <v>450.55</v>
      </c>
      <c r="BE181" s="2">
        <v>392.39</v>
      </c>
      <c r="BF181" s="2">
        <v>171.75</v>
      </c>
      <c r="BG181" s="2">
        <v>598.96</v>
      </c>
      <c r="BH181" s="2">
        <v>98.28</v>
      </c>
      <c r="BI181" s="2">
        <v>68.97</v>
      </c>
      <c r="BJ181" s="2">
        <v>251.49</v>
      </c>
      <c r="BK181" s="2">
        <v>309.07</v>
      </c>
      <c r="BL181" s="2">
        <v>464.58</v>
      </c>
      <c r="BM181" s="2">
        <v>349.21</v>
      </c>
      <c r="BN181" s="2">
        <v>417.1</v>
      </c>
      <c r="BO181" s="2">
        <v>366.32</v>
      </c>
    </row>
    <row r="182" spans="24:67" x14ac:dyDescent="0.3">
      <c r="X182" s="1" t="s">
        <v>26</v>
      </c>
      <c r="Y182" s="2">
        <v>48.03</v>
      </c>
      <c r="Z182" s="2">
        <v>95.94</v>
      </c>
      <c r="AA182" s="2">
        <v>20.45</v>
      </c>
      <c r="AB182" s="2">
        <v>13.7</v>
      </c>
      <c r="AC182" s="2">
        <v>25.65</v>
      </c>
      <c r="AD182" s="2">
        <v>31.45</v>
      </c>
      <c r="AE182" s="2">
        <v>64.72</v>
      </c>
      <c r="AF182" s="2">
        <v>53.36</v>
      </c>
      <c r="AG182" s="2">
        <v>71.41</v>
      </c>
      <c r="AH182" s="2">
        <v>68.569999999999993</v>
      </c>
      <c r="AI182" s="2">
        <v>26.74</v>
      </c>
      <c r="AJ182" s="2">
        <v>62.1</v>
      </c>
      <c r="AK182" s="2">
        <v>12.84</v>
      </c>
      <c r="AL182" s="2">
        <v>12.34</v>
      </c>
      <c r="AM182" s="2">
        <v>35.880000000000003</v>
      </c>
      <c r="AN182" s="2">
        <v>50.17</v>
      </c>
      <c r="AO182" s="2">
        <v>75.06</v>
      </c>
      <c r="AP182" s="2">
        <v>57.46</v>
      </c>
      <c r="AQ182" s="2">
        <v>86.2</v>
      </c>
      <c r="AR182" s="2">
        <v>65.53</v>
      </c>
      <c r="AU182" s="1" t="s">
        <v>26</v>
      </c>
      <c r="AV182" s="2">
        <v>48.03</v>
      </c>
      <c r="AW182" s="2">
        <v>95.94</v>
      </c>
      <c r="AX182" s="2">
        <v>20.45</v>
      </c>
      <c r="AY182" s="2">
        <v>13.7</v>
      </c>
      <c r="AZ182" s="2">
        <v>25.65</v>
      </c>
      <c r="BA182" s="2">
        <v>31.45</v>
      </c>
      <c r="BB182" s="2">
        <v>64.72</v>
      </c>
      <c r="BC182" s="2">
        <v>53.36</v>
      </c>
      <c r="BD182" s="2">
        <v>71.41</v>
      </c>
      <c r="BE182" s="2">
        <v>68.569999999999993</v>
      </c>
      <c r="BF182" s="2">
        <v>26.74</v>
      </c>
      <c r="BG182" s="2">
        <v>62.1</v>
      </c>
      <c r="BH182" s="2">
        <v>12.84</v>
      </c>
      <c r="BI182" s="2">
        <v>12.34</v>
      </c>
      <c r="BJ182" s="2">
        <v>35.880000000000003</v>
      </c>
      <c r="BK182" s="2">
        <v>50.17</v>
      </c>
      <c r="BL182" s="2">
        <v>75.06</v>
      </c>
      <c r="BM182" s="2">
        <v>57.46</v>
      </c>
      <c r="BN182" s="2">
        <v>86.2</v>
      </c>
      <c r="BO182" s="2">
        <v>65.53</v>
      </c>
    </row>
    <row r="183" spans="24:67" x14ac:dyDescent="0.3">
      <c r="X183" s="1" t="s">
        <v>27</v>
      </c>
      <c r="Y183" s="2">
        <v>108.66</v>
      </c>
      <c r="Z183" s="2">
        <v>318.95</v>
      </c>
      <c r="AA183" s="2">
        <v>48.32</v>
      </c>
      <c r="AB183" s="2">
        <v>42.58</v>
      </c>
      <c r="AC183" s="2">
        <v>127.47</v>
      </c>
      <c r="AD183" s="2">
        <v>111.2</v>
      </c>
      <c r="AE183" s="2">
        <v>266.92</v>
      </c>
      <c r="AF183" s="2">
        <v>231.95</v>
      </c>
      <c r="AG183" s="2">
        <v>374.96</v>
      </c>
      <c r="AH183" s="2">
        <v>264.37</v>
      </c>
      <c r="AI183" s="2">
        <v>120.99</v>
      </c>
      <c r="AJ183" s="2">
        <v>279.20999999999998</v>
      </c>
      <c r="AK183" s="2">
        <v>49.49</v>
      </c>
      <c r="AL183" s="2">
        <v>37.07</v>
      </c>
      <c r="AM183" s="2">
        <v>204.75</v>
      </c>
      <c r="AN183" s="2">
        <v>145.05000000000001</v>
      </c>
      <c r="AO183" s="2">
        <v>247.05</v>
      </c>
      <c r="AP183" s="2">
        <v>204.92</v>
      </c>
      <c r="AQ183" s="2">
        <v>275.33999999999997</v>
      </c>
      <c r="AR183" s="2">
        <v>210.56</v>
      </c>
      <c r="AU183" s="1" t="s">
        <v>27</v>
      </c>
      <c r="AV183" s="2">
        <v>108.66</v>
      </c>
      <c r="AW183" s="2">
        <v>318.95</v>
      </c>
      <c r="AX183" s="2">
        <v>48.32</v>
      </c>
      <c r="AY183" s="2">
        <v>42.58</v>
      </c>
      <c r="AZ183" s="2">
        <v>127.47</v>
      </c>
      <c r="BA183" s="2">
        <v>111.2</v>
      </c>
      <c r="BB183" s="2">
        <v>266.92</v>
      </c>
      <c r="BC183" s="2">
        <v>231.95</v>
      </c>
      <c r="BD183" s="2">
        <v>374.96</v>
      </c>
      <c r="BE183" s="2">
        <v>264.37</v>
      </c>
      <c r="BF183" s="2">
        <v>120.99</v>
      </c>
      <c r="BG183" s="2">
        <v>279.20999999999998</v>
      </c>
      <c r="BH183" s="2">
        <v>49.49</v>
      </c>
      <c r="BI183" s="2">
        <v>37.07</v>
      </c>
      <c r="BJ183" s="2">
        <v>204.75</v>
      </c>
      <c r="BK183" s="2">
        <v>145.05000000000001</v>
      </c>
      <c r="BL183" s="2">
        <v>247.05</v>
      </c>
      <c r="BM183" s="2">
        <v>204.92</v>
      </c>
      <c r="BN183" s="2">
        <v>275.33999999999997</v>
      </c>
      <c r="BO183" s="2">
        <v>210.56</v>
      </c>
    </row>
    <row r="184" spans="24:67" x14ac:dyDescent="0.3">
      <c r="X184" s="1" t="s">
        <v>28</v>
      </c>
      <c r="Y184" s="2">
        <v>68.89</v>
      </c>
      <c r="Z184" s="2">
        <v>218.39</v>
      </c>
      <c r="AA184" s="2">
        <v>30.9</v>
      </c>
      <c r="AB184" s="2">
        <v>18.920000000000002</v>
      </c>
      <c r="AC184" s="2">
        <v>71.78</v>
      </c>
      <c r="AD184" s="2">
        <v>90.8</v>
      </c>
      <c r="AE184" s="2">
        <v>200.86</v>
      </c>
      <c r="AF184" s="2">
        <v>165.01</v>
      </c>
      <c r="AG184" s="2">
        <v>213.47</v>
      </c>
      <c r="AH184" s="2">
        <v>157.02000000000001</v>
      </c>
      <c r="AI184" s="2">
        <v>73.97</v>
      </c>
      <c r="AJ184" s="2">
        <v>253.1</v>
      </c>
      <c r="AK184" s="2">
        <v>33.18</v>
      </c>
      <c r="AL184" s="2">
        <v>21.15</v>
      </c>
      <c r="AM184" s="2">
        <v>72.44</v>
      </c>
      <c r="AN184" s="2">
        <v>85.35</v>
      </c>
      <c r="AO184" s="2">
        <v>160.33000000000001</v>
      </c>
      <c r="AP184" s="2">
        <v>147.96</v>
      </c>
      <c r="AQ184" s="2">
        <v>179.04</v>
      </c>
      <c r="AR184" s="2">
        <v>151.54</v>
      </c>
      <c r="AU184" s="1" t="s">
        <v>28</v>
      </c>
      <c r="AV184" s="2">
        <v>68.89</v>
      </c>
      <c r="AW184" s="2">
        <v>218.39</v>
      </c>
      <c r="AX184" s="2">
        <v>30.9</v>
      </c>
      <c r="AY184" s="2">
        <v>18.920000000000002</v>
      </c>
      <c r="AZ184" s="2">
        <v>71.78</v>
      </c>
      <c r="BA184" s="2">
        <v>90.8</v>
      </c>
      <c r="BB184" s="2">
        <v>200.86</v>
      </c>
      <c r="BC184" s="2">
        <v>165.01</v>
      </c>
      <c r="BD184" s="2">
        <v>213.47</v>
      </c>
      <c r="BE184" s="2">
        <v>157.02000000000001</v>
      </c>
      <c r="BF184" s="2">
        <v>73.97</v>
      </c>
      <c r="BG184" s="2">
        <v>253.1</v>
      </c>
      <c r="BH184" s="2">
        <v>33.18</v>
      </c>
      <c r="BI184" s="2">
        <v>21.15</v>
      </c>
      <c r="BJ184" s="2">
        <v>72.44</v>
      </c>
      <c r="BK184" s="2">
        <v>85.35</v>
      </c>
      <c r="BL184" s="2">
        <v>160.33000000000001</v>
      </c>
      <c r="BM184" s="2">
        <v>147.96</v>
      </c>
      <c r="BN184" s="2">
        <v>179.04</v>
      </c>
      <c r="BO184" s="2">
        <v>151.54</v>
      </c>
    </row>
    <row r="187" spans="24:67" x14ac:dyDescent="0.3">
      <c r="X187" t="s">
        <v>68</v>
      </c>
      <c r="AU187" t="s">
        <v>69</v>
      </c>
    </row>
    <row r="188" spans="24:67" x14ac:dyDescent="0.3">
      <c r="X188" s="1" t="s">
        <v>16</v>
      </c>
      <c r="Y188" s="1" t="s">
        <v>17</v>
      </c>
      <c r="Z188" s="1" t="s">
        <v>18</v>
      </c>
      <c r="AA188" s="1" t="s">
        <v>17</v>
      </c>
      <c r="AB188" s="1" t="s">
        <v>18</v>
      </c>
      <c r="AC188" s="1" t="s">
        <v>17</v>
      </c>
      <c r="AD188" s="1" t="s">
        <v>18</v>
      </c>
      <c r="AE188" s="1" t="s">
        <v>17</v>
      </c>
      <c r="AF188" s="1" t="s">
        <v>18</v>
      </c>
      <c r="AG188" s="1" t="s">
        <v>17</v>
      </c>
      <c r="AH188" s="1" t="s">
        <v>18</v>
      </c>
      <c r="AI188" s="1" t="s">
        <v>17</v>
      </c>
      <c r="AJ188" s="1" t="s">
        <v>18</v>
      </c>
      <c r="AK188" s="1" t="s">
        <v>17</v>
      </c>
      <c r="AL188" s="1" t="s">
        <v>18</v>
      </c>
      <c r="AM188" s="1" t="s">
        <v>17</v>
      </c>
      <c r="AN188" s="1" t="s">
        <v>18</v>
      </c>
      <c r="AO188" s="1" t="s">
        <v>17</v>
      </c>
      <c r="AP188" s="1" t="s">
        <v>18</v>
      </c>
      <c r="AQ188" s="1" t="s">
        <v>17</v>
      </c>
      <c r="AR188" s="1" t="s">
        <v>18</v>
      </c>
      <c r="AU188" s="1" t="s">
        <v>16</v>
      </c>
      <c r="AV188" s="1" t="s">
        <v>17</v>
      </c>
      <c r="AW188" s="1" t="s">
        <v>18</v>
      </c>
      <c r="AX188" s="1" t="s">
        <v>17</v>
      </c>
      <c r="AY188" s="1" t="s">
        <v>18</v>
      </c>
      <c r="AZ188" s="1" t="s">
        <v>17</v>
      </c>
      <c r="BA188" s="1" t="s">
        <v>18</v>
      </c>
      <c r="BB188" s="1" t="s">
        <v>17</v>
      </c>
      <c r="BC188" s="1" t="s">
        <v>18</v>
      </c>
      <c r="BD188" s="1" t="s">
        <v>17</v>
      </c>
      <c r="BE188" s="1" t="s">
        <v>18</v>
      </c>
      <c r="BF188" s="1" t="s">
        <v>17</v>
      </c>
      <c r="BG188" s="1" t="s">
        <v>18</v>
      </c>
      <c r="BH188" s="1" t="s">
        <v>17</v>
      </c>
      <c r="BI188" s="1" t="s">
        <v>18</v>
      </c>
      <c r="BJ188" s="1" t="s">
        <v>17</v>
      </c>
      <c r="BK188" s="1" t="s">
        <v>18</v>
      </c>
      <c r="BL188" s="1" t="s">
        <v>17</v>
      </c>
      <c r="BM188" s="1" t="s">
        <v>18</v>
      </c>
      <c r="BN188" s="1" t="s">
        <v>17</v>
      </c>
      <c r="BO188" s="1" t="s">
        <v>18</v>
      </c>
    </row>
    <row r="189" spans="24:67" x14ac:dyDescent="0.3">
      <c r="X189" s="1" t="s">
        <v>19</v>
      </c>
      <c r="Y189" s="1" t="s">
        <v>1</v>
      </c>
      <c r="Z189" s="1" t="s">
        <v>1</v>
      </c>
      <c r="AA189" s="1" t="s">
        <v>2</v>
      </c>
      <c r="AB189" s="1" t="s">
        <v>2</v>
      </c>
      <c r="AC189" s="1" t="s">
        <v>3</v>
      </c>
      <c r="AD189" s="1" t="s">
        <v>3</v>
      </c>
      <c r="AE189" s="1" t="s">
        <v>4</v>
      </c>
      <c r="AF189" s="1" t="s">
        <v>4</v>
      </c>
      <c r="AG189" s="1" t="s">
        <v>5</v>
      </c>
      <c r="AH189" s="1" t="s">
        <v>5</v>
      </c>
      <c r="AI189" s="1" t="s">
        <v>6</v>
      </c>
      <c r="AJ189" s="1" t="s">
        <v>6</v>
      </c>
      <c r="AK189" s="1" t="s">
        <v>7</v>
      </c>
      <c r="AL189" s="1" t="s">
        <v>7</v>
      </c>
      <c r="AM189" s="1" t="s">
        <v>8</v>
      </c>
      <c r="AN189" s="1" t="s">
        <v>8</v>
      </c>
      <c r="AO189" s="1" t="s">
        <v>9</v>
      </c>
      <c r="AP189" s="1" t="s">
        <v>9</v>
      </c>
      <c r="AQ189" s="1" t="s">
        <v>10</v>
      </c>
      <c r="AR189" s="1" t="s">
        <v>10</v>
      </c>
      <c r="AU189" s="1" t="s">
        <v>19</v>
      </c>
      <c r="AV189" s="1" t="s">
        <v>1</v>
      </c>
      <c r="AW189" s="1" t="s">
        <v>1</v>
      </c>
      <c r="AX189" s="1" t="s">
        <v>2</v>
      </c>
      <c r="AY189" s="1" t="s">
        <v>2</v>
      </c>
      <c r="AZ189" s="1" t="s">
        <v>3</v>
      </c>
      <c r="BA189" s="1" t="s">
        <v>3</v>
      </c>
      <c r="BB189" s="1" t="s">
        <v>4</v>
      </c>
      <c r="BC189" s="1" t="s">
        <v>4</v>
      </c>
      <c r="BD189" s="1" t="s">
        <v>5</v>
      </c>
      <c r="BE189" s="1" t="s">
        <v>5</v>
      </c>
      <c r="BF189" s="1" t="s">
        <v>6</v>
      </c>
      <c r="BG189" s="1" t="s">
        <v>6</v>
      </c>
      <c r="BH189" s="1" t="s">
        <v>7</v>
      </c>
      <c r="BI189" s="1" t="s">
        <v>7</v>
      </c>
      <c r="BJ189" s="1" t="s">
        <v>8</v>
      </c>
      <c r="BK189" s="1" t="s">
        <v>8</v>
      </c>
      <c r="BL189" s="1" t="s">
        <v>9</v>
      </c>
      <c r="BM189" s="1" t="s">
        <v>9</v>
      </c>
      <c r="BN189" s="1" t="s">
        <v>10</v>
      </c>
      <c r="BO189" s="1" t="s">
        <v>10</v>
      </c>
    </row>
    <row r="190" spans="24:67" x14ac:dyDescent="0.3">
      <c r="X190" s="1" t="s">
        <v>20</v>
      </c>
      <c r="AU190" s="1" t="s">
        <v>20</v>
      </c>
    </row>
    <row r="191" spans="24:67" x14ac:dyDescent="0.3">
      <c r="X191" s="1" t="s">
        <v>21</v>
      </c>
      <c r="Y191" s="2">
        <v>233.88</v>
      </c>
      <c r="Z191" s="2">
        <v>235.74</v>
      </c>
      <c r="AA191" s="2">
        <v>117.88</v>
      </c>
      <c r="AB191" s="2">
        <v>121.03</v>
      </c>
      <c r="AC191" s="2">
        <v>179.62</v>
      </c>
      <c r="AD191" s="2">
        <v>184.54</v>
      </c>
      <c r="AE191" s="2">
        <v>200.5</v>
      </c>
      <c r="AF191" s="2">
        <v>213.2</v>
      </c>
      <c r="AG191" s="2">
        <v>211.61</v>
      </c>
      <c r="AH191" s="2">
        <v>204.68</v>
      </c>
      <c r="AI191" s="2">
        <v>200.45</v>
      </c>
      <c r="AJ191" s="2">
        <v>204.4</v>
      </c>
      <c r="AK191" s="2">
        <v>194.66</v>
      </c>
      <c r="AL191" s="2">
        <v>218.33</v>
      </c>
      <c r="AM191" s="2">
        <v>215.39</v>
      </c>
      <c r="AN191" s="2">
        <v>212.38</v>
      </c>
      <c r="AO191" s="2">
        <v>182.77</v>
      </c>
      <c r="AP191" s="2">
        <v>191.66</v>
      </c>
      <c r="AQ191" s="2">
        <v>221.76</v>
      </c>
      <c r="AR191" s="2">
        <v>225.82</v>
      </c>
      <c r="AU191" s="1" t="s">
        <v>21</v>
      </c>
      <c r="AV191" s="2">
        <v>233.88</v>
      </c>
      <c r="AW191" s="2">
        <v>235.74</v>
      </c>
      <c r="AX191" s="2">
        <v>117.88</v>
      </c>
      <c r="AY191" s="2">
        <v>121.03</v>
      </c>
      <c r="AZ191" s="2">
        <v>179.62</v>
      </c>
      <c r="BA191" s="2">
        <v>184.54</v>
      </c>
      <c r="BB191" s="2">
        <v>200.5</v>
      </c>
      <c r="BC191" s="2">
        <v>213.2</v>
      </c>
      <c r="BD191" s="2">
        <v>211.61</v>
      </c>
      <c r="BE191" s="2">
        <v>204.68</v>
      </c>
      <c r="BF191" s="2">
        <v>200.45</v>
      </c>
      <c r="BG191" s="2">
        <v>204.4</v>
      </c>
      <c r="BH191" s="2">
        <v>194.66</v>
      </c>
      <c r="BI191" s="2">
        <v>218.33</v>
      </c>
      <c r="BJ191" s="2">
        <v>215.39</v>
      </c>
      <c r="BK191" s="2">
        <v>212.38</v>
      </c>
      <c r="BL191" s="2">
        <v>182.77</v>
      </c>
      <c r="BM191" s="2">
        <v>191.66</v>
      </c>
      <c r="BN191" s="2">
        <v>221.76</v>
      </c>
      <c r="BO191" s="2">
        <v>225.82</v>
      </c>
    </row>
    <row r="192" spans="24:67" x14ac:dyDescent="0.3">
      <c r="X192" s="1" t="s">
        <v>22</v>
      </c>
      <c r="Y192" s="2">
        <v>16.27</v>
      </c>
      <c r="Z192" s="2">
        <v>16.97</v>
      </c>
      <c r="AA192" s="2">
        <v>9.23</v>
      </c>
      <c r="AB192" s="2">
        <v>11.2</v>
      </c>
      <c r="AC192" s="2">
        <v>12.01</v>
      </c>
      <c r="AD192" s="2">
        <v>13.75</v>
      </c>
      <c r="AE192" s="2">
        <v>12.84</v>
      </c>
      <c r="AF192" s="2">
        <v>17.57</v>
      </c>
      <c r="AG192" s="2">
        <v>12.8</v>
      </c>
      <c r="AH192" s="2">
        <v>14.74</v>
      </c>
      <c r="AI192" s="2">
        <v>13.11</v>
      </c>
      <c r="AJ192" s="2">
        <v>16.12</v>
      </c>
      <c r="AK192" s="2">
        <v>16.79</v>
      </c>
      <c r="AL192" s="2">
        <v>16.149999999999999</v>
      </c>
      <c r="AM192" s="2">
        <v>15.28</v>
      </c>
      <c r="AN192" s="2">
        <v>15.02</v>
      </c>
      <c r="AO192" s="2">
        <v>14.68</v>
      </c>
      <c r="AP192" s="2">
        <v>16.38</v>
      </c>
      <c r="AQ192" s="2">
        <v>20.9</v>
      </c>
      <c r="AR192" s="2">
        <v>18.260000000000002</v>
      </c>
      <c r="AU192" s="1" t="s">
        <v>22</v>
      </c>
      <c r="AV192" s="2">
        <v>16.27</v>
      </c>
      <c r="AW192" s="2">
        <v>16.97</v>
      </c>
      <c r="AX192" s="2">
        <v>9.23</v>
      </c>
      <c r="AY192" s="2">
        <v>11.2</v>
      </c>
      <c r="AZ192" s="2">
        <v>12.01</v>
      </c>
      <c r="BA192" s="2">
        <v>13.75</v>
      </c>
      <c r="BB192" s="2">
        <v>12.84</v>
      </c>
      <c r="BC192" s="2">
        <v>17.57</v>
      </c>
      <c r="BD192" s="2">
        <v>12.8</v>
      </c>
      <c r="BE192" s="2">
        <v>14.74</v>
      </c>
      <c r="BF192" s="2">
        <v>13.11</v>
      </c>
      <c r="BG192" s="2">
        <v>16.12</v>
      </c>
      <c r="BH192" s="2">
        <v>16.79</v>
      </c>
      <c r="BI192" s="2">
        <v>16.149999999999999</v>
      </c>
      <c r="BJ192" s="2">
        <v>15.28</v>
      </c>
      <c r="BK192" s="2">
        <v>15.02</v>
      </c>
      <c r="BL192" s="2">
        <v>14.68</v>
      </c>
      <c r="BM192" s="2">
        <v>16.38</v>
      </c>
      <c r="BN192" s="2">
        <v>20.9</v>
      </c>
      <c r="BO192" s="2">
        <v>18.260000000000002</v>
      </c>
    </row>
    <row r="193" spans="24:67" x14ac:dyDescent="0.3">
      <c r="X193" s="1" t="s">
        <v>23</v>
      </c>
      <c r="Y193" s="2">
        <v>110.86</v>
      </c>
      <c r="Z193" s="2">
        <v>49.96</v>
      </c>
      <c r="AA193" s="2">
        <v>48.27</v>
      </c>
      <c r="AB193" s="2">
        <v>25.52</v>
      </c>
      <c r="AC193" s="2">
        <v>101.2</v>
      </c>
      <c r="AD193" s="2">
        <v>114.85</v>
      </c>
      <c r="AE193" s="2">
        <v>89.77</v>
      </c>
      <c r="AF193" s="2">
        <v>108.33</v>
      </c>
      <c r="AG193" s="2">
        <v>158.9</v>
      </c>
      <c r="AH193" s="2">
        <v>90.04</v>
      </c>
      <c r="AI193" s="2">
        <v>161.55000000000001</v>
      </c>
      <c r="AJ193" s="2">
        <v>96.25</v>
      </c>
      <c r="AK193" s="2">
        <v>187.02</v>
      </c>
      <c r="AL193" s="2">
        <v>108.27</v>
      </c>
      <c r="AM193" s="2">
        <v>184.17</v>
      </c>
      <c r="AN193" s="2">
        <v>87.75</v>
      </c>
      <c r="AO193" s="2">
        <v>102.13</v>
      </c>
      <c r="AP193" s="2">
        <v>74.86</v>
      </c>
      <c r="AQ193" s="2">
        <v>66.290000000000006</v>
      </c>
      <c r="AR193" s="2">
        <v>64.260000000000005</v>
      </c>
      <c r="AU193" s="1" t="s">
        <v>23</v>
      </c>
      <c r="AV193" s="2">
        <v>110.86</v>
      </c>
      <c r="AW193" s="2">
        <v>49.96</v>
      </c>
      <c r="AX193" s="2">
        <v>48.27</v>
      </c>
      <c r="AY193" s="2">
        <v>25.52</v>
      </c>
      <c r="AZ193" s="2">
        <v>101.2</v>
      </c>
      <c r="BA193" s="2">
        <v>114.85</v>
      </c>
      <c r="BB193" s="2">
        <v>89.77</v>
      </c>
      <c r="BC193" s="2">
        <v>108.33</v>
      </c>
      <c r="BD193" s="2">
        <v>158.9</v>
      </c>
      <c r="BE193" s="2">
        <v>90.04</v>
      </c>
      <c r="BF193" s="2">
        <v>161.55000000000001</v>
      </c>
      <c r="BG193" s="2">
        <v>96.25</v>
      </c>
      <c r="BH193" s="2">
        <v>187.02</v>
      </c>
      <c r="BI193" s="2">
        <v>108.27</v>
      </c>
      <c r="BJ193" s="2">
        <v>184.17</v>
      </c>
      <c r="BK193" s="2">
        <v>87.75</v>
      </c>
      <c r="BL193" s="2">
        <v>102.13</v>
      </c>
      <c r="BM193" s="2">
        <v>74.86</v>
      </c>
      <c r="BN193" s="2">
        <v>66.290000000000006</v>
      </c>
      <c r="BO193" s="2">
        <v>64.260000000000005</v>
      </c>
    </row>
    <row r="194" spans="24:67" x14ac:dyDescent="0.3">
      <c r="X194" s="1" t="s">
        <v>24</v>
      </c>
      <c r="Y194" s="2">
        <v>61.03</v>
      </c>
      <c r="Z194" s="2">
        <v>23.66</v>
      </c>
      <c r="AA194" s="2">
        <v>25.86</v>
      </c>
      <c r="AB194" s="2">
        <v>13.74</v>
      </c>
      <c r="AC194" s="2">
        <v>51.09</v>
      </c>
      <c r="AD194" s="2">
        <v>31.19</v>
      </c>
      <c r="AE194" s="2">
        <v>45.18</v>
      </c>
      <c r="AF194" s="2">
        <v>44.46</v>
      </c>
      <c r="AG194" s="2">
        <v>45.24</v>
      </c>
      <c r="AH194" s="2">
        <v>31.04</v>
      </c>
      <c r="AI194" s="2">
        <v>45.54</v>
      </c>
      <c r="AJ194" s="2">
        <v>30.75</v>
      </c>
      <c r="AK194" s="2">
        <v>29.89</v>
      </c>
      <c r="AL194" s="2">
        <v>33.76</v>
      </c>
      <c r="AM194" s="2">
        <v>49.63</v>
      </c>
      <c r="AN194" s="2">
        <v>27.48</v>
      </c>
      <c r="AO194" s="2">
        <v>24.92</v>
      </c>
      <c r="AP194" s="2">
        <v>29.95</v>
      </c>
      <c r="AQ194" s="2">
        <v>27.6</v>
      </c>
      <c r="AR194" s="2">
        <v>27.76</v>
      </c>
      <c r="AU194" s="1" t="s">
        <v>24</v>
      </c>
      <c r="AV194" s="2">
        <v>61.03</v>
      </c>
      <c r="AW194" s="2">
        <v>23.66</v>
      </c>
      <c r="AX194" s="2">
        <v>25.86</v>
      </c>
      <c r="AY194" s="2">
        <v>13.74</v>
      </c>
      <c r="AZ194" s="2">
        <v>51.09</v>
      </c>
      <c r="BA194" s="2">
        <v>31.19</v>
      </c>
      <c r="BB194" s="2">
        <v>45.18</v>
      </c>
      <c r="BC194" s="2">
        <v>44.46</v>
      </c>
      <c r="BD194" s="2">
        <v>45.24</v>
      </c>
      <c r="BE194" s="2">
        <v>31.04</v>
      </c>
      <c r="BF194" s="2">
        <v>45.54</v>
      </c>
      <c r="BG194" s="2">
        <v>30.75</v>
      </c>
      <c r="BH194" s="2">
        <v>29.89</v>
      </c>
      <c r="BI194" s="2">
        <v>33.76</v>
      </c>
      <c r="BJ194" s="2">
        <v>49.63</v>
      </c>
      <c r="BK194" s="2">
        <v>27.48</v>
      </c>
      <c r="BL194" s="2">
        <v>24.92</v>
      </c>
      <c r="BM194" s="2">
        <v>29.95</v>
      </c>
      <c r="BN194" s="2">
        <v>27.6</v>
      </c>
      <c r="BO194" s="2">
        <v>27.76</v>
      </c>
    </row>
    <row r="195" spans="24:67" x14ac:dyDescent="0.3">
      <c r="X195" s="1" t="s">
        <v>25</v>
      </c>
      <c r="Y195" s="2">
        <v>174.27</v>
      </c>
      <c r="Z195" s="2">
        <v>132.11000000000001</v>
      </c>
      <c r="AA195" s="2">
        <v>61.94</v>
      </c>
      <c r="AB195" s="2">
        <v>75.599999999999994</v>
      </c>
      <c r="AC195" s="2">
        <v>145.88999999999999</v>
      </c>
      <c r="AD195" s="2">
        <v>137.94</v>
      </c>
      <c r="AE195" s="2">
        <v>111.27</v>
      </c>
      <c r="AF195" s="2">
        <v>157.18</v>
      </c>
      <c r="AG195" s="2">
        <v>150.69</v>
      </c>
      <c r="AH195" s="2">
        <v>154.54</v>
      </c>
      <c r="AI195" s="2">
        <v>148.31</v>
      </c>
      <c r="AJ195" s="2">
        <v>129.05000000000001</v>
      </c>
      <c r="AK195" s="2">
        <v>135.47999999999999</v>
      </c>
      <c r="AL195" s="2">
        <v>120.42</v>
      </c>
      <c r="AM195" s="2">
        <v>118.57</v>
      </c>
      <c r="AN195" s="2">
        <v>109.76</v>
      </c>
      <c r="AO195" s="2">
        <v>115.41</v>
      </c>
      <c r="AP195" s="2">
        <v>107.74</v>
      </c>
      <c r="AQ195" s="2">
        <v>124.42</v>
      </c>
      <c r="AR195" s="2">
        <v>133.1</v>
      </c>
      <c r="AU195" s="1" t="s">
        <v>25</v>
      </c>
      <c r="AV195" s="2">
        <v>174.27</v>
      </c>
      <c r="AW195" s="2">
        <v>132.11000000000001</v>
      </c>
      <c r="AX195" s="2">
        <v>61.94</v>
      </c>
      <c r="AY195" s="2">
        <v>75.599999999999994</v>
      </c>
      <c r="AZ195" s="2">
        <v>145.88999999999999</v>
      </c>
      <c r="BA195" s="2">
        <v>137.94</v>
      </c>
      <c r="BB195" s="2">
        <v>111.27</v>
      </c>
      <c r="BC195" s="2">
        <v>157.18</v>
      </c>
      <c r="BD195" s="2">
        <v>150.69</v>
      </c>
      <c r="BE195" s="2">
        <v>154.54</v>
      </c>
      <c r="BF195" s="2">
        <v>148.31</v>
      </c>
      <c r="BG195" s="2">
        <v>129.05000000000001</v>
      </c>
      <c r="BH195" s="2">
        <v>135.47999999999999</v>
      </c>
      <c r="BI195" s="2">
        <v>120.42</v>
      </c>
      <c r="BJ195" s="2">
        <v>118.57</v>
      </c>
      <c r="BK195" s="2">
        <v>109.76</v>
      </c>
      <c r="BL195" s="2">
        <v>115.41</v>
      </c>
      <c r="BM195" s="2">
        <v>107.74</v>
      </c>
      <c r="BN195" s="2">
        <v>124.42</v>
      </c>
      <c r="BO195" s="2">
        <v>133.1</v>
      </c>
    </row>
    <row r="196" spans="24:67" x14ac:dyDescent="0.3">
      <c r="X196" s="1" t="s">
        <v>26</v>
      </c>
      <c r="Y196" s="2">
        <v>36.950000000000003</v>
      </c>
      <c r="Z196" s="2">
        <v>20.57</v>
      </c>
      <c r="AA196" s="2">
        <v>15.73</v>
      </c>
      <c r="AB196" s="2">
        <v>9.8800000000000008</v>
      </c>
      <c r="AC196" s="2">
        <v>27.4</v>
      </c>
      <c r="AD196" s="2">
        <v>24.69</v>
      </c>
      <c r="AE196" s="2">
        <v>16.03</v>
      </c>
      <c r="AF196" s="2">
        <v>22.43</v>
      </c>
      <c r="AG196" s="2">
        <v>15.72</v>
      </c>
      <c r="AH196" s="2">
        <v>25.09</v>
      </c>
      <c r="AI196" s="2">
        <v>17.98</v>
      </c>
      <c r="AJ196" s="2">
        <v>20.85</v>
      </c>
      <c r="AK196" s="2">
        <v>18.399999999999999</v>
      </c>
      <c r="AL196" s="2">
        <v>19.809999999999999</v>
      </c>
      <c r="AM196" s="2">
        <v>18.79</v>
      </c>
      <c r="AN196" s="2">
        <v>22.68</v>
      </c>
      <c r="AO196" s="2">
        <v>20.170000000000002</v>
      </c>
      <c r="AP196" s="2">
        <v>19.27</v>
      </c>
      <c r="AQ196" s="2">
        <v>21.32</v>
      </c>
      <c r="AR196" s="2">
        <v>13.8</v>
      </c>
      <c r="AU196" s="1" t="s">
        <v>26</v>
      </c>
      <c r="AV196" s="2">
        <v>36.950000000000003</v>
      </c>
      <c r="AW196" s="2">
        <v>20.57</v>
      </c>
      <c r="AX196" s="2">
        <v>15.73</v>
      </c>
      <c r="AY196" s="2">
        <v>9.8800000000000008</v>
      </c>
      <c r="AZ196" s="2">
        <v>27.4</v>
      </c>
      <c r="BA196" s="2">
        <v>24.69</v>
      </c>
      <c r="BB196" s="2">
        <v>16.03</v>
      </c>
      <c r="BC196" s="2">
        <v>22.43</v>
      </c>
      <c r="BD196" s="2">
        <v>15.72</v>
      </c>
      <c r="BE196" s="2">
        <v>25.09</v>
      </c>
      <c r="BF196" s="2">
        <v>17.98</v>
      </c>
      <c r="BG196" s="2">
        <v>20.85</v>
      </c>
      <c r="BH196" s="2">
        <v>18.399999999999999</v>
      </c>
      <c r="BI196" s="2">
        <v>19.809999999999999</v>
      </c>
      <c r="BJ196" s="2">
        <v>18.79</v>
      </c>
      <c r="BK196" s="2">
        <v>22.68</v>
      </c>
      <c r="BL196" s="2">
        <v>20.170000000000002</v>
      </c>
      <c r="BM196" s="2">
        <v>19.27</v>
      </c>
      <c r="BN196" s="2">
        <v>21.32</v>
      </c>
      <c r="BO196" s="2">
        <v>13.8</v>
      </c>
    </row>
    <row r="197" spans="24:67" x14ac:dyDescent="0.3">
      <c r="X197" s="1" t="s">
        <v>27</v>
      </c>
      <c r="Y197" s="2">
        <v>83.59</v>
      </c>
      <c r="Z197" s="2">
        <v>93.07</v>
      </c>
      <c r="AA197" s="2">
        <v>37.17</v>
      </c>
      <c r="AB197" s="2">
        <v>38.07</v>
      </c>
      <c r="AC197" s="2">
        <v>85.16</v>
      </c>
      <c r="AD197" s="2">
        <v>74.13</v>
      </c>
      <c r="AE197" s="2">
        <v>79.67</v>
      </c>
      <c r="AF197" s="2">
        <v>127.97</v>
      </c>
      <c r="AG197" s="2">
        <v>55.6</v>
      </c>
      <c r="AH197" s="2">
        <v>72.52</v>
      </c>
      <c r="AI197" s="2">
        <v>74.150000000000006</v>
      </c>
      <c r="AJ197" s="2">
        <v>68.62</v>
      </c>
      <c r="AK197" s="2">
        <v>79.98</v>
      </c>
      <c r="AL197" s="2">
        <v>70.66</v>
      </c>
      <c r="AM197" s="2">
        <v>98.67</v>
      </c>
      <c r="AN197" s="2">
        <v>72.459999999999994</v>
      </c>
      <c r="AO197" s="2">
        <v>77.760000000000005</v>
      </c>
      <c r="AP197" s="2">
        <v>61.93</v>
      </c>
      <c r="AQ197" s="2">
        <v>70.88</v>
      </c>
      <c r="AR197" s="2">
        <v>62.05</v>
      </c>
      <c r="AU197" s="1" t="s">
        <v>27</v>
      </c>
      <c r="AV197" s="2">
        <v>83.59</v>
      </c>
      <c r="AW197" s="2">
        <v>93.07</v>
      </c>
      <c r="AX197" s="2">
        <v>37.17</v>
      </c>
      <c r="AY197" s="2">
        <v>38.07</v>
      </c>
      <c r="AZ197" s="2">
        <v>85.16</v>
      </c>
      <c r="BA197" s="2">
        <v>74.13</v>
      </c>
      <c r="BB197" s="2">
        <v>79.67</v>
      </c>
      <c r="BC197" s="2">
        <v>127.97</v>
      </c>
      <c r="BD197" s="2">
        <v>55.6</v>
      </c>
      <c r="BE197" s="2">
        <v>72.52</v>
      </c>
      <c r="BF197" s="2">
        <v>74.150000000000006</v>
      </c>
      <c r="BG197" s="2">
        <v>68.62</v>
      </c>
      <c r="BH197" s="2">
        <v>79.98</v>
      </c>
      <c r="BI197" s="2">
        <v>70.66</v>
      </c>
      <c r="BJ197" s="2">
        <v>98.67</v>
      </c>
      <c r="BK197" s="2">
        <v>72.459999999999994</v>
      </c>
      <c r="BL197" s="2">
        <v>77.760000000000005</v>
      </c>
      <c r="BM197" s="2">
        <v>61.93</v>
      </c>
      <c r="BN197" s="2">
        <v>70.88</v>
      </c>
      <c r="BO197" s="2">
        <v>62.05</v>
      </c>
    </row>
    <row r="198" spans="24:67" x14ac:dyDescent="0.3">
      <c r="X198" s="1" t="s">
        <v>28</v>
      </c>
      <c r="Y198" s="2">
        <v>52.99</v>
      </c>
      <c r="Z198" s="2">
        <v>56.9</v>
      </c>
      <c r="AA198" s="2">
        <v>23.77</v>
      </c>
      <c r="AB198" s="2">
        <v>25.52</v>
      </c>
      <c r="AC198" s="2">
        <v>37.85</v>
      </c>
      <c r="AD198" s="2">
        <v>42.31</v>
      </c>
      <c r="AE198" s="2">
        <v>44.86</v>
      </c>
      <c r="AF198" s="2">
        <v>45.28</v>
      </c>
      <c r="AG198" s="2">
        <v>45.4</v>
      </c>
      <c r="AH198" s="2">
        <v>42.68</v>
      </c>
      <c r="AI198" s="2">
        <v>55.8</v>
      </c>
      <c r="AJ198" s="2">
        <v>44.54</v>
      </c>
      <c r="AK198" s="2">
        <v>56.9</v>
      </c>
      <c r="AL198" s="2">
        <v>51.02</v>
      </c>
      <c r="AM198" s="2">
        <v>56.18</v>
      </c>
      <c r="AN198" s="2">
        <v>47.12</v>
      </c>
      <c r="AO198" s="2">
        <v>46.18</v>
      </c>
      <c r="AP198" s="2">
        <v>44.57</v>
      </c>
      <c r="AQ198" s="2">
        <v>48.53</v>
      </c>
      <c r="AR198" s="2">
        <v>56.24</v>
      </c>
      <c r="AU198" s="1" t="s">
        <v>28</v>
      </c>
      <c r="AV198" s="2">
        <v>52.99</v>
      </c>
      <c r="AW198" s="2">
        <v>56.9</v>
      </c>
      <c r="AX198" s="2">
        <v>23.77</v>
      </c>
      <c r="AY198" s="2">
        <v>25.52</v>
      </c>
      <c r="AZ198" s="2">
        <v>37.85</v>
      </c>
      <c r="BA198" s="2">
        <v>42.31</v>
      </c>
      <c r="BB198" s="2">
        <v>44.86</v>
      </c>
      <c r="BC198" s="2">
        <v>45.28</v>
      </c>
      <c r="BD198" s="2">
        <v>45.4</v>
      </c>
      <c r="BE198" s="2">
        <v>42.68</v>
      </c>
      <c r="BF198" s="2">
        <v>55.8</v>
      </c>
      <c r="BG198" s="2">
        <v>44.54</v>
      </c>
      <c r="BH198" s="2">
        <v>56.9</v>
      </c>
      <c r="BI198" s="2">
        <v>51.02</v>
      </c>
      <c r="BJ198" s="2">
        <v>56.18</v>
      </c>
      <c r="BK198" s="2">
        <v>47.12</v>
      </c>
      <c r="BL198" s="2">
        <v>46.18</v>
      </c>
      <c r="BM198" s="2">
        <v>44.57</v>
      </c>
      <c r="BN198" s="2">
        <v>48.53</v>
      </c>
      <c r="BO198" s="2">
        <v>56.24</v>
      </c>
    </row>
    <row r="201" spans="24:67" x14ac:dyDescent="0.3">
      <c r="X201" t="s">
        <v>70</v>
      </c>
      <c r="AU201" t="s">
        <v>71</v>
      </c>
    </row>
    <row r="202" spans="24:67" x14ac:dyDescent="0.3">
      <c r="X202" s="1" t="s">
        <v>16</v>
      </c>
      <c r="Y202" s="1" t="s">
        <v>17</v>
      </c>
      <c r="Z202" s="1" t="s">
        <v>18</v>
      </c>
      <c r="AA202" s="1" t="s">
        <v>17</v>
      </c>
      <c r="AB202" s="1" t="s">
        <v>18</v>
      </c>
      <c r="AC202" s="1" t="s">
        <v>17</v>
      </c>
      <c r="AD202" s="1" t="s">
        <v>18</v>
      </c>
      <c r="AE202" s="1" t="s">
        <v>17</v>
      </c>
      <c r="AF202" s="1" t="s">
        <v>18</v>
      </c>
      <c r="AG202" s="1" t="s">
        <v>17</v>
      </c>
      <c r="AH202" s="1" t="s">
        <v>18</v>
      </c>
      <c r="AI202" s="1" t="s">
        <v>17</v>
      </c>
      <c r="AJ202" s="1" t="s">
        <v>18</v>
      </c>
      <c r="AK202" s="1" t="s">
        <v>17</v>
      </c>
      <c r="AL202" s="1" t="s">
        <v>18</v>
      </c>
      <c r="AM202" s="1" t="s">
        <v>17</v>
      </c>
      <c r="AN202" s="1" t="s">
        <v>18</v>
      </c>
      <c r="AO202" s="1" t="s">
        <v>17</v>
      </c>
      <c r="AP202" s="1" t="s">
        <v>18</v>
      </c>
      <c r="AQ202" s="1" t="s">
        <v>17</v>
      </c>
      <c r="AR202" s="1" t="s">
        <v>18</v>
      </c>
      <c r="AU202" s="1" t="s">
        <v>16</v>
      </c>
      <c r="AV202" s="13" t="s">
        <v>17</v>
      </c>
      <c r="AW202" s="13"/>
      <c r="AX202" s="13"/>
      <c r="AY202" s="13"/>
      <c r="AZ202" s="13"/>
      <c r="BA202" s="13"/>
      <c r="BB202" s="13"/>
      <c r="BC202" s="13"/>
      <c r="BD202" s="13"/>
      <c r="BE202" s="13"/>
      <c r="BF202" s="13" t="s">
        <v>18</v>
      </c>
      <c r="BG202" s="13"/>
      <c r="BH202" s="13"/>
      <c r="BI202" s="13"/>
      <c r="BJ202" s="13"/>
      <c r="BK202" s="13"/>
      <c r="BL202" s="13"/>
      <c r="BM202" s="13"/>
      <c r="BN202" s="13"/>
      <c r="BO202" s="13"/>
    </row>
    <row r="203" spans="24:67" x14ac:dyDescent="0.3">
      <c r="X203" s="1" t="s">
        <v>19</v>
      </c>
      <c r="Y203" s="1" t="s">
        <v>1</v>
      </c>
      <c r="Z203" s="1" t="s">
        <v>1</v>
      </c>
      <c r="AA203" s="1" t="s">
        <v>2</v>
      </c>
      <c r="AB203" s="1" t="s">
        <v>2</v>
      </c>
      <c r="AC203" s="1" t="s">
        <v>3</v>
      </c>
      <c r="AD203" s="1" t="s">
        <v>3</v>
      </c>
      <c r="AE203" s="1" t="s">
        <v>4</v>
      </c>
      <c r="AF203" s="1" t="s">
        <v>4</v>
      </c>
      <c r="AG203" s="1" t="s">
        <v>5</v>
      </c>
      <c r="AH203" s="1" t="s">
        <v>5</v>
      </c>
      <c r="AI203" s="1" t="s">
        <v>6</v>
      </c>
      <c r="AJ203" s="1" t="s">
        <v>6</v>
      </c>
      <c r="AK203" s="1" t="s">
        <v>7</v>
      </c>
      <c r="AL203" s="1" t="s">
        <v>7</v>
      </c>
      <c r="AM203" s="1" t="s">
        <v>8</v>
      </c>
      <c r="AN203" s="1" t="s">
        <v>8</v>
      </c>
      <c r="AO203" s="1" t="s">
        <v>9</v>
      </c>
      <c r="AP203" s="1" t="s">
        <v>9</v>
      </c>
      <c r="AQ203" s="1" t="s">
        <v>10</v>
      </c>
      <c r="AR203" s="1" t="s">
        <v>10</v>
      </c>
      <c r="AU203" s="1" t="s">
        <v>19</v>
      </c>
      <c r="AV203" s="1" t="s">
        <v>1</v>
      </c>
      <c r="AW203" s="1" t="s">
        <v>10</v>
      </c>
      <c r="AX203" s="1" t="s">
        <v>2</v>
      </c>
      <c r="AY203" s="1" t="s">
        <v>3</v>
      </c>
      <c r="AZ203" s="1" t="s">
        <v>4</v>
      </c>
      <c r="BA203" s="1" t="s">
        <v>5</v>
      </c>
      <c r="BB203" s="1" t="s">
        <v>6</v>
      </c>
      <c r="BC203" s="1" t="s">
        <v>7</v>
      </c>
      <c r="BD203" s="1" t="s">
        <v>8</v>
      </c>
      <c r="BE203" s="1" t="s">
        <v>9</v>
      </c>
      <c r="BF203" s="1" t="s">
        <v>1</v>
      </c>
      <c r="BG203" s="1" t="s">
        <v>10</v>
      </c>
      <c r="BH203" s="1" t="s">
        <v>2</v>
      </c>
      <c r="BI203" s="1" t="s">
        <v>3</v>
      </c>
      <c r="BJ203" s="1" t="s">
        <v>4</v>
      </c>
      <c r="BK203" s="1" t="s">
        <v>5</v>
      </c>
      <c r="BL203" s="1" t="s">
        <v>6</v>
      </c>
      <c r="BM203" s="1" t="s">
        <v>7</v>
      </c>
      <c r="BN203" s="1" t="s">
        <v>8</v>
      </c>
      <c r="BO203" s="1" t="s">
        <v>9</v>
      </c>
    </row>
    <row r="204" spans="24:67" x14ac:dyDescent="0.3">
      <c r="X204" s="1" t="s">
        <v>20</v>
      </c>
      <c r="AU204" s="1" t="s">
        <v>20</v>
      </c>
    </row>
    <row r="205" spans="24:67" x14ac:dyDescent="0.3">
      <c r="X205" s="1" t="s">
        <v>21</v>
      </c>
      <c r="Y205" s="2">
        <v>0.21</v>
      </c>
      <c r="Z205" s="2">
        <v>0.21</v>
      </c>
      <c r="AA205" s="2">
        <v>0.18</v>
      </c>
      <c r="AB205" s="2">
        <v>0.18</v>
      </c>
      <c r="AC205" s="2">
        <v>0.18</v>
      </c>
      <c r="AD205" s="2">
        <v>0.19</v>
      </c>
      <c r="AE205" s="2">
        <v>0.15</v>
      </c>
      <c r="AF205" s="2">
        <v>0.23</v>
      </c>
      <c r="AG205" s="2">
        <v>0.13</v>
      </c>
      <c r="AH205" s="2">
        <v>0.17</v>
      </c>
      <c r="AI205" s="2">
        <v>0.19</v>
      </c>
      <c r="AJ205" s="2">
        <v>0.16</v>
      </c>
      <c r="AK205" s="2">
        <v>0.19</v>
      </c>
      <c r="AL205" s="2">
        <v>0.15</v>
      </c>
      <c r="AM205" s="2">
        <v>0.19</v>
      </c>
      <c r="AN205" s="2">
        <v>0.16</v>
      </c>
      <c r="AO205" s="2">
        <v>0.13</v>
      </c>
      <c r="AP205" s="2">
        <v>0.04</v>
      </c>
      <c r="AQ205" s="2">
        <v>0.15</v>
      </c>
      <c r="AR205" s="2">
        <v>0.06</v>
      </c>
      <c r="AU205" s="1" t="s">
        <v>21</v>
      </c>
      <c r="AV205" s="2">
        <v>304.04000000000002</v>
      </c>
      <c r="AW205" s="2">
        <v>997.92</v>
      </c>
      <c r="AX205" s="2">
        <v>153.24</v>
      </c>
      <c r="AY205" s="2">
        <v>89.81</v>
      </c>
      <c r="AZ205" s="2">
        <v>320.8</v>
      </c>
      <c r="BA205" s="2">
        <v>423.22</v>
      </c>
      <c r="BB205" s="2">
        <v>721.61</v>
      </c>
      <c r="BC205" s="2">
        <v>564.5</v>
      </c>
      <c r="BD205" s="2">
        <v>818.49</v>
      </c>
      <c r="BE205" s="2">
        <v>621.41999999999996</v>
      </c>
      <c r="BF205" s="2">
        <v>306.47000000000003</v>
      </c>
      <c r="BG205" s="2">
        <v>1016.19</v>
      </c>
      <c r="BH205" s="2">
        <v>157.34</v>
      </c>
      <c r="BI205" s="2">
        <v>92.27</v>
      </c>
      <c r="BJ205" s="2">
        <v>341.12</v>
      </c>
      <c r="BK205" s="2">
        <v>409.36</v>
      </c>
      <c r="BL205" s="2">
        <v>735.84</v>
      </c>
      <c r="BM205" s="2">
        <v>633.16</v>
      </c>
      <c r="BN205" s="2">
        <v>807.04</v>
      </c>
      <c r="BO205" s="2">
        <v>651.64</v>
      </c>
    </row>
    <row r="206" spans="24:67" x14ac:dyDescent="0.3">
      <c r="X206" s="1" t="s">
        <v>22</v>
      </c>
      <c r="Y206" s="2">
        <v>0.28000000000000003</v>
      </c>
      <c r="Z206" s="2">
        <v>0.2</v>
      </c>
      <c r="AA206" s="2">
        <v>0.28000000000000003</v>
      </c>
      <c r="AB206" s="2">
        <v>0.23</v>
      </c>
      <c r="AC206" s="2">
        <v>0.2</v>
      </c>
      <c r="AD206" s="2">
        <v>0.23</v>
      </c>
      <c r="AE206" s="2">
        <v>0.28000000000000003</v>
      </c>
      <c r="AF206" s="2">
        <v>0.25</v>
      </c>
      <c r="AG206" s="2">
        <v>0.22</v>
      </c>
      <c r="AH206" s="2">
        <v>0.13</v>
      </c>
      <c r="AI206" s="2">
        <v>0.26</v>
      </c>
      <c r="AJ206" s="2">
        <v>0.14000000000000001</v>
      </c>
      <c r="AK206" s="2">
        <v>0.25</v>
      </c>
      <c r="AL206" s="2">
        <v>0.18</v>
      </c>
      <c r="AM206" s="2">
        <v>0.22</v>
      </c>
      <c r="AN206" s="2">
        <v>0.12</v>
      </c>
      <c r="AO206" s="2">
        <v>0.19</v>
      </c>
      <c r="AP206" s="2">
        <v>7.0000000000000007E-2</v>
      </c>
      <c r="AQ206" s="2">
        <v>0.17</v>
      </c>
      <c r="AR206" s="2">
        <v>0.03</v>
      </c>
      <c r="AU206" s="1" t="s">
        <v>22</v>
      </c>
      <c r="AV206" s="2">
        <v>21.16</v>
      </c>
      <c r="AW206" s="2">
        <v>94.05</v>
      </c>
      <c r="AX206" s="2">
        <v>12</v>
      </c>
      <c r="AY206" s="2">
        <v>6.01</v>
      </c>
      <c r="AZ206" s="2">
        <v>20.55</v>
      </c>
      <c r="BA206" s="2">
        <v>25.6</v>
      </c>
      <c r="BB206" s="2">
        <v>47.19</v>
      </c>
      <c r="BC206" s="2">
        <v>48.68</v>
      </c>
      <c r="BD206" s="2">
        <v>58.07</v>
      </c>
      <c r="BE206" s="2">
        <v>49.93</v>
      </c>
      <c r="BF206" s="2">
        <v>22.06</v>
      </c>
      <c r="BG206" s="2">
        <v>82.18</v>
      </c>
      <c r="BH206" s="2">
        <v>14.55</v>
      </c>
      <c r="BI206" s="2">
        <v>6.87</v>
      </c>
      <c r="BJ206" s="2">
        <v>28.11</v>
      </c>
      <c r="BK206" s="2">
        <v>29.48</v>
      </c>
      <c r="BL206" s="2">
        <v>58.04</v>
      </c>
      <c r="BM206" s="2">
        <v>46.85</v>
      </c>
      <c r="BN206" s="2">
        <v>57.08</v>
      </c>
      <c r="BO206" s="2">
        <v>55.7</v>
      </c>
    </row>
    <row r="207" spans="24:67" x14ac:dyDescent="0.3">
      <c r="X207" s="1" t="s">
        <v>23</v>
      </c>
      <c r="Y207" s="2">
        <v>0.4</v>
      </c>
      <c r="Z207" s="2">
        <v>0.15</v>
      </c>
      <c r="AA207" s="2">
        <v>0.4</v>
      </c>
      <c r="AB207" s="2">
        <v>0.19</v>
      </c>
      <c r="AC207" s="2">
        <v>0.38</v>
      </c>
      <c r="AD207" s="2">
        <v>0.33</v>
      </c>
      <c r="AE207" s="2">
        <v>0.39</v>
      </c>
      <c r="AF207" s="2">
        <v>0.24</v>
      </c>
      <c r="AG207" s="2">
        <v>0.33</v>
      </c>
      <c r="AH207" s="2">
        <v>0.15</v>
      </c>
      <c r="AI207" s="2">
        <v>0.33</v>
      </c>
      <c r="AJ207" s="2">
        <v>0.15</v>
      </c>
      <c r="AK207" s="2">
        <v>0.33</v>
      </c>
      <c r="AL207" s="2">
        <v>0.17</v>
      </c>
      <c r="AM207" s="2">
        <v>0.33</v>
      </c>
      <c r="AN207" s="2">
        <v>0.14000000000000001</v>
      </c>
      <c r="AO207" s="2">
        <v>0.19</v>
      </c>
      <c r="AP207" s="2">
        <v>0.09</v>
      </c>
      <c r="AQ207" s="2">
        <v>0.08</v>
      </c>
      <c r="AR207" s="2">
        <v>0.05</v>
      </c>
      <c r="AU207" s="1" t="s">
        <v>23</v>
      </c>
      <c r="AV207" s="2">
        <v>144.11000000000001</v>
      </c>
      <c r="AW207" s="2">
        <v>298.31</v>
      </c>
      <c r="AX207" s="2">
        <v>62.75</v>
      </c>
      <c r="AY207" s="2">
        <v>50.6</v>
      </c>
      <c r="AZ207" s="2">
        <v>143.63999999999999</v>
      </c>
      <c r="BA207" s="2">
        <v>317.8</v>
      </c>
      <c r="BB207" s="2">
        <v>581.57000000000005</v>
      </c>
      <c r="BC207" s="2">
        <v>542.35</v>
      </c>
      <c r="BD207" s="2">
        <v>699.84</v>
      </c>
      <c r="BE207" s="2">
        <v>347.23</v>
      </c>
      <c r="BF207" s="2">
        <v>64.95</v>
      </c>
      <c r="BG207" s="2">
        <v>289.19</v>
      </c>
      <c r="BH207" s="2">
        <v>33.18</v>
      </c>
      <c r="BI207" s="2">
        <v>57.42</v>
      </c>
      <c r="BJ207" s="2">
        <v>173.32</v>
      </c>
      <c r="BK207" s="2">
        <v>180.07</v>
      </c>
      <c r="BL207" s="2">
        <v>346.52</v>
      </c>
      <c r="BM207" s="2">
        <v>313.99</v>
      </c>
      <c r="BN207" s="2">
        <v>333.43</v>
      </c>
      <c r="BO207" s="2">
        <v>254.51</v>
      </c>
    </row>
    <row r="208" spans="24:67" x14ac:dyDescent="0.3">
      <c r="X208" s="1" t="s">
        <v>24</v>
      </c>
      <c r="Y208" s="2">
        <v>0.4</v>
      </c>
      <c r="Z208" s="2">
        <v>0.18</v>
      </c>
      <c r="AA208" s="2">
        <v>0.39</v>
      </c>
      <c r="AB208" s="2">
        <v>0.23</v>
      </c>
      <c r="AC208" s="2">
        <v>0.37</v>
      </c>
      <c r="AD208" s="2">
        <v>0.4</v>
      </c>
      <c r="AE208" s="2">
        <v>0.37</v>
      </c>
      <c r="AF208" s="2">
        <v>0.33</v>
      </c>
      <c r="AG208" s="2">
        <v>0.34</v>
      </c>
      <c r="AH208" s="2">
        <v>0.23</v>
      </c>
      <c r="AI208" s="2">
        <v>0.34</v>
      </c>
      <c r="AJ208" s="2">
        <v>0.21</v>
      </c>
      <c r="AK208" s="2">
        <v>0.35</v>
      </c>
      <c r="AL208" s="2">
        <v>0.22</v>
      </c>
      <c r="AM208" s="2">
        <v>0.34</v>
      </c>
      <c r="AN208" s="2">
        <v>0.19</v>
      </c>
      <c r="AO208" s="2">
        <v>0.18</v>
      </c>
      <c r="AP208" s="2">
        <v>0.14000000000000001</v>
      </c>
      <c r="AQ208" s="2">
        <v>0.14000000000000001</v>
      </c>
      <c r="AR208" s="2">
        <v>0.12</v>
      </c>
      <c r="AU208" s="1" t="s">
        <v>24</v>
      </c>
      <c r="AV208" s="2">
        <v>79.34</v>
      </c>
      <c r="AW208" s="2">
        <v>124.2</v>
      </c>
      <c r="AX208" s="2">
        <v>33.619999999999997</v>
      </c>
      <c r="AY208" s="2">
        <v>25.55</v>
      </c>
      <c r="AZ208" s="2">
        <v>72.3</v>
      </c>
      <c r="BA208" s="2">
        <v>90.49</v>
      </c>
      <c r="BB208" s="2">
        <v>163.94</v>
      </c>
      <c r="BC208" s="2">
        <v>86.67</v>
      </c>
      <c r="BD208" s="2">
        <v>188.6</v>
      </c>
      <c r="BE208" s="2">
        <v>84.73</v>
      </c>
      <c r="BF208" s="2">
        <v>30.75</v>
      </c>
      <c r="BG208" s="2">
        <v>124.92</v>
      </c>
      <c r="BH208" s="2">
        <v>17.86</v>
      </c>
      <c r="BI208" s="2">
        <v>15.6</v>
      </c>
      <c r="BJ208" s="2">
        <v>71.13</v>
      </c>
      <c r="BK208" s="2">
        <v>62.07</v>
      </c>
      <c r="BL208" s="2">
        <v>110.69</v>
      </c>
      <c r="BM208" s="2">
        <v>97.92</v>
      </c>
      <c r="BN208" s="2">
        <v>104.44</v>
      </c>
      <c r="BO208" s="2">
        <v>101.84</v>
      </c>
    </row>
    <row r="209" spans="24:67" x14ac:dyDescent="0.3">
      <c r="X209" s="1" t="s">
        <v>25</v>
      </c>
      <c r="Y209" s="2">
        <v>0.32</v>
      </c>
      <c r="Z209" s="2">
        <v>0.35</v>
      </c>
      <c r="AA209" s="2">
        <v>0.35</v>
      </c>
      <c r="AB209" s="2">
        <v>0.3</v>
      </c>
      <c r="AC209" s="2">
        <v>0.31</v>
      </c>
      <c r="AD209" s="2">
        <v>0.33</v>
      </c>
      <c r="AE209" s="2">
        <v>0.23</v>
      </c>
      <c r="AF209" s="2">
        <v>0.32</v>
      </c>
      <c r="AG209" s="2">
        <v>0.28999999999999998</v>
      </c>
      <c r="AH209" s="2">
        <v>0.28999999999999998</v>
      </c>
      <c r="AI209" s="2">
        <v>0.28000000000000003</v>
      </c>
      <c r="AJ209" s="2">
        <v>0.26</v>
      </c>
      <c r="AK209" s="2">
        <v>0.25</v>
      </c>
      <c r="AL209" s="2">
        <v>0.24</v>
      </c>
      <c r="AM209" s="2">
        <v>0.22</v>
      </c>
      <c r="AN209" s="2">
        <v>0.19</v>
      </c>
      <c r="AO209" s="2">
        <v>0.18</v>
      </c>
      <c r="AP209" s="2">
        <v>0.13</v>
      </c>
      <c r="AQ209" s="2">
        <v>0.14000000000000001</v>
      </c>
      <c r="AR209" s="2">
        <v>0.1</v>
      </c>
      <c r="AU209" s="1" t="s">
        <v>25</v>
      </c>
      <c r="AV209" s="2">
        <v>226.55</v>
      </c>
      <c r="AW209" s="2">
        <v>559.88</v>
      </c>
      <c r="AX209" s="2">
        <v>80.52</v>
      </c>
      <c r="AY209" s="2">
        <v>72.95</v>
      </c>
      <c r="AZ209" s="2">
        <v>178.03</v>
      </c>
      <c r="BA209" s="2">
        <v>301.37</v>
      </c>
      <c r="BB209" s="2">
        <v>533.9</v>
      </c>
      <c r="BC209" s="2">
        <v>392.89</v>
      </c>
      <c r="BD209" s="2">
        <v>450.55</v>
      </c>
      <c r="BE209" s="2">
        <v>392.39</v>
      </c>
      <c r="BF209" s="2">
        <v>171.75</v>
      </c>
      <c r="BG209" s="2">
        <v>598.96</v>
      </c>
      <c r="BH209" s="2">
        <v>98.28</v>
      </c>
      <c r="BI209" s="2">
        <v>68.97</v>
      </c>
      <c r="BJ209" s="2">
        <v>251.49</v>
      </c>
      <c r="BK209" s="2">
        <v>309.07</v>
      </c>
      <c r="BL209" s="2">
        <v>464.58</v>
      </c>
      <c r="BM209" s="2">
        <v>349.21</v>
      </c>
      <c r="BN209" s="2">
        <v>417.1</v>
      </c>
      <c r="BO209" s="2">
        <v>366.32</v>
      </c>
    </row>
    <row r="210" spans="24:67" x14ac:dyDescent="0.3">
      <c r="X210" s="1" t="s">
        <v>26</v>
      </c>
      <c r="Y210" s="2">
        <v>0.37</v>
      </c>
      <c r="Z210" s="2">
        <v>0.38</v>
      </c>
      <c r="AA210" s="2">
        <v>0.4</v>
      </c>
      <c r="AB210" s="2">
        <v>0.4</v>
      </c>
      <c r="AC210" s="2">
        <v>0.35</v>
      </c>
      <c r="AD210" s="2">
        <v>0.36</v>
      </c>
      <c r="AE210" s="2">
        <v>0.27</v>
      </c>
      <c r="AF210" s="2">
        <v>0.31</v>
      </c>
      <c r="AG210" s="2">
        <v>0.2</v>
      </c>
      <c r="AH210" s="2">
        <v>0.33</v>
      </c>
      <c r="AI210" s="2">
        <v>0.25</v>
      </c>
      <c r="AJ210" s="2">
        <v>0.33</v>
      </c>
      <c r="AK210" s="2">
        <v>0.25</v>
      </c>
      <c r="AL210" s="2">
        <v>0.33</v>
      </c>
      <c r="AM210" s="2">
        <v>0.25</v>
      </c>
      <c r="AN210" s="2">
        <v>0.33</v>
      </c>
      <c r="AO210" s="2">
        <v>0.21</v>
      </c>
      <c r="AP210" s="2">
        <v>0.33</v>
      </c>
      <c r="AQ210" s="2">
        <v>0.17</v>
      </c>
      <c r="AR210" s="2">
        <v>0.13</v>
      </c>
      <c r="AU210" s="1" t="s">
        <v>26</v>
      </c>
      <c r="AV210" s="2">
        <v>48.03</v>
      </c>
      <c r="AW210" s="2">
        <v>95.94</v>
      </c>
      <c r="AX210" s="2">
        <v>20.45</v>
      </c>
      <c r="AY210" s="2">
        <v>13.7</v>
      </c>
      <c r="AZ210" s="2">
        <v>25.65</v>
      </c>
      <c r="BA210" s="2">
        <v>31.45</v>
      </c>
      <c r="BB210" s="2">
        <v>64.72</v>
      </c>
      <c r="BC210" s="2">
        <v>53.36</v>
      </c>
      <c r="BD210" s="2">
        <v>71.41</v>
      </c>
      <c r="BE210" s="2">
        <v>68.569999999999993</v>
      </c>
      <c r="BF210" s="2">
        <v>26.74</v>
      </c>
      <c r="BG210" s="2">
        <v>62.1</v>
      </c>
      <c r="BH210" s="2">
        <v>12.84</v>
      </c>
      <c r="BI210" s="2">
        <v>12.34</v>
      </c>
      <c r="BJ210" s="2">
        <v>35.880000000000003</v>
      </c>
      <c r="BK210" s="2">
        <v>50.17</v>
      </c>
      <c r="BL210" s="2">
        <v>75.06</v>
      </c>
      <c r="BM210" s="2">
        <v>57.46</v>
      </c>
      <c r="BN210" s="2">
        <v>86.2</v>
      </c>
      <c r="BO210" s="2">
        <v>65.53</v>
      </c>
    </row>
    <row r="211" spans="24:67" x14ac:dyDescent="0.3">
      <c r="X211" s="1" t="s">
        <v>27</v>
      </c>
      <c r="Y211" s="2">
        <v>0.39</v>
      </c>
      <c r="Z211" s="2">
        <v>0.4</v>
      </c>
      <c r="AA211" s="2">
        <v>0.33</v>
      </c>
      <c r="AB211" s="2">
        <v>0.41</v>
      </c>
      <c r="AC211" s="2">
        <v>0.28000000000000003</v>
      </c>
      <c r="AD211" s="2">
        <v>0.39</v>
      </c>
      <c r="AE211" s="2">
        <v>0.28999999999999998</v>
      </c>
      <c r="AF211" s="2">
        <v>0.33</v>
      </c>
      <c r="AG211" s="2">
        <v>0.19</v>
      </c>
      <c r="AH211" s="2">
        <v>0.37</v>
      </c>
      <c r="AI211" s="2">
        <v>0.22</v>
      </c>
      <c r="AJ211" s="2">
        <v>0.37</v>
      </c>
      <c r="AK211" s="2">
        <v>0.23</v>
      </c>
      <c r="AL211" s="2">
        <v>0.37</v>
      </c>
      <c r="AM211" s="2">
        <v>0.25</v>
      </c>
      <c r="AN211" s="2">
        <v>0.31</v>
      </c>
      <c r="AO211" s="2">
        <v>0.17</v>
      </c>
      <c r="AP211" s="2">
        <v>0.18</v>
      </c>
      <c r="AQ211" s="2">
        <v>0.14000000000000001</v>
      </c>
      <c r="AR211" s="2">
        <v>0.13</v>
      </c>
      <c r="AU211" s="1" t="s">
        <v>27</v>
      </c>
      <c r="AV211" s="2">
        <v>108.66</v>
      </c>
      <c r="AW211" s="2">
        <v>318.95</v>
      </c>
      <c r="AX211" s="2">
        <v>48.32</v>
      </c>
      <c r="AY211" s="2">
        <v>42.58</v>
      </c>
      <c r="AZ211" s="2">
        <v>127.47</v>
      </c>
      <c r="BA211" s="2">
        <v>111.2</v>
      </c>
      <c r="BB211" s="2">
        <v>266.92</v>
      </c>
      <c r="BC211" s="2">
        <v>231.95</v>
      </c>
      <c r="BD211" s="2">
        <v>374.96</v>
      </c>
      <c r="BE211" s="2">
        <v>264.37</v>
      </c>
      <c r="BF211" s="2">
        <v>120.99</v>
      </c>
      <c r="BG211" s="2">
        <v>279.20999999999998</v>
      </c>
      <c r="BH211" s="2">
        <v>49.49</v>
      </c>
      <c r="BI211" s="2">
        <v>37.07</v>
      </c>
      <c r="BJ211" s="2">
        <v>204.75</v>
      </c>
      <c r="BK211" s="2">
        <v>145.05000000000001</v>
      </c>
      <c r="BL211" s="2">
        <v>247.05</v>
      </c>
      <c r="BM211" s="2">
        <v>204.92</v>
      </c>
      <c r="BN211" s="2">
        <v>275.33999999999997</v>
      </c>
      <c r="BO211" s="2">
        <v>210.56</v>
      </c>
    </row>
    <row r="212" spans="24:67" x14ac:dyDescent="0.3">
      <c r="X212" s="1" t="s">
        <v>28</v>
      </c>
      <c r="Y212" s="2">
        <v>0.2</v>
      </c>
      <c r="Z212" s="2">
        <v>0.28000000000000003</v>
      </c>
      <c r="AA212" s="2">
        <v>0.35</v>
      </c>
      <c r="AB212" s="2">
        <v>0.34</v>
      </c>
      <c r="AC212" s="2">
        <v>0.28000000000000003</v>
      </c>
      <c r="AD212" s="2">
        <v>0.28999999999999998</v>
      </c>
      <c r="AE212" s="2">
        <v>0.25</v>
      </c>
      <c r="AF212" s="2">
        <v>0.24</v>
      </c>
      <c r="AG212" s="2">
        <v>0.11</v>
      </c>
      <c r="AH212" s="2">
        <v>0.2</v>
      </c>
      <c r="AI212" s="2">
        <v>0.19</v>
      </c>
      <c r="AJ212" s="2">
        <v>0.21</v>
      </c>
      <c r="AK212" s="2">
        <v>0.19</v>
      </c>
      <c r="AL212" s="2">
        <v>0.21</v>
      </c>
      <c r="AM212" s="2">
        <v>0.19</v>
      </c>
      <c r="AN212" s="2">
        <v>0.17</v>
      </c>
      <c r="AO212" s="2">
        <v>0.16</v>
      </c>
      <c r="AP212" s="2">
        <v>0.11</v>
      </c>
      <c r="AQ212" s="2">
        <v>0.12</v>
      </c>
      <c r="AR212" s="2">
        <v>7.0000000000000007E-2</v>
      </c>
      <c r="AU212" s="1" t="s">
        <v>28</v>
      </c>
      <c r="AV212" s="2">
        <v>68.89</v>
      </c>
      <c r="AW212" s="2">
        <v>218.39</v>
      </c>
      <c r="AX212" s="2">
        <v>30.9</v>
      </c>
      <c r="AY212" s="2">
        <v>18.920000000000002</v>
      </c>
      <c r="AZ212" s="2">
        <v>71.78</v>
      </c>
      <c r="BA212" s="2">
        <v>90.8</v>
      </c>
      <c r="BB212" s="2">
        <v>200.86</v>
      </c>
      <c r="BC212" s="2">
        <v>165.01</v>
      </c>
      <c r="BD212" s="2">
        <v>213.47</v>
      </c>
      <c r="BE212" s="2">
        <v>157.02000000000001</v>
      </c>
      <c r="BF212" s="2">
        <v>73.97</v>
      </c>
      <c r="BG212" s="2">
        <v>253.1</v>
      </c>
      <c r="BH212" s="2">
        <v>33.18</v>
      </c>
      <c r="BI212" s="2">
        <v>21.15</v>
      </c>
      <c r="BJ212" s="2">
        <v>72.44</v>
      </c>
      <c r="BK212" s="2">
        <v>85.35</v>
      </c>
      <c r="BL212" s="2">
        <v>160.33000000000001</v>
      </c>
      <c r="BM212" s="2">
        <v>147.96</v>
      </c>
      <c r="BN212" s="2">
        <v>179.04</v>
      </c>
      <c r="BO212" s="2">
        <v>151.54</v>
      </c>
    </row>
    <row r="215" spans="24:67" x14ac:dyDescent="0.3">
      <c r="X215" t="s">
        <v>72</v>
      </c>
      <c r="AU215" t="s">
        <v>73</v>
      </c>
    </row>
    <row r="216" spans="24:67" x14ac:dyDescent="0.3">
      <c r="X216" s="1" t="s">
        <v>16</v>
      </c>
      <c r="Y216" s="1" t="s">
        <v>17</v>
      </c>
      <c r="Z216" s="1" t="s">
        <v>18</v>
      </c>
      <c r="AA216" s="1" t="s">
        <v>17</v>
      </c>
      <c r="AB216" s="1" t="s">
        <v>18</v>
      </c>
      <c r="AC216" s="1" t="s">
        <v>17</v>
      </c>
      <c r="AD216" s="1" t="s">
        <v>18</v>
      </c>
      <c r="AE216" s="1" t="s">
        <v>17</v>
      </c>
      <c r="AF216" s="1" t="s">
        <v>18</v>
      </c>
      <c r="AG216" s="1" t="s">
        <v>17</v>
      </c>
      <c r="AH216" s="1" t="s">
        <v>18</v>
      </c>
      <c r="AI216" s="1" t="s">
        <v>17</v>
      </c>
      <c r="AJ216" s="1" t="s">
        <v>18</v>
      </c>
      <c r="AK216" s="1" t="s">
        <v>17</v>
      </c>
      <c r="AL216" s="1" t="s">
        <v>18</v>
      </c>
      <c r="AM216" s="1" t="s">
        <v>17</v>
      </c>
      <c r="AN216" s="1" t="s">
        <v>18</v>
      </c>
      <c r="AO216" s="1" t="s">
        <v>17</v>
      </c>
      <c r="AP216" s="1" t="s">
        <v>18</v>
      </c>
      <c r="AQ216" s="1" t="s">
        <v>17</v>
      </c>
      <c r="AR216" s="1" t="s">
        <v>18</v>
      </c>
      <c r="AU216" s="1" t="s">
        <v>16</v>
      </c>
      <c r="AV216" s="1" t="s">
        <v>17</v>
      </c>
      <c r="AW216" s="1" t="s">
        <v>18</v>
      </c>
      <c r="AX216" s="1" t="s">
        <v>17</v>
      </c>
      <c r="AY216" s="1" t="s">
        <v>18</v>
      </c>
      <c r="AZ216" s="1" t="s">
        <v>17</v>
      </c>
      <c r="BA216" s="1" t="s">
        <v>18</v>
      </c>
      <c r="BB216" s="1" t="s">
        <v>17</v>
      </c>
      <c r="BC216" s="1" t="s">
        <v>18</v>
      </c>
      <c r="BD216" s="1" t="s">
        <v>17</v>
      </c>
      <c r="BE216" s="1" t="s">
        <v>18</v>
      </c>
      <c r="BF216" s="1" t="s">
        <v>17</v>
      </c>
      <c r="BG216" s="1" t="s">
        <v>18</v>
      </c>
      <c r="BH216" s="1" t="s">
        <v>17</v>
      </c>
      <c r="BI216" s="1" t="s">
        <v>18</v>
      </c>
      <c r="BJ216" s="1" t="s">
        <v>17</v>
      </c>
      <c r="BK216" s="1" t="s">
        <v>18</v>
      </c>
      <c r="BL216" s="1" t="s">
        <v>17</v>
      </c>
      <c r="BM216" s="1" t="s">
        <v>18</v>
      </c>
      <c r="BN216" s="1" t="s">
        <v>17</v>
      </c>
      <c r="BO216" s="1" t="s">
        <v>18</v>
      </c>
    </row>
    <row r="217" spans="24:67" x14ac:dyDescent="0.3">
      <c r="X217" s="1" t="s">
        <v>19</v>
      </c>
      <c r="Y217" s="1" t="s">
        <v>1</v>
      </c>
      <c r="Z217" s="1" t="s">
        <v>1</v>
      </c>
      <c r="AA217" s="1" t="s">
        <v>2</v>
      </c>
      <c r="AB217" s="1" t="s">
        <v>2</v>
      </c>
      <c r="AC217" s="1" t="s">
        <v>3</v>
      </c>
      <c r="AD217" s="1" t="s">
        <v>3</v>
      </c>
      <c r="AE217" s="1" t="s">
        <v>4</v>
      </c>
      <c r="AF217" s="1" t="s">
        <v>4</v>
      </c>
      <c r="AG217" s="1" t="s">
        <v>5</v>
      </c>
      <c r="AH217" s="1" t="s">
        <v>5</v>
      </c>
      <c r="AI217" s="1" t="s">
        <v>6</v>
      </c>
      <c r="AJ217" s="1" t="s">
        <v>6</v>
      </c>
      <c r="AK217" s="1" t="s">
        <v>7</v>
      </c>
      <c r="AL217" s="1" t="s">
        <v>7</v>
      </c>
      <c r="AM217" s="1" t="s">
        <v>8</v>
      </c>
      <c r="AN217" s="1" t="s">
        <v>8</v>
      </c>
      <c r="AO217" s="1" t="s">
        <v>9</v>
      </c>
      <c r="AP217" s="1" t="s">
        <v>9</v>
      </c>
      <c r="AQ217" s="1" t="s">
        <v>10</v>
      </c>
      <c r="AR217" s="1" t="s">
        <v>10</v>
      </c>
      <c r="AU217" s="1" t="s">
        <v>19</v>
      </c>
      <c r="AV217" s="1" t="s">
        <v>1</v>
      </c>
      <c r="AW217" s="1" t="s">
        <v>1</v>
      </c>
      <c r="AX217" s="1" t="s">
        <v>2</v>
      </c>
      <c r="AY217" s="1" t="s">
        <v>2</v>
      </c>
      <c r="AZ217" s="1" t="s">
        <v>3</v>
      </c>
      <c r="BA217" s="1" t="s">
        <v>3</v>
      </c>
      <c r="BB217" s="1" t="s">
        <v>4</v>
      </c>
      <c r="BC217" s="1" t="s">
        <v>4</v>
      </c>
      <c r="BD217" s="1" t="s">
        <v>5</v>
      </c>
      <c r="BE217" s="1" t="s">
        <v>5</v>
      </c>
      <c r="BF217" s="1" t="s">
        <v>6</v>
      </c>
      <c r="BG217" s="1" t="s">
        <v>6</v>
      </c>
      <c r="BH217" s="1" t="s">
        <v>7</v>
      </c>
      <c r="BI217" s="1" t="s">
        <v>7</v>
      </c>
      <c r="BJ217" s="1" t="s">
        <v>8</v>
      </c>
      <c r="BK217" s="1" t="s">
        <v>8</v>
      </c>
      <c r="BL217" s="1" t="s">
        <v>9</v>
      </c>
      <c r="BM217" s="1" t="s">
        <v>9</v>
      </c>
      <c r="BN217" s="1" t="s">
        <v>10</v>
      </c>
      <c r="BO217" s="1" t="s">
        <v>10</v>
      </c>
    </row>
    <row r="218" spans="24:67" x14ac:dyDescent="0.3">
      <c r="X218" s="1" t="s">
        <v>20</v>
      </c>
      <c r="AU218" s="1" t="s">
        <v>20</v>
      </c>
    </row>
    <row r="219" spans="24:67" x14ac:dyDescent="0.3">
      <c r="X219" s="1" t="s">
        <v>21</v>
      </c>
      <c r="Y219" s="2">
        <v>0</v>
      </c>
      <c r="Z219" s="2">
        <v>0</v>
      </c>
      <c r="AA219" s="2">
        <v>0</v>
      </c>
      <c r="AB219" s="2">
        <v>0</v>
      </c>
      <c r="AC219" s="2">
        <v>0</v>
      </c>
      <c r="AD219" s="2">
        <v>0</v>
      </c>
      <c r="AE219" s="2">
        <v>0</v>
      </c>
      <c r="AF219" s="2">
        <v>0.13</v>
      </c>
      <c r="AG219" s="2">
        <v>0.09</v>
      </c>
      <c r="AH219" s="2">
        <v>0.12</v>
      </c>
      <c r="AI219" s="2">
        <v>0.13</v>
      </c>
      <c r="AJ219" s="2">
        <v>0.11</v>
      </c>
      <c r="AK219" s="2">
        <v>0.13</v>
      </c>
      <c r="AL219" s="2">
        <v>0.1</v>
      </c>
      <c r="AM219" s="2">
        <v>0.13</v>
      </c>
      <c r="AN219" s="2">
        <v>0.11</v>
      </c>
      <c r="AO219" s="2">
        <v>0.09</v>
      </c>
      <c r="AP219" s="2">
        <v>0.03</v>
      </c>
      <c r="AQ219" s="2">
        <v>0.1</v>
      </c>
      <c r="AR219" s="2">
        <v>0.04</v>
      </c>
      <c r="AU219" s="1" t="s">
        <v>21</v>
      </c>
      <c r="AV219" s="2">
        <v>233.88</v>
      </c>
      <c r="AW219" s="2">
        <v>235.74</v>
      </c>
      <c r="AX219" s="2">
        <v>117.88</v>
      </c>
      <c r="AY219" s="2">
        <v>121.03</v>
      </c>
      <c r="AZ219" s="2">
        <v>179.62</v>
      </c>
      <c r="BA219" s="2">
        <v>184.54</v>
      </c>
      <c r="BB219" s="2">
        <v>200.5</v>
      </c>
      <c r="BC219" s="2">
        <v>213.2</v>
      </c>
      <c r="BD219" s="2">
        <v>211.61</v>
      </c>
      <c r="BE219" s="2">
        <v>204.68</v>
      </c>
      <c r="BF219" s="2">
        <v>200.45</v>
      </c>
      <c r="BG219" s="2">
        <v>204.4</v>
      </c>
      <c r="BH219" s="2">
        <v>194.66</v>
      </c>
      <c r="BI219" s="2">
        <v>218.33</v>
      </c>
      <c r="BJ219" s="2">
        <v>215.39</v>
      </c>
      <c r="BK219" s="2">
        <v>212.38</v>
      </c>
      <c r="BL219" s="2">
        <v>182.77</v>
      </c>
      <c r="BM219" s="2">
        <v>191.66</v>
      </c>
      <c r="BN219" s="2">
        <v>221.76</v>
      </c>
      <c r="BO219" s="2">
        <v>225.82</v>
      </c>
    </row>
    <row r="220" spans="24:67" x14ac:dyDescent="0.3">
      <c r="X220" s="1" t="s">
        <v>22</v>
      </c>
      <c r="Y220" s="2">
        <v>0.13</v>
      </c>
      <c r="Z220" s="2">
        <v>0.02</v>
      </c>
      <c r="AA220" s="2">
        <v>0.12</v>
      </c>
      <c r="AB220" s="2">
        <v>0.02</v>
      </c>
      <c r="AC220" s="2">
        <v>7.0000000000000007E-2</v>
      </c>
      <c r="AD220" s="2">
        <v>0.05</v>
      </c>
      <c r="AE220" s="2">
        <v>0.15</v>
      </c>
      <c r="AF220" s="2">
        <v>0.14000000000000001</v>
      </c>
      <c r="AG220" s="2">
        <v>0.16</v>
      </c>
      <c r="AH220" s="2">
        <v>0.09</v>
      </c>
      <c r="AI220" s="2">
        <v>0.19</v>
      </c>
      <c r="AJ220" s="2">
        <v>0.1</v>
      </c>
      <c r="AK220" s="2">
        <v>0.18</v>
      </c>
      <c r="AL220" s="2">
        <v>0.13</v>
      </c>
      <c r="AM220" s="2">
        <v>0.16</v>
      </c>
      <c r="AN220" s="2">
        <v>0.09</v>
      </c>
      <c r="AO220" s="2">
        <v>0.14000000000000001</v>
      </c>
      <c r="AP220" s="2">
        <v>0.05</v>
      </c>
      <c r="AQ220" s="2">
        <v>0.12</v>
      </c>
      <c r="AR220" s="2">
        <v>0.02</v>
      </c>
      <c r="AU220" s="1" t="s">
        <v>22</v>
      </c>
      <c r="AV220" s="2">
        <v>16.27</v>
      </c>
      <c r="AW220" s="2">
        <v>16.97</v>
      </c>
      <c r="AX220" s="2">
        <v>9.23</v>
      </c>
      <c r="AY220" s="2">
        <v>11.2</v>
      </c>
      <c r="AZ220" s="2">
        <v>12.01</v>
      </c>
      <c r="BA220" s="2">
        <v>13.75</v>
      </c>
      <c r="BB220" s="2">
        <v>12.84</v>
      </c>
      <c r="BC220" s="2">
        <v>17.57</v>
      </c>
      <c r="BD220" s="2">
        <v>12.8</v>
      </c>
      <c r="BE220" s="2">
        <v>14.74</v>
      </c>
      <c r="BF220" s="2">
        <v>13.11</v>
      </c>
      <c r="BG220" s="2">
        <v>16.12</v>
      </c>
      <c r="BH220" s="2">
        <v>16.79</v>
      </c>
      <c r="BI220" s="2">
        <v>16.149999999999999</v>
      </c>
      <c r="BJ220" s="2">
        <v>15.28</v>
      </c>
      <c r="BK220" s="2">
        <v>15.02</v>
      </c>
      <c r="BL220" s="2">
        <v>14.68</v>
      </c>
      <c r="BM220" s="2">
        <v>16.38</v>
      </c>
      <c r="BN220" s="2">
        <v>20.9</v>
      </c>
      <c r="BO220" s="2">
        <v>18.260000000000002</v>
      </c>
    </row>
    <row r="221" spans="24:67" x14ac:dyDescent="0.3">
      <c r="X221" s="1" t="s">
        <v>23</v>
      </c>
      <c r="Y221" s="2">
        <v>0.27</v>
      </c>
      <c r="Z221" s="2">
        <v>0.01</v>
      </c>
      <c r="AA221" s="2">
        <v>0.27</v>
      </c>
      <c r="AB221" s="2">
        <v>0</v>
      </c>
      <c r="AC221" s="2">
        <v>0.25</v>
      </c>
      <c r="AD221" s="2">
        <v>0.22</v>
      </c>
      <c r="AE221" s="2">
        <v>0.26</v>
      </c>
      <c r="AF221" s="2">
        <v>0.14000000000000001</v>
      </c>
      <c r="AG221" s="2">
        <v>0.32</v>
      </c>
      <c r="AH221" s="2">
        <v>0.11</v>
      </c>
      <c r="AI221" s="2">
        <v>0.32</v>
      </c>
      <c r="AJ221" s="2">
        <v>0.11</v>
      </c>
      <c r="AK221" s="2">
        <v>0.28999999999999998</v>
      </c>
      <c r="AL221" s="2">
        <v>0.12</v>
      </c>
      <c r="AM221" s="2">
        <v>0.28000000000000003</v>
      </c>
      <c r="AN221" s="2">
        <v>0.1</v>
      </c>
      <c r="AO221" s="2">
        <v>0.14000000000000001</v>
      </c>
      <c r="AP221" s="2">
        <v>0.06</v>
      </c>
      <c r="AQ221" s="2">
        <v>0.06</v>
      </c>
      <c r="AR221" s="2">
        <v>0.04</v>
      </c>
      <c r="AU221" s="1" t="s">
        <v>23</v>
      </c>
      <c r="AV221" s="2">
        <v>110.86</v>
      </c>
      <c r="AW221" s="2">
        <v>49.96</v>
      </c>
      <c r="AX221" s="2">
        <v>48.27</v>
      </c>
      <c r="AY221" s="2">
        <v>25.52</v>
      </c>
      <c r="AZ221" s="2">
        <v>101.2</v>
      </c>
      <c r="BA221" s="2">
        <v>114.85</v>
      </c>
      <c r="BB221" s="2">
        <v>89.77</v>
      </c>
      <c r="BC221" s="2">
        <v>108.33</v>
      </c>
      <c r="BD221" s="2">
        <v>158.9</v>
      </c>
      <c r="BE221" s="2">
        <v>90.04</v>
      </c>
      <c r="BF221" s="2">
        <v>161.55000000000001</v>
      </c>
      <c r="BG221" s="2">
        <v>96.25</v>
      </c>
      <c r="BH221" s="2">
        <v>187.02</v>
      </c>
      <c r="BI221" s="2">
        <v>108.27</v>
      </c>
      <c r="BJ221" s="2">
        <v>184.17</v>
      </c>
      <c r="BK221" s="2">
        <v>87.75</v>
      </c>
      <c r="BL221" s="2">
        <v>102.13</v>
      </c>
      <c r="BM221" s="2">
        <v>74.86</v>
      </c>
      <c r="BN221" s="2">
        <v>66.290000000000006</v>
      </c>
      <c r="BO221" s="2">
        <v>64.260000000000005</v>
      </c>
    </row>
    <row r="222" spans="24:67" x14ac:dyDescent="0.3">
      <c r="X222" s="1" t="s">
        <v>24</v>
      </c>
      <c r="Y222" s="2">
        <v>0.25</v>
      </c>
      <c r="Z222" s="2">
        <v>0.05</v>
      </c>
      <c r="AA222" s="2">
        <v>0.25</v>
      </c>
      <c r="AB222" s="2">
        <v>0.01</v>
      </c>
      <c r="AC222" s="2">
        <v>0.23</v>
      </c>
      <c r="AD222" s="2">
        <v>0.25</v>
      </c>
      <c r="AE222" s="2">
        <v>0.24</v>
      </c>
      <c r="AF222" s="2">
        <v>0.2</v>
      </c>
      <c r="AG222" s="2">
        <v>0.24</v>
      </c>
      <c r="AH222" s="2">
        <v>0.16</v>
      </c>
      <c r="AI222" s="2">
        <v>0.24</v>
      </c>
      <c r="AJ222" s="2">
        <v>0.15</v>
      </c>
      <c r="AK222" s="2">
        <v>0.24</v>
      </c>
      <c r="AL222" s="2">
        <v>0.16</v>
      </c>
      <c r="AM222" s="2">
        <v>0.24</v>
      </c>
      <c r="AN222" s="2">
        <v>0.13</v>
      </c>
      <c r="AO222" s="2">
        <v>0.13</v>
      </c>
      <c r="AP222" s="2">
        <v>0.1</v>
      </c>
      <c r="AQ222" s="2">
        <v>0.1</v>
      </c>
      <c r="AR222" s="2">
        <v>0.08</v>
      </c>
      <c r="AU222" s="1" t="s">
        <v>24</v>
      </c>
      <c r="AV222" s="2">
        <v>61.03</v>
      </c>
      <c r="AW222" s="2">
        <v>23.66</v>
      </c>
      <c r="AX222" s="2">
        <v>25.86</v>
      </c>
      <c r="AY222" s="2">
        <v>13.74</v>
      </c>
      <c r="AZ222" s="2">
        <v>51.09</v>
      </c>
      <c r="BA222" s="2">
        <v>31.19</v>
      </c>
      <c r="BB222" s="2">
        <v>45.18</v>
      </c>
      <c r="BC222" s="2">
        <v>44.46</v>
      </c>
      <c r="BD222" s="2">
        <v>45.24</v>
      </c>
      <c r="BE222" s="2">
        <v>31.04</v>
      </c>
      <c r="BF222" s="2">
        <v>45.54</v>
      </c>
      <c r="BG222" s="2">
        <v>30.75</v>
      </c>
      <c r="BH222" s="2">
        <v>29.89</v>
      </c>
      <c r="BI222" s="2">
        <v>33.76</v>
      </c>
      <c r="BJ222" s="2">
        <v>49.63</v>
      </c>
      <c r="BK222" s="2">
        <v>27.48</v>
      </c>
      <c r="BL222" s="2">
        <v>24.92</v>
      </c>
      <c r="BM222" s="2">
        <v>29.95</v>
      </c>
      <c r="BN222" s="2">
        <v>27.6</v>
      </c>
      <c r="BO222" s="2">
        <v>27.76</v>
      </c>
    </row>
    <row r="223" spans="24:67" x14ac:dyDescent="0.3">
      <c r="X223" s="1" t="s">
        <v>25</v>
      </c>
      <c r="Y223" s="2">
        <v>0.19</v>
      </c>
      <c r="Z223" s="2">
        <v>0.22</v>
      </c>
      <c r="AA223" s="2">
        <v>0.21</v>
      </c>
      <c r="AB223" s="2">
        <v>0.15</v>
      </c>
      <c r="AC223" s="2">
        <v>0.18</v>
      </c>
      <c r="AD223" s="2">
        <v>0.19</v>
      </c>
      <c r="AE223" s="2">
        <v>0.11</v>
      </c>
      <c r="AF223" s="2">
        <v>0.19</v>
      </c>
      <c r="AG223" s="2">
        <v>0.21</v>
      </c>
      <c r="AH223" s="2">
        <v>0.21</v>
      </c>
      <c r="AI223" s="2">
        <v>0.2</v>
      </c>
      <c r="AJ223" s="2">
        <v>0.18</v>
      </c>
      <c r="AK223" s="2">
        <v>0.18</v>
      </c>
      <c r="AL223" s="2">
        <v>0.17</v>
      </c>
      <c r="AM223" s="2">
        <v>0.15</v>
      </c>
      <c r="AN223" s="2">
        <v>0.14000000000000001</v>
      </c>
      <c r="AO223" s="2">
        <v>0.12</v>
      </c>
      <c r="AP223" s="2">
        <v>0.09</v>
      </c>
      <c r="AQ223" s="2">
        <v>0.1</v>
      </c>
      <c r="AR223" s="2">
        <v>7.0000000000000007E-2</v>
      </c>
      <c r="AU223" s="1" t="s">
        <v>25</v>
      </c>
      <c r="AV223" s="2">
        <v>174.27</v>
      </c>
      <c r="AW223" s="2">
        <v>132.11000000000001</v>
      </c>
      <c r="AX223" s="2">
        <v>61.94</v>
      </c>
      <c r="AY223" s="2">
        <v>75.599999999999994</v>
      </c>
      <c r="AZ223" s="2">
        <v>145.88999999999999</v>
      </c>
      <c r="BA223" s="2">
        <v>137.94</v>
      </c>
      <c r="BB223" s="2">
        <v>111.27</v>
      </c>
      <c r="BC223" s="2">
        <v>157.18</v>
      </c>
      <c r="BD223" s="2">
        <v>150.69</v>
      </c>
      <c r="BE223" s="2">
        <v>154.54</v>
      </c>
      <c r="BF223" s="2">
        <v>148.31</v>
      </c>
      <c r="BG223" s="2">
        <v>129.05000000000001</v>
      </c>
      <c r="BH223" s="2">
        <v>135.47999999999999</v>
      </c>
      <c r="BI223" s="2">
        <v>120.42</v>
      </c>
      <c r="BJ223" s="2">
        <v>118.57</v>
      </c>
      <c r="BK223" s="2">
        <v>109.76</v>
      </c>
      <c r="BL223" s="2">
        <v>115.41</v>
      </c>
      <c r="BM223" s="2">
        <v>107.74</v>
      </c>
      <c r="BN223" s="2">
        <v>124.42</v>
      </c>
      <c r="BO223" s="2">
        <v>133.1</v>
      </c>
    </row>
    <row r="224" spans="24:67" x14ac:dyDescent="0.3">
      <c r="X224" s="1" t="s">
        <v>26</v>
      </c>
      <c r="Y224" s="2">
        <v>0.23</v>
      </c>
      <c r="Z224" s="2">
        <v>0.24</v>
      </c>
      <c r="AA224" s="2">
        <v>0.27</v>
      </c>
      <c r="AB224" s="2">
        <v>0.27</v>
      </c>
      <c r="AC224" s="2">
        <v>0.2</v>
      </c>
      <c r="AD224" s="2">
        <v>0.22</v>
      </c>
      <c r="AE224" s="2">
        <v>0.15</v>
      </c>
      <c r="AF224" s="2">
        <v>0.19</v>
      </c>
      <c r="AG224" s="2">
        <v>0.14000000000000001</v>
      </c>
      <c r="AH224" s="2">
        <v>0.24</v>
      </c>
      <c r="AI224" s="2">
        <v>0.18</v>
      </c>
      <c r="AJ224" s="2">
        <v>0.25</v>
      </c>
      <c r="AK224" s="2">
        <v>0.18</v>
      </c>
      <c r="AL224" s="2">
        <v>0.25</v>
      </c>
      <c r="AM224" s="2">
        <v>0.17</v>
      </c>
      <c r="AN224" s="2">
        <v>0.25</v>
      </c>
      <c r="AO224" s="2">
        <v>0.15</v>
      </c>
      <c r="AP224" s="2">
        <v>0.24</v>
      </c>
      <c r="AQ224" s="2">
        <v>0.12</v>
      </c>
      <c r="AR224" s="2">
        <v>0.09</v>
      </c>
      <c r="AU224" s="1" t="s">
        <v>26</v>
      </c>
      <c r="AV224" s="2">
        <v>36.950000000000003</v>
      </c>
      <c r="AW224" s="2">
        <v>20.57</v>
      </c>
      <c r="AX224" s="2">
        <v>15.73</v>
      </c>
      <c r="AY224" s="2">
        <v>9.8800000000000008</v>
      </c>
      <c r="AZ224" s="2">
        <v>27.4</v>
      </c>
      <c r="BA224" s="2">
        <v>24.69</v>
      </c>
      <c r="BB224" s="2">
        <v>16.03</v>
      </c>
      <c r="BC224" s="2">
        <v>22.43</v>
      </c>
      <c r="BD224" s="2">
        <v>15.72</v>
      </c>
      <c r="BE224" s="2">
        <v>25.09</v>
      </c>
      <c r="BF224" s="2">
        <v>17.98</v>
      </c>
      <c r="BG224" s="2">
        <v>20.85</v>
      </c>
      <c r="BH224" s="2">
        <v>18.399999999999999</v>
      </c>
      <c r="BI224" s="2">
        <v>19.809999999999999</v>
      </c>
      <c r="BJ224" s="2">
        <v>18.79</v>
      </c>
      <c r="BK224" s="2">
        <v>22.68</v>
      </c>
      <c r="BL224" s="2">
        <v>20.170000000000002</v>
      </c>
      <c r="BM224" s="2">
        <v>19.27</v>
      </c>
      <c r="BN224" s="2">
        <v>21.32</v>
      </c>
      <c r="BO224" s="2">
        <v>13.8</v>
      </c>
    </row>
    <row r="225" spans="24:67" x14ac:dyDescent="0.3">
      <c r="X225" s="1" t="s">
        <v>27</v>
      </c>
      <c r="Y225" s="2">
        <v>0.26</v>
      </c>
      <c r="Z225" s="2">
        <v>0.27</v>
      </c>
      <c r="AA225" s="2">
        <v>0.21</v>
      </c>
      <c r="AB225" s="2">
        <v>0.28000000000000003</v>
      </c>
      <c r="AC225" s="2">
        <v>0.17</v>
      </c>
      <c r="AD225" s="2">
        <v>0.26</v>
      </c>
      <c r="AE225" s="2">
        <v>0.19</v>
      </c>
      <c r="AF225" s="2">
        <v>0.23</v>
      </c>
      <c r="AG225" s="2">
        <v>0.14000000000000001</v>
      </c>
      <c r="AH225" s="2">
        <v>0.26</v>
      </c>
      <c r="AI225" s="2">
        <v>0.16</v>
      </c>
      <c r="AJ225" s="2">
        <v>0.26</v>
      </c>
      <c r="AK225" s="2">
        <v>0.17</v>
      </c>
      <c r="AL225" s="2">
        <v>0.26</v>
      </c>
      <c r="AM225" s="2">
        <v>0.19</v>
      </c>
      <c r="AN225" s="2">
        <v>0.22</v>
      </c>
      <c r="AO225" s="2">
        <v>0.12</v>
      </c>
      <c r="AP225" s="2">
        <v>0.13</v>
      </c>
      <c r="AQ225" s="2">
        <v>0.1</v>
      </c>
      <c r="AR225" s="2">
        <v>0.09</v>
      </c>
      <c r="AU225" s="1" t="s">
        <v>27</v>
      </c>
      <c r="AV225" s="2">
        <v>83.59</v>
      </c>
      <c r="AW225" s="2">
        <v>93.07</v>
      </c>
      <c r="AX225" s="2">
        <v>37.17</v>
      </c>
      <c r="AY225" s="2">
        <v>38.07</v>
      </c>
      <c r="AZ225" s="2">
        <v>85.16</v>
      </c>
      <c r="BA225" s="2">
        <v>74.13</v>
      </c>
      <c r="BB225" s="2">
        <v>79.67</v>
      </c>
      <c r="BC225" s="2">
        <v>127.97</v>
      </c>
      <c r="BD225" s="2">
        <v>55.6</v>
      </c>
      <c r="BE225" s="2">
        <v>72.52</v>
      </c>
      <c r="BF225" s="2">
        <v>74.150000000000006</v>
      </c>
      <c r="BG225" s="2">
        <v>68.62</v>
      </c>
      <c r="BH225" s="2">
        <v>79.98</v>
      </c>
      <c r="BI225" s="2">
        <v>70.66</v>
      </c>
      <c r="BJ225" s="2">
        <v>98.67</v>
      </c>
      <c r="BK225" s="2">
        <v>72.459999999999994</v>
      </c>
      <c r="BL225" s="2">
        <v>77.760000000000005</v>
      </c>
      <c r="BM225" s="2">
        <v>61.93</v>
      </c>
      <c r="BN225" s="2">
        <v>70.88</v>
      </c>
      <c r="BO225" s="2">
        <v>62.05</v>
      </c>
    </row>
    <row r="226" spans="24:67" x14ac:dyDescent="0.3">
      <c r="X226" s="1" t="s">
        <v>28</v>
      </c>
      <c r="Y226" s="2">
        <v>7.0000000000000007E-2</v>
      </c>
      <c r="Z226" s="2">
        <v>0.15</v>
      </c>
      <c r="AA226" s="2">
        <v>0.01</v>
      </c>
      <c r="AB226" s="2">
        <v>0.01</v>
      </c>
      <c r="AC226" s="2">
        <v>0</v>
      </c>
      <c r="AD226" s="2">
        <v>0.01</v>
      </c>
      <c r="AE226" s="2">
        <v>0</v>
      </c>
      <c r="AF226" s="2">
        <v>0.14000000000000001</v>
      </c>
      <c r="AG226" s="2">
        <v>7.0000000000000007E-2</v>
      </c>
      <c r="AH226" s="2">
        <v>0.14000000000000001</v>
      </c>
      <c r="AI226" s="2">
        <v>0.13</v>
      </c>
      <c r="AJ226" s="2">
        <v>0.14000000000000001</v>
      </c>
      <c r="AK226" s="2">
        <v>0.13</v>
      </c>
      <c r="AL226" s="2">
        <v>0.15</v>
      </c>
      <c r="AM226" s="2">
        <v>0.13</v>
      </c>
      <c r="AN226" s="2">
        <v>0.12</v>
      </c>
      <c r="AO226" s="2">
        <v>0.11</v>
      </c>
      <c r="AP226" s="2">
        <v>7.0000000000000007E-2</v>
      </c>
      <c r="AQ226" s="2">
        <v>0.09</v>
      </c>
      <c r="AR226" s="2">
        <v>0.05</v>
      </c>
      <c r="AU226" s="1" t="s">
        <v>28</v>
      </c>
      <c r="AV226" s="2">
        <v>52.99</v>
      </c>
      <c r="AW226" s="2">
        <v>56.9</v>
      </c>
      <c r="AX226" s="2">
        <v>23.77</v>
      </c>
      <c r="AY226" s="2">
        <v>25.52</v>
      </c>
      <c r="AZ226" s="2">
        <v>37.85</v>
      </c>
      <c r="BA226" s="2">
        <v>42.31</v>
      </c>
      <c r="BB226" s="2">
        <v>44.86</v>
      </c>
      <c r="BC226" s="2">
        <v>45.28</v>
      </c>
      <c r="BD226" s="2">
        <v>45.4</v>
      </c>
      <c r="BE226" s="2">
        <v>42.68</v>
      </c>
      <c r="BF226" s="2">
        <v>55.8</v>
      </c>
      <c r="BG226" s="2">
        <v>44.54</v>
      </c>
      <c r="BH226" s="2">
        <v>56.9</v>
      </c>
      <c r="BI226" s="2">
        <v>51.02</v>
      </c>
      <c r="BJ226" s="2">
        <v>56.18</v>
      </c>
      <c r="BK226" s="2">
        <v>47.12</v>
      </c>
      <c r="BL226" s="2">
        <v>46.18</v>
      </c>
      <c r="BM226" s="2">
        <v>44.57</v>
      </c>
      <c r="BN226" s="2">
        <v>48.53</v>
      </c>
      <c r="BO226" s="2">
        <v>56.24</v>
      </c>
    </row>
    <row r="229" spans="24:67" x14ac:dyDescent="0.3">
      <c r="X229" t="s">
        <v>74</v>
      </c>
      <c r="AU229" t="s">
        <v>81</v>
      </c>
    </row>
    <row r="230" spans="24:67" x14ac:dyDescent="0.3">
      <c r="X230" s="1" t="s">
        <v>16</v>
      </c>
      <c r="Y230" s="1" t="s">
        <v>17</v>
      </c>
      <c r="Z230" s="1" t="s">
        <v>18</v>
      </c>
      <c r="AA230" s="1" t="s">
        <v>17</v>
      </c>
      <c r="AB230" s="1" t="s">
        <v>18</v>
      </c>
      <c r="AC230" s="1" t="s">
        <v>17</v>
      </c>
      <c r="AD230" s="1" t="s">
        <v>18</v>
      </c>
      <c r="AE230" s="1" t="s">
        <v>17</v>
      </c>
      <c r="AF230" s="1" t="s">
        <v>18</v>
      </c>
      <c r="AG230" s="1" t="s">
        <v>17</v>
      </c>
      <c r="AH230" s="1" t="s">
        <v>18</v>
      </c>
      <c r="AI230" s="1" t="s">
        <v>17</v>
      </c>
      <c r="AJ230" s="1" t="s">
        <v>18</v>
      </c>
      <c r="AK230" s="1" t="s">
        <v>17</v>
      </c>
      <c r="AL230" s="1" t="s">
        <v>18</v>
      </c>
      <c r="AM230" s="1" t="s">
        <v>17</v>
      </c>
      <c r="AN230" s="1" t="s">
        <v>18</v>
      </c>
      <c r="AO230" s="1" t="s">
        <v>17</v>
      </c>
      <c r="AP230" s="1" t="s">
        <v>18</v>
      </c>
      <c r="AQ230" s="1" t="s">
        <v>17</v>
      </c>
      <c r="AR230" s="1" t="s">
        <v>18</v>
      </c>
      <c r="AU230" s="1" t="s">
        <v>16</v>
      </c>
      <c r="AV230" s="1" t="s">
        <v>17</v>
      </c>
      <c r="AW230" s="1" t="s">
        <v>18</v>
      </c>
      <c r="AX230" s="1" t="s">
        <v>17</v>
      </c>
      <c r="AY230" s="1" t="s">
        <v>18</v>
      </c>
      <c r="AZ230" s="1" t="s">
        <v>17</v>
      </c>
      <c r="BA230" s="1" t="s">
        <v>18</v>
      </c>
      <c r="BB230" s="1" t="s">
        <v>17</v>
      </c>
      <c r="BC230" s="1" t="s">
        <v>18</v>
      </c>
      <c r="BD230" s="1" t="s">
        <v>17</v>
      </c>
      <c r="BE230" s="1" t="s">
        <v>18</v>
      </c>
      <c r="BF230" s="1" t="s">
        <v>17</v>
      </c>
      <c r="BG230" s="1" t="s">
        <v>18</v>
      </c>
      <c r="BH230" s="1" t="s">
        <v>17</v>
      </c>
      <c r="BI230" s="1" t="s">
        <v>18</v>
      </c>
      <c r="BJ230" s="1" t="s">
        <v>17</v>
      </c>
      <c r="BK230" s="1" t="s">
        <v>18</v>
      </c>
      <c r="BL230" s="1" t="s">
        <v>17</v>
      </c>
      <c r="BM230" s="1" t="s">
        <v>18</v>
      </c>
      <c r="BN230" s="1" t="s">
        <v>17</v>
      </c>
      <c r="BO230" s="1" t="s">
        <v>18</v>
      </c>
    </row>
    <row r="231" spans="24:67" x14ac:dyDescent="0.3">
      <c r="X231" s="1" t="s">
        <v>19</v>
      </c>
      <c r="Y231" s="1" t="s">
        <v>1</v>
      </c>
      <c r="Z231" s="1" t="s">
        <v>1</v>
      </c>
      <c r="AA231" s="1" t="s">
        <v>2</v>
      </c>
      <c r="AB231" s="1" t="s">
        <v>2</v>
      </c>
      <c r="AC231" s="1" t="s">
        <v>3</v>
      </c>
      <c r="AD231" s="1" t="s">
        <v>3</v>
      </c>
      <c r="AE231" s="1" t="s">
        <v>4</v>
      </c>
      <c r="AF231" s="1" t="s">
        <v>4</v>
      </c>
      <c r="AG231" s="1" t="s">
        <v>5</v>
      </c>
      <c r="AH231" s="1" t="s">
        <v>5</v>
      </c>
      <c r="AI231" s="1" t="s">
        <v>6</v>
      </c>
      <c r="AJ231" s="1" t="s">
        <v>6</v>
      </c>
      <c r="AK231" s="1" t="s">
        <v>7</v>
      </c>
      <c r="AL231" s="1" t="s">
        <v>7</v>
      </c>
      <c r="AM231" s="1" t="s">
        <v>8</v>
      </c>
      <c r="AN231" s="1" t="s">
        <v>8</v>
      </c>
      <c r="AO231" s="1" t="s">
        <v>9</v>
      </c>
      <c r="AP231" s="1" t="s">
        <v>9</v>
      </c>
      <c r="AQ231" s="1" t="s">
        <v>10</v>
      </c>
      <c r="AR231" s="1" t="s">
        <v>10</v>
      </c>
      <c r="AU231" s="1" t="s">
        <v>19</v>
      </c>
      <c r="AV231" s="1" t="s">
        <v>1</v>
      </c>
      <c r="AW231" s="1" t="s">
        <v>1</v>
      </c>
      <c r="AX231" s="1" t="s">
        <v>2</v>
      </c>
      <c r="AY231" s="1" t="s">
        <v>2</v>
      </c>
      <c r="AZ231" s="1" t="s">
        <v>3</v>
      </c>
      <c r="BA231" s="1" t="s">
        <v>3</v>
      </c>
      <c r="BB231" s="1" t="s">
        <v>4</v>
      </c>
      <c r="BC231" s="1" t="s">
        <v>4</v>
      </c>
      <c r="BD231" s="1" t="s">
        <v>5</v>
      </c>
      <c r="BE231" s="1" t="s">
        <v>5</v>
      </c>
      <c r="BF231" s="1" t="s">
        <v>6</v>
      </c>
      <c r="BG231" s="1" t="s">
        <v>6</v>
      </c>
      <c r="BH231" s="1" t="s">
        <v>7</v>
      </c>
      <c r="BI231" s="1" t="s">
        <v>7</v>
      </c>
      <c r="BJ231" s="1" t="s">
        <v>8</v>
      </c>
      <c r="BK231" s="1" t="s">
        <v>8</v>
      </c>
      <c r="BL231" s="1" t="s">
        <v>9</v>
      </c>
      <c r="BM231" s="1" t="s">
        <v>9</v>
      </c>
      <c r="BN231" s="1" t="s">
        <v>10</v>
      </c>
      <c r="BO231" s="1" t="s">
        <v>10</v>
      </c>
    </row>
    <row r="232" spans="24:67" x14ac:dyDescent="0.3">
      <c r="X232" s="1" t="s">
        <v>20</v>
      </c>
      <c r="AU232" s="1" t="s">
        <v>20</v>
      </c>
    </row>
    <row r="233" spans="24:67" x14ac:dyDescent="0.3">
      <c r="X233" s="1" t="s">
        <v>21</v>
      </c>
      <c r="Y233" s="2">
        <v>0.79</v>
      </c>
      <c r="Z233" s="2">
        <v>0.79</v>
      </c>
      <c r="AA233" s="2">
        <v>0.82</v>
      </c>
      <c r="AB233" s="2">
        <v>0.82</v>
      </c>
      <c r="AC233" s="2">
        <v>0.82</v>
      </c>
      <c r="AD233" s="2">
        <v>0.81</v>
      </c>
      <c r="AE233" s="2">
        <v>0.84</v>
      </c>
      <c r="AF233" s="2">
        <v>0.64</v>
      </c>
      <c r="AG233" s="2">
        <v>0.78</v>
      </c>
      <c r="AH233" s="2">
        <v>0.71</v>
      </c>
      <c r="AI233" s="2">
        <v>0.68</v>
      </c>
      <c r="AJ233" s="2">
        <v>0.73</v>
      </c>
      <c r="AK233" s="2">
        <v>0.68</v>
      </c>
      <c r="AL233" s="2">
        <v>0.75</v>
      </c>
      <c r="AM233" s="2">
        <v>0.68</v>
      </c>
      <c r="AN233" s="2">
        <v>0.73</v>
      </c>
      <c r="AO233" s="2">
        <v>0.78</v>
      </c>
      <c r="AP233" s="2">
        <v>0.93</v>
      </c>
      <c r="AQ233" s="2">
        <v>0.75</v>
      </c>
      <c r="AR233" s="2">
        <v>0.9</v>
      </c>
      <c r="AU233" s="1" t="s">
        <v>21</v>
      </c>
      <c r="AV233" s="2">
        <f>AV107+Y107</f>
        <v>13174.31</v>
      </c>
      <c r="AW233" s="2">
        <f t="shared" ref="AW233:BO240" si="0">AW107+Z107</f>
        <v>12797.26</v>
      </c>
      <c r="AX233" s="2">
        <f t="shared" si="0"/>
        <v>13338.5</v>
      </c>
      <c r="AY233" s="2">
        <f t="shared" si="0"/>
        <v>12095.300000000001</v>
      </c>
      <c r="AZ233" s="2">
        <f t="shared" si="0"/>
        <v>9754.5</v>
      </c>
      <c r="BA233" s="2">
        <f t="shared" si="0"/>
        <v>12402.25</v>
      </c>
      <c r="BB233" s="2">
        <f t="shared" si="0"/>
        <v>12874.4</v>
      </c>
      <c r="BC233" s="2">
        <f t="shared" si="0"/>
        <v>12195.24</v>
      </c>
      <c r="BD233" s="2">
        <f t="shared" si="0"/>
        <v>14316.4</v>
      </c>
      <c r="BE233" s="2">
        <f t="shared" si="0"/>
        <v>11804.8</v>
      </c>
      <c r="BF233" s="2">
        <f t="shared" si="0"/>
        <v>13673.17</v>
      </c>
      <c r="BG233" s="2">
        <f t="shared" si="0"/>
        <v>11777.5</v>
      </c>
      <c r="BH233" s="2">
        <f t="shared" si="0"/>
        <v>12962.91</v>
      </c>
      <c r="BI233" s="2">
        <f t="shared" si="0"/>
        <v>11271.4</v>
      </c>
      <c r="BJ233" s="2">
        <f t="shared" si="0"/>
        <v>13608.4</v>
      </c>
      <c r="BK233" s="2">
        <f t="shared" si="0"/>
        <v>12097.4</v>
      </c>
      <c r="BL233" s="2">
        <f t="shared" si="0"/>
        <v>11952.5</v>
      </c>
      <c r="BM233" s="2">
        <f t="shared" si="0"/>
        <v>7389.2</v>
      </c>
      <c r="BN233" s="2">
        <f t="shared" si="0"/>
        <v>11321.1</v>
      </c>
      <c r="BO233" s="2">
        <f t="shared" si="0"/>
        <v>7329</v>
      </c>
    </row>
    <row r="234" spans="24:67" x14ac:dyDescent="0.3">
      <c r="X234" s="1" t="s">
        <v>22</v>
      </c>
      <c r="Y234" s="2">
        <v>0.59</v>
      </c>
      <c r="Z234" s="2">
        <v>0.78</v>
      </c>
      <c r="AA234" s="2">
        <v>0.6</v>
      </c>
      <c r="AB234" s="2">
        <v>0.75</v>
      </c>
      <c r="AC234" s="2">
        <v>0.72</v>
      </c>
      <c r="AD234" s="2">
        <v>0.72</v>
      </c>
      <c r="AE234" s="2">
        <v>0.56999999999999995</v>
      </c>
      <c r="AF234" s="2">
        <v>0.61</v>
      </c>
      <c r="AG234" s="2">
        <v>0.62</v>
      </c>
      <c r="AH234" s="2">
        <v>0.78</v>
      </c>
      <c r="AI234" s="2">
        <v>0.55000000000000004</v>
      </c>
      <c r="AJ234" s="2">
        <v>0.76</v>
      </c>
      <c r="AK234" s="2">
        <v>0.56999999999999995</v>
      </c>
      <c r="AL234" s="2">
        <v>0.69</v>
      </c>
      <c r="AM234" s="2">
        <v>0.62</v>
      </c>
      <c r="AN234" s="2">
        <v>0.79</v>
      </c>
      <c r="AO234" s="2">
        <v>0.67</v>
      </c>
      <c r="AP234" s="2">
        <v>0.88</v>
      </c>
      <c r="AQ234" s="2">
        <v>0.71</v>
      </c>
      <c r="AR234" s="2">
        <v>0.95</v>
      </c>
      <c r="AU234" s="1" t="s">
        <v>22</v>
      </c>
      <c r="AV234" s="2">
        <f t="shared" ref="AV234:AV240" si="1">AV108+Y108</f>
        <v>7110.5599999999995</v>
      </c>
      <c r="AW234" s="2">
        <f t="shared" si="0"/>
        <v>4095.54</v>
      </c>
      <c r="AX234" s="2">
        <f t="shared" si="0"/>
        <v>7706.11</v>
      </c>
      <c r="AY234" s="2">
        <f t="shared" si="0"/>
        <v>4646.93</v>
      </c>
      <c r="AZ234" s="2">
        <f t="shared" si="0"/>
        <v>4702.7</v>
      </c>
      <c r="BA234" s="2">
        <f t="shared" si="0"/>
        <v>5540.4900000000007</v>
      </c>
      <c r="BB234" s="2">
        <f t="shared" si="0"/>
        <v>8147.2</v>
      </c>
      <c r="BC234" s="2">
        <f t="shared" si="0"/>
        <v>4884.3</v>
      </c>
      <c r="BD234" s="2">
        <f t="shared" si="0"/>
        <v>7852.32</v>
      </c>
      <c r="BE234" s="2">
        <f t="shared" si="0"/>
        <v>4703.3999999999996</v>
      </c>
      <c r="BF234" s="2">
        <f t="shared" si="0"/>
        <v>7676.95</v>
      </c>
      <c r="BG234" s="2">
        <f t="shared" si="0"/>
        <v>4764.1000000000004</v>
      </c>
      <c r="BH234" s="2">
        <f t="shared" si="0"/>
        <v>6475.5</v>
      </c>
      <c r="BI234" s="2">
        <f t="shared" si="0"/>
        <v>5405.4</v>
      </c>
      <c r="BJ234" s="2">
        <f t="shared" si="0"/>
        <v>6106.73</v>
      </c>
      <c r="BK234" s="2">
        <f t="shared" si="0"/>
        <v>5329.69</v>
      </c>
      <c r="BL234" s="2">
        <f t="shared" si="0"/>
        <v>5936.4400000000005</v>
      </c>
      <c r="BM234" s="2">
        <f t="shared" si="0"/>
        <v>4082.09</v>
      </c>
      <c r="BN234" s="2">
        <f t="shared" si="0"/>
        <v>6894.0599999999995</v>
      </c>
      <c r="BO234" s="2">
        <f t="shared" si="0"/>
        <v>3899.18</v>
      </c>
    </row>
    <row r="235" spans="24:67" x14ac:dyDescent="0.3">
      <c r="X235" s="1" t="s">
        <v>23</v>
      </c>
      <c r="Y235" s="2">
        <v>0.32</v>
      </c>
      <c r="Z235" s="2">
        <v>0.85</v>
      </c>
      <c r="AA235" s="2">
        <v>0.33</v>
      </c>
      <c r="AB235" s="2">
        <v>0.81</v>
      </c>
      <c r="AC235" s="2">
        <v>0.37</v>
      </c>
      <c r="AD235" s="2">
        <v>0.45</v>
      </c>
      <c r="AE235" s="2">
        <v>0.35</v>
      </c>
      <c r="AF235" s="2">
        <v>0.62</v>
      </c>
      <c r="AG235" s="2">
        <v>0.35</v>
      </c>
      <c r="AH235" s="2">
        <v>0.74</v>
      </c>
      <c r="AI235" s="2">
        <v>0.35</v>
      </c>
      <c r="AJ235" s="2">
        <v>0.74</v>
      </c>
      <c r="AK235" s="2">
        <v>0.38</v>
      </c>
      <c r="AL235" s="2">
        <v>0.71</v>
      </c>
      <c r="AM235" s="2">
        <v>0.4</v>
      </c>
      <c r="AN235" s="2">
        <v>0.75</v>
      </c>
      <c r="AO235" s="2">
        <v>0.67</v>
      </c>
      <c r="AP235" s="2">
        <v>0.85</v>
      </c>
      <c r="AQ235" s="2">
        <v>0.86</v>
      </c>
      <c r="AR235" s="2">
        <v>0.91</v>
      </c>
      <c r="AU235" s="1" t="s">
        <v>23</v>
      </c>
      <c r="AV235" s="2">
        <f t="shared" si="1"/>
        <v>21656.45</v>
      </c>
      <c r="AW235" s="2">
        <f t="shared" si="0"/>
        <v>9986.9699999999993</v>
      </c>
      <c r="AX235" s="2">
        <f t="shared" si="0"/>
        <v>23889.32</v>
      </c>
      <c r="AY235" s="2">
        <f t="shared" si="0"/>
        <v>10390.24</v>
      </c>
      <c r="AZ235" s="2">
        <f t="shared" si="0"/>
        <v>16054.32</v>
      </c>
      <c r="BA235" s="2">
        <f t="shared" si="0"/>
        <v>18122.149999999998</v>
      </c>
      <c r="BB235" s="2">
        <f t="shared" si="0"/>
        <v>23251.879999999997</v>
      </c>
      <c r="BC235" s="2">
        <f t="shared" si="0"/>
        <v>16271.4</v>
      </c>
      <c r="BD235" s="2">
        <f t="shared" si="0"/>
        <v>22736.3</v>
      </c>
      <c r="BE235" s="2">
        <f t="shared" si="0"/>
        <v>14688.349999999999</v>
      </c>
      <c r="BF235" s="2">
        <f t="shared" si="0"/>
        <v>22912.379999999997</v>
      </c>
      <c r="BG235" s="2">
        <f t="shared" si="0"/>
        <v>14487.310000000001</v>
      </c>
      <c r="BH235" s="2">
        <f t="shared" si="0"/>
        <v>20066.43</v>
      </c>
      <c r="BI235" s="2">
        <f t="shared" si="0"/>
        <v>14985.11</v>
      </c>
      <c r="BJ235" s="2">
        <f t="shared" si="0"/>
        <v>19152.68</v>
      </c>
      <c r="BK235" s="2">
        <f t="shared" si="0"/>
        <v>15104.890000000001</v>
      </c>
      <c r="BL235" s="2">
        <f t="shared" si="0"/>
        <v>17090.04</v>
      </c>
      <c r="BM235" s="2">
        <f t="shared" si="0"/>
        <v>12003.640000000001</v>
      </c>
      <c r="BN235" s="2">
        <f t="shared" si="0"/>
        <v>12880.3</v>
      </c>
      <c r="BO235" s="2">
        <f t="shared" si="0"/>
        <v>11217.710000000001</v>
      </c>
    </row>
    <row r="236" spans="24:67" x14ac:dyDescent="0.3">
      <c r="X236" s="1" t="s">
        <v>24</v>
      </c>
      <c r="Y236" s="2">
        <v>0.35</v>
      </c>
      <c r="Z236" s="2">
        <v>0.77</v>
      </c>
      <c r="AA236" s="2">
        <v>0.36</v>
      </c>
      <c r="AB236" s="2">
        <v>0.76</v>
      </c>
      <c r="AC236" s="2">
        <v>0.4</v>
      </c>
      <c r="AD236" s="2">
        <v>0.35</v>
      </c>
      <c r="AE236" s="2">
        <v>0.38</v>
      </c>
      <c r="AF236" s="2">
        <v>0.47</v>
      </c>
      <c r="AG236" s="2">
        <v>0.42</v>
      </c>
      <c r="AH236" s="2">
        <v>0.61</v>
      </c>
      <c r="AI236" s="2">
        <v>0.42</v>
      </c>
      <c r="AJ236" s="2">
        <v>0.64</v>
      </c>
      <c r="AK236" s="2">
        <v>0.41</v>
      </c>
      <c r="AL236" s="2">
        <v>0.62</v>
      </c>
      <c r="AM236" s="2">
        <v>0.42</v>
      </c>
      <c r="AN236" s="2">
        <v>0.67</v>
      </c>
      <c r="AO236" s="2">
        <v>0.69</v>
      </c>
      <c r="AP236" s="2">
        <v>0.75</v>
      </c>
      <c r="AQ236" s="2">
        <v>0.76</v>
      </c>
      <c r="AR236" s="2">
        <v>0.8</v>
      </c>
      <c r="AU236" s="1" t="s">
        <v>24</v>
      </c>
      <c r="AV236" s="2">
        <f t="shared" si="1"/>
        <v>5842.69</v>
      </c>
      <c r="AW236" s="2">
        <f t="shared" si="0"/>
        <v>3512.17</v>
      </c>
      <c r="AX236" s="2">
        <f t="shared" si="0"/>
        <v>6782.02</v>
      </c>
      <c r="AY236" s="2">
        <f t="shared" si="0"/>
        <v>4075.5</v>
      </c>
      <c r="AZ236" s="2">
        <f t="shared" si="0"/>
        <v>4801.96</v>
      </c>
      <c r="BA236" s="2">
        <f t="shared" si="0"/>
        <v>6413.84</v>
      </c>
      <c r="BB236" s="2">
        <f t="shared" si="0"/>
        <v>6208.53</v>
      </c>
      <c r="BC236" s="2">
        <f t="shared" si="0"/>
        <v>5557.86</v>
      </c>
      <c r="BD236" s="2">
        <f t="shared" si="0"/>
        <v>6131.4</v>
      </c>
      <c r="BE236" s="2">
        <f t="shared" si="0"/>
        <v>4974.83</v>
      </c>
      <c r="BF236" s="2">
        <f t="shared" si="0"/>
        <v>6113.0399999999991</v>
      </c>
      <c r="BG236" s="2">
        <f t="shared" si="0"/>
        <v>4716.8</v>
      </c>
      <c r="BH236" s="2">
        <f t="shared" si="0"/>
        <v>5912.8499999999995</v>
      </c>
      <c r="BI236" s="2">
        <f t="shared" si="0"/>
        <v>4866.79</v>
      </c>
      <c r="BJ236" s="2">
        <f t="shared" si="0"/>
        <v>5872.58</v>
      </c>
      <c r="BK236" s="2">
        <f t="shared" si="0"/>
        <v>4593.09</v>
      </c>
      <c r="BL236" s="2">
        <f t="shared" si="0"/>
        <v>4662.13</v>
      </c>
      <c r="BM236" s="2">
        <f t="shared" si="0"/>
        <v>4070.8199999999997</v>
      </c>
      <c r="BN236" s="2">
        <f t="shared" si="0"/>
        <v>4143.59</v>
      </c>
      <c r="BO236" s="2">
        <f t="shared" si="0"/>
        <v>3888.04</v>
      </c>
    </row>
    <row r="237" spans="24:67" x14ac:dyDescent="0.3">
      <c r="X237" s="1" t="s">
        <v>25</v>
      </c>
      <c r="Y237" s="2">
        <v>0.5</v>
      </c>
      <c r="Z237" s="2">
        <v>0.43</v>
      </c>
      <c r="AA237" s="2">
        <v>0.44</v>
      </c>
      <c r="AB237" s="2">
        <v>0.56000000000000005</v>
      </c>
      <c r="AC237" s="2">
        <v>0.5</v>
      </c>
      <c r="AD237" s="2">
        <v>0.48</v>
      </c>
      <c r="AE237" s="2">
        <v>0.66</v>
      </c>
      <c r="AF237" s="2">
        <v>0.49</v>
      </c>
      <c r="AG237" s="2">
        <v>0.5</v>
      </c>
      <c r="AH237" s="2">
        <v>0.5</v>
      </c>
      <c r="AI237" s="2">
        <v>0.52</v>
      </c>
      <c r="AJ237" s="2">
        <v>0.56000000000000005</v>
      </c>
      <c r="AK237" s="2">
        <v>0.56999999999999995</v>
      </c>
      <c r="AL237" s="2">
        <v>0.59</v>
      </c>
      <c r="AM237" s="2">
        <v>0.63</v>
      </c>
      <c r="AN237" s="2">
        <v>0.67</v>
      </c>
      <c r="AO237" s="2">
        <v>0.7</v>
      </c>
      <c r="AP237" s="2">
        <v>0.79</v>
      </c>
      <c r="AQ237" s="2">
        <v>0.76</v>
      </c>
      <c r="AR237" s="2">
        <v>0.84</v>
      </c>
      <c r="AU237" s="1" t="s">
        <v>25</v>
      </c>
      <c r="AV237" s="2">
        <f t="shared" si="1"/>
        <v>20465.89</v>
      </c>
      <c r="AW237" s="2">
        <f t="shared" si="0"/>
        <v>27718.17</v>
      </c>
      <c r="AX237" s="2">
        <f t="shared" si="0"/>
        <v>31152.52</v>
      </c>
      <c r="AY237" s="2">
        <f t="shared" si="0"/>
        <v>38181.450000000004</v>
      </c>
      <c r="AZ237" s="2">
        <f t="shared" si="0"/>
        <v>20366.02</v>
      </c>
      <c r="BA237" s="2">
        <f t="shared" si="0"/>
        <v>23364.559999999998</v>
      </c>
      <c r="BB237" s="2">
        <f t="shared" si="0"/>
        <v>29595.350000000002</v>
      </c>
      <c r="BC237" s="2">
        <f t="shared" si="0"/>
        <v>26594.489999999998</v>
      </c>
      <c r="BD237" s="2">
        <f t="shared" si="0"/>
        <v>30575.18</v>
      </c>
      <c r="BE237" s="2">
        <f t="shared" si="0"/>
        <v>30046.739999999998</v>
      </c>
      <c r="BF237" s="2">
        <f t="shared" si="0"/>
        <v>30203.019999999997</v>
      </c>
      <c r="BG237" s="2">
        <f t="shared" si="0"/>
        <v>30985.200000000001</v>
      </c>
      <c r="BH237" s="2">
        <f t="shared" si="0"/>
        <v>28292.41</v>
      </c>
      <c r="BI237" s="2">
        <f t="shared" si="0"/>
        <v>30552.949999999997</v>
      </c>
      <c r="BJ237" s="2">
        <f t="shared" si="0"/>
        <v>26321.599999999999</v>
      </c>
      <c r="BK237" s="2">
        <f t="shared" si="0"/>
        <v>25927.59</v>
      </c>
      <c r="BL237" s="2">
        <f t="shared" si="0"/>
        <v>23580.5</v>
      </c>
      <c r="BM237" s="2">
        <f t="shared" si="0"/>
        <v>24271.55</v>
      </c>
      <c r="BN237" s="2">
        <f t="shared" si="0"/>
        <v>22930.15</v>
      </c>
      <c r="BO237" s="2">
        <f t="shared" si="0"/>
        <v>26501.199999999997</v>
      </c>
    </row>
    <row r="238" spans="24:67" x14ac:dyDescent="0.3">
      <c r="X238" s="1" t="s">
        <v>26</v>
      </c>
      <c r="Y238" s="2">
        <v>0.4</v>
      </c>
      <c r="Z238" s="2">
        <v>0.39</v>
      </c>
      <c r="AA238" s="2">
        <v>0.33</v>
      </c>
      <c r="AB238" s="2">
        <v>0.33</v>
      </c>
      <c r="AC238" s="2">
        <v>0.45</v>
      </c>
      <c r="AD238" s="2">
        <v>0.42</v>
      </c>
      <c r="AE238" s="2">
        <v>0.57999999999999996</v>
      </c>
      <c r="AF238" s="2">
        <v>0.5</v>
      </c>
      <c r="AG238" s="2">
        <v>0.66</v>
      </c>
      <c r="AH238" s="2">
        <v>0.43</v>
      </c>
      <c r="AI238" s="2">
        <v>0.56999999999999995</v>
      </c>
      <c r="AJ238" s="2">
        <v>0.42</v>
      </c>
      <c r="AK238" s="2">
        <v>0.56999999999999995</v>
      </c>
      <c r="AL238" s="2">
        <v>0.42</v>
      </c>
      <c r="AM238" s="2">
        <v>0.57999999999999996</v>
      </c>
      <c r="AN238" s="2">
        <v>0.42</v>
      </c>
      <c r="AO238" s="2">
        <v>0.64</v>
      </c>
      <c r="AP238" s="2">
        <v>0.43</v>
      </c>
      <c r="AQ238" s="2">
        <v>0.71</v>
      </c>
      <c r="AR238" s="2">
        <v>0.78</v>
      </c>
      <c r="AU238" s="1" t="s">
        <v>26</v>
      </c>
      <c r="AV238" s="2">
        <f t="shared" si="1"/>
        <v>5249.6900000000005</v>
      </c>
      <c r="AW238" s="2">
        <f t="shared" si="0"/>
        <v>5596.41</v>
      </c>
      <c r="AX238" s="2">
        <f t="shared" si="0"/>
        <v>7940.42</v>
      </c>
      <c r="AY238" s="2">
        <f t="shared" si="0"/>
        <v>8231.44</v>
      </c>
      <c r="AZ238" s="2">
        <f t="shared" si="0"/>
        <v>4532.8999999999996</v>
      </c>
      <c r="BA238" s="2">
        <f t="shared" si="0"/>
        <v>5458.16</v>
      </c>
      <c r="BB238" s="2">
        <f t="shared" si="0"/>
        <v>6088.06</v>
      </c>
      <c r="BC238" s="2">
        <f t="shared" si="0"/>
        <v>4511.45</v>
      </c>
      <c r="BD238" s="2">
        <f t="shared" si="0"/>
        <v>5919.24</v>
      </c>
      <c r="BE238" s="2">
        <f t="shared" si="0"/>
        <v>7023.9</v>
      </c>
      <c r="BF238" s="2">
        <f t="shared" si="0"/>
        <v>6242.18</v>
      </c>
      <c r="BG238" s="2">
        <f t="shared" si="0"/>
        <v>7442.4</v>
      </c>
      <c r="BH238" s="2">
        <f t="shared" si="0"/>
        <v>6262.93</v>
      </c>
      <c r="BI238" s="2">
        <f t="shared" si="0"/>
        <v>7562.5999999999995</v>
      </c>
      <c r="BJ238" s="2">
        <f t="shared" si="0"/>
        <v>6128.29</v>
      </c>
      <c r="BK238" s="2">
        <f t="shared" si="0"/>
        <v>7293.8899999999994</v>
      </c>
      <c r="BL238" s="2">
        <f t="shared" si="0"/>
        <v>5623.46</v>
      </c>
      <c r="BM238" s="2">
        <f t="shared" si="0"/>
        <v>7533.6100000000006</v>
      </c>
      <c r="BN238" s="2">
        <f t="shared" si="0"/>
        <v>5181.9800000000005</v>
      </c>
      <c r="BO238" s="2">
        <f t="shared" si="0"/>
        <v>5325.26</v>
      </c>
    </row>
    <row r="239" spans="24:67" x14ac:dyDescent="0.3">
      <c r="X239" s="1" t="s">
        <v>27</v>
      </c>
      <c r="Y239" s="2">
        <v>0.34</v>
      </c>
      <c r="Z239" s="2">
        <v>0.33</v>
      </c>
      <c r="AA239" s="2">
        <v>0.46</v>
      </c>
      <c r="AB239" s="2">
        <v>0.31</v>
      </c>
      <c r="AC239" s="2">
        <v>0.55000000000000004</v>
      </c>
      <c r="AD239" s="2">
        <v>0.34</v>
      </c>
      <c r="AE239" s="2">
        <v>0.52</v>
      </c>
      <c r="AF239" s="2">
        <v>0.44</v>
      </c>
      <c r="AG239" s="2">
        <v>0.67</v>
      </c>
      <c r="AH239" s="2">
        <v>0.37</v>
      </c>
      <c r="AI239" s="2">
        <v>0.62</v>
      </c>
      <c r="AJ239" s="2">
        <v>0.37</v>
      </c>
      <c r="AK239" s="2">
        <v>0.61</v>
      </c>
      <c r="AL239" s="2">
        <v>0.37</v>
      </c>
      <c r="AM239" s="2">
        <v>0.55000000000000004</v>
      </c>
      <c r="AN239" s="2">
        <v>0.47</v>
      </c>
      <c r="AO239" s="2">
        <v>0.71</v>
      </c>
      <c r="AP239" s="2">
        <v>0.69</v>
      </c>
      <c r="AQ239" s="2">
        <v>0.76</v>
      </c>
      <c r="AR239" s="2">
        <v>0.78</v>
      </c>
      <c r="AU239" s="1" t="s">
        <v>27</v>
      </c>
      <c r="AV239" s="2">
        <f t="shared" si="1"/>
        <v>21126.510000000002</v>
      </c>
      <c r="AW239" s="2">
        <f t="shared" si="0"/>
        <v>21928.65</v>
      </c>
      <c r="AX239" s="2">
        <f t="shared" si="0"/>
        <v>23491.809999999998</v>
      </c>
      <c r="AY239" s="2">
        <f t="shared" si="0"/>
        <v>27869.23</v>
      </c>
      <c r="AZ239" s="2">
        <f t="shared" si="0"/>
        <v>14991.900000000001</v>
      </c>
      <c r="BA239" s="2">
        <f t="shared" si="0"/>
        <v>21234.9</v>
      </c>
      <c r="BB239" s="2">
        <f t="shared" si="0"/>
        <v>20832.21</v>
      </c>
      <c r="BC239" s="2">
        <f t="shared" si="0"/>
        <v>16982.11</v>
      </c>
      <c r="BD239" s="2">
        <f t="shared" si="0"/>
        <v>19332.64</v>
      </c>
      <c r="BE239" s="2">
        <f t="shared" si="0"/>
        <v>24811.67</v>
      </c>
      <c r="BF239" s="2">
        <f t="shared" si="0"/>
        <v>20101.72</v>
      </c>
      <c r="BG239" s="2">
        <f t="shared" si="0"/>
        <v>25187.25</v>
      </c>
      <c r="BH239" s="2">
        <f t="shared" si="0"/>
        <v>20342.7</v>
      </c>
      <c r="BI239" s="2">
        <f t="shared" si="0"/>
        <v>25183.760000000002</v>
      </c>
      <c r="BJ239" s="2">
        <f t="shared" si="0"/>
        <v>20784.95</v>
      </c>
      <c r="BK239" s="2">
        <f t="shared" si="0"/>
        <v>22668.73</v>
      </c>
      <c r="BL239" s="2">
        <f t="shared" si="0"/>
        <v>17577.739999999998</v>
      </c>
      <c r="BM239" s="2">
        <f t="shared" si="0"/>
        <v>18869.55</v>
      </c>
      <c r="BN239" s="2">
        <f t="shared" si="0"/>
        <v>16612.04</v>
      </c>
      <c r="BO239" s="2">
        <f t="shared" si="0"/>
        <v>16747.05</v>
      </c>
    </row>
    <row r="240" spans="24:67" x14ac:dyDescent="0.3">
      <c r="X240" s="1" t="s">
        <v>28</v>
      </c>
      <c r="Y240" s="2">
        <v>0.73</v>
      </c>
      <c r="Z240" s="2">
        <v>0.57999999999999996</v>
      </c>
      <c r="AA240" s="2">
        <v>0.64</v>
      </c>
      <c r="AB240" s="2">
        <v>0.65</v>
      </c>
      <c r="AC240" s="2">
        <v>0.72</v>
      </c>
      <c r="AD240" s="2">
        <v>0.69</v>
      </c>
      <c r="AE240" s="2">
        <v>0.75</v>
      </c>
      <c r="AF240" s="2">
        <v>0.62</v>
      </c>
      <c r="AG240" s="2">
        <v>0.82</v>
      </c>
      <c r="AH240" s="2">
        <v>0.65</v>
      </c>
      <c r="AI240" s="2">
        <v>0.68</v>
      </c>
      <c r="AJ240" s="2">
        <v>0.65</v>
      </c>
      <c r="AK240" s="2">
        <v>0.67</v>
      </c>
      <c r="AL240" s="2">
        <v>0.65</v>
      </c>
      <c r="AM240" s="2">
        <v>0.68</v>
      </c>
      <c r="AN240" s="2">
        <v>0.71</v>
      </c>
      <c r="AO240" s="2">
        <v>0.73</v>
      </c>
      <c r="AP240" s="2">
        <v>0.82</v>
      </c>
      <c r="AQ240" s="2">
        <v>0.79</v>
      </c>
      <c r="AR240" s="2">
        <v>0.87</v>
      </c>
      <c r="AU240" s="1" t="s">
        <v>28</v>
      </c>
      <c r="AV240" s="2">
        <f t="shared" si="1"/>
        <v>11601.6</v>
      </c>
      <c r="AW240" s="2">
        <f t="shared" si="0"/>
        <v>15145.5</v>
      </c>
      <c r="AX240" s="2">
        <f t="shared" si="0"/>
        <v>12082.579999999998</v>
      </c>
      <c r="AY240" s="2">
        <f t="shared" si="0"/>
        <v>12819.58</v>
      </c>
      <c r="AZ240" s="2">
        <f t="shared" si="0"/>
        <v>7526.28</v>
      </c>
      <c r="BA240" s="2">
        <f t="shared" si="0"/>
        <v>12926.46</v>
      </c>
      <c r="BB240" s="2">
        <f t="shared" si="0"/>
        <v>8322.57</v>
      </c>
      <c r="BC240" s="2">
        <f t="shared" si="0"/>
        <v>12093.529999999999</v>
      </c>
      <c r="BD240" s="2">
        <f t="shared" si="0"/>
        <v>9542.4</v>
      </c>
      <c r="BE240" s="2">
        <f t="shared" si="0"/>
        <v>12390.560000000001</v>
      </c>
      <c r="BF240" s="2">
        <f t="shared" si="0"/>
        <v>9453</v>
      </c>
      <c r="BG240" s="2">
        <f t="shared" si="0"/>
        <v>12789.640000000001</v>
      </c>
      <c r="BH240" s="2">
        <f t="shared" si="0"/>
        <v>8961.0300000000007</v>
      </c>
      <c r="BI240" s="2">
        <f t="shared" si="0"/>
        <v>12494.460000000001</v>
      </c>
      <c r="BJ240" s="2">
        <f t="shared" si="0"/>
        <v>9023.4</v>
      </c>
      <c r="BK240" s="2">
        <f t="shared" si="0"/>
        <v>10076.1</v>
      </c>
      <c r="BL240" s="2">
        <f t="shared" si="0"/>
        <v>8247</v>
      </c>
      <c r="BM240" s="2">
        <f t="shared" si="0"/>
        <v>8543.1</v>
      </c>
      <c r="BN240" s="2">
        <f t="shared" si="0"/>
        <v>8623.7999999999993</v>
      </c>
      <c r="BO240" s="2">
        <f t="shared" si="0"/>
        <v>8874.2999999999993</v>
      </c>
    </row>
    <row r="242" spans="47:67" x14ac:dyDescent="0.3">
      <c r="AU242" s="5" t="s">
        <v>83</v>
      </c>
    </row>
    <row r="243" spans="47:67" x14ac:dyDescent="0.3">
      <c r="AU243" s="1" t="s">
        <v>16</v>
      </c>
      <c r="AV243" s="1" t="s">
        <v>17</v>
      </c>
      <c r="AW243" s="1" t="s">
        <v>18</v>
      </c>
      <c r="AX243" s="1" t="s">
        <v>17</v>
      </c>
      <c r="AY243" s="1" t="s">
        <v>18</v>
      </c>
      <c r="AZ243" s="1" t="s">
        <v>17</v>
      </c>
      <c r="BA243" s="1" t="s">
        <v>18</v>
      </c>
      <c r="BB243" s="1" t="s">
        <v>17</v>
      </c>
      <c r="BC243" s="1" t="s">
        <v>18</v>
      </c>
      <c r="BD243" s="1" t="s">
        <v>17</v>
      </c>
      <c r="BE243" s="1" t="s">
        <v>18</v>
      </c>
      <c r="BF243" s="1" t="s">
        <v>17</v>
      </c>
      <c r="BG243" s="1" t="s">
        <v>18</v>
      </c>
      <c r="BH243" s="1" t="s">
        <v>17</v>
      </c>
      <c r="BI243" s="1" t="s">
        <v>18</v>
      </c>
      <c r="BJ243" s="1" t="s">
        <v>17</v>
      </c>
      <c r="BK243" s="1" t="s">
        <v>18</v>
      </c>
      <c r="BL243" s="1" t="s">
        <v>17</v>
      </c>
      <c r="BM243" s="1" t="s">
        <v>18</v>
      </c>
      <c r="BN243" s="1" t="s">
        <v>17</v>
      </c>
      <c r="BO243" s="1" t="s">
        <v>18</v>
      </c>
    </row>
    <row r="244" spans="47:67" x14ac:dyDescent="0.3">
      <c r="AU244" s="1" t="s">
        <v>19</v>
      </c>
      <c r="AV244" s="1" t="s">
        <v>1</v>
      </c>
      <c r="AW244" s="1" t="s">
        <v>1</v>
      </c>
      <c r="AX244" s="1" t="s">
        <v>2</v>
      </c>
      <c r="AY244" s="1" t="s">
        <v>2</v>
      </c>
      <c r="AZ244" s="1" t="s">
        <v>3</v>
      </c>
      <c r="BA244" s="1" t="s">
        <v>3</v>
      </c>
      <c r="BB244" s="1" t="s">
        <v>4</v>
      </c>
      <c r="BC244" s="1" t="s">
        <v>4</v>
      </c>
      <c r="BD244" s="1" t="s">
        <v>5</v>
      </c>
      <c r="BE244" s="1" t="s">
        <v>5</v>
      </c>
      <c r="BF244" s="1" t="s">
        <v>6</v>
      </c>
      <c r="BG244" s="1" t="s">
        <v>6</v>
      </c>
      <c r="BH244" s="1" t="s">
        <v>7</v>
      </c>
      <c r="BI244" s="1" t="s">
        <v>7</v>
      </c>
      <c r="BJ244" s="1" t="s">
        <v>8</v>
      </c>
      <c r="BK244" s="1" t="s">
        <v>8</v>
      </c>
      <c r="BL244" s="1" t="s">
        <v>9</v>
      </c>
      <c r="BM244" s="1" t="s">
        <v>9</v>
      </c>
      <c r="BN244" s="1" t="s">
        <v>10</v>
      </c>
      <c r="BO244" s="1" t="s">
        <v>10</v>
      </c>
    </row>
    <row r="245" spans="47:67" x14ac:dyDescent="0.3">
      <c r="AU245" s="1" t="s">
        <v>20</v>
      </c>
    </row>
    <row r="246" spans="47:67" x14ac:dyDescent="0.3">
      <c r="AU246" s="1" t="s">
        <v>21</v>
      </c>
      <c r="AV246" s="2">
        <f>AV135+Y135</f>
        <v>349.12</v>
      </c>
      <c r="AW246" s="2">
        <f t="shared" ref="AW246:BO253" si="2">AW135+Z135</f>
        <v>367.74</v>
      </c>
      <c r="AX246" s="2">
        <f t="shared" si="2"/>
        <v>256.90000000000003</v>
      </c>
      <c r="AY246" s="2">
        <f t="shared" si="2"/>
        <v>256.90000000000003</v>
      </c>
      <c r="AZ246" s="2">
        <f t="shared" si="2"/>
        <v>271.60000000000002</v>
      </c>
      <c r="BA246" s="2">
        <f t="shared" si="2"/>
        <v>406.97999999999996</v>
      </c>
      <c r="BB246" s="2">
        <f t="shared" si="2"/>
        <v>304.57</v>
      </c>
      <c r="BC246" s="2">
        <f t="shared" si="2"/>
        <v>463.48</v>
      </c>
      <c r="BD246" s="2">
        <f t="shared" si="2"/>
        <v>366.1</v>
      </c>
      <c r="BE246" s="2">
        <f t="shared" si="2"/>
        <v>336</v>
      </c>
      <c r="BF246" s="2">
        <f t="shared" si="2"/>
        <v>321.76</v>
      </c>
      <c r="BG246" s="2">
        <f t="shared" si="2"/>
        <v>347.20000000000005</v>
      </c>
      <c r="BH246" s="2">
        <f t="shared" si="2"/>
        <v>376.34</v>
      </c>
      <c r="BI246" s="2">
        <f t="shared" si="2"/>
        <v>323.39999999999998</v>
      </c>
      <c r="BJ246" s="2">
        <f t="shared" si="2"/>
        <v>317.57</v>
      </c>
      <c r="BK246" s="2">
        <f t="shared" si="2"/>
        <v>312.20000000000005</v>
      </c>
      <c r="BL246" s="2">
        <f t="shared" si="2"/>
        <v>355.6</v>
      </c>
      <c r="BM246" s="2">
        <f t="shared" si="2"/>
        <v>286.3</v>
      </c>
      <c r="BN246" s="2">
        <f t="shared" si="2"/>
        <v>362.59999999999997</v>
      </c>
      <c r="BO246" s="2">
        <f t="shared" si="2"/>
        <v>322.7</v>
      </c>
    </row>
    <row r="247" spans="47:67" x14ac:dyDescent="0.3">
      <c r="AU247" s="1" t="s">
        <v>22</v>
      </c>
      <c r="AV247" s="2">
        <f t="shared" ref="AV247:AV253" si="3">AV136+Y136</f>
        <v>203.39</v>
      </c>
      <c r="AW247" s="2">
        <f t="shared" si="2"/>
        <v>160.35999999999999</v>
      </c>
      <c r="AX247" s="2">
        <f t="shared" si="2"/>
        <v>110.47999999999999</v>
      </c>
      <c r="AY247" s="2">
        <f t="shared" si="2"/>
        <v>122.17</v>
      </c>
      <c r="AZ247" s="2">
        <f t="shared" si="2"/>
        <v>117.9</v>
      </c>
      <c r="BA247" s="2">
        <f t="shared" si="2"/>
        <v>204.06</v>
      </c>
      <c r="BB247" s="2">
        <f t="shared" si="2"/>
        <v>169.86</v>
      </c>
      <c r="BC247" s="2">
        <f t="shared" si="2"/>
        <v>236.5</v>
      </c>
      <c r="BD247" s="2">
        <f t="shared" si="2"/>
        <v>178.51000000000002</v>
      </c>
      <c r="BE247" s="2">
        <f t="shared" si="2"/>
        <v>227.4</v>
      </c>
      <c r="BF247" s="2">
        <f t="shared" si="2"/>
        <v>180.39999999999998</v>
      </c>
      <c r="BG247" s="2">
        <f t="shared" si="2"/>
        <v>252.3</v>
      </c>
      <c r="BH247" s="2">
        <f t="shared" si="2"/>
        <v>190.6</v>
      </c>
      <c r="BI247" s="2">
        <f t="shared" si="2"/>
        <v>210.79999999999998</v>
      </c>
      <c r="BJ247" s="2">
        <f t="shared" si="2"/>
        <v>178.14999999999998</v>
      </c>
      <c r="BK247" s="2">
        <f t="shared" si="2"/>
        <v>172.14000000000001</v>
      </c>
      <c r="BL247" s="2">
        <f t="shared" si="2"/>
        <v>149.31</v>
      </c>
      <c r="BM247" s="2">
        <f t="shared" si="2"/>
        <v>166.48999999999998</v>
      </c>
      <c r="BN247" s="2">
        <f t="shared" si="2"/>
        <v>202.45</v>
      </c>
      <c r="BO247" s="2">
        <f t="shared" si="2"/>
        <v>160.07</v>
      </c>
    </row>
    <row r="248" spans="47:67" x14ac:dyDescent="0.3">
      <c r="AU248" s="1" t="s">
        <v>23</v>
      </c>
      <c r="AV248" s="2">
        <f t="shared" si="3"/>
        <v>846.07999999999993</v>
      </c>
      <c r="AW248" s="2">
        <f t="shared" si="2"/>
        <v>452.58000000000004</v>
      </c>
      <c r="AX248" s="2">
        <f t="shared" si="2"/>
        <v>690.66000000000008</v>
      </c>
      <c r="AY248" s="2">
        <f t="shared" si="2"/>
        <v>348.84</v>
      </c>
      <c r="AZ248" s="2">
        <f t="shared" si="2"/>
        <v>731.04</v>
      </c>
      <c r="BA248" s="2">
        <f t="shared" si="2"/>
        <v>1076.3800000000001</v>
      </c>
      <c r="BB248" s="2">
        <f t="shared" si="2"/>
        <v>910.15</v>
      </c>
      <c r="BC248" s="2">
        <f t="shared" si="2"/>
        <v>945.18</v>
      </c>
      <c r="BD248" s="2">
        <f t="shared" si="2"/>
        <v>1057.0700000000002</v>
      </c>
      <c r="BE248" s="2">
        <f t="shared" si="2"/>
        <v>968.63000000000011</v>
      </c>
      <c r="BF248" s="2">
        <f t="shared" si="2"/>
        <v>998.6099999999999</v>
      </c>
      <c r="BG248" s="2">
        <f t="shared" si="2"/>
        <v>1014.8299999999999</v>
      </c>
      <c r="BH248" s="2">
        <f t="shared" si="2"/>
        <v>1017.9300000000001</v>
      </c>
      <c r="BI248" s="2">
        <f t="shared" si="2"/>
        <v>905.87</v>
      </c>
      <c r="BJ248" s="2">
        <f t="shared" si="2"/>
        <v>939.13</v>
      </c>
      <c r="BK248" s="2">
        <f t="shared" si="2"/>
        <v>792.44999999999993</v>
      </c>
      <c r="BL248" s="2">
        <f t="shared" si="2"/>
        <v>789.03000000000009</v>
      </c>
      <c r="BM248" s="2">
        <f t="shared" si="2"/>
        <v>843.42</v>
      </c>
      <c r="BN248" s="2">
        <f t="shared" si="2"/>
        <v>669.03</v>
      </c>
      <c r="BO248" s="2">
        <f t="shared" si="2"/>
        <v>620.66</v>
      </c>
    </row>
    <row r="249" spans="47:67" x14ac:dyDescent="0.3">
      <c r="AU249" s="1" t="s">
        <v>24</v>
      </c>
      <c r="AV249" s="2">
        <f t="shared" si="3"/>
        <v>258.83000000000004</v>
      </c>
      <c r="AW249" s="2">
        <f t="shared" si="2"/>
        <v>141.78</v>
      </c>
      <c r="AX249" s="2">
        <f t="shared" si="2"/>
        <v>183.18</v>
      </c>
      <c r="AY249" s="2">
        <f t="shared" si="2"/>
        <v>151.24</v>
      </c>
      <c r="AZ249" s="2">
        <f t="shared" si="2"/>
        <v>204.7</v>
      </c>
      <c r="BA249" s="2">
        <f t="shared" si="2"/>
        <v>257.43</v>
      </c>
      <c r="BB249" s="2">
        <f t="shared" si="2"/>
        <v>300.68</v>
      </c>
      <c r="BC249" s="2">
        <f t="shared" si="2"/>
        <v>239.51</v>
      </c>
      <c r="BD249" s="2">
        <f t="shared" si="2"/>
        <v>287.64999999999998</v>
      </c>
      <c r="BE249" s="2">
        <f t="shared" si="2"/>
        <v>282.59999999999997</v>
      </c>
      <c r="BF249" s="2">
        <f t="shared" si="2"/>
        <v>304.2</v>
      </c>
      <c r="BG249" s="2">
        <f t="shared" si="2"/>
        <v>289.26</v>
      </c>
      <c r="BH249" s="2">
        <f t="shared" si="2"/>
        <v>315.59000000000003</v>
      </c>
      <c r="BI249" s="2">
        <f t="shared" si="2"/>
        <v>246.83</v>
      </c>
      <c r="BJ249" s="2">
        <f t="shared" si="2"/>
        <v>318.63</v>
      </c>
      <c r="BK249" s="2">
        <f t="shared" si="2"/>
        <v>252.79999999999998</v>
      </c>
      <c r="BL249" s="2">
        <f t="shared" si="2"/>
        <v>239.73999999999998</v>
      </c>
      <c r="BM249" s="2">
        <f t="shared" si="2"/>
        <v>207.24</v>
      </c>
      <c r="BN249" s="2">
        <f t="shared" si="2"/>
        <v>221.66</v>
      </c>
      <c r="BO249" s="2">
        <f t="shared" si="2"/>
        <v>188.75</v>
      </c>
    </row>
    <row r="250" spans="47:67" x14ac:dyDescent="0.3">
      <c r="AU250" s="1" t="s">
        <v>25</v>
      </c>
      <c r="AV250" s="2">
        <f t="shared" si="3"/>
        <v>723.51</v>
      </c>
      <c r="AW250" s="2">
        <f t="shared" si="2"/>
        <v>919.28</v>
      </c>
      <c r="AX250" s="2">
        <f t="shared" si="2"/>
        <v>870.81999999999994</v>
      </c>
      <c r="AY250" s="2">
        <f t="shared" si="2"/>
        <v>1112.45</v>
      </c>
      <c r="AZ250" s="2">
        <f t="shared" si="2"/>
        <v>698.48</v>
      </c>
      <c r="BA250" s="2">
        <f t="shared" si="2"/>
        <v>718.26</v>
      </c>
      <c r="BB250" s="2">
        <f t="shared" si="2"/>
        <v>1256.3700000000001</v>
      </c>
      <c r="BC250" s="2">
        <f t="shared" si="2"/>
        <v>1105.83</v>
      </c>
      <c r="BD250" s="2">
        <f t="shared" si="2"/>
        <v>1378.69</v>
      </c>
      <c r="BE250" s="2">
        <f t="shared" si="2"/>
        <v>1182.5999999999999</v>
      </c>
      <c r="BF250" s="2">
        <f t="shared" si="2"/>
        <v>1352.2600000000002</v>
      </c>
      <c r="BG250" s="2">
        <f t="shared" si="2"/>
        <v>1185.1300000000001</v>
      </c>
      <c r="BH250" s="2">
        <f t="shared" si="2"/>
        <v>1291.27</v>
      </c>
      <c r="BI250" s="2">
        <f t="shared" si="2"/>
        <v>1118.1499999999999</v>
      </c>
      <c r="BJ250" s="2">
        <f t="shared" si="2"/>
        <v>1193.3</v>
      </c>
      <c r="BK250" s="2">
        <f t="shared" si="2"/>
        <v>1061.7</v>
      </c>
      <c r="BL250" s="2">
        <f t="shared" si="2"/>
        <v>1143</v>
      </c>
      <c r="BM250" s="2">
        <f t="shared" si="2"/>
        <v>804.17000000000007</v>
      </c>
      <c r="BN250" s="2">
        <f t="shared" si="2"/>
        <v>991.8</v>
      </c>
      <c r="BO250" s="2">
        <f t="shared" si="2"/>
        <v>964.72</v>
      </c>
    </row>
    <row r="251" spans="47:67" x14ac:dyDescent="0.3">
      <c r="AU251" s="1" t="s">
        <v>26</v>
      </c>
      <c r="AV251" s="2">
        <f t="shared" si="3"/>
        <v>128.99</v>
      </c>
      <c r="AW251" s="2">
        <f t="shared" si="2"/>
        <v>125.18</v>
      </c>
      <c r="AX251" s="2">
        <f t="shared" si="2"/>
        <v>141.81</v>
      </c>
      <c r="AY251" s="2">
        <f t="shared" si="2"/>
        <v>165.62</v>
      </c>
      <c r="AZ251" s="2">
        <f t="shared" si="2"/>
        <v>119.62</v>
      </c>
      <c r="BA251" s="2">
        <f t="shared" si="2"/>
        <v>101.72</v>
      </c>
      <c r="BB251" s="2">
        <f t="shared" si="2"/>
        <v>189.13</v>
      </c>
      <c r="BC251" s="2">
        <f t="shared" si="2"/>
        <v>104.53</v>
      </c>
      <c r="BD251" s="2">
        <f t="shared" si="2"/>
        <v>180.70000000000002</v>
      </c>
      <c r="BE251" s="2">
        <f t="shared" si="2"/>
        <v>188.21</v>
      </c>
      <c r="BF251" s="2">
        <f t="shared" si="2"/>
        <v>213.89</v>
      </c>
      <c r="BG251" s="2">
        <f t="shared" si="2"/>
        <v>195.96</v>
      </c>
      <c r="BH251" s="2">
        <f t="shared" si="2"/>
        <v>199.32999999999998</v>
      </c>
      <c r="BI251" s="2">
        <f t="shared" si="2"/>
        <v>171.76</v>
      </c>
      <c r="BJ251" s="2">
        <f t="shared" si="2"/>
        <v>201.36</v>
      </c>
      <c r="BK251" s="2">
        <f t="shared" si="2"/>
        <v>206.09</v>
      </c>
      <c r="BL251" s="2">
        <f t="shared" si="2"/>
        <v>201.85000000000002</v>
      </c>
      <c r="BM251" s="2">
        <f t="shared" si="2"/>
        <v>158.12</v>
      </c>
      <c r="BN251" s="2">
        <f t="shared" si="2"/>
        <v>172.81</v>
      </c>
      <c r="BO251" s="2">
        <f t="shared" si="2"/>
        <v>143.91</v>
      </c>
    </row>
    <row r="252" spans="47:67" x14ac:dyDescent="0.3">
      <c r="AU252" s="1" t="s">
        <v>27</v>
      </c>
      <c r="AV252" s="2">
        <f t="shared" si="3"/>
        <v>393.17</v>
      </c>
      <c r="AW252" s="2">
        <f t="shared" si="2"/>
        <v>469.38</v>
      </c>
      <c r="AX252" s="2">
        <f t="shared" si="2"/>
        <v>347.65</v>
      </c>
      <c r="AY252" s="2">
        <f t="shared" si="2"/>
        <v>395.03999999999996</v>
      </c>
      <c r="AZ252" s="2">
        <f t="shared" si="2"/>
        <v>313.83</v>
      </c>
      <c r="BA252" s="2">
        <f t="shared" si="2"/>
        <v>355.88</v>
      </c>
      <c r="BB252" s="2">
        <f t="shared" si="2"/>
        <v>470.29999999999995</v>
      </c>
      <c r="BC252" s="2">
        <f t="shared" si="2"/>
        <v>380.65</v>
      </c>
      <c r="BD252" s="2">
        <f t="shared" si="2"/>
        <v>464.47</v>
      </c>
      <c r="BE252" s="2">
        <f t="shared" si="2"/>
        <v>542.9</v>
      </c>
      <c r="BF252" s="2">
        <f t="shared" si="2"/>
        <v>483.27</v>
      </c>
      <c r="BG252" s="2">
        <f t="shared" si="2"/>
        <v>512.45000000000005</v>
      </c>
      <c r="BH252" s="2">
        <f t="shared" si="2"/>
        <v>439.14</v>
      </c>
      <c r="BI252" s="2">
        <f t="shared" si="2"/>
        <v>453.51</v>
      </c>
      <c r="BJ252" s="2">
        <f t="shared" si="2"/>
        <v>470.25</v>
      </c>
      <c r="BK252" s="2">
        <f t="shared" si="2"/>
        <v>514.14</v>
      </c>
      <c r="BL252" s="2">
        <f t="shared" si="2"/>
        <v>443.83000000000004</v>
      </c>
      <c r="BM252" s="2">
        <f t="shared" si="2"/>
        <v>343.14</v>
      </c>
      <c r="BN252" s="2">
        <f t="shared" si="2"/>
        <v>378.05999999999995</v>
      </c>
      <c r="BO252" s="2">
        <f t="shared" si="2"/>
        <v>366.04</v>
      </c>
    </row>
    <row r="253" spans="47:67" x14ac:dyDescent="0.3">
      <c r="AU253" s="1" t="s">
        <v>28</v>
      </c>
      <c r="AV253" s="2">
        <f t="shared" si="3"/>
        <v>216.9</v>
      </c>
      <c r="AW253" s="2">
        <f t="shared" si="2"/>
        <v>165.89999999999998</v>
      </c>
      <c r="AX253" s="2">
        <f t="shared" si="2"/>
        <v>96.05</v>
      </c>
      <c r="AY253" s="2">
        <f t="shared" si="2"/>
        <v>113.43</v>
      </c>
      <c r="AZ253" s="2">
        <f t="shared" si="2"/>
        <v>110.58000000000001</v>
      </c>
      <c r="BA253" s="2">
        <f t="shared" si="2"/>
        <v>119.13</v>
      </c>
      <c r="BB253" s="2">
        <f t="shared" si="2"/>
        <v>122.27000000000001</v>
      </c>
      <c r="BC253" s="2">
        <f t="shared" si="2"/>
        <v>114.62</v>
      </c>
      <c r="BD253" s="2">
        <f t="shared" si="2"/>
        <v>165.29999999999998</v>
      </c>
      <c r="BE253" s="2">
        <f t="shared" si="2"/>
        <v>88.27</v>
      </c>
      <c r="BF253" s="2">
        <f t="shared" si="2"/>
        <v>119.1</v>
      </c>
      <c r="BG253" s="2">
        <f t="shared" si="2"/>
        <v>101.82</v>
      </c>
      <c r="BH253" s="2">
        <f t="shared" si="2"/>
        <v>123.87</v>
      </c>
      <c r="BI253" s="2">
        <f t="shared" si="2"/>
        <v>139.65</v>
      </c>
      <c r="BJ253" s="2">
        <f t="shared" si="2"/>
        <v>103.5</v>
      </c>
      <c r="BK253" s="2">
        <f t="shared" si="2"/>
        <v>120.9</v>
      </c>
      <c r="BL253" s="2">
        <f t="shared" si="2"/>
        <v>144</v>
      </c>
      <c r="BM253" s="2">
        <f t="shared" si="2"/>
        <v>101.7</v>
      </c>
      <c r="BN253" s="2">
        <f t="shared" si="2"/>
        <v>142.5</v>
      </c>
      <c r="BO253" s="2">
        <f t="shared" si="2"/>
        <v>112.2</v>
      </c>
    </row>
    <row r="255" spans="47:67" x14ac:dyDescent="0.3">
      <c r="AU255" s="5" t="s">
        <v>84</v>
      </c>
    </row>
    <row r="256" spans="47:67" x14ac:dyDescent="0.3">
      <c r="AU256" s="1" t="s">
        <v>16</v>
      </c>
      <c r="AV256" s="1" t="s">
        <v>17</v>
      </c>
      <c r="AW256" s="1" t="s">
        <v>18</v>
      </c>
      <c r="AX256" s="1" t="s">
        <v>17</v>
      </c>
      <c r="AY256" s="1" t="s">
        <v>18</v>
      </c>
      <c r="AZ256" s="1" t="s">
        <v>17</v>
      </c>
      <c r="BA256" s="1" t="s">
        <v>18</v>
      </c>
      <c r="BB256" s="1" t="s">
        <v>17</v>
      </c>
      <c r="BC256" s="1" t="s">
        <v>18</v>
      </c>
      <c r="BD256" s="1" t="s">
        <v>17</v>
      </c>
      <c r="BE256" s="1" t="s">
        <v>18</v>
      </c>
      <c r="BF256" s="1" t="s">
        <v>17</v>
      </c>
      <c r="BG256" s="1" t="s">
        <v>18</v>
      </c>
      <c r="BH256" s="1" t="s">
        <v>17</v>
      </c>
      <c r="BI256" s="1" t="s">
        <v>18</v>
      </c>
      <c r="BJ256" s="1" t="s">
        <v>17</v>
      </c>
      <c r="BK256" s="1" t="s">
        <v>18</v>
      </c>
      <c r="BL256" s="1" t="s">
        <v>17</v>
      </c>
      <c r="BM256" s="1" t="s">
        <v>18</v>
      </c>
      <c r="BN256" s="1" t="s">
        <v>17</v>
      </c>
      <c r="BO256" s="1" t="s">
        <v>18</v>
      </c>
    </row>
    <row r="257" spans="47:67" x14ac:dyDescent="0.3">
      <c r="AU257" s="1" t="s">
        <v>19</v>
      </c>
      <c r="AV257" s="1" t="s">
        <v>1</v>
      </c>
      <c r="AW257" s="1" t="s">
        <v>1</v>
      </c>
      <c r="AX257" s="1" t="s">
        <v>2</v>
      </c>
      <c r="AY257" s="1" t="s">
        <v>2</v>
      </c>
      <c r="AZ257" s="1" t="s">
        <v>3</v>
      </c>
      <c r="BA257" s="1" t="s">
        <v>3</v>
      </c>
      <c r="BB257" s="1" t="s">
        <v>4</v>
      </c>
      <c r="BC257" s="1" t="s">
        <v>4</v>
      </c>
      <c r="BD257" s="1" t="s">
        <v>5</v>
      </c>
      <c r="BE257" s="1" t="s">
        <v>5</v>
      </c>
      <c r="BF257" s="1" t="s">
        <v>6</v>
      </c>
      <c r="BG257" s="1" t="s">
        <v>6</v>
      </c>
      <c r="BH257" s="1" t="s">
        <v>7</v>
      </c>
      <c r="BI257" s="1" t="s">
        <v>7</v>
      </c>
      <c r="BJ257" s="1" t="s">
        <v>8</v>
      </c>
      <c r="BK257" s="1" t="s">
        <v>8</v>
      </c>
      <c r="BL257" s="1" t="s">
        <v>9</v>
      </c>
      <c r="BM257" s="1" t="s">
        <v>9</v>
      </c>
      <c r="BN257" s="1" t="s">
        <v>10</v>
      </c>
      <c r="BO257" s="1" t="s">
        <v>10</v>
      </c>
    </row>
    <row r="258" spans="47:67" x14ac:dyDescent="0.3">
      <c r="AU258" s="1" t="s">
        <v>20</v>
      </c>
    </row>
    <row r="259" spans="47:67" x14ac:dyDescent="0.3">
      <c r="AU259" s="1" t="s">
        <v>21</v>
      </c>
      <c r="AV259" s="2">
        <f>AV191+Y191</f>
        <v>467.76</v>
      </c>
      <c r="AW259" s="2">
        <f t="shared" ref="AW259:BO266" si="4">AW191+Z191</f>
        <v>471.48</v>
      </c>
      <c r="AX259" s="2">
        <f t="shared" si="4"/>
        <v>235.76</v>
      </c>
      <c r="AY259" s="2">
        <f t="shared" si="4"/>
        <v>242.06</v>
      </c>
      <c r="AZ259" s="2">
        <f t="shared" si="4"/>
        <v>359.24</v>
      </c>
      <c r="BA259" s="2">
        <f t="shared" si="4"/>
        <v>369.08</v>
      </c>
      <c r="BB259" s="2">
        <f t="shared" si="4"/>
        <v>401</v>
      </c>
      <c r="BC259" s="2">
        <f t="shared" si="4"/>
        <v>426.4</v>
      </c>
      <c r="BD259" s="2">
        <f t="shared" si="4"/>
        <v>423.22</v>
      </c>
      <c r="BE259" s="2">
        <f t="shared" si="4"/>
        <v>409.36</v>
      </c>
      <c r="BF259" s="2">
        <f t="shared" si="4"/>
        <v>400.9</v>
      </c>
      <c r="BG259" s="2">
        <f t="shared" si="4"/>
        <v>408.8</v>
      </c>
      <c r="BH259" s="2">
        <f t="shared" si="4"/>
        <v>389.32</v>
      </c>
      <c r="BI259" s="2">
        <f t="shared" si="4"/>
        <v>436.66</v>
      </c>
      <c r="BJ259" s="2">
        <f t="shared" si="4"/>
        <v>430.78</v>
      </c>
      <c r="BK259" s="2">
        <f t="shared" si="4"/>
        <v>424.76</v>
      </c>
      <c r="BL259" s="2">
        <f t="shared" si="4"/>
        <v>365.54</v>
      </c>
      <c r="BM259" s="2">
        <f t="shared" si="4"/>
        <v>383.32</v>
      </c>
      <c r="BN259" s="2">
        <f t="shared" si="4"/>
        <v>443.52</v>
      </c>
      <c r="BO259" s="2">
        <f t="shared" si="4"/>
        <v>451.64</v>
      </c>
    </row>
    <row r="260" spans="47:67" x14ac:dyDescent="0.3">
      <c r="AU260" s="1" t="s">
        <v>22</v>
      </c>
      <c r="AV260" s="2">
        <f t="shared" ref="AV260:AV266" si="5">AV192+Y192</f>
        <v>32.54</v>
      </c>
      <c r="AW260" s="2">
        <f t="shared" si="4"/>
        <v>33.94</v>
      </c>
      <c r="AX260" s="2">
        <f t="shared" si="4"/>
        <v>18.46</v>
      </c>
      <c r="AY260" s="2">
        <f t="shared" si="4"/>
        <v>22.4</v>
      </c>
      <c r="AZ260" s="2">
        <f t="shared" si="4"/>
        <v>24.02</v>
      </c>
      <c r="BA260" s="2">
        <f t="shared" si="4"/>
        <v>27.5</v>
      </c>
      <c r="BB260" s="2">
        <f t="shared" si="4"/>
        <v>25.68</v>
      </c>
      <c r="BC260" s="2">
        <f t="shared" si="4"/>
        <v>35.14</v>
      </c>
      <c r="BD260" s="2">
        <f t="shared" si="4"/>
        <v>25.6</v>
      </c>
      <c r="BE260" s="2">
        <f t="shared" si="4"/>
        <v>29.48</v>
      </c>
      <c r="BF260" s="2">
        <f t="shared" si="4"/>
        <v>26.22</v>
      </c>
      <c r="BG260" s="2">
        <f t="shared" si="4"/>
        <v>32.24</v>
      </c>
      <c r="BH260" s="2">
        <f t="shared" si="4"/>
        <v>33.58</v>
      </c>
      <c r="BI260" s="2">
        <f t="shared" si="4"/>
        <v>32.299999999999997</v>
      </c>
      <c r="BJ260" s="2">
        <f t="shared" si="4"/>
        <v>30.56</v>
      </c>
      <c r="BK260" s="2">
        <f t="shared" si="4"/>
        <v>30.04</v>
      </c>
      <c r="BL260" s="2">
        <f t="shared" si="4"/>
        <v>29.36</v>
      </c>
      <c r="BM260" s="2">
        <f t="shared" si="4"/>
        <v>32.76</v>
      </c>
      <c r="BN260" s="2">
        <f t="shared" si="4"/>
        <v>41.8</v>
      </c>
      <c r="BO260" s="2">
        <f t="shared" si="4"/>
        <v>36.520000000000003</v>
      </c>
    </row>
    <row r="261" spans="47:67" x14ac:dyDescent="0.3">
      <c r="AU261" s="1" t="s">
        <v>23</v>
      </c>
      <c r="AV261" s="2">
        <f t="shared" si="5"/>
        <v>221.72</v>
      </c>
      <c r="AW261" s="2">
        <f t="shared" si="4"/>
        <v>99.92</v>
      </c>
      <c r="AX261" s="2">
        <f t="shared" si="4"/>
        <v>96.54</v>
      </c>
      <c r="AY261" s="2">
        <f t="shared" si="4"/>
        <v>51.04</v>
      </c>
      <c r="AZ261" s="2">
        <f t="shared" si="4"/>
        <v>202.4</v>
      </c>
      <c r="BA261" s="2">
        <f t="shared" si="4"/>
        <v>229.7</v>
      </c>
      <c r="BB261" s="2">
        <f t="shared" si="4"/>
        <v>179.54</v>
      </c>
      <c r="BC261" s="2">
        <f t="shared" si="4"/>
        <v>216.66</v>
      </c>
      <c r="BD261" s="2">
        <f t="shared" si="4"/>
        <v>317.8</v>
      </c>
      <c r="BE261" s="2">
        <f t="shared" si="4"/>
        <v>180.08</v>
      </c>
      <c r="BF261" s="2">
        <f t="shared" si="4"/>
        <v>323.10000000000002</v>
      </c>
      <c r="BG261" s="2">
        <f t="shared" si="4"/>
        <v>192.5</v>
      </c>
      <c r="BH261" s="2">
        <f t="shared" si="4"/>
        <v>374.04</v>
      </c>
      <c r="BI261" s="2">
        <f t="shared" si="4"/>
        <v>216.54</v>
      </c>
      <c r="BJ261" s="2">
        <f t="shared" si="4"/>
        <v>368.34</v>
      </c>
      <c r="BK261" s="2">
        <f t="shared" si="4"/>
        <v>175.5</v>
      </c>
      <c r="BL261" s="2">
        <f t="shared" si="4"/>
        <v>204.26</v>
      </c>
      <c r="BM261" s="2">
        <f t="shared" si="4"/>
        <v>149.72</v>
      </c>
      <c r="BN261" s="2">
        <f t="shared" si="4"/>
        <v>132.58000000000001</v>
      </c>
      <c r="BO261" s="2">
        <f t="shared" si="4"/>
        <v>128.52000000000001</v>
      </c>
    </row>
    <row r="262" spans="47:67" x14ac:dyDescent="0.3">
      <c r="AU262" s="1" t="s">
        <v>24</v>
      </c>
      <c r="AV262" s="2">
        <f t="shared" si="5"/>
        <v>122.06</v>
      </c>
      <c r="AW262" s="2">
        <f t="shared" si="4"/>
        <v>47.32</v>
      </c>
      <c r="AX262" s="2">
        <f t="shared" si="4"/>
        <v>51.72</v>
      </c>
      <c r="AY262" s="2">
        <f t="shared" si="4"/>
        <v>27.48</v>
      </c>
      <c r="AZ262" s="2">
        <f t="shared" si="4"/>
        <v>102.18</v>
      </c>
      <c r="BA262" s="2">
        <f t="shared" si="4"/>
        <v>62.38</v>
      </c>
      <c r="BB262" s="2">
        <f t="shared" si="4"/>
        <v>90.36</v>
      </c>
      <c r="BC262" s="2">
        <f t="shared" si="4"/>
        <v>88.92</v>
      </c>
      <c r="BD262" s="2">
        <f t="shared" si="4"/>
        <v>90.48</v>
      </c>
      <c r="BE262" s="2">
        <f t="shared" si="4"/>
        <v>62.08</v>
      </c>
      <c r="BF262" s="2">
        <f t="shared" si="4"/>
        <v>91.08</v>
      </c>
      <c r="BG262" s="2">
        <f t="shared" si="4"/>
        <v>61.5</v>
      </c>
      <c r="BH262" s="2">
        <f t="shared" si="4"/>
        <v>59.78</v>
      </c>
      <c r="BI262" s="2">
        <f t="shared" si="4"/>
        <v>67.52</v>
      </c>
      <c r="BJ262" s="2">
        <f t="shared" si="4"/>
        <v>99.26</v>
      </c>
      <c r="BK262" s="2">
        <f t="shared" si="4"/>
        <v>54.96</v>
      </c>
      <c r="BL262" s="2">
        <f t="shared" si="4"/>
        <v>49.84</v>
      </c>
      <c r="BM262" s="2">
        <f t="shared" si="4"/>
        <v>59.9</v>
      </c>
      <c r="BN262" s="2">
        <f t="shared" si="4"/>
        <v>55.2</v>
      </c>
      <c r="BO262" s="2">
        <f t="shared" si="4"/>
        <v>55.52</v>
      </c>
    </row>
    <row r="263" spans="47:67" x14ac:dyDescent="0.3">
      <c r="AU263" s="1" t="s">
        <v>25</v>
      </c>
      <c r="AV263" s="2">
        <f t="shared" si="5"/>
        <v>348.54</v>
      </c>
      <c r="AW263" s="2">
        <f t="shared" si="4"/>
        <v>264.22000000000003</v>
      </c>
      <c r="AX263" s="2">
        <f t="shared" si="4"/>
        <v>123.88</v>
      </c>
      <c r="AY263" s="2">
        <f t="shared" si="4"/>
        <v>151.19999999999999</v>
      </c>
      <c r="AZ263" s="2">
        <f t="shared" si="4"/>
        <v>291.77999999999997</v>
      </c>
      <c r="BA263" s="2">
        <f t="shared" si="4"/>
        <v>275.88</v>
      </c>
      <c r="BB263" s="2">
        <f t="shared" si="4"/>
        <v>222.54</v>
      </c>
      <c r="BC263" s="2">
        <f t="shared" si="4"/>
        <v>314.36</v>
      </c>
      <c r="BD263" s="2">
        <f t="shared" si="4"/>
        <v>301.38</v>
      </c>
      <c r="BE263" s="2">
        <f t="shared" si="4"/>
        <v>309.08</v>
      </c>
      <c r="BF263" s="2">
        <f t="shared" si="4"/>
        <v>296.62</v>
      </c>
      <c r="BG263" s="2">
        <f t="shared" si="4"/>
        <v>258.10000000000002</v>
      </c>
      <c r="BH263" s="2">
        <f t="shared" si="4"/>
        <v>270.95999999999998</v>
      </c>
      <c r="BI263" s="2">
        <f t="shared" si="4"/>
        <v>240.84</v>
      </c>
      <c r="BJ263" s="2">
        <f t="shared" si="4"/>
        <v>237.14</v>
      </c>
      <c r="BK263" s="2">
        <f t="shared" si="4"/>
        <v>219.52</v>
      </c>
      <c r="BL263" s="2">
        <f t="shared" si="4"/>
        <v>230.82</v>
      </c>
      <c r="BM263" s="2">
        <f t="shared" si="4"/>
        <v>215.48</v>
      </c>
      <c r="BN263" s="2">
        <f t="shared" si="4"/>
        <v>248.84</v>
      </c>
      <c r="BO263" s="2">
        <f t="shared" si="4"/>
        <v>266.2</v>
      </c>
    </row>
    <row r="264" spans="47:67" x14ac:dyDescent="0.3">
      <c r="AU264" s="1" t="s">
        <v>26</v>
      </c>
      <c r="AV264" s="2">
        <f t="shared" si="5"/>
        <v>73.900000000000006</v>
      </c>
      <c r="AW264" s="2">
        <f t="shared" si="4"/>
        <v>41.14</v>
      </c>
      <c r="AX264" s="2">
        <f t="shared" si="4"/>
        <v>31.46</v>
      </c>
      <c r="AY264" s="2">
        <f t="shared" si="4"/>
        <v>19.760000000000002</v>
      </c>
      <c r="AZ264" s="2">
        <f t="shared" si="4"/>
        <v>54.8</v>
      </c>
      <c r="BA264" s="2">
        <f t="shared" si="4"/>
        <v>49.38</v>
      </c>
      <c r="BB264" s="2">
        <f t="shared" si="4"/>
        <v>32.06</v>
      </c>
      <c r="BC264" s="2">
        <f t="shared" si="4"/>
        <v>44.86</v>
      </c>
      <c r="BD264" s="2">
        <f t="shared" si="4"/>
        <v>31.44</v>
      </c>
      <c r="BE264" s="2">
        <f t="shared" si="4"/>
        <v>50.18</v>
      </c>
      <c r="BF264" s="2">
        <f t="shared" si="4"/>
        <v>35.96</v>
      </c>
      <c r="BG264" s="2">
        <f t="shared" si="4"/>
        <v>41.7</v>
      </c>
      <c r="BH264" s="2">
        <f t="shared" si="4"/>
        <v>36.799999999999997</v>
      </c>
      <c r="BI264" s="2">
        <f t="shared" si="4"/>
        <v>39.619999999999997</v>
      </c>
      <c r="BJ264" s="2">
        <f t="shared" si="4"/>
        <v>37.58</v>
      </c>
      <c r="BK264" s="2">
        <f t="shared" si="4"/>
        <v>45.36</v>
      </c>
      <c r="BL264" s="2">
        <f t="shared" si="4"/>
        <v>40.340000000000003</v>
      </c>
      <c r="BM264" s="2">
        <f t="shared" si="4"/>
        <v>38.54</v>
      </c>
      <c r="BN264" s="2">
        <f t="shared" si="4"/>
        <v>42.64</v>
      </c>
      <c r="BO264" s="2">
        <f t="shared" si="4"/>
        <v>27.6</v>
      </c>
    </row>
    <row r="265" spans="47:67" x14ac:dyDescent="0.3">
      <c r="AU265" s="1" t="s">
        <v>27</v>
      </c>
      <c r="AV265" s="2">
        <f t="shared" si="5"/>
        <v>167.18</v>
      </c>
      <c r="AW265" s="2">
        <f t="shared" si="4"/>
        <v>186.14</v>
      </c>
      <c r="AX265" s="2">
        <f t="shared" si="4"/>
        <v>74.34</v>
      </c>
      <c r="AY265" s="2">
        <f t="shared" si="4"/>
        <v>76.14</v>
      </c>
      <c r="AZ265" s="2">
        <f t="shared" si="4"/>
        <v>170.32</v>
      </c>
      <c r="BA265" s="2">
        <f t="shared" si="4"/>
        <v>148.26</v>
      </c>
      <c r="BB265" s="2">
        <f t="shared" si="4"/>
        <v>159.34</v>
      </c>
      <c r="BC265" s="2">
        <f t="shared" si="4"/>
        <v>255.94</v>
      </c>
      <c r="BD265" s="2">
        <f t="shared" si="4"/>
        <v>111.2</v>
      </c>
      <c r="BE265" s="2">
        <f t="shared" si="4"/>
        <v>145.04</v>
      </c>
      <c r="BF265" s="2">
        <f t="shared" si="4"/>
        <v>148.30000000000001</v>
      </c>
      <c r="BG265" s="2">
        <f t="shared" si="4"/>
        <v>137.24</v>
      </c>
      <c r="BH265" s="2">
        <f t="shared" si="4"/>
        <v>159.96</v>
      </c>
      <c r="BI265" s="2">
        <f t="shared" si="4"/>
        <v>141.32</v>
      </c>
      <c r="BJ265" s="2">
        <f t="shared" si="4"/>
        <v>197.34</v>
      </c>
      <c r="BK265" s="2">
        <f t="shared" si="4"/>
        <v>144.91999999999999</v>
      </c>
      <c r="BL265" s="2">
        <f t="shared" si="4"/>
        <v>155.52000000000001</v>
      </c>
      <c r="BM265" s="2">
        <f t="shared" si="4"/>
        <v>123.86</v>
      </c>
      <c r="BN265" s="2">
        <f t="shared" si="4"/>
        <v>141.76</v>
      </c>
      <c r="BO265" s="2">
        <f t="shared" si="4"/>
        <v>124.1</v>
      </c>
    </row>
    <row r="266" spans="47:67" x14ac:dyDescent="0.3">
      <c r="AU266" s="1" t="s">
        <v>28</v>
      </c>
      <c r="AV266" s="2">
        <f t="shared" si="5"/>
        <v>105.98</v>
      </c>
      <c r="AW266" s="2">
        <f t="shared" si="4"/>
        <v>113.8</v>
      </c>
      <c r="AX266" s="2">
        <f t="shared" si="4"/>
        <v>47.54</v>
      </c>
      <c r="AY266" s="2">
        <f t="shared" si="4"/>
        <v>51.04</v>
      </c>
      <c r="AZ266" s="2">
        <f t="shared" si="4"/>
        <v>75.7</v>
      </c>
      <c r="BA266" s="2">
        <f t="shared" si="4"/>
        <v>84.62</v>
      </c>
      <c r="BB266" s="2">
        <f t="shared" si="4"/>
        <v>89.72</v>
      </c>
      <c r="BC266" s="2">
        <f t="shared" si="4"/>
        <v>90.56</v>
      </c>
      <c r="BD266" s="2">
        <f t="shared" si="4"/>
        <v>90.8</v>
      </c>
      <c r="BE266" s="2">
        <f t="shared" si="4"/>
        <v>85.36</v>
      </c>
      <c r="BF266" s="2">
        <f t="shared" si="4"/>
        <v>111.6</v>
      </c>
      <c r="BG266" s="2">
        <f t="shared" si="4"/>
        <v>89.08</v>
      </c>
      <c r="BH266" s="2">
        <f t="shared" si="4"/>
        <v>113.8</v>
      </c>
      <c r="BI266" s="2">
        <f t="shared" si="4"/>
        <v>102.04</v>
      </c>
      <c r="BJ266" s="2">
        <f t="shared" si="4"/>
        <v>112.36</v>
      </c>
      <c r="BK266" s="2">
        <f t="shared" si="4"/>
        <v>94.24</v>
      </c>
      <c r="BL266" s="2">
        <f t="shared" si="4"/>
        <v>92.36</v>
      </c>
      <c r="BM266" s="2">
        <f t="shared" si="4"/>
        <v>89.14</v>
      </c>
      <c r="BN266" s="2">
        <f t="shared" si="4"/>
        <v>97.06</v>
      </c>
      <c r="BO266" s="2">
        <f t="shared" si="4"/>
        <v>112.48</v>
      </c>
    </row>
  </sheetData>
  <mergeCells count="18">
    <mergeCell ref="BF202:BO202"/>
    <mergeCell ref="AV118:BE118"/>
    <mergeCell ref="AV202:BE202"/>
    <mergeCell ref="AI174:AR174"/>
    <mergeCell ref="BF174:BO174"/>
    <mergeCell ref="AI146:AR146"/>
    <mergeCell ref="AV146:BE146"/>
    <mergeCell ref="AI118:AR118"/>
    <mergeCell ref="BF146:BO146"/>
    <mergeCell ref="BF118:BO118"/>
    <mergeCell ref="Y174:AH174"/>
    <mergeCell ref="AV90:BE90"/>
    <mergeCell ref="AV174:BE174"/>
    <mergeCell ref="Y90:AH90"/>
    <mergeCell ref="AI90:AR90"/>
    <mergeCell ref="Y146:AH146"/>
    <mergeCell ref="BF90:BO90"/>
    <mergeCell ref="Y118:AH118"/>
  </mergeCells>
  <conditionalFormatting sqref="C9:V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L266"/>
  <sheetViews>
    <sheetView topLeftCell="U92" zoomScale="91" workbookViewId="0">
      <selection activeCell="AU255" sqref="AU255:BO266"/>
    </sheetView>
  </sheetViews>
  <sheetFormatPr defaultRowHeight="14.4" x14ac:dyDescent="0.3"/>
  <sheetData>
    <row r="1" spans="2:90" x14ac:dyDescent="0.3">
      <c r="B1" t="s">
        <v>0</v>
      </c>
    </row>
    <row r="2" spans="2:90" x14ac:dyDescent="0.3"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</row>
    <row r="3" spans="2:90" x14ac:dyDescent="0.3">
      <c r="B3" s="1" t="s">
        <v>11</v>
      </c>
      <c r="C3">
        <v>1.3</v>
      </c>
      <c r="D3">
        <v>1.3</v>
      </c>
      <c r="E3">
        <v>0.5</v>
      </c>
      <c r="F3">
        <v>1.6</v>
      </c>
      <c r="G3">
        <v>2</v>
      </c>
      <c r="H3">
        <v>3.6</v>
      </c>
      <c r="I3">
        <v>2.9</v>
      </c>
      <c r="J3">
        <v>3.8</v>
      </c>
      <c r="K3">
        <v>3.4</v>
      </c>
      <c r="L3">
        <v>4.5</v>
      </c>
    </row>
    <row r="5" spans="2:90" x14ac:dyDescent="0.3">
      <c r="B5" t="s">
        <v>12</v>
      </c>
      <c r="X5" t="s">
        <v>13</v>
      </c>
      <c r="AU5" t="s">
        <v>14</v>
      </c>
      <c r="BR5" t="s">
        <v>15</v>
      </c>
    </row>
    <row r="6" spans="2:90" x14ac:dyDescent="0.3">
      <c r="B6" s="1" t="s">
        <v>16</v>
      </c>
      <c r="C6" s="1" t="s">
        <v>17</v>
      </c>
      <c r="D6" s="1" t="s">
        <v>18</v>
      </c>
      <c r="E6" s="1" t="s">
        <v>17</v>
      </c>
      <c r="F6" s="1" t="s">
        <v>18</v>
      </c>
      <c r="G6" s="1" t="s">
        <v>17</v>
      </c>
      <c r="H6" s="1" t="s">
        <v>18</v>
      </c>
      <c r="I6" s="1" t="s">
        <v>17</v>
      </c>
      <c r="J6" s="1" t="s">
        <v>18</v>
      </c>
      <c r="K6" s="1" t="s">
        <v>17</v>
      </c>
      <c r="L6" s="1" t="s">
        <v>18</v>
      </c>
      <c r="M6" s="1" t="s">
        <v>17</v>
      </c>
      <c r="N6" s="1" t="s">
        <v>18</v>
      </c>
      <c r="O6" s="1" t="s">
        <v>17</v>
      </c>
      <c r="P6" s="1" t="s">
        <v>18</v>
      </c>
      <c r="Q6" s="1" t="s">
        <v>17</v>
      </c>
      <c r="R6" s="1" t="s">
        <v>18</v>
      </c>
      <c r="S6" s="1" t="s">
        <v>17</v>
      </c>
      <c r="T6" s="1" t="s">
        <v>18</v>
      </c>
      <c r="U6" s="1" t="s">
        <v>17</v>
      </c>
      <c r="V6" s="1" t="s">
        <v>18</v>
      </c>
      <c r="X6" s="1" t="s">
        <v>16</v>
      </c>
      <c r="Y6" s="1" t="s">
        <v>17</v>
      </c>
      <c r="Z6" s="1" t="s">
        <v>18</v>
      </c>
      <c r="AA6" s="1" t="s">
        <v>17</v>
      </c>
      <c r="AB6" s="1" t="s">
        <v>18</v>
      </c>
      <c r="AC6" s="1" t="s">
        <v>17</v>
      </c>
      <c r="AD6" s="1" t="s">
        <v>18</v>
      </c>
      <c r="AE6" s="1" t="s">
        <v>17</v>
      </c>
      <c r="AF6" s="1" t="s">
        <v>18</v>
      </c>
      <c r="AG6" s="1" t="s">
        <v>17</v>
      </c>
      <c r="AH6" s="1" t="s">
        <v>18</v>
      </c>
      <c r="AI6" s="1" t="s">
        <v>17</v>
      </c>
      <c r="AJ6" s="1" t="s">
        <v>18</v>
      </c>
      <c r="AK6" s="1" t="s">
        <v>17</v>
      </c>
      <c r="AL6" s="1" t="s">
        <v>18</v>
      </c>
      <c r="AM6" s="1" t="s">
        <v>17</v>
      </c>
      <c r="AN6" s="1" t="s">
        <v>18</v>
      </c>
      <c r="AO6" s="1" t="s">
        <v>17</v>
      </c>
      <c r="AP6" s="1" t="s">
        <v>18</v>
      </c>
      <c r="AQ6" s="1" t="s">
        <v>17</v>
      </c>
      <c r="AR6" s="1" t="s">
        <v>18</v>
      </c>
      <c r="AU6" s="1" t="s">
        <v>16</v>
      </c>
      <c r="AV6" s="1" t="s">
        <v>17</v>
      </c>
      <c r="AW6" s="1" t="s">
        <v>18</v>
      </c>
      <c r="AX6" s="1" t="s">
        <v>17</v>
      </c>
      <c r="AY6" s="1" t="s">
        <v>18</v>
      </c>
      <c r="AZ6" s="1" t="s">
        <v>17</v>
      </c>
      <c r="BA6" s="1" t="s">
        <v>18</v>
      </c>
      <c r="BB6" s="1" t="s">
        <v>17</v>
      </c>
      <c r="BC6" s="1" t="s">
        <v>18</v>
      </c>
      <c r="BD6" s="1" t="s">
        <v>17</v>
      </c>
      <c r="BE6" s="1" t="s">
        <v>18</v>
      </c>
      <c r="BF6" s="1" t="s">
        <v>17</v>
      </c>
      <c r="BG6" s="1" t="s">
        <v>18</v>
      </c>
      <c r="BH6" s="1" t="s">
        <v>17</v>
      </c>
      <c r="BI6" s="1" t="s">
        <v>18</v>
      </c>
      <c r="BJ6" s="1" t="s">
        <v>17</v>
      </c>
      <c r="BK6" s="1" t="s">
        <v>18</v>
      </c>
      <c r="BL6" s="1" t="s">
        <v>17</v>
      </c>
      <c r="BM6" s="1" t="s">
        <v>18</v>
      </c>
      <c r="BN6" s="1" t="s">
        <v>17</v>
      </c>
      <c r="BO6" s="1" t="s">
        <v>18</v>
      </c>
      <c r="BR6" s="1" t="s">
        <v>16</v>
      </c>
      <c r="BS6" s="1" t="s">
        <v>17</v>
      </c>
      <c r="BT6" s="1" t="s">
        <v>18</v>
      </c>
      <c r="BU6" s="1" t="s">
        <v>17</v>
      </c>
      <c r="BV6" s="1" t="s">
        <v>18</v>
      </c>
      <c r="BW6" s="1" t="s">
        <v>17</v>
      </c>
      <c r="BX6" s="1" t="s">
        <v>18</v>
      </c>
      <c r="BY6" s="1" t="s">
        <v>17</v>
      </c>
      <c r="BZ6" s="1" t="s">
        <v>18</v>
      </c>
      <c r="CA6" s="1" t="s">
        <v>17</v>
      </c>
      <c r="CB6" s="1" t="s">
        <v>18</v>
      </c>
      <c r="CC6" s="1" t="s">
        <v>17</v>
      </c>
      <c r="CD6" s="1" t="s">
        <v>18</v>
      </c>
      <c r="CE6" s="1" t="s">
        <v>17</v>
      </c>
      <c r="CF6" s="1" t="s">
        <v>18</v>
      </c>
      <c r="CG6" s="1" t="s">
        <v>17</v>
      </c>
      <c r="CH6" s="1" t="s">
        <v>18</v>
      </c>
      <c r="CI6" s="1" t="s">
        <v>17</v>
      </c>
      <c r="CJ6" s="1" t="s">
        <v>18</v>
      </c>
      <c r="CK6" s="1" t="s">
        <v>17</v>
      </c>
      <c r="CL6" s="1" t="s">
        <v>18</v>
      </c>
    </row>
    <row r="7" spans="2:90" x14ac:dyDescent="0.3">
      <c r="B7" s="1" t="s">
        <v>19</v>
      </c>
      <c r="C7" s="1" t="s">
        <v>1</v>
      </c>
      <c r="D7" s="1" t="s">
        <v>1</v>
      </c>
      <c r="E7" s="1" t="s">
        <v>2</v>
      </c>
      <c r="F7" s="1" t="s">
        <v>2</v>
      </c>
      <c r="G7" s="1" t="s">
        <v>3</v>
      </c>
      <c r="H7" s="1" t="s">
        <v>3</v>
      </c>
      <c r="I7" s="1" t="s">
        <v>4</v>
      </c>
      <c r="J7" s="1" t="s">
        <v>4</v>
      </c>
      <c r="K7" s="1" t="s">
        <v>5</v>
      </c>
      <c r="L7" s="1" t="s">
        <v>5</v>
      </c>
      <c r="M7" s="1" t="s">
        <v>6</v>
      </c>
      <c r="N7" s="1" t="s">
        <v>6</v>
      </c>
      <c r="O7" s="1" t="s">
        <v>7</v>
      </c>
      <c r="P7" s="1" t="s">
        <v>7</v>
      </c>
      <c r="Q7" s="1" t="s">
        <v>8</v>
      </c>
      <c r="R7" s="1" t="s">
        <v>8</v>
      </c>
      <c r="S7" s="1" t="s">
        <v>9</v>
      </c>
      <c r="T7" s="1" t="s">
        <v>9</v>
      </c>
      <c r="U7" s="1" t="s">
        <v>10</v>
      </c>
      <c r="V7" s="1" t="s">
        <v>10</v>
      </c>
      <c r="X7" s="1" t="s">
        <v>19</v>
      </c>
      <c r="Y7" s="1" t="s">
        <v>1</v>
      </c>
      <c r="Z7" s="1" t="s">
        <v>1</v>
      </c>
      <c r="AA7" s="1" t="s">
        <v>2</v>
      </c>
      <c r="AB7" s="1" t="s">
        <v>2</v>
      </c>
      <c r="AC7" s="1" t="s">
        <v>3</v>
      </c>
      <c r="AD7" s="1" t="s">
        <v>3</v>
      </c>
      <c r="AE7" s="1" t="s">
        <v>4</v>
      </c>
      <c r="AF7" s="1" t="s">
        <v>4</v>
      </c>
      <c r="AG7" s="1" t="s">
        <v>5</v>
      </c>
      <c r="AH7" s="1" t="s">
        <v>5</v>
      </c>
      <c r="AI7" s="1" t="s">
        <v>6</v>
      </c>
      <c r="AJ7" s="1" t="s">
        <v>6</v>
      </c>
      <c r="AK7" s="1" t="s">
        <v>7</v>
      </c>
      <c r="AL7" s="1" t="s">
        <v>7</v>
      </c>
      <c r="AM7" s="1" t="s">
        <v>8</v>
      </c>
      <c r="AN7" s="1" t="s">
        <v>8</v>
      </c>
      <c r="AO7" s="1" t="s">
        <v>9</v>
      </c>
      <c r="AP7" s="1" t="s">
        <v>9</v>
      </c>
      <c r="AQ7" s="1" t="s">
        <v>10</v>
      </c>
      <c r="AR7" s="1" t="s">
        <v>10</v>
      </c>
      <c r="AU7" s="1" t="s">
        <v>19</v>
      </c>
      <c r="AV7" s="1" t="s">
        <v>1</v>
      </c>
      <c r="AW7" s="1" t="s">
        <v>1</v>
      </c>
      <c r="AX7" s="1" t="s">
        <v>2</v>
      </c>
      <c r="AY7" s="1" t="s">
        <v>2</v>
      </c>
      <c r="AZ7" s="1" t="s">
        <v>3</v>
      </c>
      <c r="BA7" s="1" t="s">
        <v>3</v>
      </c>
      <c r="BB7" s="1" t="s">
        <v>4</v>
      </c>
      <c r="BC7" s="1" t="s">
        <v>4</v>
      </c>
      <c r="BD7" s="1" t="s">
        <v>5</v>
      </c>
      <c r="BE7" s="1" t="s">
        <v>5</v>
      </c>
      <c r="BF7" s="1" t="s">
        <v>6</v>
      </c>
      <c r="BG7" s="1" t="s">
        <v>6</v>
      </c>
      <c r="BH7" s="1" t="s">
        <v>7</v>
      </c>
      <c r="BI7" s="1" t="s">
        <v>7</v>
      </c>
      <c r="BJ7" s="1" t="s">
        <v>8</v>
      </c>
      <c r="BK7" s="1" t="s">
        <v>8</v>
      </c>
      <c r="BL7" s="1" t="s">
        <v>9</v>
      </c>
      <c r="BM7" s="1" t="s">
        <v>9</v>
      </c>
      <c r="BN7" s="1" t="s">
        <v>10</v>
      </c>
      <c r="BO7" s="1" t="s">
        <v>10</v>
      </c>
      <c r="BR7" s="1" t="s">
        <v>19</v>
      </c>
      <c r="BS7" s="1" t="s">
        <v>1</v>
      </c>
      <c r="BT7" s="1" t="s">
        <v>1</v>
      </c>
      <c r="BU7" s="1" t="s">
        <v>2</v>
      </c>
      <c r="BV7" s="1" t="s">
        <v>2</v>
      </c>
      <c r="BW7" s="1" t="s">
        <v>3</v>
      </c>
      <c r="BX7" s="1" t="s">
        <v>3</v>
      </c>
      <c r="BY7" s="1" t="s">
        <v>4</v>
      </c>
      <c r="BZ7" s="1" t="s">
        <v>4</v>
      </c>
      <c r="CA7" s="1" t="s">
        <v>5</v>
      </c>
      <c r="CB7" s="1" t="s">
        <v>5</v>
      </c>
      <c r="CC7" s="1" t="s">
        <v>6</v>
      </c>
      <c r="CD7" s="1" t="s">
        <v>6</v>
      </c>
      <c r="CE7" s="1" t="s">
        <v>7</v>
      </c>
      <c r="CF7" s="1" t="s">
        <v>7</v>
      </c>
      <c r="CG7" s="1" t="s">
        <v>8</v>
      </c>
      <c r="CH7" s="1" t="s">
        <v>8</v>
      </c>
      <c r="CI7" s="1" t="s">
        <v>9</v>
      </c>
      <c r="CJ7" s="1" t="s">
        <v>9</v>
      </c>
      <c r="CK7" s="1" t="s">
        <v>10</v>
      </c>
      <c r="CL7" s="1" t="s">
        <v>10</v>
      </c>
    </row>
    <row r="8" spans="2:90" x14ac:dyDescent="0.3">
      <c r="B8" s="1" t="s">
        <v>20</v>
      </c>
      <c r="X8" s="1" t="s">
        <v>20</v>
      </c>
      <c r="AU8" s="1" t="s">
        <v>20</v>
      </c>
      <c r="BR8" s="1" t="s">
        <v>20</v>
      </c>
    </row>
    <row r="9" spans="2:90" x14ac:dyDescent="0.3">
      <c r="B9" s="1" t="s">
        <v>21</v>
      </c>
      <c r="C9" s="2">
        <v>0.77</v>
      </c>
      <c r="D9" s="2">
        <v>0.77</v>
      </c>
      <c r="E9" s="2">
        <v>0.77</v>
      </c>
      <c r="F9" s="2">
        <v>0.77</v>
      </c>
      <c r="G9" s="2">
        <v>0.77</v>
      </c>
      <c r="H9" s="2">
        <v>0.77</v>
      </c>
      <c r="I9" s="2">
        <v>0.77</v>
      </c>
      <c r="J9" s="2">
        <v>0.77</v>
      </c>
      <c r="K9" s="2">
        <v>0.77</v>
      </c>
      <c r="L9" s="2">
        <v>0.77</v>
      </c>
      <c r="M9" s="2">
        <v>0.77</v>
      </c>
      <c r="N9" s="2">
        <v>0.77</v>
      </c>
      <c r="O9" s="2">
        <v>0.77</v>
      </c>
      <c r="P9" s="2">
        <v>0.77</v>
      </c>
      <c r="Q9" s="2">
        <v>0.77</v>
      </c>
      <c r="R9" s="2">
        <v>0.77</v>
      </c>
      <c r="S9" s="2">
        <v>0.77</v>
      </c>
      <c r="T9" s="2">
        <v>0.77</v>
      </c>
      <c r="U9" s="2">
        <v>0.77</v>
      </c>
      <c r="V9" s="2">
        <v>0.77</v>
      </c>
      <c r="X9" s="1" t="s">
        <v>21</v>
      </c>
      <c r="Y9" s="2">
        <v>3303.6</v>
      </c>
      <c r="Z9" s="2">
        <v>3289.25</v>
      </c>
      <c r="AA9" s="2">
        <v>2831.46</v>
      </c>
      <c r="AB9" s="2">
        <v>2649.92</v>
      </c>
      <c r="AC9" s="2">
        <v>971</v>
      </c>
      <c r="AD9" s="2">
        <v>1175.42</v>
      </c>
      <c r="AE9" s="2">
        <v>3901.37</v>
      </c>
      <c r="AF9" s="2">
        <v>3344</v>
      </c>
      <c r="AG9" s="2">
        <v>5115.0600000000004</v>
      </c>
      <c r="AH9" s="2">
        <v>4169.3900000000003</v>
      </c>
      <c r="AI9" s="2">
        <v>7761.75</v>
      </c>
      <c r="AJ9" s="2">
        <v>7531.61</v>
      </c>
      <c r="AK9" s="2">
        <v>6044.85</v>
      </c>
      <c r="AL9" s="2">
        <v>6113.9</v>
      </c>
      <c r="AM9" s="2">
        <v>8310.57</v>
      </c>
      <c r="AN9" s="2">
        <v>8088.83</v>
      </c>
      <c r="AO9" s="2">
        <v>7199.82</v>
      </c>
      <c r="AP9" s="2">
        <v>5662.73</v>
      </c>
      <c r="AQ9" s="2">
        <v>9534.0400000000009</v>
      </c>
      <c r="AR9" s="2">
        <v>8117.86</v>
      </c>
      <c r="AU9" s="1" t="s">
        <v>21</v>
      </c>
      <c r="AV9" s="2">
        <v>31034.34</v>
      </c>
      <c r="AW9" s="2">
        <v>30819.599999999999</v>
      </c>
      <c r="AX9" s="2">
        <v>26094.71</v>
      </c>
      <c r="AY9" s="2">
        <v>24408.93</v>
      </c>
      <c r="AZ9" s="2">
        <v>9229.4</v>
      </c>
      <c r="BA9" s="2">
        <v>10990.75</v>
      </c>
      <c r="BB9" s="2">
        <v>37257.339999999997</v>
      </c>
      <c r="BC9" s="2">
        <v>31779.200000000001</v>
      </c>
      <c r="BD9" s="2">
        <v>48628.63</v>
      </c>
      <c r="BE9" s="2">
        <v>39734.61</v>
      </c>
      <c r="BF9" s="2">
        <v>73030.36</v>
      </c>
      <c r="BG9" s="2">
        <v>71495.59</v>
      </c>
      <c r="BH9" s="2">
        <v>57615.95</v>
      </c>
      <c r="BI9" s="2">
        <v>57546.9</v>
      </c>
      <c r="BJ9" s="2">
        <v>78182.77</v>
      </c>
      <c r="BK9" s="2">
        <v>76044.27</v>
      </c>
      <c r="BL9" s="2">
        <v>67436.98</v>
      </c>
      <c r="BM9" s="2">
        <v>53684.95</v>
      </c>
      <c r="BN9" s="2">
        <v>89873.18</v>
      </c>
      <c r="BO9" s="2">
        <v>76453.34</v>
      </c>
      <c r="BR9" s="1" t="s">
        <v>21</v>
      </c>
      <c r="BS9" s="2">
        <v>34337.94</v>
      </c>
      <c r="BT9" s="2">
        <v>34108.85</v>
      </c>
      <c r="BU9" s="2">
        <v>28926.17</v>
      </c>
      <c r="BV9" s="2">
        <v>27058.85</v>
      </c>
      <c r="BW9" s="2">
        <v>10200.4</v>
      </c>
      <c r="BX9" s="2">
        <v>12166.18</v>
      </c>
      <c r="BY9" s="2">
        <v>41158.71</v>
      </c>
      <c r="BZ9" s="2">
        <v>35123.199999999997</v>
      </c>
      <c r="CA9" s="2">
        <v>53743.69</v>
      </c>
      <c r="CB9" s="2">
        <v>43904</v>
      </c>
      <c r="CC9" s="2">
        <v>80792.11</v>
      </c>
      <c r="CD9" s="2">
        <v>79027.199999999997</v>
      </c>
      <c r="CE9" s="2">
        <v>63660.800000000003</v>
      </c>
      <c r="CF9" s="2">
        <v>63660.800000000003</v>
      </c>
      <c r="CG9" s="2">
        <v>86493.34</v>
      </c>
      <c r="CH9" s="2">
        <v>84133.1</v>
      </c>
      <c r="CI9" s="2">
        <v>74636.800000000003</v>
      </c>
      <c r="CJ9" s="2">
        <v>59347.68</v>
      </c>
      <c r="CK9" s="2">
        <v>99407.22</v>
      </c>
      <c r="CL9" s="2">
        <v>84571.199999999997</v>
      </c>
    </row>
    <row r="10" spans="2:90" x14ac:dyDescent="0.3">
      <c r="B10" s="1" t="s">
        <v>22</v>
      </c>
      <c r="C10" s="2">
        <v>4.21</v>
      </c>
      <c r="D10" s="2">
        <v>1.54</v>
      </c>
      <c r="E10" s="2">
        <v>3.87</v>
      </c>
      <c r="F10" s="2">
        <v>1.39</v>
      </c>
      <c r="G10" s="2">
        <v>2.57</v>
      </c>
      <c r="H10" s="2">
        <v>2.02</v>
      </c>
      <c r="I10" s="2">
        <v>4.5</v>
      </c>
      <c r="J10" s="2">
        <v>2.57</v>
      </c>
      <c r="K10" s="2">
        <v>2.57</v>
      </c>
      <c r="L10" s="2">
        <v>2.57</v>
      </c>
      <c r="M10" s="2">
        <v>4.91</v>
      </c>
      <c r="N10" s="2">
        <v>2.57</v>
      </c>
      <c r="O10" s="2">
        <v>2.57</v>
      </c>
      <c r="P10" s="2">
        <v>2.57</v>
      </c>
      <c r="Q10" s="2">
        <v>2.57</v>
      </c>
      <c r="R10" s="2">
        <v>2.57</v>
      </c>
      <c r="S10" s="2">
        <v>2.57</v>
      </c>
      <c r="T10" s="2">
        <v>2.38</v>
      </c>
      <c r="U10" s="2">
        <v>4.1399999999999997</v>
      </c>
      <c r="V10" s="2">
        <v>1.43</v>
      </c>
      <c r="X10" s="1" t="s">
        <v>22</v>
      </c>
      <c r="Y10" s="2">
        <v>1993.68</v>
      </c>
      <c r="Z10" s="2">
        <v>1282.03</v>
      </c>
      <c r="AA10" s="2">
        <v>2150.62</v>
      </c>
      <c r="AB10" s="2">
        <v>1470.04</v>
      </c>
      <c r="AC10" s="2">
        <v>637.85</v>
      </c>
      <c r="AD10" s="2">
        <v>698.54</v>
      </c>
      <c r="AE10" s="2">
        <v>2664.62</v>
      </c>
      <c r="AF10" s="2">
        <v>2729.97</v>
      </c>
      <c r="AG10" s="2">
        <v>4031.69</v>
      </c>
      <c r="AH10" s="2">
        <v>2673.3</v>
      </c>
      <c r="AI10" s="2">
        <v>4696.8599999999997</v>
      </c>
      <c r="AJ10" s="2">
        <v>5065.47</v>
      </c>
      <c r="AK10" s="2">
        <v>5032.16</v>
      </c>
      <c r="AL10" s="2">
        <v>5000.2</v>
      </c>
      <c r="AM10" s="2">
        <v>6580.55</v>
      </c>
      <c r="AN10" s="2">
        <v>5082.3599999999997</v>
      </c>
      <c r="AO10" s="2">
        <v>5884.41</v>
      </c>
      <c r="AP10" s="2">
        <v>3260.97</v>
      </c>
      <c r="AQ10" s="2">
        <v>6096.58</v>
      </c>
      <c r="AR10" s="2">
        <v>4198.67</v>
      </c>
      <c r="AU10" s="1" t="s">
        <v>22</v>
      </c>
      <c r="AV10" s="2">
        <v>12018.14</v>
      </c>
      <c r="AW10" s="2">
        <v>7822.02</v>
      </c>
      <c r="AX10" s="2">
        <v>11841.56</v>
      </c>
      <c r="AY10" s="2">
        <v>7827.29</v>
      </c>
      <c r="AZ10" s="2">
        <v>2943.7</v>
      </c>
      <c r="BA10" s="2">
        <v>3704.57</v>
      </c>
      <c r="BB10" s="2">
        <v>15472.98</v>
      </c>
      <c r="BC10" s="2">
        <v>10000.969999999999</v>
      </c>
      <c r="BD10" s="2">
        <v>17660.43</v>
      </c>
      <c r="BE10" s="2">
        <v>13161.3</v>
      </c>
      <c r="BF10" s="2">
        <v>30598.26</v>
      </c>
      <c r="BG10" s="2">
        <v>24000.21</v>
      </c>
      <c r="BH10" s="2">
        <v>20255.689999999999</v>
      </c>
      <c r="BI10" s="2">
        <v>20287.43</v>
      </c>
      <c r="BJ10" s="2">
        <v>26555.45</v>
      </c>
      <c r="BK10" s="2">
        <v>26532.58</v>
      </c>
      <c r="BL10" s="2">
        <v>23763.59</v>
      </c>
      <c r="BM10" s="2">
        <v>20115.810000000001</v>
      </c>
      <c r="BN10" s="2">
        <v>42412.28</v>
      </c>
      <c r="BO10" s="2">
        <v>26640.33</v>
      </c>
      <c r="BR10" s="1" t="s">
        <v>22</v>
      </c>
      <c r="BS10" s="2">
        <v>14011.82</v>
      </c>
      <c r="BT10" s="2">
        <v>9104.0499999999993</v>
      </c>
      <c r="BU10" s="2">
        <v>13992.18</v>
      </c>
      <c r="BV10" s="2">
        <v>9297.33</v>
      </c>
      <c r="BW10" s="2">
        <v>3581.55</v>
      </c>
      <c r="BX10" s="2">
        <v>4403.1099999999997</v>
      </c>
      <c r="BY10" s="2">
        <v>18137.599999999999</v>
      </c>
      <c r="BZ10" s="2">
        <v>12730.93</v>
      </c>
      <c r="CA10" s="2">
        <v>21692.13</v>
      </c>
      <c r="CB10" s="2">
        <v>15834.6</v>
      </c>
      <c r="CC10" s="2">
        <v>35295.129999999997</v>
      </c>
      <c r="CD10" s="2">
        <v>29065.68</v>
      </c>
      <c r="CE10" s="2">
        <v>25287.85</v>
      </c>
      <c r="CF10" s="2">
        <v>25287.63</v>
      </c>
      <c r="CG10" s="2">
        <v>33136</v>
      </c>
      <c r="CH10" s="2">
        <v>31614.94</v>
      </c>
      <c r="CI10" s="2">
        <v>29648</v>
      </c>
      <c r="CJ10" s="2">
        <v>23376.78</v>
      </c>
      <c r="CK10" s="2">
        <v>48508.85</v>
      </c>
      <c r="CL10" s="2">
        <v>30838.99</v>
      </c>
    </row>
    <row r="11" spans="2:90" x14ac:dyDescent="0.3">
      <c r="B11" s="1" t="s">
        <v>23</v>
      </c>
      <c r="C11" s="2">
        <v>7.72</v>
      </c>
      <c r="D11" s="2">
        <v>1.85</v>
      </c>
      <c r="E11" s="2">
        <v>7.72</v>
      </c>
      <c r="F11" s="2">
        <v>1.44</v>
      </c>
      <c r="G11" s="2">
        <v>7.72</v>
      </c>
      <c r="H11" s="2">
        <v>7.45</v>
      </c>
      <c r="I11" s="2">
        <v>7.72</v>
      </c>
      <c r="J11" s="2">
        <v>2.57</v>
      </c>
      <c r="K11" s="2">
        <v>7.72</v>
      </c>
      <c r="L11" s="2">
        <v>2.57</v>
      </c>
      <c r="M11" s="2">
        <v>7.72</v>
      </c>
      <c r="N11" s="2">
        <v>2.57</v>
      </c>
      <c r="O11" s="2">
        <v>7.72</v>
      </c>
      <c r="P11" s="2">
        <v>2.57</v>
      </c>
      <c r="Q11" s="2">
        <v>7.72</v>
      </c>
      <c r="R11" s="2">
        <v>2.57</v>
      </c>
      <c r="S11" s="2">
        <v>2.57</v>
      </c>
      <c r="T11" s="2">
        <v>2.57</v>
      </c>
      <c r="U11" s="2">
        <v>2.57</v>
      </c>
      <c r="V11" s="2">
        <v>2.57</v>
      </c>
      <c r="X11" s="1" t="s">
        <v>23</v>
      </c>
      <c r="Y11" s="2">
        <v>9257.0400000000009</v>
      </c>
      <c r="Z11" s="2">
        <v>3201.14</v>
      </c>
      <c r="AA11" s="2">
        <v>9219.7999999999993</v>
      </c>
      <c r="AB11" s="2">
        <v>3343.65</v>
      </c>
      <c r="AC11" s="2">
        <v>2909.81</v>
      </c>
      <c r="AD11" s="2">
        <v>2380.2399999999998</v>
      </c>
      <c r="AE11" s="2">
        <v>11483.07</v>
      </c>
      <c r="AF11" s="2">
        <v>11618.66</v>
      </c>
      <c r="AG11" s="2">
        <v>13736.48</v>
      </c>
      <c r="AH11" s="2">
        <v>12280.91</v>
      </c>
      <c r="AI11" s="2">
        <v>24653.08</v>
      </c>
      <c r="AJ11" s="2">
        <v>22289.11</v>
      </c>
      <c r="AK11" s="2">
        <v>18662.849999999999</v>
      </c>
      <c r="AL11" s="2">
        <v>19126.150000000001</v>
      </c>
      <c r="AM11" s="2">
        <v>23461.39</v>
      </c>
      <c r="AN11" s="2">
        <v>22898.080000000002</v>
      </c>
      <c r="AO11" s="2">
        <v>23816.9</v>
      </c>
      <c r="AP11" s="2">
        <v>15311.97</v>
      </c>
      <c r="AQ11" s="2">
        <v>20430.509999999998</v>
      </c>
      <c r="AR11" s="2">
        <v>16406.419999999998</v>
      </c>
      <c r="AU11" s="1" t="s">
        <v>23</v>
      </c>
      <c r="AV11" s="2">
        <v>32197.08</v>
      </c>
      <c r="AW11" s="2">
        <v>20021.43</v>
      </c>
      <c r="AX11" s="2">
        <v>30628.37</v>
      </c>
      <c r="AY11" s="2">
        <v>17781.52</v>
      </c>
      <c r="AZ11" s="2">
        <v>9349.8700000000008</v>
      </c>
      <c r="BA11" s="2">
        <v>11269.61</v>
      </c>
      <c r="BB11" s="2">
        <v>42276.93</v>
      </c>
      <c r="BC11" s="2">
        <v>34845.339999999997</v>
      </c>
      <c r="BD11" s="2">
        <v>53463.519999999997</v>
      </c>
      <c r="BE11" s="2">
        <v>42095.61</v>
      </c>
      <c r="BF11" s="2">
        <v>96306.92</v>
      </c>
      <c r="BG11" s="2">
        <v>76076.03</v>
      </c>
      <c r="BH11" s="2">
        <v>71743.350000000006</v>
      </c>
      <c r="BI11" s="2">
        <v>62649.17</v>
      </c>
      <c r="BJ11" s="2">
        <v>89175.73</v>
      </c>
      <c r="BK11" s="2">
        <v>79493.429999999993</v>
      </c>
      <c r="BL11" s="2">
        <v>74792.61</v>
      </c>
      <c r="BM11" s="2">
        <v>64672.67</v>
      </c>
      <c r="BN11" s="2">
        <v>85657.95</v>
      </c>
      <c r="BO11" s="2">
        <v>79376.7</v>
      </c>
      <c r="BR11" s="1" t="s">
        <v>23</v>
      </c>
      <c r="BS11" s="2">
        <v>41454.129999999997</v>
      </c>
      <c r="BT11" s="2">
        <v>23222.57</v>
      </c>
      <c r="BU11" s="2">
        <v>39848.17</v>
      </c>
      <c r="BV11" s="2">
        <v>21125.17</v>
      </c>
      <c r="BW11" s="2">
        <v>12259.68</v>
      </c>
      <c r="BX11" s="2">
        <v>13649.85</v>
      </c>
      <c r="BY11" s="2">
        <v>53760</v>
      </c>
      <c r="BZ11" s="2">
        <v>46464</v>
      </c>
      <c r="CA11" s="2">
        <v>67200</v>
      </c>
      <c r="CB11" s="2">
        <v>54376.52</v>
      </c>
      <c r="CC11" s="2">
        <v>120960</v>
      </c>
      <c r="CD11" s="2">
        <v>98365.14</v>
      </c>
      <c r="CE11" s="2">
        <v>90406.2</v>
      </c>
      <c r="CF11" s="2">
        <v>81775.320000000007</v>
      </c>
      <c r="CG11" s="2">
        <v>112637.12</v>
      </c>
      <c r="CH11" s="2">
        <v>102391.51</v>
      </c>
      <c r="CI11" s="2">
        <v>98609.51</v>
      </c>
      <c r="CJ11" s="2">
        <v>79984.639999999999</v>
      </c>
      <c r="CK11" s="2">
        <v>106088.46</v>
      </c>
      <c r="CL11" s="2">
        <v>95783.12</v>
      </c>
    </row>
    <row r="12" spans="2:90" x14ac:dyDescent="0.3">
      <c r="B12" s="1" t="s">
        <v>24</v>
      </c>
      <c r="C12" s="2">
        <v>5.15</v>
      </c>
      <c r="D12" s="2">
        <v>2.57</v>
      </c>
      <c r="E12" s="2">
        <v>2.57</v>
      </c>
      <c r="F12" s="2">
        <v>1.32</v>
      </c>
      <c r="G12" s="2">
        <v>2.57</v>
      </c>
      <c r="H12" s="2">
        <v>5.15</v>
      </c>
      <c r="I12" s="2">
        <v>2.57</v>
      </c>
      <c r="J12" s="2">
        <v>2.57</v>
      </c>
      <c r="K12" s="2">
        <v>2.57</v>
      </c>
      <c r="L12" s="2">
        <v>2.57</v>
      </c>
      <c r="M12" s="2">
        <v>2.57</v>
      </c>
      <c r="N12" s="2">
        <v>2.57</v>
      </c>
      <c r="O12" s="2">
        <v>5.15</v>
      </c>
      <c r="P12" s="2">
        <v>2.57</v>
      </c>
      <c r="Q12" s="2">
        <v>2.57</v>
      </c>
      <c r="R12" s="2">
        <v>5.15</v>
      </c>
      <c r="S12" s="2">
        <v>4.8499999999999996</v>
      </c>
      <c r="T12" s="2">
        <v>2.57</v>
      </c>
      <c r="U12" s="2">
        <v>2.57</v>
      </c>
      <c r="V12" s="2">
        <v>2.57</v>
      </c>
      <c r="X12" s="1" t="s">
        <v>24</v>
      </c>
      <c r="Y12" s="2">
        <v>2269.71</v>
      </c>
      <c r="Z12" s="2">
        <v>1181.73</v>
      </c>
      <c r="AA12" s="2">
        <v>2966.7</v>
      </c>
      <c r="AB12" s="2">
        <v>1347.6</v>
      </c>
      <c r="AC12" s="2">
        <v>1003.87</v>
      </c>
      <c r="AD12" s="2">
        <v>922.53</v>
      </c>
      <c r="AE12" s="2">
        <v>3701.19</v>
      </c>
      <c r="AF12" s="2">
        <v>3681.6</v>
      </c>
      <c r="AG12" s="2">
        <v>4430.5</v>
      </c>
      <c r="AH12" s="2">
        <v>4040.39</v>
      </c>
      <c r="AI12" s="2">
        <v>7970.42</v>
      </c>
      <c r="AJ12" s="2">
        <v>6828.82</v>
      </c>
      <c r="AK12" s="2">
        <v>4704.32</v>
      </c>
      <c r="AL12" s="2">
        <v>5840.23</v>
      </c>
      <c r="AM12" s="2">
        <v>8396.74</v>
      </c>
      <c r="AN12" s="2">
        <v>4400.12</v>
      </c>
      <c r="AO12" s="2">
        <v>3835.28</v>
      </c>
      <c r="AP12" s="2">
        <v>4675.49</v>
      </c>
      <c r="AQ12" s="2">
        <v>6405.22</v>
      </c>
      <c r="AR12" s="2">
        <v>5518.73</v>
      </c>
      <c r="AU12" s="1" t="s">
        <v>24</v>
      </c>
      <c r="AV12" s="2">
        <v>9860.3700000000008</v>
      </c>
      <c r="AW12" s="2">
        <v>7507.6</v>
      </c>
      <c r="AX12" s="2">
        <v>8539.42</v>
      </c>
      <c r="AY12" s="2">
        <v>7396.82</v>
      </c>
      <c r="AZ12" s="2">
        <v>2778.02</v>
      </c>
      <c r="BA12" s="2">
        <v>3917.47</v>
      </c>
      <c r="BB12" s="2">
        <v>11786.81</v>
      </c>
      <c r="BC12" s="2">
        <v>11806.4</v>
      </c>
      <c r="BD12" s="2">
        <v>14929.5</v>
      </c>
      <c r="BE12" s="2">
        <v>14623.11</v>
      </c>
      <c r="BF12" s="2">
        <v>26877.58</v>
      </c>
      <c r="BG12" s="2">
        <v>25977.040000000001</v>
      </c>
      <c r="BH12" s="2">
        <v>23367.68</v>
      </c>
      <c r="BI12" s="2">
        <v>21237.34</v>
      </c>
      <c r="BJ12" s="2">
        <v>28387.26</v>
      </c>
      <c r="BK12" s="2">
        <v>29162.81</v>
      </c>
      <c r="BL12" s="2">
        <v>25576.14</v>
      </c>
      <c r="BM12" s="2">
        <v>22849.84</v>
      </c>
      <c r="BN12" s="2">
        <v>30412.240000000002</v>
      </c>
      <c r="BO12" s="2">
        <v>29415.11</v>
      </c>
      <c r="BR12" s="1" t="s">
        <v>24</v>
      </c>
      <c r="BS12" s="2">
        <v>12130.08</v>
      </c>
      <c r="BT12" s="2">
        <v>8689.32</v>
      </c>
      <c r="BU12" s="2">
        <v>11506.11</v>
      </c>
      <c r="BV12" s="2">
        <v>8744.42</v>
      </c>
      <c r="BW12" s="2">
        <v>3781.9</v>
      </c>
      <c r="BX12" s="2">
        <v>4840</v>
      </c>
      <c r="BY12" s="2">
        <v>15488</v>
      </c>
      <c r="BZ12" s="2">
        <v>15488</v>
      </c>
      <c r="CA12" s="2">
        <v>19360</v>
      </c>
      <c r="CB12" s="2">
        <v>18663.5</v>
      </c>
      <c r="CC12" s="2">
        <v>34848</v>
      </c>
      <c r="CD12" s="2">
        <v>32805.86</v>
      </c>
      <c r="CE12" s="2">
        <v>28072</v>
      </c>
      <c r="CF12" s="2">
        <v>27077.56</v>
      </c>
      <c r="CG12" s="2">
        <v>36784</v>
      </c>
      <c r="CH12" s="2">
        <v>33562.94</v>
      </c>
      <c r="CI12" s="2">
        <v>29411.41</v>
      </c>
      <c r="CJ12" s="2">
        <v>27525.33</v>
      </c>
      <c r="CK12" s="2">
        <v>36817.46</v>
      </c>
      <c r="CL12" s="2">
        <v>34933.839999999997</v>
      </c>
    </row>
    <row r="13" spans="2:90" x14ac:dyDescent="0.3">
      <c r="B13" s="1" t="s">
        <v>25</v>
      </c>
      <c r="C13" s="2">
        <v>2.57</v>
      </c>
      <c r="D13" s="2">
        <v>5.15</v>
      </c>
      <c r="E13" s="2">
        <v>5.15</v>
      </c>
      <c r="F13" s="2">
        <v>5.0199999999999996</v>
      </c>
      <c r="G13" s="2">
        <v>2.57</v>
      </c>
      <c r="H13" s="2">
        <v>2.57</v>
      </c>
      <c r="I13" s="2">
        <v>3.84</v>
      </c>
      <c r="J13" s="2">
        <v>2.57</v>
      </c>
      <c r="K13" s="2">
        <v>2.57</v>
      </c>
      <c r="L13" s="2">
        <v>2.57</v>
      </c>
      <c r="M13" s="2">
        <v>2.57</v>
      </c>
      <c r="N13" s="2">
        <v>2.57</v>
      </c>
      <c r="O13" s="2">
        <v>2.57</v>
      </c>
      <c r="P13" s="2">
        <v>2.57</v>
      </c>
      <c r="Q13" s="2">
        <v>2.57</v>
      </c>
      <c r="R13" s="2">
        <v>2.57</v>
      </c>
      <c r="S13" s="2">
        <v>4.6399999999999997</v>
      </c>
      <c r="T13" s="2">
        <v>2.57</v>
      </c>
      <c r="U13" s="2">
        <v>2.57</v>
      </c>
      <c r="V13" s="2">
        <v>2.48</v>
      </c>
      <c r="X13" s="1" t="s">
        <v>25</v>
      </c>
      <c r="Y13" s="2">
        <v>9869.1299999999992</v>
      </c>
      <c r="Z13" s="2">
        <v>8700.2000000000007</v>
      </c>
      <c r="AA13" s="2">
        <v>8805.8799999999992</v>
      </c>
      <c r="AB13" s="2">
        <v>11046.15</v>
      </c>
      <c r="AC13" s="2">
        <v>3747.25</v>
      </c>
      <c r="AD13" s="2">
        <v>4094.73</v>
      </c>
      <c r="AE13" s="2">
        <v>11765.02</v>
      </c>
      <c r="AF13" s="2">
        <v>14344.23</v>
      </c>
      <c r="AG13" s="2">
        <v>18843.23</v>
      </c>
      <c r="AH13" s="2">
        <v>18473.080000000002</v>
      </c>
      <c r="AI13" s="2">
        <v>33864.959999999999</v>
      </c>
      <c r="AJ13" s="2">
        <v>35193.43</v>
      </c>
      <c r="AK13" s="2">
        <v>27235.58</v>
      </c>
      <c r="AL13" s="2">
        <v>28673.200000000001</v>
      </c>
      <c r="AM13" s="2">
        <v>35599.699999999997</v>
      </c>
      <c r="AN13" s="2">
        <v>33950.01</v>
      </c>
      <c r="AO13" s="2">
        <v>19054.060000000001</v>
      </c>
      <c r="AP13" s="2">
        <v>22133.040000000001</v>
      </c>
      <c r="AQ13" s="2">
        <v>32478.26</v>
      </c>
      <c r="AR13" s="2">
        <v>27253.97</v>
      </c>
      <c r="AU13" s="1" t="s">
        <v>25</v>
      </c>
      <c r="AV13" s="2">
        <v>30101.42</v>
      </c>
      <c r="AW13" s="2">
        <v>45165.5</v>
      </c>
      <c r="AX13" s="2">
        <v>42803.85</v>
      </c>
      <c r="AY13" s="2">
        <v>63198.34</v>
      </c>
      <c r="AZ13" s="2">
        <v>10986.64</v>
      </c>
      <c r="BA13" s="2">
        <v>12333.79</v>
      </c>
      <c r="BB13" s="2">
        <v>68058.539999999994</v>
      </c>
      <c r="BC13" s="2">
        <v>48618.52</v>
      </c>
      <c r="BD13" s="2">
        <v>71556.77</v>
      </c>
      <c r="BE13" s="2">
        <v>69550.289999999994</v>
      </c>
      <c r="BF13" s="2">
        <v>128855.03999999999</v>
      </c>
      <c r="BG13" s="2">
        <v>136939.64000000001</v>
      </c>
      <c r="BH13" s="2">
        <v>103844.42</v>
      </c>
      <c r="BI13" s="2">
        <v>112382.55</v>
      </c>
      <c r="BJ13" s="2">
        <v>136160.29999999999</v>
      </c>
      <c r="BK13" s="2">
        <v>134554.32</v>
      </c>
      <c r="BL13" s="2">
        <v>124057.04</v>
      </c>
      <c r="BM13" s="2">
        <v>116621.3</v>
      </c>
      <c r="BN13" s="2">
        <v>155521.26999999999</v>
      </c>
      <c r="BO13" s="2">
        <v>182020.11</v>
      </c>
      <c r="BR13" s="1" t="s">
        <v>25</v>
      </c>
      <c r="BS13" s="2">
        <v>39970.54</v>
      </c>
      <c r="BT13" s="2">
        <v>53865.7</v>
      </c>
      <c r="BU13" s="2">
        <v>51609.73</v>
      </c>
      <c r="BV13" s="2">
        <v>74244.5</v>
      </c>
      <c r="BW13" s="2">
        <v>14733.89</v>
      </c>
      <c r="BX13" s="2">
        <v>16428.52</v>
      </c>
      <c r="BY13" s="2">
        <v>79823.56</v>
      </c>
      <c r="BZ13" s="2">
        <v>62962.75</v>
      </c>
      <c r="CA13" s="2">
        <v>90400</v>
      </c>
      <c r="CB13" s="2">
        <v>88023.37</v>
      </c>
      <c r="CC13" s="2">
        <v>162720</v>
      </c>
      <c r="CD13" s="2">
        <v>172133.07</v>
      </c>
      <c r="CE13" s="2">
        <v>131080</v>
      </c>
      <c r="CF13" s="2">
        <v>141055.75</v>
      </c>
      <c r="CG13" s="2">
        <v>171760</v>
      </c>
      <c r="CH13" s="2">
        <v>168504.33</v>
      </c>
      <c r="CI13" s="2">
        <v>143111.1</v>
      </c>
      <c r="CJ13" s="2">
        <v>138754.34</v>
      </c>
      <c r="CK13" s="2">
        <v>187999.54</v>
      </c>
      <c r="CL13" s="2">
        <v>209274.08</v>
      </c>
    </row>
    <row r="14" spans="2:90" x14ac:dyDescent="0.3">
      <c r="B14" s="1" t="s">
        <v>26</v>
      </c>
      <c r="C14" s="2">
        <v>2.57</v>
      </c>
      <c r="D14" s="2">
        <v>5.15</v>
      </c>
      <c r="E14" s="2">
        <v>5.38</v>
      </c>
      <c r="F14" s="2">
        <v>5.21</v>
      </c>
      <c r="G14" s="2">
        <v>2.57</v>
      </c>
      <c r="H14" s="2">
        <v>2.57</v>
      </c>
      <c r="I14" s="2">
        <v>2.57</v>
      </c>
      <c r="J14" s="2">
        <v>2.57</v>
      </c>
      <c r="K14" s="2">
        <v>2.57</v>
      </c>
      <c r="L14" s="2">
        <v>2.57</v>
      </c>
      <c r="M14" s="2">
        <v>2.57</v>
      </c>
      <c r="N14" s="2">
        <v>2.57</v>
      </c>
      <c r="O14" s="2">
        <v>2.57</v>
      </c>
      <c r="P14" s="2">
        <v>2.57</v>
      </c>
      <c r="Q14" s="2">
        <v>2.57</v>
      </c>
      <c r="R14" s="2">
        <v>2.57</v>
      </c>
      <c r="S14" s="2">
        <v>2.57</v>
      </c>
      <c r="T14" s="2">
        <v>2.57</v>
      </c>
      <c r="U14" s="2">
        <v>2.57</v>
      </c>
      <c r="V14" s="2">
        <v>3.23</v>
      </c>
      <c r="X14" s="1" t="s">
        <v>26</v>
      </c>
      <c r="Y14" s="2">
        <v>2697.42</v>
      </c>
      <c r="Z14" s="2">
        <v>2068.11</v>
      </c>
      <c r="AA14" s="2">
        <v>2516.36</v>
      </c>
      <c r="AB14" s="2">
        <v>2567.25</v>
      </c>
      <c r="AC14" s="2">
        <v>921.84</v>
      </c>
      <c r="AD14" s="2">
        <v>1016.33</v>
      </c>
      <c r="AE14" s="2">
        <v>3560.83</v>
      </c>
      <c r="AF14" s="2">
        <v>2774.04</v>
      </c>
      <c r="AG14" s="2">
        <v>3874.66</v>
      </c>
      <c r="AH14" s="2">
        <v>4560.04</v>
      </c>
      <c r="AI14" s="2">
        <v>8291.01</v>
      </c>
      <c r="AJ14" s="2">
        <v>8360.91</v>
      </c>
      <c r="AK14" s="2">
        <v>6718.63</v>
      </c>
      <c r="AL14" s="2">
        <v>6740.53</v>
      </c>
      <c r="AM14" s="2">
        <v>8692.33</v>
      </c>
      <c r="AN14" s="2">
        <v>8815.8799999999992</v>
      </c>
      <c r="AO14" s="2">
        <v>6795.32</v>
      </c>
      <c r="AP14" s="2">
        <v>7901.98</v>
      </c>
      <c r="AQ14" s="2">
        <v>7840.55</v>
      </c>
      <c r="AR14" s="2">
        <v>5828.19</v>
      </c>
      <c r="AU14" s="1" t="s">
        <v>26</v>
      </c>
      <c r="AV14" s="2">
        <v>7090.34</v>
      </c>
      <c r="AW14" s="2">
        <v>7906.62</v>
      </c>
      <c r="AX14" s="2">
        <v>10067.64</v>
      </c>
      <c r="AY14" s="2">
        <v>10016.75</v>
      </c>
      <c r="AZ14" s="2">
        <v>2226.7399999999998</v>
      </c>
      <c r="BA14" s="2">
        <v>2556.9699999999998</v>
      </c>
      <c r="BB14" s="2">
        <v>11355.68</v>
      </c>
      <c r="BC14" s="2">
        <v>6940.7</v>
      </c>
      <c r="BD14" s="2">
        <v>14036.9</v>
      </c>
      <c r="BE14" s="2">
        <v>14318.14</v>
      </c>
      <c r="BF14" s="2">
        <v>26463.43</v>
      </c>
      <c r="BG14" s="2">
        <v>26487.09</v>
      </c>
      <c r="BH14" s="2">
        <v>21353.37</v>
      </c>
      <c r="BI14" s="2">
        <v>21331.47</v>
      </c>
      <c r="BJ14" s="2">
        <v>27902.31</v>
      </c>
      <c r="BK14" s="2">
        <v>27968.12</v>
      </c>
      <c r="BL14" s="2">
        <v>24128.73</v>
      </c>
      <c r="BM14" s="2">
        <v>25010.02</v>
      </c>
      <c r="BN14" s="2">
        <v>30932.22</v>
      </c>
      <c r="BO14" s="2">
        <v>30428.07</v>
      </c>
      <c r="BR14" s="1" t="s">
        <v>26</v>
      </c>
      <c r="BS14" s="2">
        <v>9787.76</v>
      </c>
      <c r="BT14" s="2">
        <v>9974.74</v>
      </c>
      <c r="BU14" s="2">
        <v>12584</v>
      </c>
      <c r="BV14" s="2">
        <v>12584</v>
      </c>
      <c r="BW14" s="2">
        <v>3148.58</v>
      </c>
      <c r="BX14" s="2">
        <v>3573.3</v>
      </c>
      <c r="BY14" s="2">
        <v>14916.5</v>
      </c>
      <c r="BZ14" s="2">
        <v>9714.74</v>
      </c>
      <c r="CA14" s="2">
        <v>17911.560000000001</v>
      </c>
      <c r="CB14" s="2">
        <v>18878.18</v>
      </c>
      <c r="CC14" s="2">
        <v>34754.44</v>
      </c>
      <c r="CD14" s="2">
        <v>34848</v>
      </c>
      <c r="CE14" s="2">
        <v>28072</v>
      </c>
      <c r="CF14" s="2">
        <v>28072</v>
      </c>
      <c r="CG14" s="2">
        <v>36594.639999999999</v>
      </c>
      <c r="CH14" s="2">
        <v>36784</v>
      </c>
      <c r="CI14" s="2">
        <v>30924.06</v>
      </c>
      <c r="CJ14" s="2">
        <v>32912</v>
      </c>
      <c r="CK14" s="2">
        <v>38772.769999999997</v>
      </c>
      <c r="CL14" s="2">
        <v>36256.26</v>
      </c>
    </row>
    <row r="15" spans="2:90" x14ac:dyDescent="0.3">
      <c r="B15" s="1" t="s">
        <v>27</v>
      </c>
      <c r="C15" s="2">
        <v>7.72</v>
      </c>
      <c r="D15" s="2">
        <v>7.72</v>
      </c>
      <c r="E15" s="2">
        <v>6.54</v>
      </c>
      <c r="F15" s="2">
        <v>7.72</v>
      </c>
      <c r="G15" s="2">
        <v>2.57</v>
      </c>
      <c r="H15" s="2">
        <v>7.72</v>
      </c>
      <c r="I15" s="2">
        <v>2.57</v>
      </c>
      <c r="J15" s="2">
        <v>2.57</v>
      </c>
      <c r="K15" s="2">
        <v>6.12</v>
      </c>
      <c r="L15" s="2">
        <v>7.72</v>
      </c>
      <c r="M15" s="2">
        <v>2.57</v>
      </c>
      <c r="N15" s="2">
        <v>7.72</v>
      </c>
      <c r="O15" s="2">
        <v>2.57</v>
      </c>
      <c r="P15" s="2">
        <v>7.72</v>
      </c>
      <c r="Q15" s="2">
        <v>2.57</v>
      </c>
      <c r="R15" s="2">
        <v>7.72</v>
      </c>
      <c r="S15" s="2">
        <v>2.57</v>
      </c>
      <c r="T15" s="2">
        <v>5.27</v>
      </c>
      <c r="U15" s="2">
        <v>2.57</v>
      </c>
      <c r="V15" s="2">
        <v>2.57</v>
      </c>
      <c r="X15" s="1" t="s">
        <v>27</v>
      </c>
      <c r="Y15" s="2">
        <v>9002.66</v>
      </c>
      <c r="Z15" s="2">
        <v>9400.7000000000007</v>
      </c>
      <c r="AA15" s="2">
        <v>7252.44</v>
      </c>
      <c r="AB15" s="2">
        <v>10278.44</v>
      </c>
      <c r="AC15" s="2">
        <v>3062.39</v>
      </c>
      <c r="AD15" s="2">
        <v>3473.83</v>
      </c>
      <c r="AE15" s="2">
        <v>11806.45</v>
      </c>
      <c r="AF15" s="2">
        <v>12408.97</v>
      </c>
      <c r="AG15" s="2">
        <v>10546.33</v>
      </c>
      <c r="AH15" s="2">
        <v>14383.96</v>
      </c>
      <c r="AI15" s="2">
        <v>26202.5</v>
      </c>
      <c r="AJ15" s="2">
        <v>25862.68</v>
      </c>
      <c r="AK15" s="2">
        <v>21099.16</v>
      </c>
      <c r="AL15" s="2">
        <v>20839.740000000002</v>
      </c>
      <c r="AM15" s="2">
        <v>27610.11</v>
      </c>
      <c r="AN15" s="2">
        <v>27238.13</v>
      </c>
      <c r="AO15" s="2">
        <v>22913.58</v>
      </c>
      <c r="AP15" s="2">
        <v>18310.87</v>
      </c>
      <c r="AQ15" s="2">
        <v>27899.54</v>
      </c>
      <c r="AR15" s="2">
        <v>27038.55</v>
      </c>
      <c r="AU15" s="1" t="s">
        <v>27</v>
      </c>
      <c r="AV15" s="2">
        <v>28691.35</v>
      </c>
      <c r="AW15" s="2">
        <v>30572.39</v>
      </c>
      <c r="AX15" s="2">
        <v>29413.51</v>
      </c>
      <c r="AY15" s="2">
        <v>33401.56</v>
      </c>
      <c r="AZ15" s="2">
        <v>6915.65</v>
      </c>
      <c r="BA15" s="2">
        <v>10830.09</v>
      </c>
      <c r="BB15" s="2">
        <v>33195.01</v>
      </c>
      <c r="BC15" s="2">
        <v>25082.54</v>
      </c>
      <c r="BD15" s="2">
        <v>47533.67</v>
      </c>
      <c r="BE15" s="2">
        <v>52816.04</v>
      </c>
      <c r="BF15" s="2">
        <v>78341.5</v>
      </c>
      <c r="BG15" s="2">
        <v>95097.32</v>
      </c>
      <c r="BH15" s="2">
        <v>63116.84</v>
      </c>
      <c r="BI15" s="2">
        <v>76600.259999999995</v>
      </c>
      <c r="BJ15" s="2">
        <v>82741.89</v>
      </c>
      <c r="BK15" s="2">
        <v>100441.87</v>
      </c>
      <c r="BL15" s="2">
        <v>72103.820000000007</v>
      </c>
      <c r="BM15" s="2">
        <v>78688.88</v>
      </c>
      <c r="BN15" s="2">
        <v>92708.91</v>
      </c>
      <c r="BO15" s="2">
        <v>91579.95</v>
      </c>
      <c r="BR15" s="1" t="s">
        <v>27</v>
      </c>
      <c r="BS15" s="2">
        <v>37694.01</v>
      </c>
      <c r="BT15" s="2">
        <v>39973.089999999997</v>
      </c>
      <c r="BU15" s="2">
        <v>36665.949999999997</v>
      </c>
      <c r="BV15" s="2">
        <v>43680</v>
      </c>
      <c r="BW15" s="2">
        <v>9978.0400000000009</v>
      </c>
      <c r="BX15" s="2">
        <v>14303.92</v>
      </c>
      <c r="BY15" s="2">
        <v>45001.46</v>
      </c>
      <c r="BZ15" s="2">
        <v>37491.51</v>
      </c>
      <c r="CA15" s="2">
        <v>58080</v>
      </c>
      <c r="CB15" s="2">
        <v>67200</v>
      </c>
      <c r="CC15" s="2">
        <v>104544</v>
      </c>
      <c r="CD15" s="2">
        <v>120960</v>
      </c>
      <c r="CE15" s="2">
        <v>84216</v>
      </c>
      <c r="CF15" s="2">
        <v>97440</v>
      </c>
      <c r="CG15" s="2">
        <v>110352</v>
      </c>
      <c r="CH15" s="2">
        <v>127680</v>
      </c>
      <c r="CI15" s="2">
        <v>95017.4</v>
      </c>
      <c r="CJ15" s="2">
        <v>96999.76</v>
      </c>
      <c r="CK15" s="2">
        <v>120608.46</v>
      </c>
      <c r="CL15" s="2">
        <v>118618.5</v>
      </c>
    </row>
    <row r="16" spans="2:90" x14ac:dyDescent="0.3">
      <c r="B16" s="1" t="s">
        <v>28</v>
      </c>
      <c r="C16" s="2">
        <v>2.57</v>
      </c>
      <c r="D16" s="2">
        <v>2.57</v>
      </c>
      <c r="E16" s="2">
        <v>0.75</v>
      </c>
      <c r="F16" s="2">
        <v>0.8</v>
      </c>
      <c r="G16" s="2">
        <v>0.79</v>
      </c>
      <c r="H16" s="2">
        <v>0.94</v>
      </c>
      <c r="I16" s="2">
        <v>0.75</v>
      </c>
      <c r="J16" s="2">
        <v>2.57</v>
      </c>
      <c r="K16" s="2">
        <v>2.57</v>
      </c>
      <c r="L16" s="2">
        <v>2.57</v>
      </c>
      <c r="M16" s="2">
        <v>2.57</v>
      </c>
      <c r="N16" s="2">
        <v>2.57</v>
      </c>
      <c r="O16" s="2">
        <v>2.57</v>
      </c>
      <c r="P16" s="2">
        <v>2.57</v>
      </c>
      <c r="Q16" s="2">
        <v>2.57</v>
      </c>
      <c r="R16" s="2">
        <v>2.57</v>
      </c>
      <c r="S16" s="2">
        <v>2.57</v>
      </c>
      <c r="T16" s="2">
        <v>2.57</v>
      </c>
      <c r="U16" s="2">
        <v>2.57</v>
      </c>
      <c r="V16" s="2">
        <v>2.57</v>
      </c>
      <c r="X16" s="1" t="s">
        <v>28</v>
      </c>
      <c r="Y16" s="2">
        <v>4661.99</v>
      </c>
      <c r="Z16" s="2">
        <v>6213.22</v>
      </c>
      <c r="AA16" s="2">
        <v>4307.5600000000004</v>
      </c>
      <c r="AB16" s="2">
        <v>4575.32</v>
      </c>
      <c r="AC16" s="2">
        <v>1097.26</v>
      </c>
      <c r="AD16" s="2">
        <v>1804.25</v>
      </c>
      <c r="AE16" s="2">
        <v>3887.26</v>
      </c>
      <c r="AF16" s="2">
        <v>5924.41</v>
      </c>
      <c r="AG16" s="2">
        <v>6151.77</v>
      </c>
      <c r="AH16" s="2">
        <v>7080.1</v>
      </c>
      <c r="AI16" s="2">
        <v>11126.85</v>
      </c>
      <c r="AJ16" s="2">
        <v>13045.69</v>
      </c>
      <c r="AK16" s="2">
        <v>8620.39</v>
      </c>
      <c r="AL16" s="2">
        <v>10560.62</v>
      </c>
      <c r="AM16" s="2">
        <v>11415.16</v>
      </c>
      <c r="AN16" s="2">
        <v>12607.21</v>
      </c>
      <c r="AO16" s="2">
        <v>10096.15</v>
      </c>
      <c r="AP16" s="2">
        <v>9691.14</v>
      </c>
      <c r="AQ16" s="2">
        <v>14501.58</v>
      </c>
      <c r="AR16" s="2">
        <v>11472.44</v>
      </c>
      <c r="AU16" s="1" t="s">
        <v>28</v>
      </c>
      <c r="AV16" s="2">
        <v>20006.29</v>
      </c>
      <c r="AW16" s="2">
        <v>21659.93</v>
      </c>
      <c r="AX16" s="2">
        <v>17799.43</v>
      </c>
      <c r="AY16" s="2">
        <v>18990.7</v>
      </c>
      <c r="AZ16" s="2">
        <v>5193.41</v>
      </c>
      <c r="BA16" s="2">
        <v>7894.58</v>
      </c>
      <c r="BB16" s="2">
        <v>18907.72</v>
      </c>
      <c r="BC16" s="2">
        <v>19126.21</v>
      </c>
      <c r="BD16" s="2">
        <v>25528.83</v>
      </c>
      <c r="BE16" s="2">
        <v>24778.03</v>
      </c>
      <c r="BF16" s="2">
        <v>38180.870000000003</v>
      </c>
      <c r="BG16" s="2">
        <v>46113.45</v>
      </c>
      <c r="BH16" s="2">
        <v>29304.38</v>
      </c>
      <c r="BI16" s="2">
        <v>37737.620000000003</v>
      </c>
      <c r="BJ16" s="2">
        <v>38943.58</v>
      </c>
      <c r="BK16" s="2">
        <v>44076.42</v>
      </c>
      <c r="BL16" s="2">
        <v>34276.18</v>
      </c>
      <c r="BM16" s="2">
        <v>38185.620000000003</v>
      </c>
      <c r="BN16" s="2">
        <v>52079.07</v>
      </c>
      <c r="BO16" s="2">
        <v>58669.51</v>
      </c>
      <c r="BR16" s="1" t="s">
        <v>28</v>
      </c>
      <c r="BS16" s="2">
        <v>24668.28</v>
      </c>
      <c r="BT16" s="2">
        <v>27873.15</v>
      </c>
      <c r="BU16" s="2">
        <v>22106.99</v>
      </c>
      <c r="BV16" s="2">
        <v>23566.02</v>
      </c>
      <c r="BW16" s="2">
        <v>6290.66</v>
      </c>
      <c r="BX16" s="2">
        <v>9698.83</v>
      </c>
      <c r="BY16" s="2">
        <v>22794.98</v>
      </c>
      <c r="BZ16" s="2">
        <v>25050.61</v>
      </c>
      <c r="CA16" s="2">
        <v>31680.6</v>
      </c>
      <c r="CB16" s="2">
        <v>31858.13</v>
      </c>
      <c r="CC16" s="2">
        <v>49307.72</v>
      </c>
      <c r="CD16" s="2">
        <v>59159.14</v>
      </c>
      <c r="CE16" s="2">
        <v>37924.769999999997</v>
      </c>
      <c r="CF16" s="2">
        <v>48298.239999999998</v>
      </c>
      <c r="CG16" s="2">
        <v>50358.75</v>
      </c>
      <c r="CH16" s="2">
        <v>56683.63</v>
      </c>
      <c r="CI16" s="2">
        <v>44372.33</v>
      </c>
      <c r="CJ16" s="2">
        <v>47876.76</v>
      </c>
      <c r="CK16" s="2">
        <v>66580.649999999994</v>
      </c>
      <c r="CL16" s="2">
        <v>70141.95</v>
      </c>
    </row>
    <row r="19" spans="2:90" x14ac:dyDescent="0.3">
      <c r="B19" t="s">
        <v>29</v>
      </c>
      <c r="X19" t="s">
        <v>30</v>
      </c>
      <c r="AU19" t="s">
        <v>31</v>
      </c>
      <c r="BR19" t="s">
        <v>32</v>
      </c>
    </row>
    <row r="20" spans="2:90" x14ac:dyDescent="0.3">
      <c r="B20" s="1" t="s">
        <v>16</v>
      </c>
      <c r="C20" s="1" t="s">
        <v>17</v>
      </c>
      <c r="D20" s="1" t="s">
        <v>18</v>
      </c>
      <c r="E20" s="1" t="s">
        <v>17</v>
      </c>
      <c r="F20" s="1" t="s">
        <v>18</v>
      </c>
      <c r="G20" s="1" t="s">
        <v>17</v>
      </c>
      <c r="H20" s="1" t="s">
        <v>18</v>
      </c>
      <c r="I20" s="1" t="s">
        <v>17</v>
      </c>
      <c r="J20" s="1" t="s">
        <v>18</v>
      </c>
      <c r="K20" s="1" t="s">
        <v>17</v>
      </c>
      <c r="L20" s="1" t="s">
        <v>18</v>
      </c>
      <c r="M20" s="1" t="s">
        <v>17</v>
      </c>
      <c r="N20" s="1" t="s">
        <v>18</v>
      </c>
      <c r="O20" s="1" t="s">
        <v>17</v>
      </c>
      <c r="P20" s="1" t="s">
        <v>18</v>
      </c>
      <c r="Q20" s="1" t="s">
        <v>17</v>
      </c>
      <c r="R20" s="1" t="s">
        <v>18</v>
      </c>
      <c r="S20" s="1" t="s">
        <v>17</v>
      </c>
      <c r="T20" s="1" t="s">
        <v>18</v>
      </c>
      <c r="U20" s="1" t="s">
        <v>17</v>
      </c>
      <c r="V20" s="1" t="s">
        <v>18</v>
      </c>
      <c r="X20" s="1" t="s">
        <v>16</v>
      </c>
      <c r="Y20" s="1" t="s">
        <v>17</v>
      </c>
      <c r="Z20" s="1" t="s">
        <v>18</v>
      </c>
      <c r="AA20" s="1" t="s">
        <v>17</v>
      </c>
      <c r="AB20" s="1" t="s">
        <v>18</v>
      </c>
      <c r="AC20" s="1" t="s">
        <v>17</v>
      </c>
      <c r="AD20" s="1" t="s">
        <v>18</v>
      </c>
      <c r="AE20" s="1" t="s">
        <v>17</v>
      </c>
      <c r="AF20" s="1" t="s">
        <v>18</v>
      </c>
      <c r="AG20" s="1" t="s">
        <v>17</v>
      </c>
      <c r="AH20" s="1" t="s">
        <v>18</v>
      </c>
      <c r="AI20" s="1" t="s">
        <v>17</v>
      </c>
      <c r="AJ20" s="1" t="s">
        <v>18</v>
      </c>
      <c r="AK20" s="1" t="s">
        <v>17</v>
      </c>
      <c r="AL20" s="1" t="s">
        <v>18</v>
      </c>
      <c r="AM20" s="1" t="s">
        <v>17</v>
      </c>
      <c r="AN20" s="1" t="s">
        <v>18</v>
      </c>
      <c r="AO20" s="1" t="s">
        <v>17</v>
      </c>
      <c r="AP20" s="1" t="s">
        <v>18</v>
      </c>
      <c r="AQ20" s="1" t="s">
        <v>17</v>
      </c>
      <c r="AR20" s="1" t="s">
        <v>18</v>
      </c>
      <c r="AU20" s="1" t="s">
        <v>16</v>
      </c>
      <c r="AV20" s="1" t="s">
        <v>17</v>
      </c>
      <c r="AW20" s="1" t="s">
        <v>18</v>
      </c>
      <c r="AX20" s="1" t="s">
        <v>17</v>
      </c>
      <c r="AY20" s="1" t="s">
        <v>18</v>
      </c>
      <c r="AZ20" s="1" t="s">
        <v>17</v>
      </c>
      <c r="BA20" s="1" t="s">
        <v>18</v>
      </c>
      <c r="BB20" s="1" t="s">
        <v>17</v>
      </c>
      <c r="BC20" s="1" t="s">
        <v>18</v>
      </c>
      <c r="BD20" s="1" t="s">
        <v>17</v>
      </c>
      <c r="BE20" s="1" t="s">
        <v>18</v>
      </c>
      <c r="BF20" s="1" t="s">
        <v>17</v>
      </c>
      <c r="BG20" s="1" t="s">
        <v>18</v>
      </c>
      <c r="BH20" s="1" t="s">
        <v>17</v>
      </c>
      <c r="BI20" s="1" t="s">
        <v>18</v>
      </c>
      <c r="BJ20" s="1" t="s">
        <v>17</v>
      </c>
      <c r="BK20" s="1" t="s">
        <v>18</v>
      </c>
      <c r="BL20" s="1" t="s">
        <v>17</v>
      </c>
      <c r="BM20" s="1" t="s">
        <v>18</v>
      </c>
      <c r="BN20" s="1" t="s">
        <v>17</v>
      </c>
      <c r="BO20" s="1" t="s">
        <v>18</v>
      </c>
      <c r="BR20" s="1" t="s">
        <v>16</v>
      </c>
      <c r="BS20" s="1" t="s">
        <v>17</v>
      </c>
      <c r="BT20" s="1" t="s">
        <v>18</v>
      </c>
      <c r="BU20" s="1" t="s">
        <v>17</v>
      </c>
      <c r="BV20" s="1" t="s">
        <v>18</v>
      </c>
      <c r="BW20" s="1" t="s">
        <v>17</v>
      </c>
      <c r="BX20" s="1" t="s">
        <v>18</v>
      </c>
      <c r="BY20" s="1" t="s">
        <v>17</v>
      </c>
      <c r="BZ20" s="1" t="s">
        <v>18</v>
      </c>
      <c r="CA20" s="1" t="s">
        <v>17</v>
      </c>
      <c r="CB20" s="1" t="s">
        <v>18</v>
      </c>
      <c r="CC20" s="1" t="s">
        <v>17</v>
      </c>
      <c r="CD20" s="1" t="s">
        <v>18</v>
      </c>
      <c r="CE20" s="1" t="s">
        <v>17</v>
      </c>
      <c r="CF20" s="1" t="s">
        <v>18</v>
      </c>
      <c r="CG20" s="1" t="s">
        <v>17</v>
      </c>
      <c r="CH20" s="1" t="s">
        <v>18</v>
      </c>
      <c r="CI20" s="1" t="s">
        <v>17</v>
      </c>
      <c r="CJ20" s="1" t="s">
        <v>18</v>
      </c>
      <c r="CK20" s="1" t="s">
        <v>17</v>
      </c>
      <c r="CL20" s="1" t="s">
        <v>18</v>
      </c>
    </row>
    <row r="21" spans="2:90" x14ac:dyDescent="0.3">
      <c r="B21" s="1" t="s">
        <v>19</v>
      </c>
      <c r="C21" s="1" t="s">
        <v>1</v>
      </c>
      <c r="D21" s="1" t="s">
        <v>1</v>
      </c>
      <c r="E21" s="1" t="s">
        <v>2</v>
      </c>
      <c r="F21" s="1" t="s">
        <v>2</v>
      </c>
      <c r="G21" s="1" t="s">
        <v>3</v>
      </c>
      <c r="H21" s="1" t="s">
        <v>3</v>
      </c>
      <c r="I21" s="1" t="s">
        <v>4</v>
      </c>
      <c r="J21" s="1" t="s">
        <v>4</v>
      </c>
      <c r="K21" s="1" t="s">
        <v>5</v>
      </c>
      <c r="L21" s="1" t="s">
        <v>5</v>
      </c>
      <c r="M21" s="1" t="s">
        <v>6</v>
      </c>
      <c r="N21" s="1" t="s">
        <v>6</v>
      </c>
      <c r="O21" s="1" t="s">
        <v>7</v>
      </c>
      <c r="P21" s="1" t="s">
        <v>7</v>
      </c>
      <c r="Q21" s="1" t="s">
        <v>8</v>
      </c>
      <c r="R21" s="1" t="s">
        <v>8</v>
      </c>
      <c r="S21" s="1" t="s">
        <v>9</v>
      </c>
      <c r="T21" s="1" t="s">
        <v>9</v>
      </c>
      <c r="U21" s="1" t="s">
        <v>10</v>
      </c>
      <c r="V21" s="1" t="s">
        <v>10</v>
      </c>
      <c r="X21" s="1" t="s">
        <v>19</v>
      </c>
      <c r="Y21" s="1" t="s">
        <v>1</v>
      </c>
      <c r="Z21" s="1" t="s">
        <v>1</v>
      </c>
      <c r="AA21" s="1" t="s">
        <v>2</v>
      </c>
      <c r="AB21" s="1" t="s">
        <v>2</v>
      </c>
      <c r="AC21" s="1" t="s">
        <v>3</v>
      </c>
      <c r="AD21" s="1" t="s">
        <v>3</v>
      </c>
      <c r="AE21" s="1" t="s">
        <v>4</v>
      </c>
      <c r="AF21" s="1" t="s">
        <v>4</v>
      </c>
      <c r="AG21" s="1" t="s">
        <v>5</v>
      </c>
      <c r="AH21" s="1" t="s">
        <v>5</v>
      </c>
      <c r="AI21" s="1" t="s">
        <v>6</v>
      </c>
      <c r="AJ21" s="1" t="s">
        <v>6</v>
      </c>
      <c r="AK21" s="1" t="s">
        <v>7</v>
      </c>
      <c r="AL21" s="1" t="s">
        <v>7</v>
      </c>
      <c r="AM21" s="1" t="s">
        <v>8</v>
      </c>
      <c r="AN21" s="1" t="s">
        <v>8</v>
      </c>
      <c r="AO21" s="1" t="s">
        <v>9</v>
      </c>
      <c r="AP21" s="1" t="s">
        <v>9</v>
      </c>
      <c r="AQ21" s="1" t="s">
        <v>10</v>
      </c>
      <c r="AR21" s="1" t="s">
        <v>10</v>
      </c>
      <c r="AU21" s="1" t="s">
        <v>19</v>
      </c>
      <c r="AV21" s="1" t="s">
        <v>1</v>
      </c>
      <c r="AW21" s="1" t="s">
        <v>1</v>
      </c>
      <c r="AX21" s="1" t="s">
        <v>2</v>
      </c>
      <c r="AY21" s="1" t="s">
        <v>2</v>
      </c>
      <c r="AZ21" s="1" t="s">
        <v>3</v>
      </c>
      <c r="BA21" s="1" t="s">
        <v>3</v>
      </c>
      <c r="BB21" s="1" t="s">
        <v>4</v>
      </c>
      <c r="BC21" s="1" t="s">
        <v>4</v>
      </c>
      <c r="BD21" s="1" t="s">
        <v>5</v>
      </c>
      <c r="BE21" s="1" t="s">
        <v>5</v>
      </c>
      <c r="BF21" s="1" t="s">
        <v>6</v>
      </c>
      <c r="BG21" s="1" t="s">
        <v>6</v>
      </c>
      <c r="BH21" s="1" t="s">
        <v>7</v>
      </c>
      <c r="BI21" s="1" t="s">
        <v>7</v>
      </c>
      <c r="BJ21" s="1" t="s">
        <v>8</v>
      </c>
      <c r="BK21" s="1" t="s">
        <v>8</v>
      </c>
      <c r="BL21" s="1" t="s">
        <v>9</v>
      </c>
      <c r="BM21" s="1" t="s">
        <v>9</v>
      </c>
      <c r="BN21" s="1" t="s">
        <v>10</v>
      </c>
      <c r="BO21" s="1" t="s">
        <v>10</v>
      </c>
      <c r="BR21" s="1" t="s">
        <v>19</v>
      </c>
      <c r="BS21" s="1" t="s">
        <v>1</v>
      </c>
      <c r="BT21" s="1" t="s">
        <v>1</v>
      </c>
      <c r="BU21" s="1" t="s">
        <v>2</v>
      </c>
      <c r="BV21" s="1" t="s">
        <v>2</v>
      </c>
      <c r="BW21" s="1" t="s">
        <v>3</v>
      </c>
      <c r="BX21" s="1" t="s">
        <v>3</v>
      </c>
      <c r="BY21" s="1" t="s">
        <v>4</v>
      </c>
      <c r="BZ21" s="1" t="s">
        <v>4</v>
      </c>
      <c r="CA21" s="1" t="s">
        <v>5</v>
      </c>
      <c r="CB21" s="1" t="s">
        <v>5</v>
      </c>
      <c r="CC21" s="1" t="s">
        <v>6</v>
      </c>
      <c r="CD21" s="1" t="s">
        <v>6</v>
      </c>
      <c r="CE21" s="1" t="s">
        <v>7</v>
      </c>
      <c r="CF21" s="1" t="s">
        <v>7</v>
      </c>
      <c r="CG21" s="1" t="s">
        <v>8</v>
      </c>
      <c r="CH21" s="1" t="s">
        <v>8</v>
      </c>
      <c r="CI21" s="1" t="s">
        <v>9</v>
      </c>
      <c r="CJ21" s="1" t="s">
        <v>9</v>
      </c>
      <c r="CK21" s="1" t="s">
        <v>10</v>
      </c>
      <c r="CL21" s="1" t="s">
        <v>10</v>
      </c>
    </row>
    <row r="22" spans="2:90" x14ac:dyDescent="0.3">
      <c r="B22" s="1" t="s">
        <v>20</v>
      </c>
      <c r="X22" s="1" t="s">
        <v>20</v>
      </c>
      <c r="AU22" s="1" t="s">
        <v>20</v>
      </c>
      <c r="BR22" s="1" t="s">
        <v>20</v>
      </c>
    </row>
    <row r="23" spans="2:90" x14ac:dyDescent="0.3">
      <c r="B23" s="1" t="s">
        <v>21</v>
      </c>
      <c r="C23" s="2">
        <v>0.1</v>
      </c>
      <c r="D23" s="2">
        <v>0.1</v>
      </c>
      <c r="E23" s="2">
        <v>0.1</v>
      </c>
      <c r="F23" s="2">
        <v>0.1</v>
      </c>
      <c r="G23" s="2">
        <v>0.1</v>
      </c>
      <c r="H23" s="2">
        <v>0.1</v>
      </c>
      <c r="I23" s="2">
        <v>0.1</v>
      </c>
      <c r="J23" s="2">
        <v>0.1</v>
      </c>
      <c r="K23" s="2">
        <v>0.1</v>
      </c>
      <c r="L23" s="2">
        <v>0.1</v>
      </c>
      <c r="M23" s="2">
        <v>0.1</v>
      </c>
      <c r="N23" s="2">
        <v>0.1</v>
      </c>
      <c r="O23" s="2">
        <v>0.1</v>
      </c>
      <c r="P23" s="2">
        <v>0.1</v>
      </c>
      <c r="Q23" s="2">
        <v>0.1</v>
      </c>
      <c r="R23" s="2">
        <v>0.1</v>
      </c>
      <c r="S23" s="2">
        <v>0.1</v>
      </c>
      <c r="T23" s="2">
        <v>0.1</v>
      </c>
      <c r="U23" s="2">
        <v>0.1</v>
      </c>
      <c r="V23" s="2">
        <v>0.1</v>
      </c>
      <c r="X23" s="1" t="s">
        <v>21</v>
      </c>
      <c r="Y23" s="2">
        <v>2541.23</v>
      </c>
      <c r="Z23" s="2">
        <v>2530.19</v>
      </c>
      <c r="AA23" s="2">
        <v>2178.0500000000002</v>
      </c>
      <c r="AB23" s="2">
        <v>2038.4</v>
      </c>
      <c r="AC23" s="2">
        <v>1942.01</v>
      </c>
      <c r="AD23" s="2">
        <v>2350.84</v>
      </c>
      <c r="AE23" s="2">
        <v>2438.36</v>
      </c>
      <c r="AF23" s="2">
        <v>2090</v>
      </c>
      <c r="AG23" s="2">
        <v>2557.5300000000002</v>
      </c>
      <c r="AH23" s="2">
        <v>2084.6999999999998</v>
      </c>
      <c r="AI23" s="2">
        <v>2156.04</v>
      </c>
      <c r="AJ23" s="2">
        <v>2092.11</v>
      </c>
      <c r="AK23" s="2">
        <v>2084.4299999999998</v>
      </c>
      <c r="AL23" s="2">
        <v>2108.2399999999998</v>
      </c>
      <c r="AM23" s="2">
        <v>2186.9899999999998</v>
      </c>
      <c r="AN23" s="2">
        <v>2128.64</v>
      </c>
      <c r="AO23" s="2">
        <v>2117.59</v>
      </c>
      <c r="AP23" s="2">
        <v>1665.51</v>
      </c>
      <c r="AQ23" s="2">
        <v>2118.6799999999998</v>
      </c>
      <c r="AR23" s="2">
        <v>1803.97</v>
      </c>
      <c r="AU23" s="1" t="s">
        <v>21</v>
      </c>
      <c r="AV23" s="2">
        <v>23872.57</v>
      </c>
      <c r="AW23" s="2">
        <v>23707.38</v>
      </c>
      <c r="AX23" s="2">
        <v>20072.849999999999</v>
      </c>
      <c r="AY23" s="2">
        <v>18776.099999999999</v>
      </c>
      <c r="AZ23" s="2">
        <v>18458.79</v>
      </c>
      <c r="BA23" s="2">
        <v>21981.51</v>
      </c>
      <c r="BB23" s="2">
        <v>23285.84</v>
      </c>
      <c r="BC23" s="2">
        <v>19862</v>
      </c>
      <c r="BD23" s="2">
        <v>24314.31</v>
      </c>
      <c r="BE23" s="2">
        <v>19867.3</v>
      </c>
      <c r="BF23" s="2">
        <v>20286.21</v>
      </c>
      <c r="BG23" s="2">
        <v>19859.89</v>
      </c>
      <c r="BH23" s="2">
        <v>19867.57</v>
      </c>
      <c r="BI23" s="2">
        <v>19843.759999999998</v>
      </c>
      <c r="BJ23" s="2">
        <v>20574.41</v>
      </c>
      <c r="BK23" s="2">
        <v>20011.650000000001</v>
      </c>
      <c r="BL23" s="2">
        <v>19834.41</v>
      </c>
      <c r="BM23" s="2">
        <v>15789.69</v>
      </c>
      <c r="BN23" s="2">
        <v>19971.82</v>
      </c>
      <c r="BO23" s="2">
        <v>16989.63</v>
      </c>
      <c r="BR23" s="1" t="s">
        <v>21</v>
      </c>
      <c r="BS23" s="2">
        <v>26413.8</v>
      </c>
      <c r="BT23" s="2">
        <v>26237.58</v>
      </c>
      <c r="BU23" s="2">
        <v>22250.9</v>
      </c>
      <c r="BV23" s="2">
        <v>20814.5</v>
      </c>
      <c r="BW23" s="2">
        <v>20400.8</v>
      </c>
      <c r="BX23" s="2">
        <v>24332.35</v>
      </c>
      <c r="BY23" s="2">
        <v>25724.19</v>
      </c>
      <c r="BZ23" s="2">
        <v>21952</v>
      </c>
      <c r="CA23" s="2">
        <v>26871.84</v>
      </c>
      <c r="CB23" s="2">
        <v>21952</v>
      </c>
      <c r="CC23" s="2">
        <v>22442.25</v>
      </c>
      <c r="CD23" s="2">
        <v>21952</v>
      </c>
      <c r="CE23" s="2">
        <v>21952</v>
      </c>
      <c r="CF23" s="2">
        <v>21952</v>
      </c>
      <c r="CG23" s="2">
        <v>22761.41</v>
      </c>
      <c r="CH23" s="2">
        <v>22140.29</v>
      </c>
      <c r="CI23" s="2">
        <v>21952</v>
      </c>
      <c r="CJ23" s="2">
        <v>17455.2</v>
      </c>
      <c r="CK23" s="2">
        <v>22090.49</v>
      </c>
      <c r="CL23" s="2">
        <v>18793.599999999999</v>
      </c>
    </row>
    <row r="24" spans="2:90" x14ac:dyDescent="0.3">
      <c r="B24" s="1" t="s">
        <v>22</v>
      </c>
      <c r="C24" s="2">
        <v>0.16</v>
      </c>
      <c r="D24" s="2">
        <v>0.16</v>
      </c>
      <c r="E24" s="2">
        <v>0.16</v>
      </c>
      <c r="F24" s="2">
        <v>0.17</v>
      </c>
      <c r="G24" s="2">
        <v>0.2</v>
      </c>
      <c r="H24" s="2">
        <v>0.17</v>
      </c>
      <c r="I24" s="2">
        <v>0.16</v>
      </c>
      <c r="J24" s="2">
        <v>0.24</v>
      </c>
      <c r="K24" s="2">
        <v>0.2</v>
      </c>
      <c r="L24" s="2">
        <v>0.19</v>
      </c>
      <c r="M24" s="2">
        <v>0.14000000000000001</v>
      </c>
      <c r="N24" s="2">
        <v>0.2</v>
      </c>
      <c r="O24" s="2">
        <v>0.22</v>
      </c>
      <c r="P24" s="2">
        <v>0.22</v>
      </c>
      <c r="Q24" s="2">
        <v>0.22</v>
      </c>
      <c r="R24" s="2">
        <v>0.18</v>
      </c>
      <c r="S24" s="2">
        <v>0.22</v>
      </c>
      <c r="T24" s="2">
        <v>0.16</v>
      </c>
      <c r="U24" s="2">
        <v>0.14000000000000001</v>
      </c>
      <c r="V24" s="2">
        <v>0.16</v>
      </c>
      <c r="X24" s="1" t="s">
        <v>22</v>
      </c>
      <c r="Y24" s="2">
        <v>1533.6</v>
      </c>
      <c r="Z24" s="2">
        <v>986.18</v>
      </c>
      <c r="AA24" s="2">
        <v>1654.32</v>
      </c>
      <c r="AB24" s="2">
        <v>1130.8</v>
      </c>
      <c r="AC24" s="2">
        <v>1275.71</v>
      </c>
      <c r="AD24" s="2">
        <v>1397.08</v>
      </c>
      <c r="AE24" s="2">
        <v>1665.39</v>
      </c>
      <c r="AF24" s="2">
        <v>1706.23</v>
      </c>
      <c r="AG24" s="2">
        <v>2015.85</v>
      </c>
      <c r="AH24" s="2">
        <v>1336.65</v>
      </c>
      <c r="AI24" s="2">
        <v>1304.68</v>
      </c>
      <c r="AJ24" s="2">
        <v>1407.07</v>
      </c>
      <c r="AK24" s="2">
        <v>1735.23</v>
      </c>
      <c r="AL24" s="2">
        <v>1724.21</v>
      </c>
      <c r="AM24" s="2">
        <v>1731.72</v>
      </c>
      <c r="AN24" s="2">
        <v>1337.46</v>
      </c>
      <c r="AO24" s="2">
        <v>1730.71</v>
      </c>
      <c r="AP24" s="2">
        <v>959.11</v>
      </c>
      <c r="AQ24" s="2">
        <v>1354.79</v>
      </c>
      <c r="AR24" s="2">
        <v>933.04</v>
      </c>
      <c r="AU24" s="1" t="s">
        <v>22</v>
      </c>
      <c r="AV24" s="2">
        <v>9244.7199999999993</v>
      </c>
      <c r="AW24" s="2">
        <v>6016.94</v>
      </c>
      <c r="AX24" s="2">
        <v>9108.89</v>
      </c>
      <c r="AY24" s="2">
        <v>6020.99</v>
      </c>
      <c r="AZ24" s="2">
        <v>5887.39</v>
      </c>
      <c r="BA24" s="2">
        <v>7409.14</v>
      </c>
      <c r="BB24" s="2">
        <v>9670.61</v>
      </c>
      <c r="BC24" s="2">
        <v>6250.6</v>
      </c>
      <c r="BD24" s="2">
        <v>8830.2199999999993</v>
      </c>
      <c r="BE24" s="2">
        <v>6580.65</v>
      </c>
      <c r="BF24" s="2">
        <v>8499.52</v>
      </c>
      <c r="BG24" s="2">
        <v>6666.73</v>
      </c>
      <c r="BH24" s="2">
        <v>6984.72</v>
      </c>
      <c r="BI24" s="2">
        <v>6995.67</v>
      </c>
      <c r="BJ24" s="2">
        <v>6988.28</v>
      </c>
      <c r="BK24" s="2">
        <v>6982.26</v>
      </c>
      <c r="BL24" s="2">
        <v>6989.29</v>
      </c>
      <c r="BM24" s="2">
        <v>5916.42</v>
      </c>
      <c r="BN24" s="2">
        <v>9424.9500000000007</v>
      </c>
      <c r="BO24" s="2">
        <v>5920.07</v>
      </c>
      <c r="BR24" s="1" t="s">
        <v>22</v>
      </c>
      <c r="BS24" s="2">
        <v>10778.32</v>
      </c>
      <c r="BT24" s="2">
        <v>7003.12</v>
      </c>
      <c r="BU24" s="2">
        <v>10763.21</v>
      </c>
      <c r="BV24" s="2">
        <v>7151.79</v>
      </c>
      <c r="BW24" s="2">
        <v>7163.1</v>
      </c>
      <c r="BX24" s="2">
        <v>8806.2199999999993</v>
      </c>
      <c r="BY24" s="2">
        <v>11336</v>
      </c>
      <c r="BZ24" s="2">
        <v>7956.83</v>
      </c>
      <c r="CA24" s="2">
        <v>10846.06</v>
      </c>
      <c r="CB24" s="2">
        <v>7917.3</v>
      </c>
      <c r="CC24" s="2">
        <v>9804.2000000000007</v>
      </c>
      <c r="CD24" s="2">
        <v>8073.8</v>
      </c>
      <c r="CE24" s="2">
        <v>8719.9500000000007</v>
      </c>
      <c r="CF24" s="2">
        <v>8719.8700000000008</v>
      </c>
      <c r="CG24" s="2">
        <v>8720</v>
      </c>
      <c r="CH24" s="2">
        <v>8319.7199999999993</v>
      </c>
      <c r="CI24" s="2">
        <v>8720</v>
      </c>
      <c r="CJ24" s="2">
        <v>6875.52</v>
      </c>
      <c r="CK24" s="2">
        <v>10779.74</v>
      </c>
      <c r="CL24" s="2">
        <v>6853.11</v>
      </c>
    </row>
    <row r="25" spans="2:90" x14ac:dyDescent="0.3">
      <c r="B25" s="1" t="s">
        <v>23</v>
      </c>
      <c r="C25" s="2">
        <v>0.25</v>
      </c>
      <c r="D25" s="2">
        <v>0.16</v>
      </c>
      <c r="E25" s="2">
        <v>0.24</v>
      </c>
      <c r="F25" s="2">
        <v>0.17</v>
      </c>
      <c r="G25" s="2">
        <v>0.27</v>
      </c>
      <c r="H25" s="2">
        <v>0.2</v>
      </c>
      <c r="I25" s="2">
        <v>0.24</v>
      </c>
      <c r="J25" s="2">
        <v>0.28999999999999998</v>
      </c>
      <c r="K25" s="2">
        <v>0.23</v>
      </c>
      <c r="L25" s="2">
        <v>0.26</v>
      </c>
      <c r="M25" s="2">
        <v>0.23</v>
      </c>
      <c r="N25" s="2">
        <v>0.26</v>
      </c>
      <c r="O25" s="2">
        <v>0.24</v>
      </c>
      <c r="P25" s="2">
        <v>0.27</v>
      </c>
      <c r="Q25" s="2">
        <v>0.24</v>
      </c>
      <c r="R25" s="2">
        <v>0.26</v>
      </c>
      <c r="S25" s="2">
        <v>0.28000000000000003</v>
      </c>
      <c r="T25" s="2">
        <v>0.23</v>
      </c>
      <c r="U25" s="2">
        <v>0.23</v>
      </c>
      <c r="V25" s="2">
        <v>0.21</v>
      </c>
      <c r="X25" s="1" t="s">
        <v>23</v>
      </c>
      <c r="Y25" s="2">
        <v>7120.8</v>
      </c>
      <c r="Z25" s="2">
        <v>2462.41</v>
      </c>
      <c r="AA25" s="2">
        <v>7092.15</v>
      </c>
      <c r="AB25" s="2">
        <v>2572.04</v>
      </c>
      <c r="AC25" s="2">
        <v>5819.63</v>
      </c>
      <c r="AD25" s="2">
        <v>4760.4799999999996</v>
      </c>
      <c r="AE25" s="2">
        <v>7176.92</v>
      </c>
      <c r="AF25" s="2">
        <v>7261.67</v>
      </c>
      <c r="AG25" s="2">
        <v>6868.24</v>
      </c>
      <c r="AH25" s="2">
        <v>6140.46</v>
      </c>
      <c r="AI25" s="2">
        <v>6848.08</v>
      </c>
      <c r="AJ25" s="2">
        <v>6191.42</v>
      </c>
      <c r="AK25" s="2">
        <v>6435.46</v>
      </c>
      <c r="AL25" s="2">
        <v>6595.22</v>
      </c>
      <c r="AM25" s="2">
        <v>6174.05</v>
      </c>
      <c r="AN25" s="2">
        <v>6025.81</v>
      </c>
      <c r="AO25" s="2">
        <v>7004.97</v>
      </c>
      <c r="AP25" s="2">
        <v>4503.5200000000004</v>
      </c>
      <c r="AQ25" s="2">
        <v>4540.1099999999997</v>
      </c>
      <c r="AR25" s="2">
        <v>3645.87</v>
      </c>
      <c r="AU25" s="1" t="s">
        <v>23</v>
      </c>
      <c r="AV25" s="2">
        <v>24766.99</v>
      </c>
      <c r="AW25" s="2">
        <v>15401.1</v>
      </c>
      <c r="AX25" s="2">
        <v>23560.29</v>
      </c>
      <c r="AY25" s="2">
        <v>13678.09</v>
      </c>
      <c r="AZ25" s="2">
        <v>18699.740000000002</v>
      </c>
      <c r="BA25" s="2">
        <v>22539.22</v>
      </c>
      <c r="BB25" s="2">
        <v>26423.08</v>
      </c>
      <c r="BC25" s="2">
        <v>21778.33</v>
      </c>
      <c r="BD25" s="2">
        <v>26731.759999999998</v>
      </c>
      <c r="BE25" s="2">
        <v>21047.81</v>
      </c>
      <c r="BF25" s="2">
        <v>26751.919999999998</v>
      </c>
      <c r="BG25" s="2">
        <v>21132.23</v>
      </c>
      <c r="BH25" s="2">
        <v>24739.09</v>
      </c>
      <c r="BI25" s="2">
        <v>21603.16</v>
      </c>
      <c r="BJ25" s="2">
        <v>23467.3</v>
      </c>
      <c r="BK25" s="2">
        <v>20919.32</v>
      </c>
      <c r="BL25" s="2">
        <v>21997.83</v>
      </c>
      <c r="BM25" s="2">
        <v>19021.37</v>
      </c>
      <c r="BN25" s="2">
        <v>19035.099999999999</v>
      </c>
      <c r="BO25" s="2">
        <v>17639.27</v>
      </c>
      <c r="BR25" s="1" t="s">
        <v>23</v>
      </c>
      <c r="BS25" s="2">
        <v>31887.79</v>
      </c>
      <c r="BT25" s="2">
        <v>17863.52</v>
      </c>
      <c r="BU25" s="2">
        <v>30652.44</v>
      </c>
      <c r="BV25" s="2">
        <v>16250.13</v>
      </c>
      <c r="BW25" s="2">
        <v>24519.37</v>
      </c>
      <c r="BX25" s="2">
        <v>27299.7</v>
      </c>
      <c r="BY25" s="2">
        <v>33600</v>
      </c>
      <c r="BZ25" s="2">
        <v>29040</v>
      </c>
      <c r="CA25" s="2">
        <v>33600</v>
      </c>
      <c r="CB25" s="2">
        <v>27188.26</v>
      </c>
      <c r="CC25" s="2">
        <v>33600</v>
      </c>
      <c r="CD25" s="2">
        <v>27323.65</v>
      </c>
      <c r="CE25" s="2">
        <v>31174.55</v>
      </c>
      <c r="CF25" s="2">
        <v>28198.39</v>
      </c>
      <c r="CG25" s="2">
        <v>29641.35</v>
      </c>
      <c r="CH25" s="2">
        <v>26945.13</v>
      </c>
      <c r="CI25" s="2">
        <v>29002.799999999999</v>
      </c>
      <c r="CJ25" s="2">
        <v>23524.89</v>
      </c>
      <c r="CK25" s="2">
        <v>23575.21</v>
      </c>
      <c r="CL25" s="2">
        <v>21285.14</v>
      </c>
    </row>
    <row r="26" spans="2:90" x14ac:dyDescent="0.3">
      <c r="B26" s="1" t="s">
        <v>24</v>
      </c>
      <c r="C26" s="2">
        <v>0.22</v>
      </c>
      <c r="D26" s="2">
        <v>0.17</v>
      </c>
      <c r="E26" s="2">
        <v>0.28000000000000003</v>
      </c>
      <c r="F26" s="2">
        <v>0.17</v>
      </c>
      <c r="G26" s="2">
        <v>0.31</v>
      </c>
      <c r="H26" s="2">
        <v>0.22</v>
      </c>
      <c r="I26" s="2">
        <v>0.27</v>
      </c>
      <c r="J26" s="2">
        <v>0.28000000000000003</v>
      </c>
      <c r="K26" s="2">
        <v>0.26</v>
      </c>
      <c r="L26" s="2">
        <v>0.26</v>
      </c>
      <c r="M26" s="2">
        <v>0.26</v>
      </c>
      <c r="N26" s="2">
        <v>0.25</v>
      </c>
      <c r="O26" s="2">
        <v>0.2</v>
      </c>
      <c r="P26" s="2">
        <v>0.26</v>
      </c>
      <c r="Q26" s="2">
        <v>0.27</v>
      </c>
      <c r="R26" s="2">
        <v>0.16</v>
      </c>
      <c r="S26" s="2">
        <v>0.15</v>
      </c>
      <c r="T26" s="2">
        <v>0.21</v>
      </c>
      <c r="U26" s="2">
        <v>0.21</v>
      </c>
      <c r="V26" s="2">
        <v>0.2</v>
      </c>
      <c r="X26" s="1" t="s">
        <v>24</v>
      </c>
      <c r="Y26" s="2">
        <v>1745.93</v>
      </c>
      <c r="Z26" s="2">
        <v>909.02</v>
      </c>
      <c r="AA26" s="2">
        <v>2282.0700000000002</v>
      </c>
      <c r="AB26" s="2">
        <v>1036.6199999999999</v>
      </c>
      <c r="AC26" s="2">
        <v>2007.74</v>
      </c>
      <c r="AD26" s="2">
        <v>1845.05</v>
      </c>
      <c r="AE26" s="2">
        <v>2313.2399999999998</v>
      </c>
      <c r="AF26" s="2">
        <v>2301</v>
      </c>
      <c r="AG26" s="2">
        <v>2215.25</v>
      </c>
      <c r="AH26" s="2">
        <v>2020.19</v>
      </c>
      <c r="AI26" s="2">
        <v>2214.0100000000002</v>
      </c>
      <c r="AJ26" s="2">
        <v>1896.89</v>
      </c>
      <c r="AK26" s="2">
        <v>1622.18</v>
      </c>
      <c r="AL26" s="2">
        <v>2013.87</v>
      </c>
      <c r="AM26" s="2">
        <v>2209.67</v>
      </c>
      <c r="AN26" s="2">
        <v>1157.93</v>
      </c>
      <c r="AO26" s="2">
        <v>1128.02</v>
      </c>
      <c r="AP26" s="2">
        <v>1375.14</v>
      </c>
      <c r="AQ26" s="2">
        <v>1423.38</v>
      </c>
      <c r="AR26" s="2">
        <v>1226.3800000000001</v>
      </c>
      <c r="AU26" s="1" t="s">
        <v>24</v>
      </c>
      <c r="AV26" s="2">
        <v>7584.9</v>
      </c>
      <c r="AW26" s="2">
        <v>5775.07</v>
      </c>
      <c r="AX26" s="2">
        <v>6568.78</v>
      </c>
      <c r="AY26" s="2">
        <v>5689.86</v>
      </c>
      <c r="AZ26" s="2">
        <v>5556.05</v>
      </c>
      <c r="BA26" s="2">
        <v>7834.95</v>
      </c>
      <c r="BB26" s="2">
        <v>7366.76</v>
      </c>
      <c r="BC26" s="2">
        <v>7379</v>
      </c>
      <c r="BD26" s="2">
        <v>7464.75</v>
      </c>
      <c r="BE26" s="2">
        <v>7311.55</v>
      </c>
      <c r="BF26" s="2">
        <v>7465.99</v>
      </c>
      <c r="BG26" s="2">
        <v>7215.84</v>
      </c>
      <c r="BH26" s="2">
        <v>8057.82</v>
      </c>
      <c r="BI26" s="2">
        <v>7323.22</v>
      </c>
      <c r="BJ26" s="2">
        <v>7470.33</v>
      </c>
      <c r="BK26" s="2">
        <v>7674.42</v>
      </c>
      <c r="BL26" s="2">
        <v>7522.39</v>
      </c>
      <c r="BM26" s="2">
        <v>6720.54</v>
      </c>
      <c r="BN26" s="2">
        <v>6758.28</v>
      </c>
      <c r="BO26" s="2">
        <v>6536.69</v>
      </c>
      <c r="BR26" s="1" t="s">
        <v>24</v>
      </c>
      <c r="BS26" s="2">
        <v>9330.83</v>
      </c>
      <c r="BT26" s="2">
        <v>6684.09</v>
      </c>
      <c r="BU26" s="2">
        <v>8850.86</v>
      </c>
      <c r="BV26" s="2">
        <v>6726.48</v>
      </c>
      <c r="BW26" s="2">
        <v>7563.79</v>
      </c>
      <c r="BX26" s="2">
        <v>9680</v>
      </c>
      <c r="BY26" s="2">
        <v>9680</v>
      </c>
      <c r="BZ26" s="2">
        <v>9680</v>
      </c>
      <c r="CA26" s="2">
        <v>9680</v>
      </c>
      <c r="CB26" s="2">
        <v>9331.75</v>
      </c>
      <c r="CC26" s="2">
        <v>9680</v>
      </c>
      <c r="CD26" s="2">
        <v>9112.74</v>
      </c>
      <c r="CE26" s="2">
        <v>9680</v>
      </c>
      <c r="CF26" s="2">
        <v>9337.09</v>
      </c>
      <c r="CG26" s="2">
        <v>9680</v>
      </c>
      <c r="CH26" s="2">
        <v>8832.35</v>
      </c>
      <c r="CI26" s="2">
        <v>8650.42</v>
      </c>
      <c r="CJ26" s="2">
        <v>8095.68</v>
      </c>
      <c r="CK26" s="2">
        <v>8181.66</v>
      </c>
      <c r="CL26" s="2">
        <v>7763.08</v>
      </c>
    </row>
    <row r="27" spans="2:90" x14ac:dyDescent="0.3">
      <c r="B27" s="1" t="s">
        <v>25</v>
      </c>
      <c r="C27" s="2">
        <v>0.28999999999999998</v>
      </c>
      <c r="D27" s="2">
        <v>0.19</v>
      </c>
      <c r="E27" s="2">
        <v>0.18</v>
      </c>
      <c r="F27" s="2">
        <v>0.16</v>
      </c>
      <c r="G27" s="2">
        <v>0.28999999999999998</v>
      </c>
      <c r="H27" s="2">
        <v>0.28000000000000003</v>
      </c>
      <c r="I27" s="2">
        <v>0.17</v>
      </c>
      <c r="J27" s="2">
        <v>0.26</v>
      </c>
      <c r="K27" s="2">
        <v>0.24</v>
      </c>
      <c r="L27" s="2">
        <v>0.24</v>
      </c>
      <c r="M27" s="2">
        <v>0.24</v>
      </c>
      <c r="N27" s="2">
        <v>0.23</v>
      </c>
      <c r="O27" s="2">
        <v>0.24</v>
      </c>
      <c r="P27" s="2">
        <v>0.23</v>
      </c>
      <c r="Q27" s="2">
        <v>0.24</v>
      </c>
      <c r="R27" s="2">
        <v>0.23</v>
      </c>
      <c r="S27" s="2">
        <v>0.16</v>
      </c>
      <c r="T27" s="2">
        <v>0.19</v>
      </c>
      <c r="U27" s="2">
        <v>0.21</v>
      </c>
      <c r="V27" s="2">
        <v>0.15</v>
      </c>
      <c r="X27" s="1" t="s">
        <v>25</v>
      </c>
      <c r="Y27" s="2">
        <v>7591.63</v>
      </c>
      <c r="Z27" s="2">
        <v>6692.46</v>
      </c>
      <c r="AA27" s="2">
        <v>6773.75</v>
      </c>
      <c r="AB27" s="2">
        <v>8497.0400000000009</v>
      </c>
      <c r="AC27" s="2">
        <v>7494.49</v>
      </c>
      <c r="AD27" s="2">
        <v>8189.46</v>
      </c>
      <c r="AE27" s="2">
        <v>7353.14</v>
      </c>
      <c r="AF27" s="2">
        <v>8965.15</v>
      </c>
      <c r="AG27" s="2">
        <v>9421.61</v>
      </c>
      <c r="AH27" s="2">
        <v>9236.5400000000009</v>
      </c>
      <c r="AI27" s="2">
        <v>9406.93</v>
      </c>
      <c r="AJ27" s="2">
        <v>9775.9500000000007</v>
      </c>
      <c r="AK27" s="2">
        <v>9391.58</v>
      </c>
      <c r="AL27" s="2">
        <v>9887.31</v>
      </c>
      <c r="AM27" s="2">
        <v>9368.34</v>
      </c>
      <c r="AN27" s="2">
        <v>8934.2099999999991</v>
      </c>
      <c r="AO27" s="2">
        <v>5604.13</v>
      </c>
      <c r="AP27" s="2">
        <v>6509.72</v>
      </c>
      <c r="AQ27" s="2">
        <v>7217.39</v>
      </c>
      <c r="AR27" s="2">
        <v>6056.44</v>
      </c>
      <c r="AU27" s="1" t="s">
        <v>25</v>
      </c>
      <c r="AV27" s="2">
        <v>23154.94</v>
      </c>
      <c r="AW27" s="2">
        <v>34742.69</v>
      </c>
      <c r="AX27" s="2">
        <v>32926.04</v>
      </c>
      <c r="AY27" s="2">
        <v>48614.11</v>
      </c>
      <c r="AZ27" s="2">
        <v>21973.279999999999</v>
      </c>
      <c r="BA27" s="2">
        <v>24667.57</v>
      </c>
      <c r="BB27" s="2">
        <v>42536.59</v>
      </c>
      <c r="BC27" s="2">
        <v>30386.57</v>
      </c>
      <c r="BD27" s="2">
        <v>35778.39</v>
      </c>
      <c r="BE27" s="2">
        <v>34775.14</v>
      </c>
      <c r="BF27" s="2">
        <v>35793.07</v>
      </c>
      <c r="BG27" s="2">
        <v>38038.79</v>
      </c>
      <c r="BH27" s="2">
        <v>35808.42</v>
      </c>
      <c r="BI27" s="2">
        <v>38752.6</v>
      </c>
      <c r="BJ27" s="2">
        <v>35831.660000000003</v>
      </c>
      <c r="BK27" s="2">
        <v>35409.03</v>
      </c>
      <c r="BL27" s="2">
        <v>36487.370000000003</v>
      </c>
      <c r="BM27" s="2">
        <v>34300.379999999997</v>
      </c>
      <c r="BN27" s="2">
        <v>34560.28</v>
      </c>
      <c r="BO27" s="2">
        <v>40448.910000000003</v>
      </c>
      <c r="BR27" s="1" t="s">
        <v>25</v>
      </c>
      <c r="BS27" s="2">
        <v>30746.57</v>
      </c>
      <c r="BT27" s="2">
        <v>41435.15</v>
      </c>
      <c r="BU27" s="2">
        <v>39699.79</v>
      </c>
      <c r="BV27" s="2">
        <v>57111.15</v>
      </c>
      <c r="BW27" s="2">
        <v>29467.77</v>
      </c>
      <c r="BX27" s="2">
        <v>32857.040000000001</v>
      </c>
      <c r="BY27" s="2">
        <v>49889.73</v>
      </c>
      <c r="BZ27" s="2">
        <v>39351.72</v>
      </c>
      <c r="CA27" s="2">
        <v>45200</v>
      </c>
      <c r="CB27" s="2">
        <v>44011.68</v>
      </c>
      <c r="CC27" s="2">
        <v>45200</v>
      </c>
      <c r="CD27" s="2">
        <v>47814.74</v>
      </c>
      <c r="CE27" s="2">
        <v>45200</v>
      </c>
      <c r="CF27" s="2">
        <v>48639.91</v>
      </c>
      <c r="CG27" s="2">
        <v>45200</v>
      </c>
      <c r="CH27" s="2">
        <v>44343.24</v>
      </c>
      <c r="CI27" s="2">
        <v>42091.5</v>
      </c>
      <c r="CJ27" s="2">
        <v>40810.1</v>
      </c>
      <c r="CK27" s="2">
        <v>41777.68</v>
      </c>
      <c r="CL27" s="2">
        <v>46505.35</v>
      </c>
    </row>
    <row r="28" spans="2:90" x14ac:dyDescent="0.3">
      <c r="B28" s="1" t="s">
        <v>26</v>
      </c>
      <c r="C28" s="2">
        <v>0.32</v>
      </c>
      <c r="D28" s="2">
        <v>0.24</v>
      </c>
      <c r="E28" s="2">
        <v>0.21</v>
      </c>
      <c r="F28" s="2">
        <v>0.21</v>
      </c>
      <c r="G28" s="2">
        <v>0.33</v>
      </c>
      <c r="H28" s="2">
        <v>0.32</v>
      </c>
      <c r="I28" s="2">
        <v>0.26</v>
      </c>
      <c r="J28" s="2">
        <v>0.32</v>
      </c>
      <c r="K28" s="2">
        <v>0.24</v>
      </c>
      <c r="L28" s="2">
        <v>0.27</v>
      </c>
      <c r="M28" s="2">
        <v>0.27</v>
      </c>
      <c r="N28" s="2">
        <v>0.26</v>
      </c>
      <c r="O28" s="2">
        <v>0.27</v>
      </c>
      <c r="P28" s="2">
        <v>0.26</v>
      </c>
      <c r="Q28" s="2">
        <v>0.27</v>
      </c>
      <c r="R28" s="2">
        <v>0.27</v>
      </c>
      <c r="S28" s="2">
        <v>0.25</v>
      </c>
      <c r="T28" s="2">
        <v>0.26</v>
      </c>
      <c r="U28" s="2">
        <v>0.24</v>
      </c>
      <c r="V28" s="2">
        <v>0.18</v>
      </c>
      <c r="X28" s="1" t="s">
        <v>26</v>
      </c>
      <c r="Y28" s="2">
        <v>2074.94</v>
      </c>
      <c r="Z28" s="2">
        <v>1590.86</v>
      </c>
      <c r="AA28" s="2">
        <v>1935.66</v>
      </c>
      <c r="AB28" s="2">
        <v>1974.81</v>
      </c>
      <c r="AC28" s="2">
        <v>1843.67</v>
      </c>
      <c r="AD28" s="2">
        <v>2032.67</v>
      </c>
      <c r="AE28" s="2">
        <v>2225.52</v>
      </c>
      <c r="AF28" s="2">
        <v>1733.78</v>
      </c>
      <c r="AG28" s="2">
        <v>1937.33</v>
      </c>
      <c r="AH28" s="2">
        <v>2280.02</v>
      </c>
      <c r="AI28" s="2">
        <v>2303.06</v>
      </c>
      <c r="AJ28" s="2">
        <v>2322.48</v>
      </c>
      <c r="AK28" s="2">
        <v>2316.77</v>
      </c>
      <c r="AL28" s="2">
        <v>2324.3200000000002</v>
      </c>
      <c r="AM28" s="2">
        <v>2287.46</v>
      </c>
      <c r="AN28" s="2">
        <v>2319.9699999999998</v>
      </c>
      <c r="AO28" s="2">
        <v>1998.62</v>
      </c>
      <c r="AP28" s="2">
        <v>2324.11</v>
      </c>
      <c r="AQ28" s="2">
        <v>1742.34</v>
      </c>
      <c r="AR28" s="2">
        <v>1295.1500000000001</v>
      </c>
      <c r="AU28" s="1" t="s">
        <v>26</v>
      </c>
      <c r="AV28" s="2">
        <v>5454.11</v>
      </c>
      <c r="AW28" s="2">
        <v>6082.02</v>
      </c>
      <c r="AX28" s="2">
        <v>7744.34</v>
      </c>
      <c r="AY28" s="2">
        <v>7705.19</v>
      </c>
      <c r="AZ28" s="2">
        <v>4453.49</v>
      </c>
      <c r="BA28" s="2">
        <v>5113.9399999999996</v>
      </c>
      <c r="BB28" s="2">
        <v>7097.3</v>
      </c>
      <c r="BC28" s="2">
        <v>4337.9399999999996</v>
      </c>
      <c r="BD28" s="2">
        <v>7018.45</v>
      </c>
      <c r="BE28" s="2">
        <v>7159.07</v>
      </c>
      <c r="BF28" s="2">
        <v>7350.95</v>
      </c>
      <c r="BG28" s="2">
        <v>7357.52</v>
      </c>
      <c r="BH28" s="2">
        <v>7363.23</v>
      </c>
      <c r="BI28" s="2">
        <v>7355.68</v>
      </c>
      <c r="BJ28" s="2">
        <v>7342.71</v>
      </c>
      <c r="BK28" s="2">
        <v>7360.03</v>
      </c>
      <c r="BL28" s="2">
        <v>7096.69</v>
      </c>
      <c r="BM28" s="2">
        <v>7355.89</v>
      </c>
      <c r="BN28" s="2">
        <v>6873.83</v>
      </c>
      <c r="BO28" s="2">
        <v>6761.79</v>
      </c>
      <c r="BR28" s="1" t="s">
        <v>26</v>
      </c>
      <c r="BS28" s="2">
        <v>7529.05</v>
      </c>
      <c r="BT28" s="2">
        <v>7672.88</v>
      </c>
      <c r="BU28" s="2">
        <v>9680</v>
      </c>
      <c r="BV28" s="2">
        <v>9680</v>
      </c>
      <c r="BW28" s="2">
        <v>6297.16</v>
      </c>
      <c r="BX28" s="2">
        <v>7146.61</v>
      </c>
      <c r="BY28" s="2">
        <v>9322.82</v>
      </c>
      <c r="BZ28" s="2">
        <v>6071.72</v>
      </c>
      <c r="CA28" s="2">
        <v>8955.7800000000007</v>
      </c>
      <c r="CB28" s="2">
        <v>9439.09</v>
      </c>
      <c r="CC28" s="2">
        <v>9654.01</v>
      </c>
      <c r="CD28" s="2">
        <v>9680</v>
      </c>
      <c r="CE28" s="2">
        <v>9680</v>
      </c>
      <c r="CF28" s="2">
        <v>9680</v>
      </c>
      <c r="CG28" s="2">
        <v>9630.17</v>
      </c>
      <c r="CH28" s="2">
        <v>9680</v>
      </c>
      <c r="CI28" s="2">
        <v>9095.31</v>
      </c>
      <c r="CJ28" s="2">
        <v>9680</v>
      </c>
      <c r="CK28" s="2">
        <v>8616.17</v>
      </c>
      <c r="CL28" s="2">
        <v>8056.95</v>
      </c>
    </row>
    <row r="29" spans="2:90" x14ac:dyDescent="0.3">
      <c r="B29" s="1" t="s">
        <v>27</v>
      </c>
      <c r="C29" s="2">
        <v>0.27</v>
      </c>
      <c r="D29" s="2">
        <v>0.27</v>
      </c>
      <c r="E29" s="2">
        <v>0.21</v>
      </c>
      <c r="F29" s="2">
        <v>0.25</v>
      </c>
      <c r="G29" s="2">
        <v>0.34</v>
      </c>
      <c r="H29" s="2">
        <v>0.28000000000000003</v>
      </c>
      <c r="I29" s="2">
        <v>0.28999999999999998</v>
      </c>
      <c r="J29" s="2">
        <v>0.34</v>
      </c>
      <c r="K29" s="2">
        <v>0.21</v>
      </c>
      <c r="L29" s="2">
        <v>0.24</v>
      </c>
      <c r="M29" s="2">
        <v>0.28000000000000003</v>
      </c>
      <c r="N29" s="2">
        <v>0.24</v>
      </c>
      <c r="O29" s="2">
        <v>0.28000000000000003</v>
      </c>
      <c r="P29" s="2">
        <v>0.24</v>
      </c>
      <c r="Q29" s="2">
        <v>0.28999999999999998</v>
      </c>
      <c r="R29" s="2">
        <v>0.24</v>
      </c>
      <c r="S29" s="2">
        <v>0.28000000000000003</v>
      </c>
      <c r="T29" s="2">
        <v>0.22</v>
      </c>
      <c r="U29" s="2">
        <v>0.27</v>
      </c>
      <c r="V29" s="2">
        <v>0.26</v>
      </c>
      <c r="X29" s="1" t="s">
        <v>27</v>
      </c>
      <c r="Y29" s="2">
        <v>6925.12</v>
      </c>
      <c r="Z29" s="2">
        <v>7231.31</v>
      </c>
      <c r="AA29" s="2">
        <v>5578.8</v>
      </c>
      <c r="AB29" s="2">
        <v>7906.5</v>
      </c>
      <c r="AC29" s="2">
        <v>6124.77</v>
      </c>
      <c r="AD29" s="2">
        <v>6947.66</v>
      </c>
      <c r="AE29" s="2">
        <v>7379.03</v>
      </c>
      <c r="AF29" s="2">
        <v>7755.61</v>
      </c>
      <c r="AG29" s="2">
        <v>5273.17</v>
      </c>
      <c r="AH29" s="2">
        <v>7191.98</v>
      </c>
      <c r="AI29" s="2">
        <v>7278.47</v>
      </c>
      <c r="AJ29" s="2">
        <v>7184.08</v>
      </c>
      <c r="AK29" s="2">
        <v>7275.57</v>
      </c>
      <c r="AL29" s="2">
        <v>7186.12</v>
      </c>
      <c r="AM29" s="2">
        <v>7265.82</v>
      </c>
      <c r="AN29" s="2">
        <v>7167.93</v>
      </c>
      <c r="AO29" s="2">
        <v>6739.29</v>
      </c>
      <c r="AP29" s="2">
        <v>5385.55</v>
      </c>
      <c r="AQ29" s="2">
        <v>6199.9</v>
      </c>
      <c r="AR29" s="2">
        <v>6008.57</v>
      </c>
      <c r="AU29" s="1" t="s">
        <v>27</v>
      </c>
      <c r="AV29" s="2">
        <v>22070.27</v>
      </c>
      <c r="AW29" s="2">
        <v>23517.22</v>
      </c>
      <c r="AX29" s="2">
        <v>22625.78</v>
      </c>
      <c r="AY29" s="2">
        <v>25693.5</v>
      </c>
      <c r="AZ29" s="2">
        <v>13831.31</v>
      </c>
      <c r="BA29" s="2">
        <v>21660.18</v>
      </c>
      <c r="BB29" s="2">
        <v>20746.88</v>
      </c>
      <c r="BC29" s="2">
        <v>15676.59</v>
      </c>
      <c r="BD29" s="2">
        <v>23766.83</v>
      </c>
      <c r="BE29" s="2">
        <v>26408.02</v>
      </c>
      <c r="BF29" s="2">
        <v>21761.53</v>
      </c>
      <c r="BG29" s="2">
        <v>26415.919999999998</v>
      </c>
      <c r="BH29" s="2">
        <v>21764.43</v>
      </c>
      <c r="BI29" s="2">
        <v>26413.88</v>
      </c>
      <c r="BJ29" s="2">
        <v>21774.18</v>
      </c>
      <c r="BK29" s="2">
        <v>26432.07</v>
      </c>
      <c r="BL29" s="2">
        <v>21207</v>
      </c>
      <c r="BM29" s="2">
        <v>23143.79</v>
      </c>
      <c r="BN29" s="2">
        <v>20601.98</v>
      </c>
      <c r="BO29" s="2">
        <v>20351.099999999999</v>
      </c>
      <c r="BR29" s="1" t="s">
        <v>27</v>
      </c>
      <c r="BS29" s="2">
        <v>28995.39</v>
      </c>
      <c r="BT29" s="2">
        <v>30748.53</v>
      </c>
      <c r="BU29" s="2">
        <v>28204.57</v>
      </c>
      <c r="BV29" s="2">
        <v>33600</v>
      </c>
      <c r="BW29" s="2">
        <v>19956.080000000002</v>
      </c>
      <c r="BX29" s="2">
        <v>28607.83</v>
      </c>
      <c r="BY29" s="2">
        <v>28125.91</v>
      </c>
      <c r="BZ29" s="2">
        <v>23432.19</v>
      </c>
      <c r="CA29" s="2">
        <v>29040</v>
      </c>
      <c r="CB29" s="2">
        <v>33600</v>
      </c>
      <c r="CC29" s="2">
        <v>29040</v>
      </c>
      <c r="CD29" s="2">
        <v>33600</v>
      </c>
      <c r="CE29" s="2">
        <v>29040</v>
      </c>
      <c r="CF29" s="2">
        <v>33600</v>
      </c>
      <c r="CG29" s="2">
        <v>29040</v>
      </c>
      <c r="CH29" s="2">
        <v>33600</v>
      </c>
      <c r="CI29" s="2">
        <v>27946.29</v>
      </c>
      <c r="CJ29" s="2">
        <v>28529.34</v>
      </c>
      <c r="CK29" s="2">
        <v>26801.88</v>
      </c>
      <c r="CL29" s="2">
        <v>26359.67</v>
      </c>
    </row>
    <row r="30" spans="2:90" x14ac:dyDescent="0.3">
      <c r="B30" s="1" t="s">
        <v>28</v>
      </c>
      <c r="C30" s="2">
        <v>0.23</v>
      </c>
      <c r="D30" s="2">
        <v>0.26</v>
      </c>
      <c r="E30" s="2">
        <v>0.21</v>
      </c>
      <c r="F30" s="2">
        <v>0.21</v>
      </c>
      <c r="G30" s="2">
        <v>0.22</v>
      </c>
      <c r="H30" s="2">
        <v>0.22</v>
      </c>
      <c r="I30" s="2">
        <v>0.22</v>
      </c>
      <c r="J30" s="2">
        <v>0.27</v>
      </c>
      <c r="K30" s="2">
        <v>0.24</v>
      </c>
      <c r="L30" s="2">
        <v>0.26</v>
      </c>
      <c r="M30" s="2">
        <v>0.28000000000000003</v>
      </c>
      <c r="N30" s="2">
        <v>0.25</v>
      </c>
      <c r="O30" s="2">
        <v>0.28000000000000003</v>
      </c>
      <c r="P30" s="2">
        <v>0.26</v>
      </c>
      <c r="Q30" s="2">
        <v>0.28000000000000003</v>
      </c>
      <c r="R30" s="2">
        <v>0.27</v>
      </c>
      <c r="S30" s="2">
        <v>0.28000000000000003</v>
      </c>
      <c r="T30" s="2">
        <v>0.25</v>
      </c>
      <c r="U30" s="2">
        <v>0.27</v>
      </c>
      <c r="V30" s="2">
        <v>0.21</v>
      </c>
      <c r="X30" s="1" t="s">
        <v>28</v>
      </c>
      <c r="Y30" s="2">
        <v>3586.15</v>
      </c>
      <c r="Z30" s="2">
        <v>4779.3999999999996</v>
      </c>
      <c r="AA30" s="2">
        <v>3313.51</v>
      </c>
      <c r="AB30" s="2">
        <v>3519.48</v>
      </c>
      <c r="AC30" s="2">
        <v>2194.5100000000002</v>
      </c>
      <c r="AD30" s="2">
        <v>3608.5</v>
      </c>
      <c r="AE30" s="2">
        <v>2429.54</v>
      </c>
      <c r="AF30" s="2">
        <v>3702.75</v>
      </c>
      <c r="AG30" s="2">
        <v>3075.89</v>
      </c>
      <c r="AH30" s="2">
        <v>3540.05</v>
      </c>
      <c r="AI30" s="2">
        <v>3090.79</v>
      </c>
      <c r="AJ30" s="2">
        <v>3623.8</v>
      </c>
      <c r="AK30" s="2">
        <v>2972.55</v>
      </c>
      <c r="AL30" s="2">
        <v>3641.59</v>
      </c>
      <c r="AM30" s="2">
        <v>3003.99</v>
      </c>
      <c r="AN30" s="2">
        <v>3317.69</v>
      </c>
      <c r="AO30" s="2">
        <v>2969.46</v>
      </c>
      <c r="AP30" s="2">
        <v>2850.34</v>
      </c>
      <c r="AQ30" s="2">
        <v>3222.57</v>
      </c>
      <c r="AR30" s="2">
        <v>2549.4299999999998</v>
      </c>
      <c r="AU30" s="1" t="s">
        <v>28</v>
      </c>
      <c r="AV30" s="2">
        <v>15389.45</v>
      </c>
      <c r="AW30" s="2">
        <v>16661.490000000002</v>
      </c>
      <c r="AX30" s="2">
        <v>13691.87</v>
      </c>
      <c r="AY30" s="2">
        <v>14608.23</v>
      </c>
      <c r="AZ30" s="2">
        <v>10386.81</v>
      </c>
      <c r="BA30" s="2">
        <v>15789.17</v>
      </c>
      <c r="BB30" s="2">
        <v>11817.33</v>
      </c>
      <c r="BC30" s="2">
        <v>11953.88</v>
      </c>
      <c r="BD30" s="2">
        <v>12764.41</v>
      </c>
      <c r="BE30" s="2">
        <v>12389.01</v>
      </c>
      <c r="BF30" s="2">
        <v>10605.8</v>
      </c>
      <c r="BG30" s="2">
        <v>12809.29</v>
      </c>
      <c r="BH30" s="2">
        <v>10104.959999999999</v>
      </c>
      <c r="BI30" s="2">
        <v>13012.97</v>
      </c>
      <c r="BJ30" s="2">
        <v>10248.31</v>
      </c>
      <c r="BK30" s="2">
        <v>11599.06</v>
      </c>
      <c r="BL30" s="2">
        <v>10081.23</v>
      </c>
      <c r="BM30" s="2">
        <v>11231.06</v>
      </c>
      <c r="BN30" s="2">
        <v>11573.13</v>
      </c>
      <c r="BO30" s="2">
        <v>13037.67</v>
      </c>
      <c r="BR30" s="1" t="s">
        <v>28</v>
      </c>
      <c r="BS30" s="2">
        <v>18975.599999999999</v>
      </c>
      <c r="BT30" s="2">
        <v>21440.89</v>
      </c>
      <c r="BU30" s="2">
        <v>17005.38</v>
      </c>
      <c r="BV30" s="2">
        <v>18127.71</v>
      </c>
      <c r="BW30" s="2">
        <v>12581.32</v>
      </c>
      <c r="BX30" s="2">
        <v>19397.669999999998</v>
      </c>
      <c r="BY30" s="2">
        <v>14246.86</v>
      </c>
      <c r="BZ30" s="2">
        <v>15656.63</v>
      </c>
      <c r="CA30" s="2">
        <v>15840.3</v>
      </c>
      <c r="CB30" s="2">
        <v>15929.06</v>
      </c>
      <c r="CC30" s="2">
        <v>13696.59</v>
      </c>
      <c r="CD30" s="2">
        <v>16433.09</v>
      </c>
      <c r="CE30" s="2">
        <v>13077.51</v>
      </c>
      <c r="CF30" s="2">
        <v>16654.560000000001</v>
      </c>
      <c r="CG30" s="2">
        <v>13252.3</v>
      </c>
      <c r="CH30" s="2">
        <v>14916.75</v>
      </c>
      <c r="CI30" s="2">
        <v>13050.69</v>
      </c>
      <c r="CJ30" s="2">
        <v>14081.4</v>
      </c>
      <c r="CK30" s="2">
        <v>14795.7</v>
      </c>
      <c r="CL30" s="2">
        <v>15587.1</v>
      </c>
    </row>
    <row r="33" spans="2:90" x14ac:dyDescent="0.3">
      <c r="B33" t="s">
        <v>33</v>
      </c>
      <c r="X33" t="s">
        <v>34</v>
      </c>
      <c r="AU33" t="s">
        <v>35</v>
      </c>
      <c r="BR33" t="s">
        <v>36</v>
      </c>
    </row>
    <row r="34" spans="2:90" x14ac:dyDescent="0.3">
      <c r="B34" s="1" t="s">
        <v>16</v>
      </c>
      <c r="C34" s="1" t="s">
        <v>17</v>
      </c>
      <c r="D34" s="1" t="s">
        <v>18</v>
      </c>
      <c r="E34" s="1" t="s">
        <v>17</v>
      </c>
      <c r="F34" s="1" t="s">
        <v>18</v>
      </c>
      <c r="G34" s="1" t="s">
        <v>17</v>
      </c>
      <c r="H34" s="1" t="s">
        <v>18</v>
      </c>
      <c r="I34" s="1" t="s">
        <v>17</v>
      </c>
      <c r="J34" s="1" t="s">
        <v>18</v>
      </c>
      <c r="K34" s="1" t="s">
        <v>17</v>
      </c>
      <c r="L34" s="1" t="s">
        <v>18</v>
      </c>
      <c r="M34" s="1" t="s">
        <v>17</v>
      </c>
      <c r="N34" s="1" t="s">
        <v>18</v>
      </c>
      <c r="O34" s="1" t="s">
        <v>17</v>
      </c>
      <c r="P34" s="1" t="s">
        <v>18</v>
      </c>
      <c r="Q34" s="1" t="s">
        <v>17</v>
      </c>
      <c r="R34" s="1" t="s">
        <v>18</v>
      </c>
      <c r="S34" s="1" t="s">
        <v>17</v>
      </c>
      <c r="T34" s="1" t="s">
        <v>18</v>
      </c>
      <c r="U34" s="1" t="s">
        <v>17</v>
      </c>
      <c r="V34" s="1" t="s">
        <v>18</v>
      </c>
      <c r="X34" s="1" t="s">
        <v>16</v>
      </c>
      <c r="Y34" s="1" t="s">
        <v>17</v>
      </c>
      <c r="Z34" s="1" t="s">
        <v>18</v>
      </c>
      <c r="AA34" s="1" t="s">
        <v>17</v>
      </c>
      <c r="AB34" s="1" t="s">
        <v>18</v>
      </c>
      <c r="AC34" s="1" t="s">
        <v>17</v>
      </c>
      <c r="AD34" s="1" t="s">
        <v>18</v>
      </c>
      <c r="AE34" s="1" t="s">
        <v>17</v>
      </c>
      <c r="AF34" s="1" t="s">
        <v>18</v>
      </c>
      <c r="AG34" s="1" t="s">
        <v>17</v>
      </c>
      <c r="AH34" s="1" t="s">
        <v>18</v>
      </c>
      <c r="AI34" s="1" t="s">
        <v>17</v>
      </c>
      <c r="AJ34" s="1" t="s">
        <v>18</v>
      </c>
      <c r="AK34" s="1" t="s">
        <v>17</v>
      </c>
      <c r="AL34" s="1" t="s">
        <v>18</v>
      </c>
      <c r="AM34" s="1" t="s">
        <v>17</v>
      </c>
      <c r="AN34" s="1" t="s">
        <v>18</v>
      </c>
      <c r="AO34" s="1" t="s">
        <v>17</v>
      </c>
      <c r="AP34" s="1" t="s">
        <v>18</v>
      </c>
      <c r="AQ34" s="1" t="s">
        <v>17</v>
      </c>
      <c r="AR34" s="1" t="s">
        <v>18</v>
      </c>
      <c r="AU34" s="1" t="s">
        <v>16</v>
      </c>
      <c r="AV34" s="1" t="s">
        <v>17</v>
      </c>
      <c r="AW34" s="1" t="s">
        <v>18</v>
      </c>
      <c r="AX34" s="1" t="s">
        <v>17</v>
      </c>
      <c r="AY34" s="1" t="s">
        <v>18</v>
      </c>
      <c r="AZ34" s="1" t="s">
        <v>17</v>
      </c>
      <c r="BA34" s="1" t="s">
        <v>18</v>
      </c>
      <c r="BB34" s="1" t="s">
        <v>17</v>
      </c>
      <c r="BC34" s="1" t="s">
        <v>18</v>
      </c>
      <c r="BD34" s="1" t="s">
        <v>17</v>
      </c>
      <c r="BE34" s="1" t="s">
        <v>18</v>
      </c>
      <c r="BF34" s="1" t="s">
        <v>17</v>
      </c>
      <c r="BG34" s="1" t="s">
        <v>18</v>
      </c>
      <c r="BH34" s="1" t="s">
        <v>17</v>
      </c>
      <c r="BI34" s="1" t="s">
        <v>18</v>
      </c>
      <c r="BJ34" s="1" t="s">
        <v>17</v>
      </c>
      <c r="BK34" s="1" t="s">
        <v>18</v>
      </c>
      <c r="BL34" s="1" t="s">
        <v>17</v>
      </c>
      <c r="BM34" s="1" t="s">
        <v>18</v>
      </c>
      <c r="BN34" s="1" t="s">
        <v>17</v>
      </c>
      <c r="BO34" s="1" t="s">
        <v>18</v>
      </c>
      <c r="BR34" s="1" t="s">
        <v>16</v>
      </c>
      <c r="BS34" s="1" t="s">
        <v>17</v>
      </c>
      <c r="BT34" s="1" t="s">
        <v>18</v>
      </c>
      <c r="BU34" s="1" t="s">
        <v>17</v>
      </c>
      <c r="BV34" s="1" t="s">
        <v>18</v>
      </c>
      <c r="BW34" s="1" t="s">
        <v>17</v>
      </c>
      <c r="BX34" s="1" t="s">
        <v>18</v>
      </c>
      <c r="BY34" s="1" t="s">
        <v>17</v>
      </c>
      <c r="BZ34" s="1" t="s">
        <v>18</v>
      </c>
      <c r="CA34" s="1" t="s">
        <v>17</v>
      </c>
      <c r="CB34" s="1" t="s">
        <v>18</v>
      </c>
      <c r="CC34" s="1" t="s">
        <v>17</v>
      </c>
      <c r="CD34" s="1" t="s">
        <v>18</v>
      </c>
      <c r="CE34" s="1" t="s">
        <v>17</v>
      </c>
      <c r="CF34" s="1" t="s">
        <v>18</v>
      </c>
      <c r="CG34" s="1" t="s">
        <v>17</v>
      </c>
      <c r="CH34" s="1" t="s">
        <v>18</v>
      </c>
      <c r="CI34" s="1" t="s">
        <v>17</v>
      </c>
      <c r="CJ34" s="1" t="s">
        <v>18</v>
      </c>
      <c r="CK34" s="1" t="s">
        <v>17</v>
      </c>
      <c r="CL34" s="1" t="s">
        <v>18</v>
      </c>
    </row>
    <row r="35" spans="2:90" x14ac:dyDescent="0.3">
      <c r="B35" s="1" t="s">
        <v>19</v>
      </c>
      <c r="C35" s="1" t="s">
        <v>1</v>
      </c>
      <c r="D35" s="1" t="s">
        <v>1</v>
      </c>
      <c r="E35" s="1" t="s">
        <v>2</v>
      </c>
      <c r="F35" s="1" t="s">
        <v>2</v>
      </c>
      <c r="G35" s="1" t="s">
        <v>3</v>
      </c>
      <c r="H35" s="1" t="s">
        <v>3</v>
      </c>
      <c r="I35" s="1" t="s">
        <v>4</v>
      </c>
      <c r="J35" s="1" t="s">
        <v>4</v>
      </c>
      <c r="K35" s="1" t="s">
        <v>5</v>
      </c>
      <c r="L35" s="1" t="s">
        <v>5</v>
      </c>
      <c r="M35" s="1" t="s">
        <v>6</v>
      </c>
      <c r="N35" s="1" t="s">
        <v>6</v>
      </c>
      <c r="O35" s="1" t="s">
        <v>7</v>
      </c>
      <c r="P35" s="1" t="s">
        <v>7</v>
      </c>
      <c r="Q35" s="1" t="s">
        <v>8</v>
      </c>
      <c r="R35" s="1" t="s">
        <v>8</v>
      </c>
      <c r="S35" s="1" t="s">
        <v>9</v>
      </c>
      <c r="T35" s="1" t="s">
        <v>9</v>
      </c>
      <c r="U35" s="1" t="s">
        <v>10</v>
      </c>
      <c r="V35" s="1" t="s">
        <v>10</v>
      </c>
      <c r="X35" s="1" t="s">
        <v>19</v>
      </c>
      <c r="Y35" s="1" t="s">
        <v>1</v>
      </c>
      <c r="Z35" s="1" t="s">
        <v>1</v>
      </c>
      <c r="AA35" s="1" t="s">
        <v>2</v>
      </c>
      <c r="AB35" s="1" t="s">
        <v>2</v>
      </c>
      <c r="AC35" s="1" t="s">
        <v>3</v>
      </c>
      <c r="AD35" s="1" t="s">
        <v>3</v>
      </c>
      <c r="AE35" s="1" t="s">
        <v>4</v>
      </c>
      <c r="AF35" s="1" t="s">
        <v>4</v>
      </c>
      <c r="AG35" s="1" t="s">
        <v>5</v>
      </c>
      <c r="AH35" s="1" t="s">
        <v>5</v>
      </c>
      <c r="AI35" s="1" t="s">
        <v>6</v>
      </c>
      <c r="AJ35" s="1" t="s">
        <v>6</v>
      </c>
      <c r="AK35" s="1" t="s">
        <v>7</v>
      </c>
      <c r="AL35" s="1" t="s">
        <v>7</v>
      </c>
      <c r="AM35" s="1" t="s">
        <v>8</v>
      </c>
      <c r="AN35" s="1" t="s">
        <v>8</v>
      </c>
      <c r="AO35" s="1" t="s">
        <v>9</v>
      </c>
      <c r="AP35" s="1" t="s">
        <v>9</v>
      </c>
      <c r="AQ35" s="1" t="s">
        <v>10</v>
      </c>
      <c r="AR35" s="1" t="s">
        <v>10</v>
      </c>
      <c r="AU35" s="1" t="s">
        <v>19</v>
      </c>
      <c r="AV35" s="1" t="s">
        <v>1</v>
      </c>
      <c r="AW35" s="1" t="s">
        <v>1</v>
      </c>
      <c r="AX35" s="1" t="s">
        <v>2</v>
      </c>
      <c r="AY35" s="1" t="s">
        <v>2</v>
      </c>
      <c r="AZ35" s="1" t="s">
        <v>3</v>
      </c>
      <c r="BA35" s="1" t="s">
        <v>3</v>
      </c>
      <c r="BB35" s="1" t="s">
        <v>4</v>
      </c>
      <c r="BC35" s="1" t="s">
        <v>4</v>
      </c>
      <c r="BD35" s="1" t="s">
        <v>5</v>
      </c>
      <c r="BE35" s="1" t="s">
        <v>5</v>
      </c>
      <c r="BF35" s="1" t="s">
        <v>6</v>
      </c>
      <c r="BG35" s="1" t="s">
        <v>6</v>
      </c>
      <c r="BH35" s="1" t="s">
        <v>7</v>
      </c>
      <c r="BI35" s="1" t="s">
        <v>7</v>
      </c>
      <c r="BJ35" s="1" t="s">
        <v>8</v>
      </c>
      <c r="BK35" s="1" t="s">
        <v>8</v>
      </c>
      <c r="BL35" s="1" t="s">
        <v>9</v>
      </c>
      <c r="BM35" s="1" t="s">
        <v>9</v>
      </c>
      <c r="BN35" s="1" t="s">
        <v>10</v>
      </c>
      <c r="BO35" s="1" t="s">
        <v>10</v>
      </c>
      <c r="BR35" s="1" t="s">
        <v>19</v>
      </c>
      <c r="BS35" s="1" t="s">
        <v>1</v>
      </c>
      <c r="BT35" s="1" t="s">
        <v>1</v>
      </c>
      <c r="BU35" s="1" t="s">
        <v>2</v>
      </c>
      <c r="BV35" s="1" t="s">
        <v>2</v>
      </c>
      <c r="BW35" s="1" t="s">
        <v>3</v>
      </c>
      <c r="BX35" s="1" t="s">
        <v>3</v>
      </c>
      <c r="BY35" s="1" t="s">
        <v>4</v>
      </c>
      <c r="BZ35" s="1" t="s">
        <v>4</v>
      </c>
      <c r="CA35" s="1" t="s">
        <v>5</v>
      </c>
      <c r="CB35" s="1" t="s">
        <v>5</v>
      </c>
      <c r="CC35" s="1" t="s">
        <v>6</v>
      </c>
      <c r="CD35" s="1" t="s">
        <v>6</v>
      </c>
      <c r="CE35" s="1" t="s">
        <v>7</v>
      </c>
      <c r="CF35" s="1" t="s">
        <v>7</v>
      </c>
      <c r="CG35" s="1" t="s">
        <v>8</v>
      </c>
      <c r="CH35" s="1" t="s">
        <v>8</v>
      </c>
      <c r="CI35" s="1" t="s">
        <v>9</v>
      </c>
      <c r="CJ35" s="1" t="s">
        <v>9</v>
      </c>
      <c r="CK35" s="1" t="s">
        <v>10</v>
      </c>
      <c r="CL35" s="1" t="s">
        <v>10</v>
      </c>
    </row>
    <row r="36" spans="2:90" x14ac:dyDescent="0.3">
      <c r="B36" s="1" t="s">
        <v>20</v>
      </c>
      <c r="X36" s="1" t="s">
        <v>20</v>
      </c>
      <c r="AU36" s="1" t="s">
        <v>20</v>
      </c>
      <c r="BR36" s="1" t="s">
        <v>20</v>
      </c>
    </row>
    <row r="37" spans="2:90" x14ac:dyDescent="0.3">
      <c r="B37" s="1" t="s">
        <v>21</v>
      </c>
      <c r="C37" s="2">
        <v>2552.0300000000002</v>
      </c>
      <c r="D37" s="2">
        <v>2540.9499999999998</v>
      </c>
      <c r="E37" s="2">
        <v>2187.31</v>
      </c>
      <c r="F37" s="2">
        <v>2047.06</v>
      </c>
      <c r="G37" s="2">
        <v>750.1</v>
      </c>
      <c r="H37" s="2">
        <v>908.01</v>
      </c>
      <c r="I37" s="2">
        <v>3013.81</v>
      </c>
      <c r="J37" s="2">
        <v>2583.2399999999998</v>
      </c>
      <c r="K37" s="2">
        <v>3951.39</v>
      </c>
      <c r="L37" s="2">
        <v>3220.86</v>
      </c>
      <c r="M37" s="2">
        <v>5995.95</v>
      </c>
      <c r="N37" s="2">
        <v>5818.17</v>
      </c>
      <c r="O37" s="2">
        <v>4669.6499999999996</v>
      </c>
      <c r="P37" s="2">
        <v>4722.99</v>
      </c>
      <c r="Q37" s="2">
        <v>6419.92</v>
      </c>
      <c r="R37" s="2">
        <v>6248.62</v>
      </c>
      <c r="S37" s="2">
        <v>5561.86</v>
      </c>
      <c r="T37" s="2">
        <v>4374.46</v>
      </c>
      <c r="U37" s="2">
        <v>7365.04</v>
      </c>
      <c r="V37" s="2">
        <v>6271.05</v>
      </c>
      <c r="X37" s="1" t="s">
        <v>21</v>
      </c>
      <c r="Y37" s="2">
        <v>363.03</v>
      </c>
      <c r="Z37" s="2">
        <v>361.46</v>
      </c>
      <c r="AA37" s="2">
        <v>311.14999999999998</v>
      </c>
      <c r="AB37" s="2">
        <v>291.2</v>
      </c>
      <c r="AC37" s="2">
        <v>277.43</v>
      </c>
      <c r="AD37" s="2">
        <v>335.83</v>
      </c>
      <c r="AE37" s="2">
        <v>348.34</v>
      </c>
      <c r="AF37" s="2">
        <v>298.57</v>
      </c>
      <c r="AG37" s="2">
        <v>365.36</v>
      </c>
      <c r="AH37" s="2">
        <v>297.81</v>
      </c>
      <c r="AI37" s="2">
        <v>308.01</v>
      </c>
      <c r="AJ37" s="2">
        <v>298.87</v>
      </c>
      <c r="AK37" s="2">
        <v>297.77999999999997</v>
      </c>
      <c r="AL37" s="2">
        <v>301.18</v>
      </c>
      <c r="AM37" s="2">
        <v>312.43</v>
      </c>
      <c r="AN37" s="2">
        <v>304.08999999999997</v>
      </c>
      <c r="AO37" s="2">
        <v>302.51</v>
      </c>
      <c r="AP37" s="2">
        <v>237.93</v>
      </c>
      <c r="AQ37" s="2">
        <v>302.67</v>
      </c>
      <c r="AR37" s="2">
        <v>257.70999999999998</v>
      </c>
      <c r="AU37" s="1" t="s">
        <v>21</v>
      </c>
      <c r="AV37" s="2">
        <v>3410.37</v>
      </c>
      <c r="AW37" s="2">
        <v>3386.77</v>
      </c>
      <c r="AX37" s="2">
        <v>2867.55</v>
      </c>
      <c r="AY37" s="2">
        <v>2682.3</v>
      </c>
      <c r="AZ37" s="2">
        <v>2636.97</v>
      </c>
      <c r="BA37" s="2">
        <v>3140.22</v>
      </c>
      <c r="BB37" s="2">
        <v>3326.55</v>
      </c>
      <c r="BC37" s="2">
        <v>2837.43</v>
      </c>
      <c r="BD37" s="2">
        <v>3473.47</v>
      </c>
      <c r="BE37" s="2">
        <v>2838.19</v>
      </c>
      <c r="BF37" s="2">
        <v>2898.03</v>
      </c>
      <c r="BG37" s="2">
        <v>2837.13</v>
      </c>
      <c r="BH37" s="2">
        <v>2838.22</v>
      </c>
      <c r="BI37" s="2">
        <v>2834.82</v>
      </c>
      <c r="BJ37" s="2">
        <v>2939.2</v>
      </c>
      <c r="BK37" s="2">
        <v>2858.81</v>
      </c>
      <c r="BL37" s="2">
        <v>2833.49</v>
      </c>
      <c r="BM37" s="2">
        <v>2255.67</v>
      </c>
      <c r="BN37" s="2">
        <v>2853.12</v>
      </c>
      <c r="BO37" s="2">
        <v>2427.09</v>
      </c>
      <c r="BR37" s="1" t="s">
        <v>21</v>
      </c>
      <c r="BS37" s="2">
        <v>3773.4</v>
      </c>
      <c r="BT37" s="2">
        <v>3748.22</v>
      </c>
      <c r="BU37" s="2">
        <v>3178.7</v>
      </c>
      <c r="BV37" s="2">
        <v>2973.5</v>
      </c>
      <c r="BW37" s="2">
        <v>2914.4</v>
      </c>
      <c r="BX37" s="2">
        <v>3476.05</v>
      </c>
      <c r="BY37" s="2">
        <v>3674.88</v>
      </c>
      <c r="BZ37" s="2">
        <v>3136</v>
      </c>
      <c r="CA37" s="2">
        <v>3838.83</v>
      </c>
      <c r="CB37" s="2">
        <v>3136</v>
      </c>
      <c r="CC37" s="2">
        <v>3206.04</v>
      </c>
      <c r="CD37" s="2">
        <v>3136</v>
      </c>
      <c r="CE37" s="2">
        <v>3136</v>
      </c>
      <c r="CF37" s="2">
        <v>3136</v>
      </c>
      <c r="CG37" s="2">
        <v>3251.63</v>
      </c>
      <c r="CH37" s="2">
        <v>3162.9</v>
      </c>
      <c r="CI37" s="2">
        <v>3136</v>
      </c>
      <c r="CJ37" s="2">
        <v>2493.6</v>
      </c>
      <c r="CK37" s="2">
        <v>3155.78</v>
      </c>
      <c r="CL37" s="2">
        <v>2684.8</v>
      </c>
    </row>
    <row r="38" spans="2:90" x14ac:dyDescent="0.3">
      <c r="B38" s="1" t="s">
        <v>22</v>
      </c>
      <c r="C38" s="2">
        <v>8393.15</v>
      </c>
      <c r="D38" s="2">
        <v>1969.69</v>
      </c>
      <c r="E38" s="2">
        <v>8325.48</v>
      </c>
      <c r="F38" s="2">
        <v>2042.48</v>
      </c>
      <c r="G38" s="2">
        <v>1642.47</v>
      </c>
      <c r="H38" s="2">
        <v>1407.97</v>
      </c>
      <c r="I38" s="2">
        <v>11978.07</v>
      </c>
      <c r="J38" s="2">
        <v>7029.67</v>
      </c>
      <c r="K38" s="2">
        <v>10381.6</v>
      </c>
      <c r="L38" s="2">
        <v>6883.75</v>
      </c>
      <c r="M38" s="2">
        <v>23069.78</v>
      </c>
      <c r="N38" s="2">
        <v>13043.58</v>
      </c>
      <c r="O38" s="2">
        <v>12957.81</v>
      </c>
      <c r="P38" s="2">
        <v>12875.51</v>
      </c>
      <c r="Q38" s="2">
        <v>16944.91</v>
      </c>
      <c r="R38" s="2">
        <v>13087.07</v>
      </c>
      <c r="S38" s="2">
        <v>15152.36</v>
      </c>
      <c r="T38" s="2">
        <v>7751.52</v>
      </c>
      <c r="U38" s="2">
        <v>25253.63</v>
      </c>
      <c r="V38" s="2">
        <v>6019.25</v>
      </c>
      <c r="X38" s="1" t="s">
        <v>22</v>
      </c>
      <c r="Y38" s="2">
        <v>1533.6</v>
      </c>
      <c r="Z38" s="2">
        <v>986.18</v>
      </c>
      <c r="AA38" s="2">
        <v>1654.32</v>
      </c>
      <c r="AB38" s="2">
        <v>1130.8</v>
      </c>
      <c r="AC38" s="2">
        <v>1275.71</v>
      </c>
      <c r="AD38" s="2">
        <v>1397.08</v>
      </c>
      <c r="AE38" s="2">
        <v>1665.39</v>
      </c>
      <c r="AF38" s="2">
        <v>1706.23</v>
      </c>
      <c r="AG38" s="2">
        <v>2015.85</v>
      </c>
      <c r="AH38" s="2">
        <v>1336.65</v>
      </c>
      <c r="AI38" s="2">
        <v>1304.68</v>
      </c>
      <c r="AJ38" s="2">
        <v>1407.07</v>
      </c>
      <c r="AK38" s="2">
        <v>1735.23</v>
      </c>
      <c r="AL38" s="2">
        <v>1724.21</v>
      </c>
      <c r="AM38" s="2">
        <v>1731.72</v>
      </c>
      <c r="AN38" s="2">
        <v>1337.46</v>
      </c>
      <c r="AO38" s="2">
        <v>1730.71</v>
      </c>
      <c r="AP38" s="2">
        <v>959.11</v>
      </c>
      <c r="AQ38" s="2">
        <v>1354.79</v>
      </c>
      <c r="AR38" s="2">
        <v>933.04</v>
      </c>
      <c r="AU38" s="1" t="s">
        <v>22</v>
      </c>
      <c r="AV38" s="2">
        <v>9244.7199999999993</v>
      </c>
      <c r="AW38" s="2">
        <v>6016.94</v>
      </c>
      <c r="AX38" s="2">
        <v>9108.89</v>
      </c>
      <c r="AY38" s="2">
        <v>6020.99</v>
      </c>
      <c r="AZ38" s="2">
        <v>5887.39</v>
      </c>
      <c r="BA38" s="2">
        <v>7409.14</v>
      </c>
      <c r="BB38" s="2">
        <v>9670.61</v>
      </c>
      <c r="BC38" s="2">
        <v>6250.6</v>
      </c>
      <c r="BD38" s="2">
        <v>8830.2199999999993</v>
      </c>
      <c r="BE38" s="2">
        <v>6580.65</v>
      </c>
      <c r="BF38" s="2">
        <v>8499.52</v>
      </c>
      <c r="BG38" s="2">
        <v>6666.73</v>
      </c>
      <c r="BH38" s="2">
        <v>6984.72</v>
      </c>
      <c r="BI38" s="2">
        <v>6995.67</v>
      </c>
      <c r="BJ38" s="2">
        <v>6988.28</v>
      </c>
      <c r="BK38" s="2">
        <v>6982.26</v>
      </c>
      <c r="BL38" s="2">
        <v>6989.29</v>
      </c>
      <c r="BM38" s="2">
        <v>5916.42</v>
      </c>
      <c r="BN38" s="2">
        <v>9424.9500000000007</v>
      </c>
      <c r="BO38" s="2">
        <v>5920.07</v>
      </c>
      <c r="BR38" s="1" t="s">
        <v>22</v>
      </c>
      <c r="BS38" s="2">
        <v>10778.32</v>
      </c>
      <c r="BT38" s="2">
        <v>7003.12</v>
      </c>
      <c r="BU38" s="2">
        <v>10763.21</v>
      </c>
      <c r="BV38" s="2">
        <v>7151.79</v>
      </c>
      <c r="BW38" s="2">
        <v>7163.1</v>
      </c>
      <c r="BX38" s="2">
        <v>8806.2199999999993</v>
      </c>
      <c r="BY38" s="2">
        <v>11336</v>
      </c>
      <c r="BZ38" s="2">
        <v>7956.83</v>
      </c>
      <c r="CA38" s="2">
        <v>10846.06</v>
      </c>
      <c r="CB38" s="2">
        <v>7917.3</v>
      </c>
      <c r="CC38" s="2">
        <v>9804.2000000000007</v>
      </c>
      <c r="CD38" s="2">
        <v>8073.8</v>
      </c>
      <c r="CE38" s="2">
        <v>8719.9500000000007</v>
      </c>
      <c r="CF38" s="2">
        <v>8719.8700000000008</v>
      </c>
      <c r="CG38" s="2">
        <v>8720</v>
      </c>
      <c r="CH38" s="2">
        <v>8319.7199999999993</v>
      </c>
      <c r="CI38" s="2">
        <v>8720</v>
      </c>
      <c r="CJ38" s="2">
        <v>6875.52</v>
      </c>
      <c r="CK38" s="2">
        <v>10779.74</v>
      </c>
      <c r="CL38" s="2">
        <v>6853.11</v>
      </c>
    </row>
    <row r="39" spans="2:90" x14ac:dyDescent="0.3">
      <c r="B39" s="1" t="s">
        <v>23</v>
      </c>
      <c r="C39" s="2">
        <v>71510.67</v>
      </c>
      <c r="D39" s="2">
        <v>5937.07</v>
      </c>
      <c r="E39" s="2">
        <v>71222.64</v>
      </c>
      <c r="F39" s="2">
        <v>4807.47</v>
      </c>
      <c r="G39" s="2">
        <v>22478.3</v>
      </c>
      <c r="H39" s="2">
        <v>17721.669999999998</v>
      </c>
      <c r="I39" s="2">
        <v>88706.73</v>
      </c>
      <c r="J39" s="2">
        <v>29918.06</v>
      </c>
      <c r="K39" s="2">
        <v>106114.34</v>
      </c>
      <c r="L39" s="2">
        <v>31623.35</v>
      </c>
      <c r="M39" s="2">
        <v>190445.03</v>
      </c>
      <c r="N39" s="2">
        <v>57394.37</v>
      </c>
      <c r="O39" s="2">
        <v>144170.48000000001</v>
      </c>
      <c r="P39" s="2">
        <v>49249.82</v>
      </c>
      <c r="Q39" s="2">
        <v>181239.21</v>
      </c>
      <c r="R39" s="2">
        <v>58962.55</v>
      </c>
      <c r="S39" s="2">
        <v>61328.45</v>
      </c>
      <c r="T39" s="2">
        <v>39428.31</v>
      </c>
      <c r="U39" s="2">
        <v>52608.57</v>
      </c>
      <c r="V39" s="2">
        <v>42246.53</v>
      </c>
      <c r="X39" s="1" t="s">
        <v>23</v>
      </c>
      <c r="Y39" s="2">
        <v>2373.6</v>
      </c>
      <c r="Z39" s="2">
        <v>820.8</v>
      </c>
      <c r="AA39" s="2">
        <v>2364.0500000000002</v>
      </c>
      <c r="AB39" s="2">
        <v>857.35</v>
      </c>
      <c r="AC39" s="2">
        <v>1939.88</v>
      </c>
      <c r="AD39" s="2">
        <v>1586.83</v>
      </c>
      <c r="AE39" s="2">
        <v>2392.31</v>
      </c>
      <c r="AF39" s="2">
        <v>2420.56</v>
      </c>
      <c r="AG39" s="2">
        <v>2289.41</v>
      </c>
      <c r="AH39" s="2">
        <v>2046.82</v>
      </c>
      <c r="AI39" s="2">
        <v>2282.69</v>
      </c>
      <c r="AJ39" s="2">
        <v>2063.81</v>
      </c>
      <c r="AK39" s="2">
        <v>2145.15</v>
      </c>
      <c r="AL39" s="2">
        <v>2198.41</v>
      </c>
      <c r="AM39" s="2">
        <v>2058.02</v>
      </c>
      <c r="AN39" s="2">
        <v>2008.6</v>
      </c>
      <c r="AO39" s="2">
        <v>2334.9899999999998</v>
      </c>
      <c r="AP39" s="2">
        <v>1501.17</v>
      </c>
      <c r="AQ39" s="2">
        <v>1513.37</v>
      </c>
      <c r="AR39" s="2">
        <v>1215.29</v>
      </c>
      <c r="AU39" s="1" t="s">
        <v>23</v>
      </c>
      <c r="AV39" s="2">
        <v>8255.66</v>
      </c>
      <c r="AW39" s="2">
        <v>5133.7</v>
      </c>
      <c r="AX39" s="2">
        <v>7853.43</v>
      </c>
      <c r="AY39" s="2">
        <v>4559.3599999999997</v>
      </c>
      <c r="AZ39" s="2">
        <v>6233.25</v>
      </c>
      <c r="BA39" s="2">
        <v>7513.07</v>
      </c>
      <c r="BB39" s="2">
        <v>8807.69</v>
      </c>
      <c r="BC39" s="2">
        <v>7259.44</v>
      </c>
      <c r="BD39" s="2">
        <v>8910.59</v>
      </c>
      <c r="BE39" s="2">
        <v>7015.94</v>
      </c>
      <c r="BF39" s="2">
        <v>8917.31</v>
      </c>
      <c r="BG39" s="2">
        <v>7044.08</v>
      </c>
      <c r="BH39" s="2">
        <v>8246.36</v>
      </c>
      <c r="BI39" s="2">
        <v>7201.05</v>
      </c>
      <c r="BJ39" s="2">
        <v>7822.43</v>
      </c>
      <c r="BK39" s="2">
        <v>6973.11</v>
      </c>
      <c r="BL39" s="2">
        <v>7332.61</v>
      </c>
      <c r="BM39" s="2">
        <v>6340.46</v>
      </c>
      <c r="BN39" s="2">
        <v>6345.03</v>
      </c>
      <c r="BO39" s="2">
        <v>5879.76</v>
      </c>
      <c r="BR39" s="1" t="s">
        <v>23</v>
      </c>
      <c r="BS39" s="2">
        <v>10629.26</v>
      </c>
      <c r="BT39" s="2">
        <v>5954.5</v>
      </c>
      <c r="BU39" s="2">
        <v>10217.48</v>
      </c>
      <c r="BV39" s="2">
        <v>5416.71</v>
      </c>
      <c r="BW39" s="2">
        <v>8173.12</v>
      </c>
      <c r="BX39" s="2">
        <v>9099.9</v>
      </c>
      <c r="BY39" s="2">
        <v>11200</v>
      </c>
      <c r="BZ39" s="2">
        <v>9680</v>
      </c>
      <c r="CA39" s="2">
        <v>11200</v>
      </c>
      <c r="CB39" s="2">
        <v>9062.75</v>
      </c>
      <c r="CC39" s="2">
        <v>11200</v>
      </c>
      <c r="CD39" s="2">
        <v>9107.8799999999992</v>
      </c>
      <c r="CE39" s="2">
        <v>10391.52</v>
      </c>
      <c r="CF39" s="2">
        <v>9399.4599999999991</v>
      </c>
      <c r="CG39" s="2">
        <v>9880.4500000000007</v>
      </c>
      <c r="CH39" s="2">
        <v>8981.7099999999991</v>
      </c>
      <c r="CI39" s="2">
        <v>9667.6</v>
      </c>
      <c r="CJ39" s="2">
        <v>7841.63</v>
      </c>
      <c r="CK39" s="2">
        <v>7858.4</v>
      </c>
      <c r="CL39" s="2">
        <v>7095.05</v>
      </c>
    </row>
    <row r="40" spans="2:90" x14ac:dyDescent="0.3">
      <c r="B40" s="1" t="s">
        <v>24</v>
      </c>
      <c r="C40" s="2">
        <v>11689</v>
      </c>
      <c r="D40" s="2">
        <v>3042.92</v>
      </c>
      <c r="E40" s="2">
        <v>7639.24</v>
      </c>
      <c r="F40" s="2">
        <v>1776.66</v>
      </c>
      <c r="G40" s="2">
        <v>2584.9699999999998</v>
      </c>
      <c r="H40" s="2">
        <v>4751.0200000000004</v>
      </c>
      <c r="I40" s="2">
        <v>9530.5499999999993</v>
      </c>
      <c r="J40" s="2">
        <v>9480.1200000000008</v>
      </c>
      <c r="K40" s="2">
        <v>11408.54</v>
      </c>
      <c r="L40" s="2">
        <v>10404</v>
      </c>
      <c r="M40" s="2">
        <v>20523.830000000002</v>
      </c>
      <c r="N40" s="2">
        <v>17584.21</v>
      </c>
      <c r="O40" s="2">
        <v>24227.22</v>
      </c>
      <c r="P40" s="2">
        <v>15038.58</v>
      </c>
      <c r="Q40" s="2">
        <v>21621.61</v>
      </c>
      <c r="R40" s="2">
        <v>22660.639999999999</v>
      </c>
      <c r="S40" s="2">
        <v>18604.009999999998</v>
      </c>
      <c r="T40" s="2">
        <v>12039.38</v>
      </c>
      <c r="U40" s="2">
        <v>16493.439999999999</v>
      </c>
      <c r="V40" s="2">
        <v>14210.72</v>
      </c>
      <c r="X40" s="1" t="s">
        <v>24</v>
      </c>
      <c r="Y40" s="2">
        <v>1745.93</v>
      </c>
      <c r="Z40" s="2">
        <v>909.02</v>
      </c>
      <c r="AA40" s="2">
        <v>2282.0700000000002</v>
      </c>
      <c r="AB40" s="2">
        <v>1036.6199999999999</v>
      </c>
      <c r="AC40" s="2">
        <v>2007.74</v>
      </c>
      <c r="AD40" s="2">
        <v>1845.05</v>
      </c>
      <c r="AE40" s="2">
        <v>2313.2399999999998</v>
      </c>
      <c r="AF40" s="2">
        <v>2301</v>
      </c>
      <c r="AG40" s="2">
        <v>2215.25</v>
      </c>
      <c r="AH40" s="2">
        <v>2020.19</v>
      </c>
      <c r="AI40" s="2">
        <v>2214.0100000000002</v>
      </c>
      <c r="AJ40" s="2">
        <v>1896.89</v>
      </c>
      <c r="AK40" s="2">
        <v>1622.18</v>
      </c>
      <c r="AL40" s="2">
        <v>2013.87</v>
      </c>
      <c r="AM40" s="2">
        <v>2209.67</v>
      </c>
      <c r="AN40" s="2">
        <v>1157.93</v>
      </c>
      <c r="AO40" s="2">
        <v>1128.02</v>
      </c>
      <c r="AP40" s="2">
        <v>1375.14</v>
      </c>
      <c r="AQ40" s="2">
        <v>1423.38</v>
      </c>
      <c r="AR40" s="2">
        <v>1226.3800000000001</v>
      </c>
      <c r="AU40" s="1" t="s">
        <v>24</v>
      </c>
      <c r="AV40" s="2">
        <v>7584.9</v>
      </c>
      <c r="AW40" s="2">
        <v>5775.07</v>
      </c>
      <c r="AX40" s="2">
        <v>6568.78</v>
      </c>
      <c r="AY40" s="2">
        <v>5689.86</v>
      </c>
      <c r="AZ40" s="2">
        <v>5556.05</v>
      </c>
      <c r="BA40" s="2">
        <v>7834.95</v>
      </c>
      <c r="BB40" s="2">
        <v>7366.76</v>
      </c>
      <c r="BC40" s="2">
        <v>7379</v>
      </c>
      <c r="BD40" s="2">
        <v>7464.75</v>
      </c>
      <c r="BE40" s="2">
        <v>7311.55</v>
      </c>
      <c r="BF40" s="2">
        <v>7465.99</v>
      </c>
      <c r="BG40" s="2">
        <v>7215.84</v>
      </c>
      <c r="BH40" s="2">
        <v>8057.82</v>
      </c>
      <c r="BI40" s="2">
        <v>7323.22</v>
      </c>
      <c r="BJ40" s="2">
        <v>7470.33</v>
      </c>
      <c r="BK40" s="2">
        <v>7674.42</v>
      </c>
      <c r="BL40" s="2">
        <v>7522.39</v>
      </c>
      <c r="BM40" s="2">
        <v>6720.54</v>
      </c>
      <c r="BN40" s="2">
        <v>6758.28</v>
      </c>
      <c r="BO40" s="2">
        <v>6536.69</v>
      </c>
      <c r="BR40" s="1" t="s">
        <v>24</v>
      </c>
      <c r="BS40" s="2">
        <v>9330.83</v>
      </c>
      <c r="BT40" s="2">
        <v>6684.09</v>
      </c>
      <c r="BU40" s="2">
        <v>8850.86</v>
      </c>
      <c r="BV40" s="2">
        <v>6726.48</v>
      </c>
      <c r="BW40" s="2">
        <v>7563.79</v>
      </c>
      <c r="BX40" s="2">
        <v>9680</v>
      </c>
      <c r="BY40" s="2">
        <v>9680</v>
      </c>
      <c r="BZ40" s="2">
        <v>9680</v>
      </c>
      <c r="CA40" s="2">
        <v>9680</v>
      </c>
      <c r="CB40" s="2">
        <v>9331.75</v>
      </c>
      <c r="CC40" s="2">
        <v>9680</v>
      </c>
      <c r="CD40" s="2">
        <v>9112.74</v>
      </c>
      <c r="CE40" s="2">
        <v>9680</v>
      </c>
      <c r="CF40" s="2">
        <v>9337.09</v>
      </c>
      <c r="CG40" s="2">
        <v>9680</v>
      </c>
      <c r="CH40" s="2">
        <v>8832.35</v>
      </c>
      <c r="CI40" s="2">
        <v>8650.42</v>
      </c>
      <c r="CJ40" s="2">
        <v>8095.68</v>
      </c>
      <c r="CK40" s="2">
        <v>8181.66</v>
      </c>
      <c r="CL40" s="2">
        <v>7763.08</v>
      </c>
    </row>
    <row r="41" spans="2:90" x14ac:dyDescent="0.3">
      <c r="B41" s="1" t="s">
        <v>25</v>
      </c>
      <c r="C41" s="2">
        <v>25413</v>
      </c>
      <c r="D41" s="2">
        <v>44806.02</v>
      </c>
      <c r="E41" s="2">
        <v>45350.26</v>
      </c>
      <c r="F41" s="2">
        <v>55445.26</v>
      </c>
      <c r="G41" s="2">
        <v>9649.1299999999992</v>
      </c>
      <c r="H41" s="2">
        <v>10543.93</v>
      </c>
      <c r="I41" s="2">
        <v>45200.63</v>
      </c>
      <c r="J41" s="2">
        <v>36936.39</v>
      </c>
      <c r="K41" s="2">
        <v>48521.279999999999</v>
      </c>
      <c r="L41" s="2">
        <v>47568.17</v>
      </c>
      <c r="M41" s="2">
        <v>87202.26</v>
      </c>
      <c r="N41" s="2">
        <v>90623.07</v>
      </c>
      <c r="O41" s="2">
        <v>70131.460000000006</v>
      </c>
      <c r="P41" s="2">
        <v>73833.320000000007</v>
      </c>
      <c r="Q41" s="2">
        <v>91669.24</v>
      </c>
      <c r="R41" s="2">
        <v>87421.26</v>
      </c>
      <c r="S41" s="2">
        <v>88419.05</v>
      </c>
      <c r="T41" s="2">
        <v>56992.57</v>
      </c>
      <c r="U41" s="2">
        <v>83631.53</v>
      </c>
      <c r="V41" s="2">
        <v>67593.87</v>
      </c>
      <c r="X41" s="1" t="s">
        <v>25</v>
      </c>
      <c r="Y41" s="2">
        <v>1518.33</v>
      </c>
      <c r="Z41" s="2">
        <v>1338.49</v>
      </c>
      <c r="AA41" s="2">
        <v>1354.75</v>
      </c>
      <c r="AB41" s="2">
        <v>1699.41</v>
      </c>
      <c r="AC41" s="2">
        <v>1498.9</v>
      </c>
      <c r="AD41" s="2">
        <v>1637.89</v>
      </c>
      <c r="AE41" s="2">
        <v>1470.63</v>
      </c>
      <c r="AF41" s="2">
        <v>1793.03</v>
      </c>
      <c r="AG41" s="2">
        <v>1884.32</v>
      </c>
      <c r="AH41" s="2">
        <v>1847.31</v>
      </c>
      <c r="AI41" s="2">
        <v>1881.39</v>
      </c>
      <c r="AJ41" s="2">
        <v>1955.19</v>
      </c>
      <c r="AK41" s="2">
        <v>1878.32</v>
      </c>
      <c r="AL41" s="2">
        <v>1977.46</v>
      </c>
      <c r="AM41" s="2">
        <v>1873.67</v>
      </c>
      <c r="AN41" s="2">
        <v>1786.84</v>
      </c>
      <c r="AO41" s="2">
        <v>1120.83</v>
      </c>
      <c r="AP41" s="2">
        <v>1301.94</v>
      </c>
      <c r="AQ41" s="2">
        <v>1443.48</v>
      </c>
      <c r="AR41" s="2">
        <v>1211.29</v>
      </c>
      <c r="AU41" s="1" t="s">
        <v>25</v>
      </c>
      <c r="AV41" s="2">
        <v>4630.99</v>
      </c>
      <c r="AW41" s="2">
        <v>6948.54</v>
      </c>
      <c r="AX41" s="2">
        <v>6585.21</v>
      </c>
      <c r="AY41" s="2">
        <v>9722.82</v>
      </c>
      <c r="AZ41" s="2">
        <v>4394.66</v>
      </c>
      <c r="BA41" s="2">
        <v>4933.51</v>
      </c>
      <c r="BB41" s="2">
        <v>8507.32</v>
      </c>
      <c r="BC41" s="2">
        <v>6077.31</v>
      </c>
      <c r="BD41" s="2">
        <v>7155.68</v>
      </c>
      <c r="BE41" s="2">
        <v>6955.03</v>
      </c>
      <c r="BF41" s="2">
        <v>7158.61</v>
      </c>
      <c r="BG41" s="2">
        <v>7607.76</v>
      </c>
      <c r="BH41" s="2">
        <v>7161.68</v>
      </c>
      <c r="BI41" s="2">
        <v>7750.52</v>
      </c>
      <c r="BJ41" s="2">
        <v>7166.33</v>
      </c>
      <c r="BK41" s="2">
        <v>7081.81</v>
      </c>
      <c r="BL41" s="2">
        <v>7297.47</v>
      </c>
      <c r="BM41" s="2">
        <v>6860.08</v>
      </c>
      <c r="BN41" s="2">
        <v>6912.06</v>
      </c>
      <c r="BO41" s="2">
        <v>8089.78</v>
      </c>
      <c r="BR41" s="1" t="s">
        <v>25</v>
      </c>
      <c r="BS41" s="2">
        <v>6149.31</v>
      </c>
      <c r="BT41" s="2">
        <v>8287.0300000000007</v>
      </c>
      <c r="BU41" s="2">
        <v>7939.96</v>
      </c>
      <c r="BV41" s="2">
        <v>11422.23</v>
      </c>
      <c r="BW41" s="2">
        <v>5893.55</v>
      </c>
      <c r="BX41" s="2">
        <v>6571.41</v>
      </c>
      <c r="BY41" s="2">
        <v>9977.9500000000007</v>
      </c>
      <c r="BZ41" s="2">
        <v>7870.34</v>
      </c>
      <c r="CA41" s="2">
        <v>9040</v>
      </c>
      <c r="CB41" s="2">
        <v>8802.34</v>
      </c>
      <c r="CC41" s="2">
        <v>9040</v>
      </c>
      <c r="CD41" s="2">
        <v>9562.9500000000007</v>
      </c>
      <c r="CE41" s="2">
        <v>9040</v>
      </c>
      <c r="CF41" s="2">
        <v>9727.98</v>
      </c>
      <c r="CG41" s="2">
        <v>9040</v>
      </c>
      <c r="CH41" s="2">
        <v>8868.65</v>
      </c>
      <c r="CI41" s="2">
        <v>8418.2999999999993</v>
      </c>
      <c r="CJ41" s="2">
        <v>8162.02</v>
      </c>
      <c r="CK41" s="2">
        <v>8355.5400000000009</v>
      </c>
      <c r="CL41" s="2">
        <v>9301.07</v>
      </c>
    </row>
    <row r="42" spans="2:90" x14ac:dyDescent="0.3">
      <c r="B42" s="1" t="s">
        <v>26</v>
      </c>
      <c r="C42" s="2">
        <v>6945.86</v>
      </c>
      <c r="D42" s="2">
        <v>10650.79</v>
      </c>
      <c r="E42" s="2">
        <v>13538.18</v>
      </c>
      <c r="F42" s="2">
        <v>13378.59</v>
      </c>
      <c r="G42" s="2">
        <v>2373.7199999999998</v>
      </c>
      <c r="H42" s="2">
        <v>2617.06</v>
      </c>
      <c r="I42" s="2">
        <v>9169.1299999999992</v>
      </c>
      <c r="J42" s="2">
        <v>7143.16</v>
      </c>
      <c r="K42" s="2">
        <v>9977.24</v>
      </c>
      <c r="L42" s="2">
        <v>11742.08</v>
      </c>
      <c r="M42" s="2">
        <v>21349.35</v>
      </c>
      <c r="N42" s="2">
        <v>21529.35</v>
      </c>
      <c r="O42" s="2">
        <v>17300.45</v>
      </c>
      <c r="P42" s="2">
        <v>17356.849999999999</v>
      </c>
      <c r="Q42" s="2">
        <v>22382.73</v>
      </c>
      <c r="R42" s="2">
        <v>22700.9</v>
      </c>
      <c r="S42" s="2">
        <v>17497.95</v>
      </c>
      <c r="T42" s="2">
        <v>20347.599999999999</v>
      </c>
      <c r="U42" s="2">
        <v>20189.41</v>
      </c>
      <c r="V42" s="2">
        <v>18824.63</v>
      </c>
      <c r="X42" s="1" t="s">
        <v>26</v>
      </c>
      <c r="Y42" s="2">
        <v>2074.94</v>
      </c>
      <c r="Z42" s="2">
        <v>1590.86</v>
      </c>
      <c r="AA42" s="2">
        <v>1935.66</v>
      </c>
      <c r="AB42" s="2">
        <v>1974.81</v>
      </c>
      <c r="AC42" s="2">
        <v>1843.67</v>
      </c>
      <c r="AD42" s="2">
        <v>2032.67</v>
      </c>
      <c r="AE42" s="2">
        <v>2225.52</v>
      </c>
      <c r="AF42" s="2">
        <v>1733.78</v>
      </c>
      <c r="AG42" s="2">
        <v>1937.33</v>
      </c>
      <c r="AH42" s="2">
        <v>2280.02</v>
      </c>
      <c r="AI42" s="2">
        <v>2303.06</v>
      </c>
      <c r="AJ42" s="2">
        <v>2322.48</v>
      </c>
      <c r="AK42" s="2">
        <v>2316.77</v>
      </c>
      <c r="AL42" s="2">
        <v>2324.3200000000002</v>
      </c>
      <c r="AM42" s="2">
        <v>2287.46</v>
      </c>
      <c r="AN42" s="2">
        <v>2319.9699999999998</v>
      </c>
      <c r="AO42" s="2">
        <v>1998.62</v>
      </c>
      <c r="AP42" s="2">
        <v>2324.11</v>
      </c>
      <c r="AQ42" s="2">
        <v>1742.34</v>
      </c>
      <c r="AR42" s="2">
        <v>1295.1500000000001</v>
      </c>
      <c r="AU42" s="1" t="s">
        <v>26</v>
      </c>
      <c r="AV42" s="2">
        <v>5454.11</v>
      </c>
      <c r="AW42" s="2">
        <v>6082.02</v>
      </c>
      <c r="AX42" s="2">
        <v>7744.34</v>
      </c>
      <c r="AY42" s="2">
        <v>7705.19</v>
      </c>
      <c r="AZ42" s="2">
        <v>4453.49</v>
      </c>
      <c r="BA42" s="2">
        <v>5113.9399999999996</v>
      </c>
      <c r="BB42" s="2">
        <v>7097.3</v>
      </c>
      <c r="BC42" s="2">
        <v>4337.9399999999996</v>
      </c>
      <c r="BD42" s="2">
        <v>7018.45</v>
      </c>
      <c r="BE42" s="2">
        <v>7159.07</v>
      </c>
      <c r="BF42" s="2">
        <v>7350.95</v>
      </c>
      <c r="BG42" s="2">
        <v>7357.52</v>
      </c>
      <c r="BH42" s="2">
        <v>7363.23</v>
      </c>
      <c r="BI42" s="2">
        <v>7355.68</v>
      </c>
      <c r="BJ42" s="2">
        <v>7342.71</v>
      </c>
      <c r="BK42" s="2">
        <v>7360.03</v>
      </c>
      <c r="BL42" s="2">
        <v>7096.69</v>
      </c>
      <c r="BM42" s="2">
        <v>7355.89</v>
      </c>
      <c r="BN42" s="2">
        <v>6873.83</v>
      </c>
      <c r="BO42" s="2">
        <v>6761.79</v>
      </c>
      <c r="BR42" s="1" t="s">
        <v>26</v>
      </c>
      <c r="BS42" s="2">
        <v>7529.05</v>
      </c>
      <c r="BT42" s="2">
        <v>7672.88</v>
      </c>
      <c r="BU42" s="2">
        <v>9680</v>
      </c>
      <c r="BV42" s="2">
        <v>9680</v>
      </c>
      <c r="BW42" s="2">
        <v>6297.16</v>
      </c>
      <c r="BX42" s="2">
        <v>7146.61</v>
      </c>
      <c r="BY42" s="2">
        <v>9322.82</v>
      </c>
      <c r="BZ42" s="2">
        <v>6071.72</v>
      </c>
      <c r="CA42" s="2">
        <v>8955.7800000000007</v>
      </c>
      <c r="CB42" s="2">
        <v>9439.09</v>
      </c>
      <c r="CC42" s="2">
        <v>9654.01</v>
      </c>
      <c r="CD42" s="2">
        <v>9680</v>
      </c>
      <c r="CE42" s="2">
        <v>9680</v>
      </c>
      <c r="CF42" s="2">
        <v>9680</v>
      </c>
      <c r="CG42" s="2">
        <v>9630.17</v>
      </c>
      <c r="CH42" s="2">
        <v>9680</v>
      </c>
      <c r="CI42" s="2">
        <v>9095.31</v>
      </c>
      <c r="CJ42" s="2">
        <v>9680</v>
      </c>
      <c r="CK42" s="2">
        <v>8616.17</v>
      </c>
      <c r="CL42" s="2">
        <v>8056.95</v>
      </c>
    </row>
    <row r="43" spans="2:90" x14ac:dyDescent="0.3">
      <c r="B43" s="1" t="s">
        <v>27</v>
      </c>
      <c r="C43" s="2">
        <v>69545.55</v>
      </c>
      <c r="D43" s="2">
        <v>72620.39</v>
      </c>
      <c r="E43" s="2">
        <v>47414.21</v>
      </c>
      <c r="F43" s="2">
        <v>79400.98</v>
      </c>
      <c r="G43" s="2">
        <v>7885.64</v>
      </c>
      <c r="H43" s="2">
        <v>26835.26</v>
      </c>
      <c r="I43" s="2">
        <v>30401.61</v>
      </c>
      <c r="J43" s="2">
        <v>31953.1</v>
      </c>
      <c r="K43" s="2">
        <v>64509.77</v>
      </c>
      <c r="L43" s="2">
        <v>111116.03</v>
      </c>
      <c r="M43" s="2">
        <v>67471.37</v>
      </c>
      <c r="N43" s="2">
        <v>199789.13</v>
      </c>
      <c r="O43" s="2">
        <v>54330.33</v>
      </c>
      <c r="P43" s="2">
        <v>160986.95000000001</v>
      </c>
      <c r="Q43" s="2">
        <v>71096.02</v>
      </c>
      <c r="R43" s="2">
        <v>210414.54</v>
      </c>
      <c r="S43" s="2">
        <v>59002.46</v>
      </c>
      <c r="T43" s="2">
        <v>96557.7</v>
      </c>
      <c r="U43" s="2">
        <v>71841.240000000005</v>
      </c>
      <c r="V43" s="2">
        <v>69624.27</v>
      </c>
      <c r="X43" s="1" t="s">
        <v>27</v>
      </c>
      <c r="Y43" s="2">
        <v>2308.37</v>
      </c>
      <c r="Z43" s="2">
        <v>2410.44</v>
      </c>
      <c r="AA43" s="2">
        <v>1859.6</v>
      </c>
      <c r="AB43" s="2">
        <v>2635.5</v>
      </c>
      <c r="AC43" s="2">
        <v>2041.59</v>
      </c>
      <c r="AD43" s="2">
        <v>2315.89</v>
      </c>
      <c r="AE43" s="2">
        <v>2459.6799999999998</v>
      </c>
      <c r="AF43" s="2">
        <v>2585.1999999999998</v>
      </c>
      <c r="AG43" s="2">
        <v>1757.72</v>
      </c>
      <c r="AH43" s="2">
        <v>2397.33</v>
      </c>
      <c r="AI43" s="2">
        <v>2426.16</v>
      </c>
      <c r="AJ43" s="2">
        <v>2394.69</v>
      </c>
      <c r="AK43" s="2">
        <v>2425.19</v>
      </c>
      <c r="AL43" s="2">
        <v>2395.37</v>
      </c>
      <c r="AM43" s="2">
        <v>2421.94</v>
      </c>
      <c r="AN43" s="2">
        <v>2389.31</v>
      </c>
      <c r="AO43" s="2">
        <v>2246.4299999999998</v>
      </c>
      <c r="AP43" s="2">
        <v>1795.18</v>
      </c>
      <c r="AQ43" s="2">
        <v>2066.63</v>
      </c>
      <c r="AR43" s="2">
        <v>2002.86</v>
      </c>
      <c r="AU43" s="1" t="s">
        <v>27</v>
      </c>
      <c r="AV43" s="2">
        <v>7356.76</v>
      </c>
      <c r="AW43" s="2">
        <v>7839.07</v>
      </c>
      <c r="AX43" s="2">
        <v>7541.93</v>
      </c>
      <c r="AY43" s="2">
        <v>8564.5</v>
      </c>
      <c r="AZ43" s="2">
        <v>4610.4399999999996</v>
      </c>
      <c r="BA43" s="2">
        <v>7220.06</v>
      </c>
      <c r="BB43" s="2">
        <v>6915.63</v>
      </c>
      <c r="BC43" s="2">
        <v>5225.53</v>
      </c>
      <c r="BD43" s="2">
        <v>7922.28</v>
      </c>
      <c r="BE43" s="2">
        <v>8802.67</v>
      </c>
      <c r="BF43" s="2">
        <v>7253.84</v>
      </c>
      <c r="BG43" s="2">
        <v>8805.31</v>
      </c>
      <c r="BH43" s="2">
        <v>7254.81</v>
      </c>
      <c r="BI43" s="2">
        <v>8804.6299999999992</v>
      </c>
      <c r="BJ43" s="2">
        <v>7258.06</v>
      </c>
      <c r="BK43" s="2">
        <v>8810.69</v>
      </c>
      <c r="BL43" s="2">
        <v>7069</v>
      </c>
      <c r="BM43" s="2">
        <v>7714.6</v>
      </c>
      <c r="BN43" s="2">
        <v>6867.33</v>
      </c>
      <c r="BO43" s="2">
        <v>6783.7</v>
      </c>
      <c r="BR43" s="1" t="s">
        <v>27</v>
      </c>
      <c r="BS43" s="2">
        <v>9665.1299999999992</v>
      </c>
      <c r="BT43" s="2">
        <v>10249.51</v>
      </c>
      <c r="BU43" s="2">
        <v>9401.52</v>
      </c>
      <c r="BV43" s="2">
        <v>11200</v>
      </c>
      <c r="BW43" s="2">
        <v>6652.03</v>
      </c>
      <c r="BX43" s="2">
        <v>9535.94</v>
      </c>
      <c r="BY43" s="2">
        <v>9375.2999999999993</v>
      </c>
      <c r="BZ43" s="2">
        <v>7810.73</v>
      </c>
      <c r="CA43" s="2">
        <v>9680</v>
      </c>
      <c r="CB43" s="2">
        <v>11200</v>
      </c>
      <c r="CC43" s="2">
        <v>9680</v>
      </c>
      <c r="CD43" s="2">
        <v>11200</v>
      </c>
      <c r="CE43" s="2">
        <v>9680</v>
      </c>
      <c r="CF43" s="2">
        <v>11200</v>
      </c>
      <c r="CG43" s="2">
        <v>9680</v>
      </c>
      <c r="CH43" s="2">
        <v>11200</v>
      </c>
      <c r="CI43" s="2">
        <v>9315.43</v>
      </c>
      <c r="CJ43" s="2">
        <v>9509.7800000000007</v>
      </c>
      <c r="CK43" s="2">
        <v>8933.9599999999991</v>
      </c>
      <c r="CL43" s="2">
        <v>8786.56</v>
      </c>
    </row>
    <row r="44" spans="2:90" x14ac:dyDescent="0.3">
      <c r="B44" s="1" t="s">
        <v>28</v>
      </c>
      <c r="C44" s="2">
        <v>12004.63</v>
      </c>
      <c r="D44" s="2">
        <v>15998.94</v>
      </c>
      <c r="E44" s="2">
        <v>3220.51</v>
      </c>
      <c r="F44" s="2">
        <v>3667.41</v>
      </c>
      <c r="G44" s="2">
        <v>864.9</v>
      </c>
      <c r="H44" s="2">
        <v>1690.39</v>
      </c>
      <c r="I44" s="2">
        <v>2915.57</v>
      </c>
      <c r="J44" s="2">
        <v>15255.35</v>
      </c>
      <c r="K44" s="2">
        <v>15840.82</v>
      </c>
      <c r="L44" s="2">
        <v>18231.259999999998</v>
      </c>
      <c r="M44" s="2">
        <v>28651.65</v>
      </c>
      <c r="N44" s="2">
        <v>33592.660000000003</v>
      </c>
      <c r="O44" s="2">
        <v>22197.49</v>
      </c>
      <c r="P44" s="2">
        <v>27193.46</v>
      </c>
      <c r="Q44" s="2">
        <v>29394.05</v>
      </c>
      <c r="R44" s="2">
        <v>32463.439999999999</v>
      </c>
      <c r="S44" s="2">
        <v>25997.59</v>
      </c>
      <c r="T44" s="2">
        <v>24954.69</v>
      </c>
      <c r="U44" s="2">
        <v>37341.56</v>
      </c>
      <c r="V44" s="2">
        <v>29541.51</v>
      </c>
      <c r="X44" s="1" t="s">
        <v>28</v>
      </c>
      <c r="Y44" s="2">
        <v>1195.3800000000001</v>
      </c>
      <c r="Z44" s="2">
        <v>1593.13</v>
      </c>
      <c r="AA44" s="2">
        <v>1104.5</v>
      </c>
      <c r="AB44" s="2">
        <v>1173.1600000000001</v>
      </c>
      <c r="AC44" s="2">
        <v>731.5</v>
      </c>
      <c r="AD44" s="2">
        <v>1202.83</v>
      </c>
      <c r="AE44" s="2">
        <v>809.85</v>
      </c>
      <c r="AF44" s="2">
        <v>1234.25</v>
      </c>
      <c r="AG44" s="2">
        <v>1025.3</v>
      </c>
      <c r="AH44" s="2">
        <v>1180.02</v>
      </c>
      <c r="AI44" s="2">
        <v>1030.26</v>
      </c>
      <c r="AJ44" s="2">
        <v>1207.93</v>
      </c>
      <c r="AK44" s="2">
        <v>990.85</v>
      </c>
      <c r="AL44" s="2">
        <v>1213.8599999999999</v>
      </c>
      <c r="AM44" s="2">
        <v>1001.33</v>
      </c>
      <c r="AN44" s="2">
        <v>1105.9000000000001</v>
      </c>
      <c r="AO44" s="2">
        <v>989.82</v>
      </c>
      <c r="AP44" s="2">
        <v>950.11</v>
      </c>
      <c r="AQ44" s="2">
        <v>1074.19</v>
      </c>
      <c r="AR44" s="2">
        <v>849.81</v>
      </c>
      <c r="AU44" s="1" t="s">
        <v>28</v>
      </c>
      <c r="AV44" s="2">
        <v>5129.82</v>
      </c>
      <c r="AW44" s="2">
        <v>5553.83</v>
      </c>
      <c r="AX44" s="2">
        <v>4563.96</v>
      </c>
      <c r="AY44" s="2">
        <v>4869.41</v>
      </c>
      <c r="AZ44" s="2">
        <v>3462.27</v>
      </c>
      <c r="BA44" s="2">
        <v>5263.06</v>
      </c>
      <c r="BB44" s="2">
        <v>3939.11</v>
      </c>
      <c r="BC44" s="2">
        <v>3984.63</v>
      </c>
      <c r="BD44" s="2">
        <v>4254.8</v>
      </c>
      <c r="BE44" s="2">
        <v>4129.67</v>
      </c>
      <c r="BF44" s="2">
        <v>3535.27</v>
      </c>
      <c r="BG44" s="2">
        <v>4269.76</v>
      </c>
      <c r="BH44" s="2">
        <v>3368.32</v>
      </c>
      <c r="BI44" s="2">
        <v>4337.66</v>
      </c>
      <c r="BJ44" s="2">
        <v>3416.1</v>
      </c>
      <c r="BK44" s="2">
        <v>3866.35</v>
      </c>
      <c r="BL44" s="2">
        <v>3360.41</v>
      </c>
      <c r="BM44" s="2">
        <v>3743.69</v>
      </c>
      <c r="BN44" s="2">
        <v>3857.71</v>
      </c>
      <c r="BO44" s="2">
        <v>4345.8900000000003</v>
      </c>
      <c r="BR44" s="1" t="s">
        <v>28</v>
      </c>
      <c r="BS44" s="2">
        <v>6325.2</v>
      </c>
      <c r="BT44" s="2">
        <v>7146.96</v>
      </c>
      <c r="BU44" s="2">
        <v>5668.46</v>
      </c>
      <c r="BV44" s="2">
        <v>6042.57</v>
      </c>
      <c r="BW44" s="2">
        <v>4193.7700000000004</v>
      </c>
      <c r="BX44" s="2">
        <v>6465.89</v>
      </c>
      <c r="BY44" s="2">
        <v>4748.96</v>
      </c>
      <c r="BZ44" s="2">
        <v>5218.88</v>
      </c>
      <c r="CA44" s="2">
        <v>5280.1</v>
      </c>
      <c r="CB44" s="2">
        <v>5309.69</v>
      </c>
      <c r="CC44" s="2">
        <v>4565.53</v>
      </c>
      <c r="CD44" s="2">
        <v>5477.7</v>
      </c>
      <c r="CE44" s="2">
        <v>4359.17</v>
      </c>
      <c r="CF44" s="2">
        <v>5551.52</v>
      </c>
      <c r="CG44" s="2">
        <v>4417.43</v>
      </c>
      <c r="CH44" s="2">
        <v>4972.25</v>
      </c>
      <c r="CI44" s="2">
        <v>4350.2299999999996</v>
      </c>
      <c r="CJ44" s="2">
        <v>4693.8</v>
      </c>
      <c r="CK44" s="2">
        <v>4931.8999999999996</v>
      </c>
      <c r="CL44" s="2">
        <v>5195.7</v>
      </c>
    </row>
    <row r="45" spans="2:90" x14ac:dyDescent="0.3">
      <c r="C45">
        <f>SUM(C37:D44)/C3</f>
        <v>281246.66153846151</v>
      </c>
      <c r="E45">
        <f>SUM(E37:F44)/D3</f>
        <v>278049.03076923074</v>
      </c>
      <c r="G45">
        <f>SUM(G37:H44)/E3</f>
        <v>229409.07999999996</v>
      </c>
      <c r="I45">
        <f>SUM(I37:J44)/F3</f>
        <v>213259.49374999997</v>
      </c>
      <c r="K45">
        <f>SUM(K37:L44)/G3</f>
        <v>255747.24000000002</v>
      </c>
      <c r="M45">
        <f>SUM(M37:N44)/H3</f>
        <v>245578.82222222225</v>
      </c>
      <c r="O45">
        <f>SUM(O37:P44)/I3</f>
        <v>245255.98965517242</v>
      </c>
    </row>
    <row r="47" spans="2:90" x14ac:dyDescent="0.3">
      <c r="B47" t="s">
        <v>37</v>
      </c>
      <c r="X47" t="s">
        <v>38</v>
      </c>
      <c r="AU47" t="s">
        <v>39</v>
      </c>
      <c r="BR47" t="s">
        <v>40</v>
      </c>
    </row>
    <row r="48" spans="2:90" x14ac:dyDescent="0.3">
      <c r="B48" s="1" t="s">
        <v>16</v>
      </c>
      <c r="C48" s="1" t="s">
        <v>17</v>
      </c>
      <c r="D48" s="1" t="s">
        <v>18</v>
      </c>
      <c r="E48" s="1" t="s">
        <v>17</v>
      </c>
      <c r="F48" s="1" t="s">
        <v>18</v>
      </c>
      <c r="G48" s="1" t="s">
        <v>17</v>
      </c>
      <c r="H48" s="1" t="s">
        <v>18</v>
      </c>
      <c r="I48" s="1" t="s">
        <v>17</v>
      </c>
      <c r="J48" s="1" t="s">
        <v>18</v>
      </c>
      <c r="K48" s="1" t="s">
        <v>17</v>
      </c>
      <c r="L48" s="1" t="s">
        <v>18</v>
      </c>
      <c r="M48" s="1" t="s">
        <v>17</v>
      </c>
      <c r="N48" s="1" t="s">
        <v>18</v>
      </c>
      <c r="O48" s="1" t="s">
        <v>17</v>
      </c>
      <c r="P48" s="1" t="s">
        <v>18</v>
      </c>
      <c r="Q48" s="1" t="s">
        <v>17</v>
      </c>
      <c r="R48" s="1" t="s">
        <v>18</v>
      </c>
      <c r="S48" s="1" t="s">
        <v>17</v>
      </c>
      <c r="T48" s="1" t="s">
        <v>18</v>
      </c>
      <c r="U48" s="1" t="s">
        <v>17</v>
      </c>
      <c r="V48" s="1" t="s">
        <v>18</v>
      </c>
      <c r="X48" s="1" t="s">
        <v>16</v>
      </c>
      <c r="Y48" s="1" t="s">
        <v>17</v>
      </c>
      <c r="Z48" s="1" t="s">
        <v>18</v>
      </c>
      <c r="AA48" s="1" t="s">
        <v>17</v>
      </c>
      <c r="AB48" s="1" t="s">
        <v>18</v>
      </c>
      <c r="AC48" s="1" t="s">
        <v>17</v>
      </c>
      <c r="AD48" s="1" t="s">
        <v>18</v>
      </c>
      <c r="AE48" s="1" t="s">
        <v>17</v>
      </c>
      <c r="AF48" s="1" t="s">
        <v>18</v>
      </c>
      <c r="AG48" s="1" t="s">
        <v>17</v>
      </c>
      <c r="AH48" s="1" t="s">
        <v>18</v>
      </c>
      <c r="AI48" s="1" t="s">
        <v>17</v>
      </c>
      <c r="AJ48" s="1" t="s">
        <v>18</v>
      </c>
      <c r="AK48" s="1" t="s">
        <v>17</v>
      </c>
      <c r="AL48" s="1" t="s">
        <v>18</v>
      </c>
      <c r="AM48" s="1" t="s">
        <v>17</v>
      </c>
      <c r="AN48" s="1" t="s">
        <v>18</v>
      </c>
      <c r="AO48" s="1" t="s">
        <v>17</v>
      </c>
      <c r="AP48" s="1" t="s">
        <v>18</v>
      </c>
      <c r="AQ48" s="1" t="s">
        <v>17</v>
      </c>
      <c r="AR48" s="1" t="s">
        <v>18</v>
      </c>
      <c r="AU48" s="1" t="s">
        <v>16</v>
      </c>
      <c r="AV48" s="1" t="s">
        <v>17</v>
      </c>
      <c r="AW48" s="1" t="s">
        <v>18</v>
      </c>
      <c r="AX48" s="1" t="s">
        <v>17</v>
      </c>
      <c r="AY48" s="1" t="s">
        <v>18</v>
      </c>
      <c r="AZ48" s="1" t="s">
        <v>17</v>
      </c>
      <c r="BA48" s="1" t="s">
        <v>18</v>
      </c>
      <c r="BB48" s="1" t="s">
        <v>17</v>
      </c>
      <c r="BC48" s="1" t="s">
        <v>18</v>
      </c>
      <c r="BD48" s="1" t="s">
        <v>17</v>
      </c>
      <c r="BE48" s="1" t="s">
        <v>18</v>
      </c>
      <c r="BF48" s="1" t="s">
        <v>17</v>
      </c>
      <c r="BG48" s="1" t="s">
        <v>18</v>
      </c>
      <c r="BH48" s="1" t="s">
        <v>17</v>
      </c>
      <c r="BI48" s="1" t="s">
        <v>18</v>
      </c>
      <c r="BJ48" s="1" t="s">
        <v>17</v>
      </c>
      <c r="BK48" s="1" t="s">
        <v>18</v>
      </c>
      <c r="BL48" s="1" t="s">
        <v>17</v>
      </c>
      <c r="BM48" s="1" t="s">
        <v>18</v>
      </c>
      <c r="BN48" s="1" t="s">
        <v>17</v>
      </c>
      <c r="BO48" s="1" t="s">
        <v>18</v>
      </c>
      <c r="BR48" s="1" t="s">
        <v>16</v>
      </c>
      <c r="BS48" s="1" t="s">
        <v>17</v>
      </c>
      <c r="BT48" s="1" t="s">
        <v>18</v>
      </c>
      <c r="BU48" s="1" t="s">
        <v>17</v>
      </c>
      <c r="BV48" s="1" t="s">
        <v>18</v>
      </c>
      <c r="BW48" s="1" t="s">
        <v>17</v>
      </c>
      <c r="BX48" s="1" t="s">
        <v>18</v>
      </c>
      <c r="BY48" s="1" t="s">
        <v>17</v>
      </c>
      <c r="BZ48" s="1" t="s">
        <v>18</v>
      </c>
      <c r="CA48" s="1" t="s">
        <v>17</v>
      </c>
      <c r="CB48" s="1" t="s">
        <v>18</v>
      </c>
      <c r="CC48" s="1" t="s">
        <v>17</v>
      </c>
      <c r="CD48" s="1" t="s">
        <v>18</v>
      </c>
      <c r="CE48" s="1" t="s">
        <v>17</v>
      </c>
      <c r="CF48" s="1" t="s">
        <v>18</v>
      </c>
      <c r="CG48" s="1" t="s">
        <v>17</v>
      </c>
      <c r="CH48" s="1" t="s">
        <v>18</v>
      </c>
      <c r="CI48" s="1" t="s">
        <v>17</v>
      </c>
      <c r="CJ48" s="1" t="s">
        <v>18</v>
      </c>
      <c r="CK48" s="1" t="s">
        <v>17</v>
      </c>
      <c r="CL48" s="1" t="s">
        <v>18</v>
      </c>
    </row>
    <row r="49" spans="2:90" x14ac:dyDescent="0.3">
      <c r="B49" s="1" t="s">
        <v>19</v>
      </c>
      <c r="C49" s="1" t="s">
        <v>1</v>
      </c>
      <c r="D49" s="1" t="s">
        <v>1</v>
      </c>
      <c r="E49" s="1" t="s">
        <v>2</v>
      </c>
      <c r="F49" s="1" t="s">
        <v>2</v>
      </c>
      <c r="G49" s="1" t="s">
        <v>3</v>
      </c>
      <c r="H49" s="1" t="s">
        <v>3</v>
      </c>
      <c r="I49" s="1" t="s">
        <v>4</v>
      </c>
      <c r="J49" s="1" t="s">
        <v>4</v>
      </c>
      <c r="K49" s="1" t="s">
        <v>5</v>
      </c>
      <c r="L49" s="1" t="s">
        <v>5</v>
      </c>
      <c r="M49" s="1" t="s">
        <v>6</v>
      </c>
      <c r="N49" s="1" t="s">
        <v>6</v>
      </c>
      <c r="O49" s="1" t="s">
        <v>7</v>
      </c>
      <c r="P49" s="1" t="s">
        <v>7</v>
      </c>
      <c r="Q49" s="1" t="s">
        <v>8</v>
      </c>
      <c r="R49" s="1" t="s">
        <v>8</v>
      </c>
      <c r="S49" s="1" t="s">
        <v>9</v>
      </c>
      <c r="T49" s="1" t="s">
        <v>9</v>
      </c>
      <c r="U49" s="1" t="s">
        <v>10</v>
      </c>
      <c r="V49" s="1" t="s">
        <v>10</v>
      </c>
      <c r="X49" s="1" t="s">
        <v>19</v>
      </c>
      <c r="Y49" s="1" t="s">
        <v>1</v>
      </c>
      <c r="Z49" s="1" t="s">
        <v>1</v>
      </c>
      <c r="AA49" s="1" t="s">
        <v>2</v>
      </c>
      <c r="AB49" s="1" t="s">
        <v>2</v>
      </c>
      <c r="AC49" s="1" t="s">
        <v>3</v>
      </c>
      <c r="AD49" s="1" t="s">
        <v>3</v>
      </c>
      <c r="AE49" s="1" t="s">
        <v>4</v>
      </c>
      <c r="AF49" s="1" t="s">
        <v>4</v>
      </c>
      <c r="AG49" s="1" t="s">
        <v>5</v>
      </c>
      <c r="AH49" s="1" t="s">
        <v>5</v>
      </c>
      <c r="AI49" s="1" t="s">
        <v>6</v>
      </c>
      <c r="AJ49" s="1" t="s">
        <v>6</v>
      </c>
      <c r="AK49" s="1" t="s">
        <v>7</v>
      </c>
      <c r="AL49" s="1" t="s">
        <v>7</v>
      </c>
      <c r="AM49" s="1" t="s">
        <v>8</v>
      </c>
      <c r="AN49" s="1" t="s">
        <v>8</v>
      </c>
      <c r="AO49" s="1" t="s">
        <v>9</v>
      </c>
      <c r="AP49" s="1" t="s">
        <v>9</v>
      </c>
      <c r="AQ49" s="1" t="s">
        <v>10</v>
      </c>
      <c r="AR49" s="1" t="s">
        <v>10</v>
      </c>
      <c r="AU49" s="1" t="s">
        <v>19</v>
      </c>
      <c r="AV49" s="1" t="s">
        <v>1</v>
      </c>
      <c r="AW49" s="1" t="s">
        <v>1</v>
      </c>
      <c r="AX49" s="1" t="s">
        <v>2</v>
      </c>
      <c r="AY49" s="1" t="s">
        <v>2</v>
      </c>
      <c r="AZ49" s="1" t="s">
        <v>3</v>
      </c>
      <c r="BA49" s="1" t="s">
        <v>3</v>
      </c>
      <c r="BB49" s="1" t="s">
        <v>4</v>
      </c>
      <c r="BC49" s="1" t="s">
        <v>4</v>
      </c>
      <c r="BD49" s="1" t="s">
        <v>5</v>
      </c>
      <c r="BE49" s="1" t="s">
        <v>5</v>
      </c>
      <c r="BF49" s="1" t="s">
        <v>6</v>
      </c>
      <c r="BG49" s="1" t="s">
        <v>6</v>
      </c>
      <c r="BH49" s="1" t="s">
        <v>7</v>
      </c>
      <c r="BI49" s="1" t="s">
        <v>7</v>
      </c>
      <c r="BJ49" s="1" t="s">
        <v>8</v>
      </c>
      <c r="BK49" s="1" t="s">
        <v>8</v>
      </c>
      <c r="BL49" s="1" t="s">
        <v>9</v>
      </c>
      <c r="BM49" s="1" t="s">
        <v>9</v>
      </c>
      <c r="BN49" s="1" t="s">
        <v>10</v>
      </c>
      <c r="BO49" s="1" t="s">
        <v>10</v>
      </c>
      <c r="BR49" s="1" t="s">
        <v>19</v>
      </c>
      <c r="BS49" s="1" t="s">
        <v>1</v>
      </c>
      <c r="BT49" s="1" t="s">
        <v>1</v>
      </c>
      <c r="BU49" s="1" t="s">
        <v>2</v>
      </c>
      <c r="BV49" s="1" t="s">
        <v>2</v>
      </c>
      <c r="BW49" s="1" t="s">
        <v>3</v>
      </c>
      <c r="BX49" s="1" t="s">
        <v>3</v>
      </c>
      <c r="BY49" s="1" t="s">
        <v>4</v>
      </c>
      <c r="BZ49" s="1" t="s">
        <v>4</v>
      </c>
      <c r="CA49" s="1" t="s">
        <v>5</v>
      </c>
      <c r="CB49" s="1" t="s">
        <v>5</v>
      </c>
      <c r="CC49" s="1" t="s">
        <v>6</v>
      </c>
      <c r="CD49" s="1" t="s">
        <v>6</v>
      </c>
      <c r="CE49" s="1" t="s">
        <v>7</v>
      </c>
      <c r="CF49" s="1" t="s">
        <v>7</v>
      </c>
      <c r="CG49" s="1" t="s">
        <v>8</v>
      </c>
      <c r="CH49" s="1" t="s">
        <v>8</v>
      </c>
      <c r="CI49" s="1" t="s">
        <v>9</v>
      </c>
      <c r="CJ49" s="1" t="s">
        <v>9</v>
      </c>
      <c r="CK49" s="1" t="s">
        <v>10</v>
      </c>
      <c r="CL49" s="1" t="s">
        <v>10</v>
      </c>
    </row>
    <row r="50" spans="2:90" x14ac:dyDescent="0.3">
      <c r="B50" s="1" t="s">
        <v>20</v>
      </c>
      <c r="X50" s="1" t="s">
        <v>20</v>
      </c>
      <c r="AU50" s="1" t="s">
        <v>20</v>
      </c>
      <c r="BR50" s="1" t="s">
        <v>20</v>
      </c>
    </row>
    <row r="51" spans="2:90" x14ac:dyDescent="0.3">
      <c r="B51" s="1" t="s">
        <v>21</v>
      </c>
      <c r="C51" s="2">
        <v>1562.31</v>
      </c>
      <c r="D51" s="2">
        <v>1517.57</v>
      </c>
      <c r="E51" s="2">
        <v>1632.45</v>
      </c>
      <c r="F51" s="2">
        <v>1480.4</v>
      </c>
      <c r="G51" s="2">
        <v>453.15</v>
      </c>
      <c r="H51" s="2">
        <v>576.13</v>
      </c>
      <c r="I51" s="2">
        <v>1905.42</v>
      </c>
      <c r="J51" s="2">
        <v>1555.05</v>
      </c>
      <c r="K51" s="2">
        <v>2544.1</v>
      </c>
      <c r="L51" s="2">
        <v>1942.17</v>
      </c>
      <c r="M51" s="2">
        <v>3922.37</v>
      </c>
      <c r="N51" s="2">
        <v>3543.5</v>
      </c>
      <c r="O51" s="2">
        <v>2995.87</v>
      </c>
      <c r="P51" s="2">
        <v>2783.65</v>
      </c>
      <c r="Q51" s="2">
        <v>4120.3999999999996</v>
      </c>
      <c r="R51" s="2">
        <v>3859.38</v>
      </c>
      <c r="S51" s="2">
        <v>3570.05</v>
      </c>
      <c r="T51" s="2">
        <v>2275.21</v>
      </c>
      <c r="U51" s="2">
        <v>4353.34</v>
      </c>
      <c r="V51" s="2">
        <v>3025.42</v>
      </c>
      <c r="X51" s="1" t="s">
        <v>21</v>
      </c>
      <c r="Y51" s="2">
        <v>0.1</v>
      </c>
      <c r="Z51" s="2">
        <v>0.1</v>
      </c>
      <c r="AA51" s="2">
        <v>0.09</v>
      </c>
      <c r="AB51" s="2">
        <v>0.08</v>
      </c>
      <c r="AC51" s="2">
        <v>0.08</v>
      </c>
      <c r="AD51" s="2">
        <v>0.09</v>
      </c>
      <c r="AE51" s="2">
        <v>0.1</v>
      </c>
      <c r="AF51" s="2">
        <v>0.08</v>
      </c>
      <c r="AG51" s="2">
        <v>0.1</v>
      </c>
      <c r="AH51" s="2">
        <v>0.08</v>
      </c>
      <c r="AI51" s="2">
        <v>0.09</v>
      </c>
      <c r="AJ51" s="2">
        <v>0.08</v>
      </c>
      <c r="AK51" s="2">
        <v>0.08</v>
      </c>
      <c r="AL51" s="2">
        <v>0.08</v>
      </c>
      <c r="AM51" s="2">
        <v>0.09</v>
      </c>
      <c r="AN51" s="2">
        <v>0.08</v>
      </c>
      <c r="AO51" s="2">
        <v>0.08</v>
      </c>
      <c r="AP51" s="2">
        <v>7.0000000000000007E-2</v>
      </c>
      <c r="AQ51" s="2">
        <v>0.08</v>
      </c>
      <c r="AR51" s="2">
        <v>7.0000000000000007E-2</v>
      </c>
      <c r="AU51" s="1" t="s">
        <v>21</v>
      </c>
      <c r="AV51" s="2">
        <v>0.36</v>
      </c>
      <c r="AW51" s="2">
        <v>0.36</v>
      </c>
      <c r="AX51" s="2">
        <v>0.4</v>
      </c>
      <c r="AY51" s="2">
        <v>0.4</v>
      </c>
      <c r="AZ51" s="2">
        <v>0.39</v>
      </c>
      <c r="BA51" s="2">
        <v>0.39</v>
      </c>
      <c r="BB51" s="2">
        <v>0.37</v>
      </c>
      <c r="BC51" s="2">
        <v>0.89</v>
      </c>
      <c r="BD51" s="2">
        <v>0.89</v>
      </c>
      <c r="BE51" s="2">
        <v>0.89</v>
      </c>
      <c r="BF51" s="2">
        <v>0.89</v>
      </c>
      <c r="BG51" s="2">
        <v>0.89</v>
      </c>
      <c r="BH51" s="2">
        <v>0.89</v>
      </c>
      <c r="BI51" s="2">
        <v>0.89</v>
      </c>
      <c r="BJ51" s="2">
        <v>0.89</v>
      </c>
      <c r="BK51" s="2">
        <v>0.89</v>
      </c>
      <c r="BL51" s="2">
        <v>0.89</v>
      </c>
      <c r="BM51" s="2">
        <v>0.7</v>
      </c>
      <c r="BN51" s="2">
        <v>0.89</v>
      </c>
      <c r="BO51" s="2">
        <v>0.76</v>
      </c>
      <c r="BR51" s="1" t="s">
        <v>21</v>
      </c>
      <c r="BS51" s="2">
        <v>0.4</v>
      </c>
      <c r="BT51" s="2">
        <v>0.4</v>
      </c>
      <c r="BU51" s="2">
        <v>0.44</v>
      </c>
      <c r="BV51" s="2">
        <v>0.44</v>
      </c>
      <c r="BW51" s="2">
        <v>0.43</v>
      </c>
      <c r="BX51" s="2">
        <v>0.43</v>
      </c>
      <c r="BY51" s="2">
        <v>0.41</v>
      </c>
      <c r="BZ51" s="2">
        <v>0.98</v>
      </c>
      <c r="CA51" s="2">
        <v>0.98</v>
      </c>
      <c r="CB51" s="2">
        <v>0.98</v>
      </c>
      <c r="CC51" s="2">
        <v>0.98</v>
      </c>
      <c r="CD51" s="2">
        <v>0.98</v>
      </c>
      <c r="CE51" s="2">
        <v>0.98</v>
      </c>
      <c r="CF51" s="2">
        <v>0.98</v>
      </c>
      <c r="CG51" s="2">
        <v>0.98</v>
      </c>
      <c r="CH51" s="2">
        <v>0.98</v>
      </c>
      <c r="CI51" s="2">
        <v>0.98</v>
      </c>
      <c r="CJ51" s="2">
        <v>0.78</v>
      </c>
      <c r="CK51" s="2">
        <v>0.98</v>
      </c>
      <c r="CL51" s="2">
        <v>0.84</v>
      </c>
    </row>
    <row r="52" spans="2:90" x14ac:dyDescent="0.3">
      <c r="B52" s="1" t="s">
        <v>22</v>
      </c>
      <c r="C52" s="2">
        <v>7132.48</v>
      </c>
      <c r="D52" s="2">
        <v>1580.59</v>
      </c>
      <c r="E52" s="2">
        <v>7599.34</v>
      </c>
      <c r="F52" s="2">
        <v>1765.58</v>
      </c>
      <c r="G52" s="2">
        <v>1427.78</v>
      </c>
      <c r="H52" s="2">
        <v>1166.02</v>
      </c>
      <c r="I52" s="2">
        <v>10645.66</v>
      </c>
      <c r="J52" s="2">
        <v>5478.88</v>
      </c>
      <c r="K52" s="2">
        <v>9184.39</v>
      </c>
      <c r="L52" s="2">
        <v>5411.38</v>
      </c>
      <c r="M52" s="2">
        <v>20368.73</v>
      </c>
      <c r="N52" s="2">
        <v>10222.82</v>
      </c>
      <c r="O52" s="2">
        <v>11101.63</v>
      </c>
      <c r="P52" s="2">
        <v>10534.31</v>
      </c>
      <c r="Q52" s="2">
        <v>14440.37</v>
      </c>
      <c r="R52" s="2">
        <v>11034.19</v>
      </c>
      <c r="S52" s="2">
        <v>13124.88</v>
      </c>
      <c r="T52" s="2">
        <v>6202.49</v>
      </c>
      <c r="U52" s="2">
        <v>21297.89</v>
      </c>
      <c r="V52" s="2">
        <v>4760.83</v>
      </c>
      <c r="X52" s="1" t="s">
        <v>22</v>
      </c>
      <c r="Y52" s="2">
        <v>0.43</v>
      </c>
      <c r="Z52" s="2">
        <v>0.27</v>
      </c>
      <c r="AA52" s="2">
        <v>0.46</v>
      </c>
      <c r="AB52" s="2">
        <v>0.31</v>
      </c>
      <c r="AC52" s="2">
        <v>0.35</v>
      </c>
      <c r="AD52" s="2">
        <v>0.39</v>
      </c>
      <c r="AE52" s="2">
        <v>0.46</v>
      </c>
      <c r="AF52" s="2">
        <v>0.47</v>
      </c>
      <c r="AG52" s="2">
        <v>0.56000000000000005</v>
      </c>
      <c r="AH52" s="2">
        <v>0.37</v>
      </c>
      <c r="AI52" s="2">
        <v>0.36</v>
      </c>
      <c r="AJ52" s="2">
        <v>0.39</v>
      </c>
      <c r="AK52" s="2">
        <v>0.48</v>
      </c>
      <c r="AL52" s="2">
        <v>0.48</v>
      </c>
      <c r="AM52" s="2">
        <v>0.48</v>
      </c>
      <c r="AN52" s="2">
        <v>0.37</v>
      </c>
      <c r="AO52" s="2">
        <v>0.48</v>
      </c>
      <c r="AP52" s="2">
        <v>0.27</v>
      </c>
      <c r="AQ52" s="2">
        <v>0.38</v>
      </c>
      <c r="AR52" s="2">
        <v>0.26</v>
      </c>
      <c r="AU52" s="1" t="s">
        <v>22</v>
      </c>
      <c r="AV52" s="2">
        <v>0.89</v>
      </c>
      <c r="AW52" s="2">
        <v>0.57999999999999996</v>
      </c>
      <c r="AX52" s="2">
        <v>0.88</v>
      </c>
      <c r="AY52" s="2">
        <v>0.57999999999999996</v>
      </c>
      <c r="AZ52" s="2">
        <v>0.77</v>
      </c>
      <c r="BA52" s="2">
        <v>0.71</v>
      </c>
      <c r="BB52" s="2">
        <v>0.93</v>
      </c>
      <c r="BC52" s="2">
        <v>0.86</v>
      </c>
      <c r="BD52" s="2">
        <v>0.89</v>
      </c>
      <c r="BE52" s="2">
        <v>0.82</v>
      </c>
      <c r="BF52" s="2">
        <v>0.94</v>
      </c>
      <c r="BG52" s="2">
        <v>0.83</v>
      </c>
      <c r="BH52" s="2">
        <v>0.87</v>
      </c>
      <c r="BI52" s="2">
        <v>0.87</v>
      </c>
      <c r="BJ52" s="2">
        <v>0.87</v>
      </c>
      <c r="BK52" s="2">
        <v>0.82</v>
      </c>
      <c r="BL52" s="2">
        <v>0.87</v>
      </c>
      <c r="BM52" s="2">
        <v>0.74</v>
      </c>
      <c r="BN52" s="2">
        <v>0.91</v>
      </c>
      <c r="BO52" s="2">
        <v>0.59</v>
      </c>
      <c r="BR52" s="1" t="s">
        <v>22</v>
      </c>
      <c r="BS52" s="2">
        <v>1.04</v>
      </c>
      <c r="BT52" s="2">
        <v>0.67</v>
      </c>
      <c r="BU52" s="2">
        <v>1.03</v>
      </c>
      <c r="BV52" s="2">
        <v>0.69</v>
      </c>
      <c r="BW52" s="2">
        <v>0.94</v>
      </c>
      <c r="BX52" s="2">
        <v>0.85</v>
      </c>
      <c r="BY52" s="2">
        <v>1.0900000000000001</v>
      </c>
      <c r="BZ52" s="2">
        <v>1.0900000000000001</v>
      </c>
      <c r="CA52" s="2">
        <v>1.0900000000000001</v>
      </c>
      <c r="CB52" s="2">
        <v>0.99</v>
      </c>
      <c r="CC52" s="2">
        <v>1.0900000000000001</v>
      </c>
      <c r="CD52" s="2">
        <v>1.01</v>
      </c>
      <c r="CE52" s="2">
        <v>1.0900000000000001</v>
      </c>
      <c r="CF52" s="2">
        <v>1.0900000000000001</v>
      </c>
      <c r="CG52" s="2">
        <v>1.0900000000000001</v>
      </c>
      <c r="CH52" s="2">
        <v>0.97</v>
      </c>
      <c r="CI52" s="2">
        <v>1.0900000000000001</v>
      </c>
      <c r="CJ52" s="2">
        <v>0.86</v>
      </c>
      <c r="CK52" s="2">
        <v>1.04</v>
      </c>
      <c r="CL52" s="2">
        <v>0.69</v>
      </c>
    </row>
    <row r="53" spans="2:90" x14ac:dyDescent="0.3">
      <c r="B53" s="1" t="s">
        <v>23</v>
      </c>
      <c r="C53" s="2">
        <v>58203.12</v>
      </c>
      <c r="D53" s="2">
        <v>4654.83</v>
      </c>
      <c r="E53" s="2">
        <v>62313.5</v>
      </c>
      <c r="F53" s="2">
        <v>4099.8</v>
      </c>
      <c r="G53" s="2">
        <v>17901.04</v>
      </c>
      <c r="H53" s="2">
        <v>13725.21</v>
      </c>
      <c r="I53" s="2">
        <v>72442.17</v>
      </c>
      <c r="J53" s="2">
        <v>22368.32</v>
      </c>
      <c r="K53" s="2">
        <v>85080.37</v>
      </c>
      <c r="L53" s="2">
        <v>23208.28</v>
      </c>
      <c r="M53" s="2">
        <v>153788.9</v>
      </c>
      <c r="N53" s="2">
        <v>41645.08</v>
      </c>
      <c r="O53" s="2">
        <v>112335.54</v>
      </c>
      <c r="P53" s="2">
        <v>36351.96</v>
      </c>
      <c r="Q53" s="2">
        <v>141573.75</v>
      </c>
      <c r="R53" s="2">
        <v>45098.28</v>
      </c>
      <c r="S53" s="2">
        <v>48378.83</v>
      </c>
      <c r="T53" s="2">
        <v>28227.91</v>
      </c>
      <c r="U53" s="2">
        <v>40164.18</v>
      </c>
      <c r="V53" s="2">
        <v>31730.03</v>
      </c>
      <c r="X53" s="1" t="s">
        <v>23</v>
      </c>
      <c r="Y53" s="2">
        <v>0.66</v>
      </c>
      <c r="Z53" s="2">
        <v>0.23</v>
      </c>
      <c r="AA53" s="2">
        <v>0.66</v>
      </c>
      <c r="AB53" s="2">
        <v>0.24</v>
      </c>
      <c r="AC53" s="2">
        <v>0.54</v>
      </c>
      <c r="AD53" s="2">
        <v>0.44</v>
      </c>
      <c r="AE53" s="2">
        <v>0.66</v>
      </c>
      <c r="AF53" s="2">
        <v>0.67</v>
      </c>
      <c r="AG53" s="2">
        <v>0.64</v>
      </c>
      <c r="AH53" s="2">
        <v>0.56999999999999995</v>
      </c>
      <c r="AI53" s="2">
        <v>0.63</v>
      </c>
      <c r="AJ53" s="2">
        <v>0.56999999999999995</v>
      </c>
      <c r="AK53" s="2">
        <v>0.6</v>
      </c>
      <c r="AL53" s="2">
        <v>0.61</v>
      </c>
      <c r="AM53" s="2">
        <v>0.56999999999999995</v>
      </c>
      <c r="AN53" s="2">
        <v>0.56000000000000005</v>
      </c>
      <c r="AO53" s="2">
        <v>0.65</v>
      </c>
      <c r="AP53" s="2">
        <v>0.42</v>
      </c>
      <c r="AQ53" s="2">
        <v>0.42</v>
      </c>
      <c r="AR53" s="2">
        <v>0.34</v>
      </c>
      <c r="AU53" s="1" t="s">
        <v>23</v>
      </c>
      <c r="AV53" s="2">
        <v>1.0900000000000001</v>
      </c>
      <c r="AW53" s="2">
        <v>0.49</v>
      </c>
      <c r="AX53" s="2">
        <v>1.08</v>
      </c>
      <c r="AY53" s="2">
        <v>0.44</v>
      </c>
      <c r="AZ53" s="2">
        <v>1.07</v>
      </c>
      <c r="BA53" s="2">
        <v>1</v>
      </c>
      <c r="BB53" s="2">
        <v>1.1000000000000001</v>
      </c>
      <c r="BC53" s="2">
        <v>0.91</v>
      </c>
      <c r="BD53" s="2">
        <v>1.1100000000000001</v>
      </c>
      <c r="BE53" s="2">
        <v>0.88</v>
      </c>
      <c r="BF53" s="2">
        <v>1.1100000000000001</v>
      </c>
      <c r="BG53" s="2">
        <v>0.88</v>
      </c>
      <c r="BH53" s="2">
        <v>1.1100000000000001</v>
      </c>
      <c r="BI53" s="2">
        <v>0.9</v>
      </c>
      <c r="BJ53" s="2">
        <v>1.1100000000000001</v>
      </c>
      <c r="BK53" s="2">
        <v>0.87</v>
      </c>
      <c r="BL53" s="2">
        <v>0.92</v>
      </c>
      <c r="BM53" s="2">
        <v>0.79</v>
      </c>
      <c r="BN53" s="2">
        <v>0.79</v>
      </c>
      <c r="BO53" s="2">
        <v>0.73</v>
      </c>
      <c r="BR53" s="1" t="s">
        <v>23</v>
      </c>
      <c r="BS53" s="2">
        <v>1.4</v>
      </c>
      <c r="BT53" s="2">
        <v>0.56999999999999995</v>
      </c>
      <c r="BU53" s="2">
        <v>1.4</v>
      </c>
      <c r="BV53" s="2">
        <v>0.52</v>
      </c>
      <c r="BW53" s="2">
        <v>1.4</v>
      </c>
      <c r="BX53" s="2">
        <v>1.21</v>
      </c>
      <c r="BY53" s="2">
        <v>1.4</v>
      </c>
      <c r="BZ53" s="2">
        <v>1.21</v>
      </c>
      <c r="CA53" s="2">
        <v>1.4</v>
      </c>
      <c r="CB53" s="2">
        <v>1.1299999999999999</v>
      </c>
      <c r="CC53" s="2">
        <v>1.4</v>
      </c>
      <c r="CD53" s="2">
        <v>1.1399999999999999</v>
      </c>
      <c r="CE53" s="2">
        <v>1.4</v>
      </c>
      <c r="CF53" s="2">
        <v>1.17</v>
      </c>
      <c r="CG53" s="2">
        <v>1.4</v>
      </c>
      <c r="CH53" s="2">
        <v>1.1200000000000001</v>
      </c>
      <c r="CI53" s="2">
        <v>1.21</v>
      </c>
      <c r="CJ53" s="2">
        <v>0.98</v>
      </c>
      <c r="CK53" s="2">
        <v>0.98</v>
      </c>
      <c r="CL53" s="2">
        <v>0.89</v>
      </c>
    </row>
    <row r="54" spans="2:90" x14ac:dyDescent="0.3">
      <c r="B54" s="1" t="s">
        <v>24</v>
      </c>
      <c r="C54" s="2">
        <v>9103.82</v>
      </c>
      <c r="D54" s="2">
        <v>2355.15</v>
      </c>
      <c r="E54" s="2">
        <v>6594.86</v>
      </c>
      <c r="F54" s="2">
        <v>1476.62</v>
      </c>
      <c r="G54" s="2">
        <v>2014.45</v>
      </c>
      <c r="H54" s="2">
        <v>3808.87</v>
      </c>
      <c r="I54" s="2">
        <v>7317.26</v>
      </c>
      <c r="J54" s="2">
        <v>7240.46</v>
      </c>
      <c r="K54" s="2">
        <v>8718.64</v>
      </c>
      <c r="L54" s="2">
        <v>7695.77</v>
      </c>
      <c r="M54" s="2">
        <v>15624.22</v>
      </c>
      <c r="N54" s="2">
        <v>12825.17</v>
      </c>
      <c r="O54" s="2">
        <v>18219.939999999999</v>
      </c>
      <c r="P54" s="2">
        <v>11188.61</v>
      </c>
      <c r="Q54" s="2">
        <v>15973.09</v>
      </c>
      <c r="R54" s="2">
        <v>16771.36</v>
      </c>
      <c r="S54" s="2">
        <v>13966.76</v>
      </c>
      <c r="T54" s="2">
        <v>8871.76</v>
      </c>
      <c r="U54" s="2">
        <v>12126.96</v>
      </c>
      <c r="V54" s="2">
        <v>10529.85</v>
      </c>
      <c r="X54" s="1" t="s">
        <v>24</v>
      </c>
      <c r="Y54" s="2">
        <v>0.48</v>
      </c>
      <c r="Z54" s="2">
        <v>0.25</v>
      </c>
      <c r="AA54" s="2">
        <v>0.63</v>
      </c>
      <c r="AB54" s="2">
        <v>0.28999999999999998</v>
      </c>
      <c r="AC54" s="2">
        <v>0.56000000000000005</v>
      </c>
      <c r="AD54" s="2">
        <v>0.51</v>
      </c>
      <c r="AE54" s="2">
        <v>0.64</v>
      </c>
      <c r="AF54" s="2">
        <v>0.64</v>
      </c>
      <c r="AG54" s="2">
        <v>0.62</v>
      </c>
      <c r="AH54" s="2">
        <v>0.56000000000000005</v>
      </c>
      <c r="AI54" s="2">
        <v>0.62</v>
      </c>
      <c r="AJ54" s="2">
        <v>0.53</v>
      </c>
      <c r="AK54" s="2">
        <v>0.45</v>
      </c>
      <c r="AL54" s="2">
        <v>0.56000000000000005</v>
      </c>
      <c r="AM54" s="2">
        <v>0.61</v>
      </c>
      <c r="AN54" s="2">
        <v>0.32</v>
      </c>
      <c r="AO54" s="2">
        <v>0.31</v>
      </c>
      <c r="AP54" s="2">
        <v>0.38</v>
      </c>
      <c r="AQ54" s="2">
        <v>0.4</v>
      </c>
      <c r="AR54" s="2">
        <v>0.34</v>
      </c>
      <c r="AU54" s="1" t="s">
        <v>24</v>
      </c>
      <c r="AV54" s="2">
        <v>0.98</v>
      </c>
      <c r="AW54" s="2">
        <v>0.72</v>
      </c>
      <c r="AX54" s="2">
        <v>0.9</v>
      </c>
      <c r="AY54" s="2">
        <v>0.55000000000000004</v>
      </c>
      <c r="AZ54" s="2">
        <v>0.89</v>
      </c>
      <c r="BA54" s="2">
        <v>0.98</v>
      </c>
      <c r="BB54" s="2">
        <v>0.92</v>
      </c>
      <c r="BC54" s="2">
        <v>0.92</v>
      </c>
      <c r="BD54" s="2">
        <v>0.93</v>
      </c>
      <c r="BE54" s="2">
        <v>0.91</v>
      </c>
      <c r="BF54" s="2">
        <v>0.93</v>
      </c>
      <c r="BG54" s="2">
        <v>0.9</v>
      </c>
      <c r="BH54" s="2">
        <v>1.01</v>
      </c>
      <c r="BI54" s="2">
        <v>0.92</v>
      </c>
      <c r="BJ54" s="2">
        <v>0.93</v>
      </c>
      <c r="BK54" s="2">
        <v>0.96</v>
      </c>
      <c r="BL54" s="2">
        <v>0.94</v>
      </c>
      <c r="BM54" s="2">
        <v>0.84</v>
      </c>
      <c r="BN54" s="2">
        <v>0.84</v>
      </c>
      <c r="BO54" s="2">
        <v>0.82</v>
      </c>
      <c r="BR54" s="1" t="s">
        <v>24</v>
      </c>
      <c r="BS54" s="2">
        <v>1.21</v>
      </c>
      <c r="BT54" s="2">
        <v>0.84</v>
      </c>
      <c r="BU54" s="2">
        <v>1.21</v>
      </c>
      <c r="BV54" s="2">
        <v>0.65</v>
      </c>
      <c r="BW54" s="2">
        <v>1.21</v>
      </c>
      <c r="BX54" s="2">
        <v>1.21</v>
      </c>
      <c r="BY54" s="2">
        <v>1.21</v>
      </c>
      <c r="BZ54" s="2">
        <v>1.21</v>
      </c>
      <c r="CA54" s="2">
        <v>1.21</v>
      </c>
      <c r="CB54" s="2">
        <v>1.17</v>
      </c>
      <c r="CC54" s="2">
        <v>1.21</v>
      </c>
      <c r="CD54" s="2">
        <v>1.1399999999999999</v>
      </c>
      <c r="CE54" s="2">
        <v>1.21</v>
      </c>
      <c r="CF54" s="2">
        <v>1.17</v>
      </c>
      <c r="CG54" s="2">
        <v>1.21</v>
      </c>
      <c r="CH54" s="2">
        <v>1.1000000000000001</v>
      </c>
      <c r="CI54" s="2">
        <v>1.08</v>
      </c>
      <c r="CJ54" s="2">
        <v>1.01</v>
      </c>
      <c r="CK54" s="2">
        <v>1.02</v>
      </c>
      <c r="CL54" s="2">
        <v>0.97</v>
      </c>
    </row>
    <row r="55" spans="2:90" x14ac:dyDescent="0.3">
      <c r="B55" s="1" t="s">
        <v>25</v>
      </c>
      <c r="C55" s="2">
        <v>20418.66</v>
      </c>
      <c r="D55" s="2">
        <v>36671.83</v>
      </c>
      <c r="E55" s="2">
        <v>39798.92</v>
      </c>
      <c r="F55" s="2">
        <v>48518.49</v>
      </c>
      <c r="G55" s="2">
        <v>7910.66</v>
      </c>
      <c r="H55" s="2">
        <v>8759.19</v>
      </c>
      <c r="I55" s="2">
        <v>36303.9</v>
      </c>
      <c r="J55" s="2">
        <v>29510.720000000001</v>
      </c>
      <c r="K55" s="2">
        <v>38550.230000000003</v>
      </c>
      <c r="L55" s="2">
        <v>38331.14</v>
      </c>
      <c r="M55" s="2">
        <v>69583.44</v>
      </c>
      <c r="N55" s="2">
        <v>73689.919999999998</v>
      </c>
      <c r="O55" s="2">
        <v>55292.94</v>
      </c>
      <c r="P55" s="2">
        <v>60017.120000000003</v>
      </c>
      <c r="Q55" s="2">
        <v>71648.56</v>
      </c>
      <c r="R55" s="2">
        <v>69529.16</v>
      </c>
      <c r="S55" s="2">
        <v>68274.649999999994</v>
      </c>
      <c r="T55" s="2">
        <v>46530.34</v>
      </c>
      <c r="U55" s="2">
        <v>65143.93</v>
      </c>
      <c r="V55" s="2">
        <v>54177.4</v>
      </c>
      <c r="X55" s="1" t="s">
        <v>25</v>
      </c>
      <c r="Y55" s="2">
        <v>0.42</v>
      </c>
      <c r="Z55" s="2">
        <v>0.37</v>
      </c>
      <c r="AA55" s="2">
        <v>0.38</v>
      </c>
      <c r="AB55" s="2">
        <v>0.47</v>
      </c>
      <c r="AC55" s="2">
        <v>0.42</v>
      </c>
      <c r="AD55" s="2">
        <v>0.45</v>
      </c>
      <c r="AE55" s="2">
        <v>0.41</v>
      </c>
      <c r="AF55" s="2">
        <v>0.5</v>
      </c>
      <c r="AG55" s="2">
        <v>0.52</v>
      </c>
      <c r="AH55" s="2">
        <v>0.51</v>
      </c>
      <c r="AI55" s="2">
        <v>0.52</v>
      </c>
      <c r="AJ55" s="2">
        <v>0.54</v>
      </c>
      <c r="AK55" s="2">
        <v>0.52</v>
      </c>
      <c r="AL55" s="2">
        <v>0.55000000000000004</v>
      </c>
      <c r="AM55" s="2">
        <v>0.52</v>
      </c>
      <c r="AN55" s="2">
        <v>0.5</v>
      </c>
      <c r="AO55" s="2">
        <v>0.31</v>
      </c>
      <c r="AP55" s="2">
        <v>0.36</v>
      </c>
      <c r="AQ55" s="2">
        <v>0.4</v>
      </c>
      <c r="AR55" s="2">
        <v>0.34</v>
      </c>
      <c r="AU55" s="1" t="s">
        <v>25</v>
      </c>
      <c r="AV55" s="2">
        <v>0.85</v>
      </c>
      <c r="AW55" s="2">
        <v>0.95</v>
      </c>
      <c r="AX55" s="2">
        <v>0.94</v>
      </c>
      <c r="AY55" s="2">
        <v>0.93</v>
      </c>
      <c r="AZ55" s="2">
        <v>0.84</v>
      </c>
      <c r="BA55" s="2">
        <v>0.85</v>
      </c>
      <c r="BB55" s="2">
        <v>0.89</v>
      </c>
      <c r="BC55" s="2">
        <v>0.87</v>
      </c>
      <c r="BD55" s="2">
        <v>0.89</v>
      </c>
      <c r="BE55" s="2">
        <v>0.89</v>
      </c>
      <c r="BF55" s="2">
        <v>0.89</v>
      </c>
      <c r="BG55" s="2">
        <v>0.9</v>
      </c>
      <c r="BH55" s="2">
        <v>0.9</v>
      </c>
      <c r="BI55" s="2">
        <v>0.9</v>
      </c>
      <c r="BJ55" s="2">
        <v>0.9</v>
      </c>
      <c r="BK55" s="2">
        <v>0.89</v>
      </c>
      <c r="BL55" s="2">
        <v>0.93</v>
      </c>
      <c r="BM55" s="2">
        <v>0.82</v>
      </c>
      <c r="BN55" s="2">
        <v>0.84</v>
      </c>
      <c r="BO55" s="2">
        <v>0.78</v>
      </c>
      <c r="BR55" s="1" t="s">
        <v>25</v>
      </c>
      <c r="BS55" s="2">
        <v>1.1299999999999999</v>
      </c>
      <c r="BT55" s="2">
        <v>1.1299999999999999</v>
      </c>
      <c r="BU55" s="2">
        <v>1.1299999999999999</v>
      </c>
      <c r="BV55" s="2">
        <v>1.1000000000000001</v>
      </c>
      <c r="BW55" s="2">
        <v>1.1299999999999999</v>
      </c>
      <c r="BX55" s="2">
        <v>1.1299999999999999</v>
      </c>
      <c r="BY55" s="2">
        <v>1.04</v>
      </c>
      <c r="BZ55" s="2">
        <v>1.1299999999999999</v>
      </c>
      <c r="CA55" s="2">
        <v>1.1299999999999999</v>
      </c>
      <c r="CB55" s="2">
        <v>1.1299999999999999</v>
      </c>
      <c r="CC55" s="2">
        <v>1.1299999999999999</v>
      </c>
      <c r="CD55" s="2">
        <v>1.1299999999999999</v>
      </c>
      <c r="CE55" s="2">
        <v>1.1299999999999999</v>
      </c>
      <c r="CF55" s="2">
        <v>1.1299999999999999</v>
      </c>
      <c r="CG55" s="2">
        <v>1.1299999999999999</v>
      </c>
      <c r="CH55" s="2">
        <v>1.1100000000000001</v>
      </c>
      <c r="CI55" s="2">
        <v>1.07</v>
      </c>
      <c r="CJ55" s="2">
        <v>0.97</v>
      </c>
      <c r="CK55" s="2">
        <v>1.02</v>
      </c>
      <c r="CL55" s="2">
        <v>0.89</v>
      </c>
    </row>
    <row r="56" spans="2:90" x14ac:dyDescent="0.3">
      <c r="B56" s="1" t="s">
        <v>26</v>
      </c>
      <c r="C56" s="2">
        <v>5890.17</v>
      </c>
      <c r="D56" s="2">
        <v>9377.7999999999993</v>
      </c>
      <c r="E56" s="2">
        <v>12380.98</v>
      </c>
      <c r="F56" s="2">
        <v>12374.52</v>
      </c>
      <c r="G56" s="2">
        <v>2036.11</v>
      </c>
      <c r="H56" s="2">
        <v>2334.46</v>
      </c>
      <c r="I56" s="2">
        <v>7930.44</v>
      </c>
      <c r="J56" s="2">
        <v>6246.71</v>
      </c>
      <c r="K56" s="2">
        <v>8631.7800000000007</v>
      </c>
      <c r="L56" s="2">
        <v>10231.58</v>
      </c>
      <c r="M56" s="2">
        <v>18144.560000000001</v>
      </c>
      <c r="N56" s="2">
        <v>18978.669999999998</v>
      </c>
      <c r="O56" s="2">
        <v>14746.04</v>
      </c>
      <c r="P56" s="2">
        <v>15490.37</v>
      </c>
      <c r="Q56" s="2">
        <v>18990.38</v>
      </c>
      <c r="R56" s="2">
        <v>19755.87</v>
      </c>
      <c r="S56" s="2">
        <v>14581.71</v>
      </c>
      <c r="T56" s="2">
        <v>18293.61</v>
      </c>
      <c r="U56" s="2">
        <v>16898.21</v>
      </c>
      <c r="V56" s="2">
        <v>16406.16</v>
      </c>
      <c r="X56" s="1" t="s">
        <v>26</v>
      </c>
      <c r="Y56" s="2">
        <v>0.57999999999999996</v>
      </c>
      <c r="Z56" s="2">
        <v>0.44</v>
      </c>
      <c r="AA56" s="2">
        <v>0.54</v>
      </c>
      <c r="AB56" s="2">
        <v>0.55000000000000004</v>
      </c>
      <c r="AC56" s="2">
        <v>0.51</v>
      </c>
      <c r="AD56" s="2">
        <v>0.56000000000000005</v>
      </c>
      <c r="AE56" s="2">
        <v>0.62</v>
      </c>
      <c r="AF56" s="2">
        <v>0.48</v>
      </c>
      <c r="AG56" s="2">
        <v>0.54</v>
      </c>
      <c r="AH56" s="2">
        <v>0.63</v>
      </c>
      <c r="AI56" s="2">
        <v>0.64</v>
      </c>
      <c r="AJ56" s="2">
        <v>0.65</v>
      </c>
      <c r="AK56" s="2">
        <v>0.64</v>
      </c>
      <c r="AL56" s="2">
        <v>0.65</v>
      </c>
      <c r="AM56" s="2">
        <v>0.64</v>
      </c>
      <c r="AN56" s="2">
        <v>0.64</v>
      </c>
      <c r="AO56" s="2">
        <v>0.56000000000000005</v>
      </c>
      <c r="AP56" s="2">
        <v>0.65</v>
      </c>
      <c r="AQ56" s="2">
        <v>0.48</v>
      </c>
      <c r="AR56" s="2">
        <v>0.36</v>
      </c>
      <c r="AU56" s="1" t="s">
        <v>26</v>
      </c>
      <c r="AV56" s="2">
        <v>0.88</v>
      </c>
      <c r="AW56" s="2">
        <v>0.96</v>
      </c>
      <c r="AX56" s="2">
        <v>0.97</v>
      </c>
      <c r="AY56" s="2">
        <v>0.96</v>
      </c>
      <c r="AZ56" s="2">
        <v>0.86</v>
      </c>
      <c r="BA56" s="2">
        <v>0.87</v>
      </c>
      <c r="BB56" s="2">
        <v>0.89</v>
      </c>
      <c r="BC56" s="2">
        <v>0.86</v>
      </c>
      <c r="BD56" s="2">
        <v>0.88</v>
      </c>
      <c r="BE56" s="2">
        <v>0.92</v>
      </c>
      <c r="BF56" s="2">
        <v>0.92</v>
      </c>
      <c r="BG56" s="2">
        <v>0.92</v>
      </c>
      <c r="BH56" s="2">
        <v>0.92</v>
      </c>
      <c r="BI56" s="2">
        <v>0.92</v>
      </c>
      <c r="BJ56" s="2">
        <v>0.92</v>
      </c>
      <c r="BK56" s="2">
        <v>0.92</v>
      </c>
      <c r="BL56" s="2">
        <v>0.89</v>
      </c>
      <c r="BM56" s="2">
        <v>0.92</v>
      </c>
      <c r="BN56" s="2">
        <v>0.86</v>
      </c>
      <c r="BO56" s="2">
        <v>0.85</v>
      </c>
      <c r="BR56" s="1" t="s">
        <v>26</v>
      </c>
      <c r="BS56" s="2">
        <v>1.21</v>
      </c>
      <c r="BT56" s="2">
        <v>1.21</v>
      </c>
      <c r="BU56" s="2">
        <v>1.21</v>
      </c>
      <c r="BV56" s="2">
        <v>1.21</v>
      </c>
      <c r="BW56" s="2">
        <v>1.21</v>
      </c>
      <c r="BX56" s="2">
        <v>1.21</v>
      </c>
      <c r="BY56" s="2">
        <v>1.17</v>
      </c>
      <c r="BZ56" s="2">
        <v>1.21</v>
      </c>
      <c r="CA56" s="2">
        <v>1.1200000000000001</v>
      </c>
      <c r="CB56" s="2">
        <v>1.21</v>
      </c>
      <c r="CC56" s="2">
        <v>1.21</v>
      </c>
      <c r="CD56" s="2">
        <v>1.21</v>
      </c>
      <c r="CE56" s="2">
        <v>1.21</v>
      </c>
      <c r="CF56" s="2">
        <v>1.21</v>
      </c>
      <c r="CG56" s="2">
        <v>1.2</v>
      </c>
      <c r="CH56" s="2">
        <v>1.21</v>
      </c>
      <c r="CI56" s="2">
        <v>1.1399999999999999</v>
      </c>
      <c r="CJ56" s="2">
        <v>1.21</v>
      </c>
      <c r="CK56" s="2">
        <v>1.08</v>
      </c>
      <c r="CL56" s="2">
        <v>1.01</v>
      </c>
    </row>
    <row r="57" spans="2:90" x14ac:dyDescent="0.3">
      <c r="B57" s="1" t="s">
        <v>27</v>
      </c>
      <c r="C57" s="2">
        <v>61641.63</v>
      </c>
      <c r="D57" s="2">
        <v>63640.02</v>
      </c>
      <c r="E57" s="2">
        <v>44048.86</v>
      </c>
      <c r="F57" s="2">
        <v>74021.899999999994</v>
      </c>
      <c r="G57" s="2">
        <v>6942.6</v>
      </c>
      <c r="H57" s="2">
        <v>24051.37</v>
      </c>
      <c r="I57" s="2">
        <v>26859.279999999999</v>
      </c>
      <c r="J57" s="2">
        <v>25588.71</v>
      </c>
      <c r="K57" s="2">
        <v>56874.83</v>
      </c>
      <c r="L57" s="2">
        <v>98568.04</v>
      </c>
      <c r="M57" s="2">
        <v>59180.87</v>
      </c>
      <c r="N57" s="2">
        <v>178368.43</v>
      </c>
      <c r="O57" s="2">
        <v>47908.22</v>
      </c>
      <c r="P57" s="2">
        <v>144385.93</v>
      </c>
      <c r="Q57" s="2">
        <v>62003.55</v>
      </c>
      <c r="R57" s="2">
        <v>184963.83</v>
      </c>
      <c r="S57" s="2">
        <v>50637.38</v>
      </c>
      <c r="T57" s="2">
        <v>86263.71</v>
      </c>
      <c r="U57" s="2">
        <v>62026.8</v>
      </c>
      <c r="V57" s="2">
        <v>60956.04</v>
      </c>
      <c r="X57" s="1" t="s">
        <v>27</v>
      </c>
      <c r="Y57" s="2">
        <v>0.64</v>
      </c>
      <c r="Z57" s="2">
        <v>0.67</v>
      </c>
      <c r="AA57" s="2">
        <v>0.52</v>
      </c>
      <c r="AB57" s="2">
        <v>0.73</v>
      </c>
      <c r="AC57" s="2">
        <v>0.56999999999999995</v>
      </c>
      <c r="AD57" s="2">
        <v>0.64</v>
      </c>
      <c r="AE57" s="2">
        <v>0.68</v>
      </c>
      <c r="AF57" s="2">
        <v>0.72</v>
      </c>
      <c r="AG57" s="2">
        <v>0.49</v>
      </c>
      <c r="AH57" s="2">
        <v>0.67</v>
      </c>
      <c r="AI57" s="2">
        <v>0.67</v>
      </c>
      <c r="AJ57" s="2">
        <v>0.67</v>
      </c>
      <c r="AK57" s="2">
        <v>0.67</v>
      </c>
      <c r="AL57" s="2">
        <v>0.67</v>
      </c>
      <c r="AM57" s="2">
        <v>0.67</v>
      </c>
      <c r="AN57" s="2">
        <v>0.66</v>
      </c>
      <c r="AO57" s="2">
        <v>0.62</v>
      </c>
      <c r="AP57" s="2">
        <v>0.5</v>
      </c>
      <c r="AQ57" s="2">
        <v>0.56999999999999995</v>
      </c>
      <c r="AR57" s="2">
        <v>0.56000000000000005</v>
      </c>
      <c r="AU57" s="1" t="s">
        <v>27</v>
      </c>
      <c r="AV57" s="2">
        <v>1.07</v>
      </c>
      <c r="AW57" s="2">
        <v>1.07</v>
      </c>
      <c r="AX57" s="2">
        <v>0.97</v>
      </c>
      <c r="AY57" s="2">
        <v>1.07</v>
      </c>
      <c r="AZ57" s="2">
        <v>0.84</v>
      </c>
      <c r="BA57" s="2">
        <v>1.06</v>
      </c>
      <c r="BB57" s="2">
        <v>0.89</v>
      </c>
      <c r="BC57" s="2">
        <v>0.94</v>
      </c>
      <c r="BD57" s="2">
        <v>0.99</v>
      </c>
      <c r="BE57" s="2">
        <v>1.1000000000000001</v>
      </c>
      <c r="BF57" s="2">
        <v>0.91</v>
      </c>
      <c r="BG57" s="2">
        <v>1.1000000000000001</v>
      </c>
      <c r="BH57" s="2">
        <v>0.91</v>
      </c>
      <c r="BI57" s="2">
        <v>1.1000000000000001</v>
      </c>
      <c r="BJ57" s="2">
        <v>0.91</v>
      </c>
      <c r="BK57" s="2">
        <v>1.1000000000000001</v>
      </c>
      <c r="BL57" s="2">
        <v>0.88</v>
      </c>
      <c r="BM57" s="2">
        <v>0.96</v>
      </c>
      <c r="BN57" s="2">
        <v>0.86</v>
      </c>
      <c r="BO57" s="2">
        <v>0.85</v>
      </c>
      <c r="BR57" s="1" t="s">
        <v>27</v>
      </c>
      <c r="BS57" s="2">
        <v>1.4</v>
      </c>
      <c r="BT57" s="2">
        <v>1.4</v>
      </c>
      <c r="BU57" s="2">
        <v>1.21</v>
      </c>
      <c r="BV57" s="2">
        <v>1.4</v>
      </c>
      <c r="BW57" s="2">
        <v>1.21</v>
      </c>
      <c r="BX57" s="2">
        <v>1.4</v>
      </c>
      <c r="BY57" s="2">
        <v>1.21</v>
      </c>
      <c r="BZ57" s="2">
        <v>1.4</v>
      </c>
      <c r="CA57" s="2">
        <v>1.21</v>
      </c>
      <c r="CB57" s="2">
        <v>1.4</v>
      </c>
      <c r="CC57" s="2">
        <v>1.21</v>
      </c>
      <c r="CD57" s="2">
        <v>1.4</v>
      </c>
      <c r="CE57" s="2">
        <v>1.21</v>
      </c>
      <c r="CF57" s="2">
        <v>1.4</v>
      </c>
      <c r="CG57" s="2">
        <v>1.21</v>
      </c>
      <c r="CH57" s="2">
        <v>1.4</v>
      </c>
      <c r="CI57" s="2">
        <v>1.1599999999999999</v>
      </c>
      <c r="CJ57" s="2">
        <v>1.19</v>
      </c>
      <c r="CK57" s="2">
        <v>1.1200000000000001</v>
      </c>
      <c r="CL57" s="2">
        <v>1.1000000000000001</v>
      </c>
    </row>
    <row r="58" spans="2:90" x14ac:dyDescent="0.3">
      <c r="B58" s="1" t="s">
        <v>28</v>
      </c>
      <c r="C58" s="2">
        <v>10590.36</v>
      </c>
      <c r="D58" s="2">
        <v>14492.97</v>
      </c>
      <c r="E58" s="2">
        <v>3053.22</v>
      </c>
      <c r="F58" s="2">
        <v>3463.76</v>
      </c>
      <c r="G58" s="2">
        <v>773.02</v>
      </c>
      <c r="H58" s="2">
        <v>1569.28</v>
      </c>
      <c r="I58" s="2">
        <v>2573.62</v>
      </c>
      <c r="J58" s="2">
        <v>14050.72</v>
      </c>
      <c r="K58" s="2">
        <v>13934.73</v>
      </c>
      <c r="L58" s="2">
        <v>16854.41</v>
      </c>
      <c r="M58" s="2">
        <v>25284.639999999999</v>
      </c>
      <c r="N58" s="2">
        <v>31026.18</v>
      </c>
      <c r="O58" s="2">
        <v>19465.86</v>
      </c>
      <c r="P58" s="2">
        <v>24728.6</v>
      </c>
      <c r="Q58" s="2">
        <v>25973.48</v>
      </c>
      <c r="R58" s="2">
        <v>29011.02</v>
      </c>
      <c r="S58" s="2">
        <v>22548.19</v>
      </c>
      <c r="T58" s="2">
        <v>22180.77</v>
      </c>
      <c r="U58" s="2">
        <v>32385.360000000001</v>
      </c>
      <c r="V58" s="2">
        <v>25900.23</v>
      </c>
      <c r="X58" s="1" t="s">
        <v>28</v>
      </c>
      <c r="Y58" s="2">
        <v>0.33</v>
      </c>
      <c r="Z58" s="2">
        <v>0.44</v>
      </c>
      <c r="AA58" s="2">
        <v>0.31</v>
      </c>
      <c r="AB58" s="2">
        <v>0.33</v>
      </c>
      <c r="AC58" s="2">
        <v>0.2</v>
      </c>
      <c r="AD58" s="2">
        <v>0.33</v>
      </c>
      <c r="AE58" s="2">
        <v>0.22</v>
      </c>
      <c r="AF58" s="2">
        <v>0.34</v>
      </c>
      <c r="AG58" s="2">
        <v>0.28000000000000003</v>
      </c>
      <c r="AH58" s="2">
        <v>0.33</v>
      </c>
      <c r="AI58" s="2">
        <v>0.28999999999999998</v>
      </c>
      <c r="AJ58" s="2">
        <v>0.34</v>
      </c>
      <c r="AK58" s="2">
        <v>0.28000000000000003</v>
      </c>
      <c r="AL58" s="2">
        <v>0.34</v>
      </c>
      <c r="AM58" s="2">
        <v>0.28000000000000003</v>
      </c>
      <c r="AN58" s="2">
        <v>0.31</v>
      </c>
      <c r="AO58" s="2">
        <v>0.27</v>
      </c>
      <c r="AP58" s="2">
        <v>0.26</v>
      </c>
      <c r="AQ58" s="2">
        <v>0.3</v>
      </c>
      <c r="AR58" s="2">
        <v>0.24</v>
      </c>
      <c r="AU58" s="1" t="s">
        <v>28</v>
      </c>
      <c r="AV58" s="2">
        <v>0.76</v>
      </c>
      <c r="AW58" s="2">
        <v>0.82</v>
      </c>
      <c r="AX58" s="2">
        <v>0.44</v>
      </c>
      <c r="AY58" s="2">
        <v>0.47</v>
      </c>
      <c r="AZ58" s="2">
        <v>0.35</v>
      </c>
      <c r="BA58" s="2">
        <v>0.51</v>
      </c>
      <c r="BB58" s="2">
        <v>0.38</v>
      </c>
      <c r="BC58" s="2">
        <v>0.8</v>
      </c>
      <c r="BD58" s="2">
        <v>0.79</v>
      </c>
      <c r="BE58" s="2">
        <v>0.82</v>
      </c>
      <c r="BF58" s="2">
        <v>0.81</v>
      </c>
      <c r="BG58" s="2">
        <v>0.82</v>
      </c>
      <c r="BH58" s="2">
        <v>0.81</v>
      </c>
      <c r="BI58" s="2">
        <v>0.82</v>
      </c>
      <c r="BJ58" s="2">
        <v>0.81</v>
      </c>
      <c r="BK58" s="2">
        <v>0.82</v>
      </c>
      <c r="BL58" s="2">
        <v>0.81</v>
      </c>
      <c r="BM58" s="2">
        <v>0.79</v>
      </c>
      <c r="BN58" s="2">
        <v>0.81</v>
      </c>
      <c r="BO58" s="2">
        <v>0.76</v>
      </c>
      <c r="BR58" s="1" t="s">
        <v>28</v>
      </c>
      <c r="BS58" s="2">
        <v>0.94</v>
      </c>
      <c r="BT58" s="2">
        <v>1.05</v>
      </c>
      <c r="BU58" s="2">
        <v>0.55000000000000004</v>
      </c>
      <c r="BV58" s="2">
        <v>0.57999999999999996</v>
      </c>
      <c r="BW58" s="2">
        <v>0.43</v>
      </c>
      <c r="BX58" s="2">
        <v>0.62</v>
      </c>
      <c r="BY58" s="2">
        <v>0.46</v>
      </c>
      <c r="BZ58" s="2">
        <v>1.05</v>
      </c>
      <c r="CA58" s="2">
        <v>0.99</v>
      </c>
      <c r="CB58" s="2">
        <v>1.05</v>
      </c>
      <c r="CC58" s="2">
        <v>1.05</v>
      </c>
      <c r="CD58" s="2">
        <v>1.05</v>
      </c>
      <c r="CE58" s="2">
        <v>1.05</v>
      </c>
      <c r="CF58" s="2">
        <v>1.05</v>
      </c>
      <c r="CG58" s="2">
        <v>1.05</v>
      </c>
      <c r="CH58" s="2">
        <v>1.05</v>
      </c>
      <c r="CI58" s="2">
        <v>1.05</v>
      </c>
      <c r="CJ58" s="2">
        <v>0.99</v>
      </c>
      <c r="CK58" s="2">
        <v>1.04</v>
      </c>
      <c r="CL58" s="2">
        <v>0.91</v>
      </c>
    </row>
    <row r="61" spans="2:90" x14ac:dyDescent="0.3">
      <c r="B61" t="s">
        <v>41</v>
      </c>
      <c r="X61" t="s">
        <v>42</v>
      </c>
      <c r="AU61" t="s">
        <v>43</v>
      </c>
      <c r="BR61" t="s">
        <v>44</v>
      </c>
    </row>
    <row r="62" spans="2:90" x14ac:dyDescent="0.3">
      <c r="B62" s="1" t="s">
        <v>16</v>
      </c>
      <c r="C62" s="1" t="s">
        <v>17</v>
      </c>
      <c r="D62" s="1" t="s">
        <v>18</v>
      </c>
      <c r="E62" s="1" t="s">
        <v>17</v>
      </c>
      <c r="F62" s="1" t="s">
        <v>18</v>
      </c>
      <c r="G62" s="1" t="s">
        <v>17</v>
      </c>
      <c r="H62" s="1" t="s">
        <v>18</v>
      </c>
      <c r="I62" s="1" t="s">
        <v>17</v>
      </c>
      <c r="J62" s="1" t="s">
        <v>18</v>
      </c>
      <c r="K62" s="1" t="s">
        <v>17</v>
      </c>
      <c r="L62" s="1" t="s">
        <v>18</v>
      </c>
      <c r="M62" s="1" t="s">
        <v>17</v>
      </c>
      <c r="N62" s="1" t="s">
        <v>18</v>
      </c>
      <c r="O62" s="1" t="s">
        <v>17</v>
      </c>
      <c r="P62" s="1" t="s">
        <v>18</v>
      </c>
      <c r="Q62" s="1" t="s">
        <v>17</v>
      </c>
      <c r="R62" s="1" t="s">
        <v>18</v>
      </c>
      <c r="S62" s="1" t="s">
        <v>17</v>
      </c>
      <c r="T62" s="1" t="s">
        <v>18</v>
      </c>
      <c r="U62" s="1" t="s">
        <v>17</v>
      </c>
      <c r="V62" s="1" t="s">
        <v>18</v>
      </c>
      <c r="X62" s="1" t="s">
        <v>16</v>
      </c>
      <c r="Y62" s="1" t="s">
        <v>17</v>
      </c>
      <c r="Z62" s="1" t="s">
        <v>18</v>
      </c>
      <c r="AA62" s="1" t="s">
        <v>17</v>
      </c>
      <c r="AB62" s="1" t="s">
        <v>18</v>
      </c>
      <c r="AC62" s="1" t="s">
        <v>17</v>
      </c>
      <c r="AD62" s="1" t="s">
        <v>18</v>
      </c>
      <c r="AE62" s="1" t="s">
        <v>17</v>
      </c>
      <c r="AF62" s="1" t="s">
        <v>18</v>
      </c>
      <c r="AG62" s="1" t="s">
        <v>17</v>
      </c>
      <c r="AH62" s="1" t="s">
        <v>18</v>
      </c>
      <c r="AI62" s="1" t="s">
        <v>17</v>
      </c>
      <c r="AJ62" s="1" t="s">
        <v>18</v>
      </c>
      <c r="AK62" s="1" t="s">
        <v>17</v>
      </c>
      <c r="AL62" s="1" t="s">
        <v>18</v>
      </c>
      <c r="AM62" s="1" t="s">
        <v>17</v>
      </c>
      <c r="AN62" s="1" t="s">
        <v>18</v>
      </c>
      <c r="AO62" s="1" t="s">
        <v>17</v>
      </c>
      <c r="AP62" s="1" t="s">
        <v>18</v>
      </c>
      <c r="AQ62" s="1" t="s">
        <v>17</v>
      </c>
      <c r="AR62" s="1" t="s">
        <v>18</v>
      </c>
      <c r="AU62" s="1" t="s">
        <v>16</v>
      </c>
      <c r="AV62" s="1" t="s">
        <v>17</v>
      </c>
      <c r="AW62" s="1" t="s">
        <v>18</v>
      </c>
      <c r="AX62" s="1" t="s">
        <v>17</v>
      </c>
      <c r="AY62" s="1" t="s">
        <v>18</v>
      </c>
      <c r="AZ62" s="1" t="s">
        <v>17</v>
      </c>
      <c r="BA62" s="1" t="s">
        <v>18</v>
      </c>
      <c r="BB62" s="1" t="s">
        <v>17</v>
      </c>
      <c r="BC62" s="1" t="s">
        <v>18</v>
      </c>
      <c r="BD62" s="1" t="s">
        <v>17</v>
      </c>
      <c r="BE62" s="1" t="s">
        <v>18</v>
      </c>
      <c r="BF62" s="1" t="s">
        <v>17</v>
      </c>
      <c r="BG62" s="1" t="s">
        <v>18</v>
      </c>
      <c r="BH62" s="1" t="s">
        <v>17</v>
      </c>
      <c r="BI62" s="1" t="s">
        <v>18</v>
      </c>
      <c r="BJ62" s="1" t="s">
        <v>17</v>
      </c>
      <c r="BK62" s="1" t="s">
        <v>18</v>
      </c>
      <c r="BL62" s="1" t="s">
        <v>17</v>
      </c>
      <c r="BM62" s="1" t="s">
        <v>18</v>
      </c>
      <c r="BN62" s="1" t="s">
        <v>17</v>
      </c>
      <c r="BO62" s="1" t="s">
        <v>18</v>
      </c>
      <c r="BR62" s="1" t="s">
        <v>16</v>
      </c>
      <c r="BS62" s="1" t="s">
        <v>17</v>
      </c>
      <c r="BT62" s="1" t="s">
        <v>18</v>
      </c>
      <c r="BU62" s="1" t="s">
        <v>17</v>
      </c>
      <c r="BV62" s="1" t="s">
        <v>18</v>
      </c>
      <c r="BW62" s="1" t="s">
        <v>17</v>
      </c>
      <c r="BX62" s="1" t="s">
        <v>18</v>
      </c>
      <c r="BY62" s="1" t="s">
        <v>17</v>
      </c>
      <c r="BZ62" s="1" t="s">
        <v>18</v>
      </c>
      <c r="CA62" s="1" t="s">
        <v>17</v>
      </c>
      <c r="CB62" s="1" t="s">
        <v>18</v>
      </c>
      <c r="CC62" s="1" t="s">
        <v>17</v>
      </c>
      <c r="CD62" s="1" t="s">
        <v>18</v>
      </c>
      <c r="CE62" s="1" t="s">
        <v>17</v>
      </c>
      <c r="CF62" s="1" t="s">
        <v>18</v>
      </c>
      <c r="CG62" s="1" t="s">
        <v>17</v>
      </c>
      <c r="CH62" s="1" t="s">
        <v>18</v>
      </c>
      <c r="CI62" s="1" t="s">
        <v>17</v>
      </c>
      <c r="CJ62" s="1" t="s">
        <v>18</v>
      </c>
      <c r="CK62" s="1" t="s">
        <v>17</v>
      </c>
      <c r="CL62" s="1" t="s">
        <v>18</v>
      </c>
    </row>
    <row r="63" spans="2:90" x14ac:dyDescent="0.3">
      <c r="B63" s="1" t="s">
        <v>19</v>
      </c>
      <c r="C63" s="1" t="s">
        <v>1</v>
      </c>
      <c r="D63" s="1" t="s">
        <v>1</v>
      </c>
      <c r="E63" s="1" t="s">
        <v>2</v>
      </c>
      <c r="F63" s="1" t="s">
        <v>2</v>
      </c>
      <c r="G63" s="1" t="s">
        <v>3</v>
      </c>
      <c r="H63" s="1" t="s">
        <v>3</v>
      </c>
      <c r="I63" s="1" t="s">
        <v>4</v>
      </c>
      <c r="J63" s="1" t="s">
        <v>4</v>
      </c>
      <c r="K63" s="1" t="s">
        <v>5</v>
      </c>
      <c r="L63" s="1" t="s">
        <v>5</v>
      </c>
      <c r="M63" s="1" t="s">
        <v>6</v>
      </c>
      <c r="N63" s="1" t="s">
        <v>6</v>
      </c>
      <c r="O63" s="1" t="s">
        <v>7</v>
      </c>
      <c r="P63" s="1" t="s">
        <v>7</v>
      </c>
      <c r="Q63" s="1" t="s">
        <v>8</v>
      </c>
      <c r="R63" s="1" t="s">
        <v>8</v>
      </c>
      <c r="S63" s="1" t="s">
        <v>9</v>
      </c>
      <c r="T63" s="1" t="s">
        <v>9</v>
      </c>
      <c r="U63" s="1" t="s">
        <v>10</v>
      </c>
      <c r="V63" s="1" t="s">
        <v>10</v>
      </c>
      <c r="X63" s="1" t="s">
        <v>19</v>
      </c>
      <c r="Y63" s="1" t="s">
        <v>1</v>
      </c>
      <c r="Z63" s="1" t="s">
        <v>1</v>
      </c>
      <c r="AA63" s="1" t="s">
        <v>2</v>
      </c>
      <c r="AB63" s="1" t="s">
        <v>2</v>
      </c>
      <c r="AC63" s="1" t="s">
        <v>3</v>
      </c>
      <c r="AD63" s="1" t="s">
        <v>3</v>
      </c>
      <c r="AE63" s="1" t="s">
        <v>4</v>
      </c>
      <c r="AF63" s="1" t="s">
        <v>4</v>
      </c>
      <c r="AG63" s="1" t="s">
        <v>5</v>
      </c>
      <c r="AH63" s="1" t="s">
        <v>5</v>
      </c>
      <c r="AI63" s="1" t="s">
        <v>6</v>
      </c>
      <c r="AJ63" s="1" t="s">
        <v>6</v>
      </c>
      <c r="AK63" s="1" t="s">
        <v>7</v>
      </c>
      <c r="AL63" s="1" t="s">
        <v>7</v>
      </c>
      <c r="AM63" s="1" t="s">
        <v>8</v>
      </c>
      <c r="AN63" s="1" t="s">
        <v>8</v>
      </c>
      <c r="AO63" s="1" t="s">
        <v>9</v>
      </c>
      <c r="AP63" s="1" t="s">
        <v>9</v>
      </c>
      <c r="AQ63" s="1" t="s">
        <v>10</v>
      </c>
      <c r="AR63" s="1" t="s">
        <v>10</v>
      </c>
      <c r="AU63" s="1" t="s">
        <v>19</v>
      </c>
      <c r="AV63" s="1" t="s">
        <v>1</v>
      </c>
      <c r="AW63" s="1" t="s">
        <v>1</v>
      </c>
      <c r="AX63" s="1" t="s">
        <v>2</v>
      </c>
      <c r="AY63" s="1" t="s">
        <v>2</v>
      </c>
      <c r="AZ63" s="1" t="s">
        <v>3</v>
      </c>
      <c r="BA63" s="1" t="s">
        <v>3</v>
      </c>
      <c r="BB63" s="1" t="s">
        <v>4</v>
      </c>
      <c r="BC63" s="1" t="s">
        <v>4</v>
      </c>
      <c r="BD63" s="1" t="s">
        <v>5</v>
      </c>
      <c r="BE63" s="1" t="s">
        <v>5</v>
      </c>
      <c r="BF63" s="1" t="s">
        <v>6</v>
      </c>
      <c r="BG63" s="1" t="s">
        <v>6</v>
      </c>
      <c r="BH63" s="1" t="s">
        <v>7</v>
      </c>
      <c r="BI63" s="1" t="s">
        <v>7</v>
      </c>
      <c r="BJ63" s="1" t="s">
        <v>8</v>
      </c>
      <c r="BK63" s="1" t="s">
        <v>8</v>
      </c>
      <c r="BL63" s="1" t="s">
        <v>9</v>
      </c>
      <c r="BM63" s="1" t="s">
        <v>9</v>
      </c>
      <c r="BN63" s="1" t="s">
        <v>10</v>
      </c>
      <c r="BO63" s="1" t="s">
        <v>10</v>
      </c>
      <c r="BR63" s="1" t="s">
        <v>19</v>
      </c>
      <c r="BS63" s="1" t="s">
        <v>1</v>
      </c>
      <c r="BT63" s="1" t="s">
        <v>1</v>
      </c>
      <c r="BU63" s="1" t="s">
        <v>2</v>
      </c>
      <c r="BV63" s="1" t="s">
        <v>2</v>
      </c>
      <c r="BW63" s="1" t="s">
        <v>3</v>
      </c>
      <c r="BX63" s="1" t="s">
        <v>3</v>
      </c>
      <c r="BY63" s="1" t="s">
        <v>4</v>
      </c>
      <c r="BZ63" s="1" t="s">
        <v>4</v>
      </c>
      <c r="CA63" s="1" t="s">
        <v>5</v>
      </c>
      <c r="CB63" s="1" t="s">
        <v>5</v>
      </c>
      <c r="CC63" s="1" t="s">
        <v>6</v>
      </c>
      <c r="CD63" s="1" t="s">
        <v>6</v>
      </c>
      <c r="CE63" s="1" t="s">
        <v>7</v>
      </c>
      <c r="CF63" s="1" t="s">
        <v>7</v>
      </c>
      <c r="CG63" s="1" t="s">
        <v>8</v>
      </c>
      <c r="CH63" s="1" t="s">
        <v>8</v>
      </c>
      <c r="CI63" s="1" t="s">
        <v>9</v>
      </c>
      <c r="CJ63" s="1" t="s">
        <v>9</v>
      </c>
      <c r="CK63" s="1" t="s">
        <v>10</v>
      </c>
      <c r="CL63" s="1" t="s">
        <v>10</v>
      </c>
    </row>
    <row r="64" spans="2:90" x14ac:dyDescent="0.3">
      <c r="B64" s="1" t="s">
        <v>20</v>
      </c>
      <c r="X64" s="1" t="s">
        <v>20</v>
      </c>
      <c r="AU64" s="1" t="s">
        <v>20</v>
      </c>
      <c r="BR64" s="1" t="s">
        <v>20</v>
      </c>
    </row>
    <row r="65" spans="2:90" x14ac:dyDescent="0.3">
      <c r="B65" s="1" t="s">
        <v>21</v>
      </c>
      <c r="C65" s="2">
        <v>124.22</v>
      </c>
      <c r="D65" s="2">
        <v>130.83000000000001</v>
      </c>
      <c r="E65" s="2">
        <v>94.48</v>
      </c>
      <c r="F65" s="2">
        <v>94.48</v>
      </c>
      <c r="G65" s="2">
        <v>37.880000000000003</v>
      </c>
      <c r="H65" s="2">
        <v>56.71</v>
      </c>
      <c r="I65" s="2">
        <v>135.37</v>
      </c>
      <c r="J65" s="2">
        <v>177.23</v>
      </c>
      <c r="K65" s="2">
        <v>194.91</v>
      </c>
      <c r="L65" s="2">
        <v>166.02</v>
      </c>
      <c r="M65" s="2">
        <v>277.08</v>
      </c>
      <c r="N65" s="2">
        <v>313.58</v>
      </c>
      <c r="O65" s="2">
        <v>260.8</v>
      </c>
      <c r="P65" s="2">
        <v>239.46</v>
      </c>
      <c r="Q65" s="2">
        <v>288.77</v>
      </c>
      <c r="R65" s="2">
        <v>298.87</v>
      </c>
      <c r="S65" s="2">
        <v>318.86</v>
      </c>
      <c r="T65" s="2">
        <v>264.75</v>
      </c>
      <c r="U65" s="2">
        <v>418.88</v>
      </c>
      <c r="V65" s="2">
        <v>399.32</v>
      </c>
      <c r="X65" s="1" t="s">
        <v>21</v>
      </c>
      <c r="Y65" s="2">
        <v>60</v>
      </c>
      <c r="Z65" s="2">
        <v>60</v>
      </c>
      <c r="AA65" s="2">
        <v>60</v>
      </c>
      <c r="AB65" s="2">
        <v>60</v>
      </c>
      <c r="AC65" s="2">
        <v>60</v>
      </c>
      <c r="AD65" s="2">
        <v>60</v>
      </c>
      <c r="AE65" s="2">
        <v>70</v>
      </c>
      <c r="AF65" s="2">
        <v>70</v>
      </c>
      <c r="AG65" s="2">
        <v>70</v>
      </c>
      <c r="AH65" s="2">
        <v>70</v>
      </c>
      <c r="AI65" s="2">
        <v>70</v>
      </c>
      <c r="AJ65" s="2">
        <v>70</v>
      </c>
      <c r="AK65" s="2">
        <v>70</v>
      </c>
      <c r="AL65" s="2">
        <v>70</v>
      </c>
      <c r="AM65" s="2">
        <v>70</v>
      </c>
      <c r="AN65" s="2">
        <v>70</v>
      </c>
      <c r="AO65" s="2">
        <v>70</v>
      </c>
      <c r="AP65" s="2">
        <v>70</v>
      </c>
      <c r="AQ65" s="2">
        <v>70</v>
      </c>
      <c r="AR65" s="2">
        <v>70</v>
      </c>
      <c r="AU65" s="1" t="s">
        <v>21</v>
      </c>
      <c r="AV65" s="2">
        <v>54.88</v>
      </c>
      <c r="AW65" s="2">
        <v>54.88</v>
      </c>
      <c r="AX65" s="2">
        <v>54.77</v>
      </c>
      <c r="AY65" s="2">
        <v>54.77</v>
      </c>
      <c r="AZ65" s="2">
        <v>54.82</v>
      </c>
      <c r="BA65" s="2">
        <v>54.82</v>
      </c>
      <c r="BB65" s="2">
        <v>64.83</v>
      </c>
      <c r="BC65" s="2">
        <v>43.74</v>
      </c>
      <c r="BD65" s="2">
        <v>47.1</v>
      </c>
      <c r="BE65" s="2">
        <v>47.08</v>
      </c>
      <c r="BF65" s="2">
        <v>47.19</v>
      </c>
      <c r="BG65" s="2">
        <v>47.12</v>
      </c>
      <c r="BH65" s="2">
        <v>47.08</v>
      </c>
      <c r="BI65" s="2">
        <v>47.19</v>
      </c>
      <c r="BJ65" s="2">
        <v>47.2</v>
      </c>
      <c r="BK65" s="2">
        <v>47.2</v>
      </c>
      <c r="BL65" s="2">
        <v>47.23</v>
      </c>
      <c r="BM65" s="2">
        <v>62.35</v>
      </c>
      <c r="BN65" s="2">
        <v>47.18</v>
      </c>
      <c r="BO65" s="2">
        <v>58.8</v>
      </c>
      <c r="BR65" s="1" t="s">
        <v>21</v>
      </c>
      <c r="BS65" s="2">
        <v>-0.12</v>
      </c>
      <c r="BT65" s="2">
        <v>-0.12</v>
      </c>
      <c r="BU65" s="2">
        <v>-0.12</v>
      </c>
      <c r="BV65" s="2">
        <v>-0.12</v>
      </c>
      <c r="BW65" s="2">
        <v>-0.05</v>
      </c>
      <c r="BX65" s="2">
        <v>-0.05</v>
      </c>
      <c r="BY65" s="2">
        <v>-0.11</v>
      </c>
      <c r="BZ65" s="2">
        <v>-0.82</v>
      </c>
      <c r="CA65" s="2">
        <v>-0.83</v>
      </c>
      <c r="CB65" s="2">
        <v>-0.83</v>
      </c>
      <c r="CC65" s="2">
        <v>-1.49</v>
      </c>
      <c r="CD65" s="2">
        <v>-1.5</v>
      </c>
      <c r="CE65" s="2">
        <v>-1.21</v>
      </c>
      <c r="CF65" s="2">
        <v>-1.2</v>
      </c>
      <c r="CG65" s="2">
        <v>-1.57</v>
      </c>
      <c r="CH65" s="2">
        <v>-1.57</v>
      </c>
      <c r="CI65" s="2">
        <v>-1.4</v>
      </c>
      <c r="CJ65" s="2">
        <v>-0.36</v>
      </c>
      <c r="CK65" s="2">
        <v>-1.87</v>
      </c>
      <c r="CL65" s="2">
        <v>-0.73</v>
      </c>
    </row>
    <row r="66" spans="2:90" x14ac:dyDescent="0.3">
      <c r="B66" s="1" t="s">
        <v>22</v>
      </c>
      <c r="C66" s="2">
        <v>620.41</v>
      </c>
      <c r="D66" s="2">
        <v>186.09</v>
      </c>
      <c r="E66" s="2">
        <v>332.92</v>
      </c>
      <c r="F66" s="2">
        <v>139.74</v>
      </c>
      <c r="G66" s="2">
        <v>107.52</v>
      </c>
      <c r="H66" s="2">
        <v>129.16999999999999</v>
      </c>
      <c r="I66" s="2">
        <v>682.29</v>
      </c>
      <c r="J66" s="2">
        <v>798.18</v>
      </c>
      <c r="K66" s="2">
        <v>631.16</v>
      </c>
      <c r="L66" s="2">
        <v>788.18</v>
      </c>
      <c r="M66" s="2">
        <v>1493.37</v>
      </c>
      <c r="N66" s="2">
        <v>1636.34</v>
      </c>
      <c r="O66" s="2">
        <v>987.66</v>
      </c>
      <c r="P66" s="2">
        <v>1241</v>
      </c>
      <c r="Q66" s="2">
        <v>1275.79</v>
      </c>
      <c r="R66" s="2">
        <v>1079.68</v>
      </c>
      <c r="S66" s="2">
        <v>999.27</v>
      </c>
      <c r="T66" s="2">
        <v>765.2</v>
      </c>
      <c r="U66" s="2">
        <v>1957.61</v>
      </c>
      <c r="V66" s="2">
        <v>591.03</v>
      </c>
      <c r="X66" s="1" t="s">
        <v>22</v>
      </c>
      <c r="Y66" s="2">
        <v>59.56</v>
      </c>
      <c r="Z66" s="2">
        <v>59.97</v>
      </c>
      <c r="AA66" s="2">
        <v>59.29</v>
      </c>
      <c r="AB66" s="2">
        <v>59.93</v>
      </c>
      <c r="AC66" s="2">
        <v>59.86</v>
      </c>
      <c r="AD66" s="2">
        <v>59.75</v>
      </c>
      <c r="AE66" s="2">
        <v>69.14</v>
      </c>
      <c r="AF66" s="2">
        <v>69</v>
      </c>
      <c r="AG66" s="2">
        <v>67.209999999999994</v>
      </c>
      <c r="AH66" s="2">
        <v>69.78</v>
      </c>
      <c r="AI66" s="2">
        <v>69.81</v>
      </c>
      <c r="AJ66" s="2">
        <v>69.7</v>
      </c>
      <c r="AK66" s="2">
        <v>68.89</v>
      </c>
      <c r="AL66" s="2">
        <v>68.930000000000007</v>
      </c>
      <c r="AM66" s="2">
        <v>68.900000000000006</v>
      </c>
      <c r="AN66" s="2">
        <v>69.78</v>
      </c>
      <c r="AO66" s="2">
        <v>68.91</v>
      </c>
      <c r="AP66" s="2">
        <v>69.97</v>
      </c>
      <c r="AQ66" s="2">
        <v>69.760000000000005</v>
      </c>
      <c r="AR66" s="2">
        <v>69.98</v>
      </c>
      <c r="AU66" s="1" t="s">
        <v>22</v>
      </c>
      <c r="AV66" s="2">
        <v>36.83</v>
      </c>
      <c r="AW66" s="2">
        <v>53.01</v>
      </c>
      <c r="AX66" s="2">
        <v>37.89</v>
      </c>
      <c r="AY66" s="2">
        <v>53</v>
      </c>
      <c r="AZ66" s="2">
        <v>45.38</v>
      </c>
      <c r="BA66" s="2">
        <v>48.64</v>
      </c>
      <c r="BB66" s="2">
        <v>39.479999999999997</v>
      </c>
      <c r="BC66" s="2">
        <v>46.62</v>
      </c>
      <c r="BD66" s="2">
        <v>47.03</v>
      </c>
      <c r="BE66" s="2">
        <v>53.43</v>
      </c>
      <c r="BF66" s="2">
        <v>40.89</v>
      </c>
      <c r="BG66" s="2">
        <v>52.39</v>
      </c>
      <c r="BH66" s="2">
        <v>48.51</v>
      </c>
      <c r="BI66" s="2">
        <v>48.37</v>
      </c>
      <c r="BJ66" s="2">
        <v>48.47</v>
      </c>
      <c r="BK66" s="2">
        <v>54.03</v>
      </c>
      <c r="BL66" s="2">
        <v>48.45</v>
      </c>
      <c r="BM66" s="2">
        <v>60.16</v>
      </c>
      <c r="BN66" s="2">
        <v>45.05</v>
      </c>
      <c r="BO66" s="2">
        <v>67.069999999999993</v>
      </c>
      <c r="BR66" s="1" t="s">
        <v>22</v>
      </c>
      <c r="BS66" s="2">
        <v>-0.81</v>
      </c>
      <c r="BT66" s="2">
        <v>-0.17</v>
      </c>
      <c r="BU66" s="2">
        <v>-0.74</v>
      </c>
      <c r="BV66" s="2">
        <v>-0.17</v>
      </c>
      <c r="BW66" s="2">
        <v>-0.16</v>
      </c>
      <c r="BX66" s="2">
        <v>-0.11</v>
      </c>
      <c r="BY66" s="2">
        <v>-1.04</v>
      </c>
      <c r="BZ66" s="2">
        <v>-0.67</v>
      </c>
      <c r="CA66" s="2">
        <v>-0.77</v>
      </c>
      <c r="CB66" s="2">
        <v>-0.53</v>
      </c>
      <c r="CC66" s="2">
        <v>-2.19</v>
      </c>
      <c r="CD66" s="2">
        <v>-1.02</v>
      </c>
      <c r="CE66" s="2">
        <v>-1.06</v>
      </c>
      <c r="CF66" s="2">
        <v>-1.07</v>
      </c>
      <c r="CG66" s="2">
        <v>-1.4</v>
      </c>
      <c r="CH66" s="2">
        <v>-0.95</v>
      </c>
      <c r="CI66" s="2">
        <v>-1.25</v>
      </c>
      <c r="CJ66" s="2">
        <v>-0.48</v>
      </c>
      <c r="CK66" s="2">
        <v>-2.12</v>
      </c>
      <c r="CL66" s="2">
        <v>-0.17</v>
      </c>
    </row>
    <row r="67" spans="2:90" x14ac:dyDescent="0.3">
      <c r="B67" s="1" t="s">
        <v>23</v>
      </c>
      <c r="C67" s="2">
        <v>6878.18</v>
      </c>
      <c r="D67" s="2">
        <v>634.6</v>
      </c>
      <c r="E67" s="2">
        <v>5463.94</v>
      </c>
      <c r="F67" s="2">
        <v>414.2</v>
      </c>
      <c r="G67" s="2">
        <v>2451.09</v>
      </c>
      <c r="H67" s="2">
        <v>2453.4699999999998</v>
      </c>
      <c r="I67" s="2">
        <v>8617.6200000000008</v>
      </c>
      <c r="J67" s="2">
        <v>3910.94</v>
      </c>
      <c r="K67" s="2">
        <v>12033.32</v>
      </c>
      <c r="L67" s="2">
        <v>4608.3900000000003</v>
      </c>
      <c r="M67" s="2">
        <v>20623.98</v>
      </c>
      <c r="N67" s="2">
        <v>8804.5400000000009</v>
      </c>
      <c r="O67" s="2">
        <v>17385.45</v>
      </c>
      <c r="P67" s="2">
        <v>6628.09</v>
      </c>
      <c r="Q67" s="2">
        <v>21266.13</v>
      </c>
      <c r="R67" s="2">
        <v>7149.28</v>
      </c>
      <c r="S67" s="2">
        <v>6748.33</v>
      </c>
      <c r="T67" s="2">
        <v>5979.98</v>
      </c>
      <c r="U67" s="2">
        <v>6308.26</v>
      </c>
      <c r="V67" s="2">
        <v>5306.02</v>
      </c>
      <c r="X67" s="1" t="s">
        <v>23</v>
      </c>
      <c r="Y67" s="2">
        <v>53.76</v>
      </c>
      <c r="Z67" s="2">
        <v>59.99</v>
      </c>
      <c r="AA67" s="2">
        <v>53.9</v>
      </c>
      <c r="AB67" s="2">
        <v>59.99</v>
      </c>
      <c r="AC67" s="2">
        <v>58.11</v>
      </c>
      <c r="AD67" s="2">
        <v>59.45</v>
      </c>
      <c r="AE67" s="2">
        <v>62.39</v>
      </c>
      <c r="AF67" s="2">
        <v>61.88</v>
      </c>
      <c r="AG67" s="2">
        <v>64.08</v>
      </c>
      <c r="AH67" s="2">
        <v>66.95</v>
      </c>
      <c r="AI67" s="2">
        <v>64.180000000000007</v>
      </c>
      <c r="AJ67" s="2">
        <v>66.790000000000006</v>
      </c>
      <c r="AK67" s="2">
        <v>65.959999999999994</v>
      </c>
      <c r="AL67" s="2">
        <v>65.33</v>
      </c>
      <c r="AM67" s="2">
        <v>66.84</v>
      </c>
      <c r="AN67" s="2">
        <v>67.27</v>
      </c>
      <c r="AO67" s="2">
        <v>63.37</v>
      </c>
      <c r="AP67" s="2">
        <v>69.55</v>
      </c>
      <c r="AQ67" s="2">
        <v>69.53</v>
      </c>
      <c r="AR67" s="2">
        <v>69.88</v>
      </c>
      <c r="AU67" s="1" t="s">
        <v>23</v>
      </c>
      <c r="AV67" s="2">
        <v>20.73</v>
      </c>
      <c r="AW67" s="2">
        <v>54.22</v>
      </c>
      <c r="AX67" s="2">
        <v>21.55</v>
      </c>
      <c r="AY67" s="2">
        <v>54.61</v>
      </c>
      <c r="AZ67" s="2">
        <v>22.16</v>
      </c>
      <c r="BA67" s="2">
        <v>27.58</v>
      </c>
      <c r="BB67" s="2">
        <v>23.37</v>
      </c>
      <c r="BC67" s="2">
        <v>41.71</v>
      </c>
      <c r="BD67" s="2">
        <v>24.06</v>
      </c>
      <c r="BE67" s="2">
        <v>48.11</v>
      </c>
      <c r="BF67" s="2">
        <v>23.99</v>
      </c>
      <c r="BG67" s="2">
        <v>47.75</v>
      </c>
      <c r="BH67" s="2">
        <v>24.3</v>
      </c>
      <c r="BI67" s="2">
        <v>45.69</v>
      </c>
      <c r="BJ67" s="2">
        <v>24.53</v>
      </c>
      <c r="BK67" s="2">
        <v>48.66</v>
      </c>
      <c r="BL67" s="2">
        <v>43.94</v>
      </c>
      <c r="BM67" s="2">
        <v>56.1</v>
      </c>
      <c r="BN67" s="2">
        <v>56.05</v>
      </c>
      <c r="BO67" s="2">
        <v>60.47</v>
      </c>
      <c r="BR67" s="1" t="s">
        <v>23</v>
      </c>
      <c r="BS67" s="2">
        <v>-2.31</v>
      </c>
      <c r="BT67" s="2">
        <v>-0.14000000000000001</v>
      </c>
      <c r="BU67" s="2">
        <v>-2.17</v>
      </c>
      <c r="BV67" s="2">
        <v>-0.13</v>
      </c>
      <c r="BW67" s="2">
        <v>-0.84</v>
      </c>
      <c r="BX67" s="2">
        <v>-0.57999999999999996</v>
      </c>
      <c r="BY67" s="2">
        <v>-2.57</v>
      </c>
      <c r="BZ67" s="2">
        <v>-0.75</v>
      </c>
      <c r="CA67" s="2">
        <v>-3.11</v>
      </c>
      <c r="CB67" s="2">
        <v>-0.7</v>
      </c>
      <c r="CC67" s="2">
        <v>-5.64</v>
      </c>
      <c r="CD67" s="2">
        <v>-1.29</v>
      </c>
      <c r="CE67" s="2">
        <v>-4.5199999999999996</v>
      </c>
      <c r="CF67" s="2">
        <v>-1.1399999999999999</v>
      </c>
      <c r="CG67" s="2">
        <v>-5.89</v>
      </c>
      <c r="CH67" s="2">
        <v>-1.3</v>
      </c>
      <c r="CI67" s="2">
        <v>-1.42</v>
      </c>
      <c r="CJ67" s="2">
        <v>-0.7</v>
      </c>
      <c r="CK67" s="2">
        <v>-0.93</v>
      </c>
      <c r="CL67" s="2">
        <v>-0.6</v>
      </c>
    </row>
    <row r="68" spans="2:90" x14ac:dyDescent="0.3">
      <c r="B68" s="1" t="s">
        <v>24</v>
      </c>
      <c r="C68" s="2">
        <v>1216.47</v>
      </c>
      <c r="D68" s="2">
        <v>285.92</v>
      </c>
      <c r="E68" s="2">
        <v>536.24</v>
      </c>
      <c r="F68" s="2">
        <v>164.83</v>
      </c>
      <c r="G68" s="2">
        <v>257.8</v>
      </c>
      <c r="H68" s="2">
        <v>459.85</v>
      </c>
      <c r="I68" s="2">
        <v>1067.02</v>
      </c>
      <c r="J68" s="2">
        <v>939.53</v>
      </c>
      <c r="K68" s="2">
        <v>1232.17</v>
      </c>
      <c r="L68" s="2">
        <v>1316.44</v>
      </c>
      <c r="M68" s="2">
        <v>2349.46</v>
      </c>
      <c r="N68" s="2">
        <v>2374.2800000000002</v>
      </c>
      <c r="O68" s="2">
        <v>2955.33</v>
      </c>
      <c r="P68" s="2">
        <v>1712.06</v>
      </c>
      <c r="Q68" s="2">
        <v>2619.14</v>
      </c>
      <c r="R68" s="2">
        <v>2824.7</v>
      </c>
      <c r="S68" s="2">
        <v>2195.4299999999998</v>
      </c>
      <c r="T68" s="2">
        <v>1362.91</v>
      </c>
      <c r="U68" s="2">
        <v>1961.36</v>
      </c>
      <c r="V68" s="2">
        <v>1544.8</v>
      </c>
      <c r="X68" s="1" t="s">
        <v>24</v>
      </c>
      <c r="Y68" s="2">
        <v>59.01</v>
      </c>
      <c r="Z68" s="2">
        <v>59.98</v>
      </c>
      <c r="AA68" s="2">
        <v>55.02</v>
      </c>
      <c r="AB68" s="2">
        <v>59.96</v>
      </c>
      <c r="AC68" s="2">
        <v>57.67</v>
      </c>
      <c r="AD68" s="2">
        <v>58.61</v>
      </c>
      <c r="AE68" s="2">
        <v>63.72</v>
      </c>
      <c r="AF68" s="2">
        <v>63.9</v>
      </c>
      <c r="AG68" s="2">
        <v>65.11</v>
      </c>
      <c r="AH68" s="2">
        <v>67.180000000000007</v>
      </c>
      <c r="AI68" s="2">
        <v>65.13</v>
      </c>
      <c r="AJ68" s="2">
        <v>68.08</v>
      </c>
      <c r="AK68" s="2">
        <v>69.27</v>
      </c>
      <c r="AL68" s="2">
        <v>67.23</v>
      </c>
      <c r="AM68" s="2">
        <v>65.180000000000007</v>
      </c>
      <c r="AN68" s="2">
        <v>69.91</v>
      </c>
      <c r="AO68" s="2">
        <v>69.930000000000007</v>
      </c>
      <c r="AP68" s="2">
        <v>69.739999999999995</v>
      </c>
      <c r="AQ68" s="2">
        <v>69.680000000000007</v>
      </c>
      <c r="AR68" s="2">
        <v>69.87</v>
      </c>
      <c r="AU68" s="1" t="s">
        <v>24</v>
      </c>
      <c r="AV68" s="2">
        <v>28.86</v>
      </c>
      <c r="AW68" s="2">
        <v>48.18</v>
      </c>
      <c r="AX68" s="2">
        <v>36.08</v>
      </c>
      <c r="AY68" s="2">
        <v>53.56</v>
      </c>
      <c r="AZ68" s="2">
        <v>36.840000000000003</v>
      </c>
      <c r="BA68" s="2">
        <v>29.22</v>
      </c>
      <c r="BB68" s="2">
        <v>40.380000000000003</v>
      </c>
      <c r="BC68" s="2">
        <v>40.229999999999997</v>
      </c>
      <c r="BD68" s="2">
        <v>42.17</v>
      </c>
      <c r="BE68" s="2">
        <v>44.23</v>
      </c>
      <c r="BF68" s="2">
        <v>42.15</v>
      </c>
      <c r="BG68" s="2">
        <v>45.5</v>
      </c>
      <c r="BH68" s="2">
        <v>34.24</v>
      </c>
      <c r="BI68" s="2">
        <v>44.07</v>
      </c>
      <c r="BJ68" s="2">
        <v>42.09</v>
      </c>
      <c r="BK68" s="2">
        <v>39.340000000000003</v>
      </c>
      <c r="BL68" s="2">
        <v>41.39</v>
      </c>
      <c r="BM68" s="2">
        <v>51.8</v>
      </c>
      <c r="BN68" s="2">
        <v>51.34</v>
      </c>
      <c r="BO68" s="2">
        <v>53.95</v>
      </c>
      <c r="BR68" s="1" t="s">
        <v>24</v>
      </c>
      <c r="BS68" s="2">
        <v>-1.38</v>
      </c>
      <c r="BT68" s="2">
        <v>-0.32</v>
      </c>
      <c r="BU68" s="2">
        <v>-0.74</v>
      </c>
      <c r="BV68" s="2">
        <v>-0.16</v>
      </c>
      <c r="BW68" s="2">
        <v>-0.28999999999999998</v>
      </c>
      <c r="BX68" s="2">
        <v>-0.51</v>
      </c>
      <c r="BY68" s="2">
        <v>-0.87</v>
      </c>
      <c r="BZ68" s="2">
        <v>-0.88</v>
      </c>
      <c r="CA68" s="2">
        <v>-1</v>
      </c>
      <c r="CB68" s="2">
        <v>-0.93</v>
      </c>
      <c r="CC68" s="2">
        <v>-1.81</v>
      </c>
      <c r="CD68" s="2">
        <v>-1.57</v>
      </c>
      <c r="CE68" s="2">
        <v>-2.57</v>
      </c>
      <c r="CF68" s="2">
        <v>-1.36</v>
      </c>
      <c r="CG68" s="2">
        <v>-1.92</v>
      </c>
      <c r="CH68" s="2">
        <v>-2.5299999999999998</v>
      </c>
      <c r="CI68" s="2">
        <v>-2.0099999999999998</v>
      </c>
      <c r="CJ68" s="2">
        <v>-1.01</v>
      </c>
      <c r="CK68" s="2">
        <v>-1.38</v>
      </c>
      <c r="CL68" s="2">
        <v>-1.1399999999999999</v>
      </c>
    </row>
    <row r="69" spans="2:90" x14ac:dyDescent="0.3">
      <c r="B69" s="1" t="s">
        <v>25</v>
      </c>
      <c r="C69" s="2">
        <v>2168.39</v>
      </c>
      <c r="D69" s="2">
        <v>3670.06</v>
      </c>
      <c r="E69" s="2">
        <v>3363.58</v>
      </c>
      <c r="F69" s="2">
        <v>4329.68</v>
      </c>
      <c r="G69" s="2">
        <v>814.63</v>
      </c>
      <c r="H69" s="2">
        <v>808.31</v>
      </c>
      <c r="I69" s="2">
        <v>4684.05</v>
      </c>
      <c r="J69" s="2">
        <v>3692.66</v>
      </c>
      <c r="K69" s="2">
        <v>5237.25</v>
      </c>
      <c r="L69" s="2">
        <v>4545.49</v>
      </c>
      <c r="M69" s="2">
        <v>9419.2099999999991</v>
      </c>
      <c r="N69" s="2">
        <v>8528.6200000000008</v>
      </c>
      <c r="O69" s="2">
        <v>7616.05</v>
      </c>
      <c r="P69" s="2">
        <v>6638.33</v>
      </c>
      <c r="Q69" s="2">
        <v>9822.2900000000009</v>
      </c>
      <c r="R69" s="2">
        <v>8610.6200000000008</v>
      </c>
      <c r="S69" s="2">
        <v>10110.77</v>
      </c>
      <c r="T69" s="2">
        <v>4661.79</v>
      </c>
      <c r="U69" s="2">
        <v>8531.8799999999992</v>
      </c>
      <c r="V69" s="2">
        <v>6026.51</v>
      </c>
      <c r="X69" s="1" t="s">
        <v>25</v>
      </c>
      <c r="Y69" s="2">
        <v>59.59</v>
      </c>
      <c r="Z69" s="2">
        <v>59.81</v>
      </c>
      <c r="AA69" s="2">
        <v>59.8</v>
      </c>
      <c r="AB69" s="2">
        <v>59.16</v>
      </c>
      <c r="AC69" s="2">
        <v>59.62</v>
      </c>
      <c r="AD69" s="2">
        <v>59.34</v>
      </c>
      <c r="AE69" s="2">
        <v>69.599999999999994</v>
      </c>
      <c r="AF69" s="2">
        <v>68.64</v>
      </c>
      <c r="AG69" s="2">
        <v>68.150000000000006</v>
      </c>
      <c r="AH69" s="2">
        <v>68.37</v>
      </c>
      <c r="AI69" s="2">
        <v>68.17</v>
      </c>
      <c r="AJ69" s="2">
        <v>67.69</v>
      </c>
      <c r="AK69" s="2">
        <v>68.19</v>
      </c>
      <c r="AL69" s="2">
        <v>67.52</v>
      </c>
      <c r="AM69" s="2">
        <v>68.22</v>
      </c>
      <c r="AN69" s="2">
        <v>68.67</v>
      </c>
      <c r="AO69" s="2">
        <v>69.930000000000007</v>
      </c>
      <c r="AP69" s="2">
        <v>69.819999999999993</v>
      </c>
      <c r="AQ69" s="2">
        <v>69.650000000000006</v>
      </c>
      <c r="AR69" s="2">
        <v>69.88</v>
      </c>
      <c r="AU69" s="1" t="s">
        <v>25</v>
      </c>
      <c r="AV69" s="2">
        <v>39.86</v>
      </c>
      <c r="AW69" s="2">
        <v>31.91</v>
      </c>
      <c r="AX69" s="2">
        <v>32.78</v>
      </c>
      <c r="AY69" s="2">
        <v>32.979999999999997</v>
      </c>
      <c r="AZ69" s="2">
        <v>40.5</v>
      </c>
      <c r="BA69" s="2">
        <v>40.06</v>
      </c>
      <c r="BB69" s="2">
        <v>43.6</v>
      </c>
      <c r="BC69" s="2">
        <v>45.1</v>
      </c>
      <c r="BD69" s="2">
        <v>46.29</v>
      </c>
      <c r="BE69" s="2">
        <v>46.46</v>
      </c>
      <c r="BF69" s="2">
        <v>46.25</v>
      </c>
      <c r="BG69" s="2">
        <v>45.82</v>
      </c>
      <c r="BH69" s="2">
        <v>46.21</v>
      </c>
      <c r="BI69" s="2">
        <v>45.68</v>
      </c>
      <c r="BJ69" s="2">
        <v>46.15</v>
      </c>
      <c r="BK69" s="2">
        <v>47.26</v>
      </c>
      <c r="BL69" s="2">
        <v>42.44</v>
      </c>
      <c r="BM69" s="2">
        <v>53.86</v>
      </c>
      <c r="BN69" s="2">
        <v>51.48</v>
      </c>
      <c r="BO69" s="2">
        <v>57.31</v>
      </c>
      <c r="BR69" s="1" t="s">
        <v>25</v>
      </c>
      <c r="BS69" s="2">
        <v>-0.65</v>
      </c>
      <c r="BT69" s="2">
        <v>-1.1399999999999999</v>
      </c>
      <c r="BU69" s="2">
        <v>-1.07</v>
      </c>
      <c r="BV69" s="2">
        <v>-1.05</v>
      </c>
      <c r="BW69" s="2">
        <v>-0.24</v>
      </c>
      <c r="BX69" s="2">
        <v>-0.24</v>
      </c>
      <c r="BY69" s="2">
        <v>-0.82</v>
      </c>
      <c r="BZ69" s="2">
        <v>-0.73</v>
      </c>
      <c r="CA69" s="2">
        <v>-0.83</v>
      </c>
      <c r="CB69" s="2">
        <v>-0.83</v>
      </c>
      <c r="CC69" s="2">
        <v>-1.5</v>
      </c>
      <c r="CD69" s="2">
        <v>-1.52</v>
      </c>
      <c r="CE69" s="2">
        <v>-1.21</v>
      </c>
      <c r="CF69" s="2">
        <v>-1.23</v>
      </c>
      <c r="CG69" s="2">
        <v>-1.6</v>
      </c>
      <c r="CH69" s="2">
        <v>-1.5</v>
      </c>
      <c r="CI69" s="2">
        <v>-1.89</v>
      </c>
      <c r="CJ69" s="2">
        <v>-0.87</v>
      </c>
      <c r="CK69" s="2">
        <v>-1.37</v>
      </c>
      <c r="CL69" s="2">
        <v>-0.85</v>
      </c>
    </row>
    <row r="70" spans="2:90" x14ac:dyDescent="0.3">
      <c r="B70" s="1" t="s">
        <v>26</v>
      </c>
      <c r="C70" s="2">
        <v>435.19</v>
      </c>
      <c r="D70" s="2">
        <v>632.79999999999995</v>
      </c>
      <c r="E70" s="2">
        <v>670.38</v>
      </c>
      <c r="F70" s="2">
        <v>755.53</v>
      </c>
      <c r="G70" s="2">
        <v>161.26</v>
      </c>
      <c r="H70" s="2">
        <v>130.63</v>
      </c>
      <c r="I70" s="2">
        <v>742.3</v>
      </c>
      <c r="J70" s="2">
        <v>435.22</v>
      </c>
      <c r="K70" s="2">
        <v>794.55</v>
      </c>
      <c r="L70" s="2">
        <v>826.42</v>
      </c>
      <c r="M70" s="2">
        <v>1882.25</v>
      </c>
      <c r="N70" s="2">
        <v>1513.83</v>
      </c>
      <c r="O70" s="2">
        <v>1418.28</v>
      </c>
      <c r="P70" s="2">
        <v>1064.03</v>
      </c>
      <c r="Q70" s="2">
        <v>1889.57</v>
      </c>
      <c r="R70" s="2">
        <v>1691.81</v>
      </c>
      <c r="S70" s="2">
        <v>1582.53</v>
      </c>
      <c r="T70" s="2">
        <v>1162.75</v>
      </c>
      <c r="U70" s="2">
        <v>1707.62</v>
      </c>
      <c r="V70" s="2">
        <v>1362.36</v>
      </c>
      <c r="X70" s="1" t="s">
        <v>26</v>
      </c>
      <c r="Y70" s="2">
        <v>57.16</v>
      </c>
      <c r="Z70" s="2">
        <v>59.45</v>
      </c>
      <c r="AA70" s="2">
        <v>58.13</v>
      </c>
      <c r="AB70" s="2">
        <v>57.89</v>
      </c>
      <c r="AC70" s="2">
        <v>58.62</v>
      </c>
      <c r="AD70" s="2">
        <v>57.49</v>
      </c>
      <c r="AE70" s="2">
        <v>64.98</v>
      </c>
      <c r="AF70" s="2">
        <v>68.900000000000006</v>
      </c>
      <c r="AG70" s="2">
        <v>67.81</v>
      </c>
      <c r="AH70" s="2">
        <v>64.22</v>
      </c>
      <c r="AI70" s="2">
        <v>63.87</v>
      </c>
      <c r="AJ70" s="2">
        <v>63.57</v>
      </c>
      <c r="AK70" s="2">
        <v>63.66</v>
      </c>
      <c r="AL70" s="2">
        <v>63.54</v>
      </c>
      <c r="AM70" s="2">
        <v>64.11</v>
      </c>
      <c r="AN70" s="2">
        <v>63.61</v>
      </c>
      <c r="AO70" s="2">
        <v>67.36</v>
      </c>
      <c r="AP70" s="2">
        <v>63.54</v>
      </c>
      <c r="AQ70" s="2">
        <v>68.86</v>
      </c>
      <c r="AR70" s="2">
        <v>69.819999999999993</v>
      </c>
      <c r="AU70" s="1" t="s">
        <v>26</v>
      </c>
      <c r="AV70" s="2">
        <v>37.840000000000003</v>
      </c>
      <c r="AW70" s="2">
        <v>30.93</v>
      </c>
      <c r="AX70" s="2">
        <v>30.17</v>
      </c>
      <c r="AY70" s="2">
        <v>30.58</v>
      </c>
      <c r="AZ70" s="2">
        <v>39.49</v>
      </c>
      <c r="BA70" s="2">
        <v>38.700000000000003</v>
      </c>
      <c r="BB70" s="2">
        <v>43.7</v>
      </c>
      <c r="BC70" s="2">
        <v>45.86</v>
      </c>
      <c r="BD70" s="2">
        <v>48.08</v>
      </c>
      <c r="BE70" s="2">
        <v>43.82</v>
      </c>
      <c r="BF70" s="2">
        <v>43.7</v>
      </c>
      <c r="BG70" s="2">
        <v>43.61</v>
      </c>
      <c r="BH70" s="2">
        <v>43.53</v>
      </c>
      <c r="BI70" s="2">
        <v>43.63</v>
      </c>
      <c r="BJ70" s="2">
        <v>43.81</v>
      </c>
      <c r="BK70" s="2">
        <v>43.58</v>
      </c>
      <c r="BL70" s="2">
        <v>47.07</v>
      </c>
      <c r="BM70" s="2">
        <v>43.63</v>
      </c>
      <c r="BN70" s="2">
        <v>49.91</v>
      </c>
      <c r="BO70" s="2">
        <v>51.3</v>
      </c>
      <c r="BR70" s="1" t="s">
        <v>26</v>
      </c>
      <c r="BS70" s="2">
        <v>-0.7</v>
      </c>
      <c r="BT70" s="2">
        <v>-1.21</v>
      </c>
      <c r="BU70" s="2">
        <v>-1.24</v>
      </c>
      <c r="BV70" s="2">
        <v>-1.2</v>
      </c>
      <c r="BW70" s="2">
        <v>-0.25</v>
      </c>
      <c r="BX70" s="2">
        <v>-0.25</v>
      </c>
      <c r="BY70" s="2">
        <v>-0.72</v>
      </c>
      <c r="BZ70" s="2">
        <v>-0.7</v>
      </c>
      <c r="CA70" s="2">
        <v>-0.73</v>
      </c>
      <c r="CB70" s="2">
        <v>-0.87</v>
      </c>
      <c r="CC70" s="2">
        <v>-1.56</v>
      </c>
      <c r="CD70" s="2">
        <v>-1.56</v>
      </c>
      <c r="CE70" s="2">
        <v>-1.26</v>
      </c>
      <c r="CF70" s="2">
        <v>-1.25</v>
      </c>
      <c r="CG70" s="2">
        <v>-1.65</v>
      </c>
      <c r="CH70" s="2">
        <v>-1.65</v>
      </c>
      <c r="CI70" s="2">
        <v>-1.31</v>
      </c>
      <c r="CJ70" s="2">
        <v>-1.47</v>
      </c>
      <c r="CK70" s="2">
        <v>-1.49</v>
      </c>
      <c r="CL70" s="2">
        <v>-1.4</v>
      </c>
    </row>
    <row r="71" spans="2:90" x14ac:dyDescent="0.3">
      <c r="B71" s="1" t="s">
        <v>27</v>
      </c>
      <c r="C71" s="2">
        <v>3469.08</v>
      </c>
      <c r="D71" s="2">
        <v>4121.28</v>
      </c>
      <c r="E71" s="2">
        <v>1980.85</v>
      </c>
      <c r="F71" s="2">
        <v>3189.67</v>
      </c>
      <c r="G71" s="2">
        <v>435.95</v>
      </c>
      <c r="H71" s="2">
        <v>1213.33</v>
      </c>
      <c r="I71" s="2">
        <v>1826.49</v>
      </c>
      <c r="J71" s="2">
        <v>1720.67</v>
      </c>
      <c r="K71" s="2">
        <v>4154.93</v>
      </c>
      <c r="L71" s="2">
        <v>6576.55</v>
      </c>
      <c r="M71" s="2">
        <v>4307.51</v>
      </c>
      <c r="N71" s="2">
        <v>11217.21</v>
      </c>
      <c r="O71" s="2">
        <v>3125.92</v>
      </c>
      <c r="P71" s="2">
        <v>7991.25</v>
      </c>
      <c r="Q71" s="2">
        <v>4247.1400000000003</v>
      </c>
      <c r="R71" s="2">
        <v>12968.06</v>
      </c>
      <c r="S71" s="2">
        <v>3865.92</v>
      </c>
      <c r="T71" s="2">
        <v>4802.1000000000004</v>
      </c>
      <c r="U71" s="2">
        <v>4279.2299999999996</v>
      </c>
      <c r="V71" s="2">
        <v>4040.02</v>
      </c>
      <c r="X71" s="1" t="s">
        <v>27</v>
      </c>
      <c r="Y71" s="2">
        <v>54.68</v>
      </c>
      <c r="Z71" s="2">
        <v>53.2</v>
      </c>
      <c r="AA71" s="2">
        <v>58.54</v>
      </c>
      <c r="AB71" s="2">
        <v>49.01</v>
      </c>
      <c r="AC71" s="2">
        <v>57.42</v>
      </c>
      <c r="AD71" s="2">
        <v>54.58</v>
      </c>
      <c r="AE71" s="2">
        <v>61.13</v>
      </c>
      <c r="AF71" s="2">
        <v>58.4</v>
      </c>
      <c r="AG71" s="2">
        <v>68.8</v>
      </c>
      <c r="AH71" s="2">
        <v>62.3</v>
      </c>
      <c r="AI71" s="2">
        <v>61.77</v>
      </c>
      <c r="AJ71" s="2">
        <v>62.35</v>
      </c>
      <c r="AK71" s="2">
        <v>61.79</v>
      </c>
      <c r="AL71" s="2">
        <v>62.34</v>
      </c>
      <c r="AM71" s="2">
        <v>61.85</v>
      </c>
      <c r="AN71" s="2">
        <v>62.45</v>
      </c>
      <c r="AO71" s="2">
        <v>64.69</v>
      </c>
      <c r="AP71" s="2">
        <v>68.63</v>
      </c>
      <c r="AQ71" s="2">
        <v>66.760000000000005</v>
      </c>
      <c r="AR71" s="2">
        <v>67.319999999999993</v>
      </c>
      <c r="AU71" s="1" t="s">
        <v>27</v>
      </c>
      <c r="AV71" s="2">
        <v>22.32</v>
      </c>
      <c r="AW71" s="2">
        <v>21.94</v>
      </c>
      <c r="AX71" s="2">
        <v>29.95</v>
      </c>
      <c r="AY71" s="2">
        <v>21.95</v>
      </c>
      <c r="AZ71" s="2">
        <v>40.799999999999997</v>
      </c>
      <c r="BA71" s="2">
        <v>22.74</v>
      </c>
      <c r="BB71" s="2">
        <v>43.17</v>
      </c>
      <c r="BC71" s="2">
        <v>38.799999999999997</v>
      </c>
      <c r="BD71" s="2">
        <v>36.020000000000003</v>
      </c>
      <c r="BE71" s="2">
        <v>25.23</v>
      </c>
      <c r="BF71" s="2">
        <v>44.99</v>
      </c>
      <c r="BG71" s="2">
        <v>25.2</v>
      </c>
      <c r="BH71" s="2">
        <v>44.98</v>
      </c>
      <c r="BI71" s="2">
        <v>25.21</v>
      </c>
      <c r="BJ71" s="2">
        <v>44.94</v>
      </c>
      <c r="BK71" s="2">
        <v>25.14</v>
      </c>
      <c r="BL71" s="2">
        <v>47.43</v>
      </c>
      <c r="BM71" s="2">
        <v>38.799999999999997</v>
      </c>
      <c r="BN71" s="2">
        <v>50</v>
      </c>
      <c r="BO71" s="2">
        <v>51.03</v>
      </c>
      <c r="BR71" s="1" t="s">
        <v>27</v>
      </c>
      <c r="BS71" s="2">
        <v>-2.0699999999999998</v>
      </c>
      <c r="BT71" s="2">
        <v>-2.09</v>
      </c>
      <c r="BU71" s="2">
        <v>-1.27</v>
      </c>
      <c r="BV71" s="2">
        <v>-1.96</v>
      </c>
      <c r="BW71" s="2">
        <v>-0.21</v>
      </c>
      <c r="BX71" s="2">
        <v>-0.77</v>
      </c>
      <c r="BY71" s="2">
        <v>-0.65</v>
      </c>
      <c r="BZ71" s="2">
        <v>-0.83</v>
      </c>
      <c r="CA71" s="2">
        <v>-1.59</v>
      </c>
      <c r="CB71" s="2">
        <v>-2.83</v>
      </c>
      <c r="CC71" s="2">
        <v>-1.3</v>
      </c>
      <c r="CD71" s="2">
        <v>-5.1100000000000003</v>
      </c>
      <c r="CE71" s="2">
        <v>-1.05</v>
      </c>
      <c r="CF71" s="2">
        <v>-4.1100000000000003</v>
      </c>
      <c r="CG71" s="2">
        <v>-1.39</v>
      </c>
      <c r="CH71" s="2">
        <v>-5.42</v>
      </c>
      <c r="CI71" s="2">
        <v>-1.1499999999999999</v>
      </c>
      <c r="CJ71" s="2">
        <v>-2.29</v>
      </c>
      <c r="CK71" s="2">
        <v>-1.36</v>
      </c>
      <c r="CL71" s="2">
        <v>-1.28</v>
      </c>
    </row>
    <row r="72" spans="2:90" x14ac:dyDescent="0.3">
      <c r="B72" s="1" t="s">
        <v>28</v>
      </c>
      <c r="C72" s="2">
        <v>595.41</v>
      </c>
      <c r="D72" s="2">
        <v>477.42</v>
      </c>
      <c r="E72" s="2">
        <v>72.86</v>
      </c>
      <c r="F72" s="2">
        <v>92.19</v>
      </c>
      <c r="G72" s="2">
        <v>34.11</v>
      </c>
      <c r="H72" s="2">
        <v>43.37</v>
      </c>
      <c r="I72" s="2">
        <v>113.43</v>
      </c>
      <c r="J72" s="2">
        <v>400.18</v>
      </c>
      <c r="K72" s="2">
        <v>726.31</v>
      </c>
      <c r="L72" s="2">
        <v>361</v>
      </c>
      <c r="M72" s="2">
        <v>958.44</v>
      </c>
      <c r="N72" s="2">
        <v>744.5</v>
      </c>
      <c r="O72" s="2">
        <v>809.44</v>
      </c>
      <c r="P72" s="2">
        <v>833.06</v>
      </c>
      <c r="Q72" s="2">
        <v>897.93</v>
      </c>
      <c r="R72" s="2">
        <v>1048.71</v>
      </c>
      <c r="S72" s="2">
        <v>1185.29</v>
      </c>
      <c r="T72" s="2">
        <v>794.18</v>
      </c>
      <c r="U72" s="2">
        <v>1612.89</v>
      </c>
      <c r="V72" s="2">
        <v>990.12</v>
      </c>
      <c r="X72" s="1" t="s">
        <v>28</v>
      </c>
      <c r="Y72" s="2">
        <v>59.91</v>
      </c>
      <c r="Z72" s="2">
        <v>59.44</v>
      </c>
      <c r="AA72" s="2">
        <v>59.94</v>
      </c>
      <c r="AB72" s="2">
        <v>59.92</v>
      </c>
      <c r="AC72" s="2">
        <v>60</v>
      </c>
      <c r="AD72" s="2">
        <v>59.9</v>
      </c>
      <c r="AE72" s="2">
        <v>69.989999999999995</v>
      </c>
      <c r="AF72" s="2">
        <v>69.87</v>
      </c>
      <c r="AG72" s="2">
        <v>69.959999999999994</v>
      </c>
      <c r="AH72" s="2">
        <v>69.900000000000006</v>
      </c>
      <c r="AI72" s="2">
        <v>69.959999999999994</v>
      </c>
      <c r="AJ72" s="2">
        <v>69.89</v>
      </c>
      <c r="AK72" s="2">
        <v>69.97</v>
      </c>
      <c r="AL72" s="2">
        <v>69.88</v>
      </c>
      <c r="AM72" s="2">
        <v>69.959999999999994</v>
      </c>
      <c r="AN72" s="2">
        <v>69.930000000000007</v>
      </c>
      <c r="AO72" s="2">
        <v>69.97</v>
      </c>
      <c r="AP72" s="2">
        <v>69.97</v>
      </c>
      <c r="AQ72" s="2">
        <v>69.95</v>
      </c>
      <c r="AR72" s="2">
        <v>69.989999999999995</v>
      </c>
      <c r="AU72" s="1" t="s">
        <v>28</v>
      </c>
      <c r="AV72" s="2">
        <v>45.82</v>
      </c>
      <c r="AW72" s="2">
        <v>42.47</v>
      </c>
      <c r="AX72" s="2">
        <v>54.61</v>
      </c>
      <c r="AY72" s="2">
        <v>54.43</v>
      </c>
      <c r="AZ72" s="2">
        <v>54.89</v>
      </c>
      <c r="BA72" s="2">
        <v>54.09</v>
      </c>
      <c r="BB72" s="2">
        <v>64.81</v>
      </c>
      <c r="BC72" s="2">
        <v>51.36</v>
      </c>
      <c r="BD72" s="2">
        <v>55.99</v>
      </c>
      <c r="BE72" s="2">
        <v>53.99</v>
      </c>
      <c r="BF72" s="2">
        <v>54.31</v>
      </c>
      <c r="BG72" s="2">
        <v>53.82</v>
      </c>
      <c r="BH72" s="2">
        <v>54.47</v>
      </c>
      <c r="BI72" s="2">
        <v>53.64</v>
      </c>
      <c r="BJ72" s="2">
        <v>54.41</v>
      </c>
      <c r="BK72" s="2">
        <v>54</v>
      </c>
      <c r="BL72" s="2">
        <v>54.49</v>
      </c>
      <c r="BM72" s="2">
        <v>56.12</v>
      </c>
      <c r="BN72" s="2">
        <v>54.15</v>
      </c>
      <c r="BO72" s="2">
        <v>58.83</v>
      </c>
      <c r="BR72" s="1" t="s">
        <v>28</v>
      </c>
      <c r="BS72" s="2">
        <v>-0.4</v>
      </c>
      <c r="BT72" s="2">
        <v>-0.52</v>
      </c>
      <c r="BU72" s="2">
        <v>-0.13</v>
      </c>
      <c r="BV72" s="2">
        <v>-0.13</v>
      </c>
      <c r="BW72" s="2">
        <v>-0.05</v>
      </c>
      <c r="BX72" s="2">
        <v>-0.05</v>
      </c>
      <c r="BY72" s="2">
        <v>-0.11</v>
      </c>
      <c r="BZ72" s="2">
        <v>-0.49</v>
      </c>
      <c r="CA72" s="2">
        <v>-0.43</v>
      </c>
      <c r="CB72" s="2">
        <v>-0.51</v>
      </c>
      <c r="CC72" s="2">
        <v>-0.89</v>
      </c>
      <c r="CD72" s="2">
        <v>-0.92</v>
      </c>
      <c r="CE72" s="2">
        <v>-0.71</v>
      </c>
      <c r="CF72" s="2">
        <v>-0.75</v>
      </c>
      <c r="CG72" s="2">
        <v>-0.93</v>
      </c>
      <c r="CH72" s="2">
        <v>-0.96</v>
      </c>
      <c r="CI72" s="2">
        <v>-0.83</v>
      </c>
      <c r="CJ72" s="2">
        <v>-0.72</v>
      </c>
      <c r="CK72" s="2">
        <v>-1.1299999999999999</v>
      </c>
      <c r="CL72" s="2">
        <v>-0.73</v>
      </c>
    </row>
    <row r="75" spans="2:90" x14ac:dyDescent="0.3">
      <c r="B75" t="s">
        <v>45</v>
      </c>
      <c r="X75" t="s">
        <v>46</v>
      </c>
      <c r="AU75" t="s">
        <v>47</v>
      </c>
      <c r="BR75" t="s">
        <v>48</v>
      </c>
    </row>
    <row r="76" spans="2:90" x14ac:dyDescent="0.3">
      <c r="B76" s="1" t="s">
        <v>16</v>
      </c>
      <c r="C76" s="1" t="s">
        <v>17</v>
      </c>
      <c r="D76" s="1" t="s">
        <v>18</v>
      </c>
      <c r="E76" s="1" t="s">
        <v>17</v>
      </c>
      <c r="F76" s="1" t="s">
        <v>18</v>
      </c>
      <c r="G76" s="1" t="s">
        <v>17</v>
      </c>
      <c r="H76" s="1" t="s">
        <v>18</v>
      </c>
      <c r="I76" s="1" t="s">
        <v>17</v>
      </c>
      <c r="J76" s="1" t="s">
        <v>18</v>
      </c>
      <c r="K76" s="1" t="s">
        <v>17</v>
      </c>
      <c r="L76" s="1" t="s">
        <v>18</v>
      </c>
      <c r="M76" s="1" t="s">
        <v>17</v>
      </c>
      <c r="N76" s="1" t="s">
        <v>18</v>
      </c>
      <c r="O76" s="1" t="s">
        <v>17</v>
      </c>
      <c r="P76" s="1" t="s">
        <v>18</v>
      </c>
      <c r="Q76" s="1" t="s">
        <v>17</v>
      </c>
      <c r="R76" s="1" t="s">
        <v>18</v>
      </c>
      <c r="S76" s="1" t="s">
        <v>17</v>
      </c>
      <c r="T76" s="1" t="s">
        <v>18</v>
      </c>
      <c r="U76" s="1" t="s">
        <v>17</v>
      </c>
      <c r="V76" s="1" t="s">
        <v>18</v>
      </c>
      <c r="X76" s="1" t="s">
        <v>16</v>
      </c>
      <c r="Y76" s="1" t="s">
        <v>17</v>
      </c>
      <c r="Z76" s="1" t="s">
        <v>18</v>
      </c>
      <c r="AA76" s="1" t="s">
        <v>17</v>
      </c>
      <c r="AB76" s="1" t="s">
        <v>18</v>
      </c>
      <c r="AC76" s="1" t="s">
        <v>17</v>
      </c>
      <c r="AD76" s="1" t="s">
        <v>18</v>
      </c>
      <c r="AE76" s="1" t="s">
        <v>17</v>
      </c>
      <c r="AF76" s="1" t="s">
        <v>18</v>
      </c>
      <c r="AG76" s="1" t="s">
        <v>17</v>
      </c>
      <c r="AH76" s="1" t="s">
        <v>18</v>
      </c>
      <c r="AI76" s="1" t="s">
        <v>17</v>
      </c>
      <c r="AJ76" s="1" t="s">
        <v>18</v>
      </c>
      <c r="AK76" s="1" t="s">
        <v>17</v>
      </c>
      <c r="AL76" s="1" t="s">
        <v>18</v>
      </c>
      <c r="AM76" s="1" t="s">
        <v>17</v>
      </c>
      <c r="AN76" s="1" t="s">
        <v>18</v>
      </c>
      <c r="AO76" s="1" t="s">
        <v>17</v>
      </c>
      <c r="AP76" s="1" t="s">
        <v>18</v>
      </c>
      <c r="AQ76" s="1" t="s">
        <v>17</v>
      </c>
      <c r="AR76" s="1" t="s">
        <v>18</v>
      </c>
      <c r="AU76" s="1" t="s">
        <v>16</v>
      </c>
      <c r="AV76" s="1" t="s">
        <v>17</v>
      </c>
      <c r="AW76" s="1" t="s">
        <v>18</v>
      </c>
      <c r="AX76" s="1" t="s">
        <v>17</v>
      </c>
      <c r="AY76" s="1" t="s">
        <v>18</v>
      </c>
      <c r="AZ76" s="1" t="s">
        <v>17</v>
      </c>
      <c r="BA76" s="1" t="s">
        <v>18</v>
      </c>
      <c r="BB76" s="1" t="s">
        <v>17</v>
      </c>
      <c r="BC76" s="1" t="s">
        <v>18</v>
      </c>
      <c r="BD76" s="1" t="s">
        <v>17</v>
      </c>
      <c r="BE76" s="1" t="s">
        <v>18</v>
      </c>
      <c r="BF76" s="1" t="s">
        <v>17</v>
      </c>
      <c r="BG76" s="1" t="s">
        <v>18</v>
      </c>
      <c r="BH76" s="1" t="s">
        <v>17</v>
      </c>
      <c r="BI76" s="1" t="s">
        <v>18</v>
      </c>
      <c r="BJ76" s="1" t="s">
        <v>17</v>
      </c>
      <c r="BK76" s="1" t="s">
        <v>18</v>
      </c>
      <c r="BL76" s="1" t="s">
        <v>17</v>
      </c>
      <c r="BM76" s="1" t="s">
        <v>18</v>
      </c>
      <c r="BN76" s="1" t="s">
        <v>17</v>
      </c>
      <c r="BO76" s="1" t="s">
        <v>18</v>
      </c>
      <c r="BR76" s="1" t="s">
        <v>16</v>
      </c>
      <c r="BS76" s="1" t="s">
        <v>17</v>
      </c>
      <c r="BT76" s="1" t="s">
        <v>18</v>
      </c>
      <c r="BU76" s="1" t="s">
        <v>17</v>
      </c>
      <c r="BV76" s="1" t="s">
        <v>18</v>
      </c>
      <c r="BW76" s="1" t="s">
        <v>17</v>
      </c>
      <c r="BX76" s="1" t="s">
        <v>18</v>
      </c>
      <c r="BY76" s="1" t="s">
        <v>17</v>
      </c>
      <c r="BZ76" s="1" t="s">
        <v>18</v>
      </c>
      <c r="CA76" s="1" t="s">
        <v>17</v>
      </c>
      <c r="CB76" s="1" t="s">
        <v>18</v>
      </c>
      <c r="CC76" s="1" t="s">
        <v>17</v>
      </c>
      <c r="CD76" s="1" t="s">
        <v>18</v>
      </c>
      <c r="CE76" s="1" t="s">
        <v>17</v>
      </c>
      <c r="CF76" s="1" t="s">
        <v>18</v>
      </c>
      <c r="CG76" s="1" t="s">
        <v>17</v>
      </c>
      <c r="CH76" s="1" t="s">
        <v>18</v>
      </c>
      <c r="CI76" s="1" t="s">
        <v>17</v>
      </c>
      <c r="CJ76" s="1" t="s">
        <v>18</v>
      </c>
      <c r="CK76" s="1" t="s">
        <v>17</v>
      </c>
      <c r="CL76" s="1" t="s">
        <v>18</v>
      </c>
    </row>
    <row r="77" spans="2:90" x14ac:dyDescent="0.3">
      <c r="B77" s="1" t="s">
        <v>19</v>
      </c>
      <c r="C77" s="1" t="s">
        <v>1</v>
      </c>
      <c r="D77" s="1" t="s">
        <v>1</v>
      </c>
      <c r="E77" s="1" t="s">
        <v>2</v>
      </c>
      <c r="F77" s="1" t="s">
        <v>2</v>
      </c>
      <c r="G77" s="1" t="s">
        <v>3</v>
      </c>
      <c r="H77" s="1" t="s">
        <v>3</v>
      </c>
      <c r="I77" s="1" t="s">
        <v>4</v>
      </c>
      <c r="J77" s="1" t="s">
        <v>4</v>
      </c>
      <c r="K77" s="1" t="s">
        <v>5</v>
      </c>
      <c r="L77" s="1" t="s">
        <v>5</v>
      </c>
      <c r="M77" s="1" t="s">
        <v>6</v>
      </c>
      <c r="N77" s="1" t="s">
        <v>6</v>
      </c>
      <c r="O77" s="1" t="s">
        <v>7</v>
      </c>
      <c r="P77" s="1" t="s">
        <v>7</v>
      </c>
      <c r="Q77" s="1" t="s">
        <v>8</v>
      </c>
      <c r="R77" s="1" t="s">
        <v>8</v>
      </c>
      <c r="S77" s="1" t="s">
        <v>9</v>
      </c>
      <c r="T77" s="1" t="s">
        <v>9</v>
      </c>
      <c r="U77" s="1" t="s">
        <v>10</v>
      </c>
      <c r="V77" s="1" t="s">
        <v>10</v>
      </c>
      <c r="X77" s="1" t="s">
        <v>19</v>
      </c>
      <c r="Y77" s="1" t="s">
        <v>1</v>
      </c>
      <c r="Z77" s="1" t="s">
        <v>1</v>
      </c>
      <c r="AA77" s="1" t="s">
        <v>2</v>
      </c>
      <c r="AB77" s="1" t="s">
        <v>2</v>
      </c>
      <c r="AC77" s="1" t="s">
        <v>3</v>
      </c>
      <c r="AD77" s="1" t="s">
        <v>3</v>
      </c>
      <c r="AE77" s="1" t="s">
        <v>4</v>
      </c>
      <c r="AF77" s="1" t="s">
        <v>4</v>
      </c>
      <c r="AG77" s="1" t="s">
        <v>5</v>
      </c>
      <c r="AH77" s="1" t="s">
        <v>5</v>
      </c>
      <c r="AI77" s="1" t="s">
        <v>6</v>
      </c>
      <c r="AJ77" s="1" t="s">
        <v>6</v>
      </c>
      <c r="AK77" s="1" t="s">
        <v>7</v>
      </c>
      <c r="AL77" s="1" t="s">
        <v>7</v>
      </c>
      <c r="AM77" s="1" t="s">
        <v>8</v>
      </c>
      <c r="AN77" s="1" t="s">
        <v>8</v>
      </c>
      <c r="AO77" s="1" t="s">
        <v>9</v>
      </c>
      <c r="AP77" s="1" t="s">
        <v>9</v>
      </c>
      <c r="AQ77" s="1" t="s">
        <v>10</v>
      </c>
      <c r="AR77" s="1" t="s">
        <v>10</v>
      </c>
      <c r="AU77" s="1" t="s">
        <v>19</v>
      </c>
      <c r="AV77" s="1" t="s">
        <v>1</v>
      </c>
      <c r="AW77" s="1" t="s">
        <v>1</v>
      </c>
      <c r="AX77" s="1" t="s">
        <v>2</v>
      </c>
      <c r="AY77" s="1" t="s">
        <v>2</v>
      </c>
      <c r="AZ77" s="1" t="s">
        <v>3</v>
      </c>
      <c r="BA77" s="1" t="s">
        <v>3</v>
      </c>
      <c r="BB77" s="1" t="s">
        <v>4</v>
      </c>
      <c r="BC77" s="1" t="s">
        <v>4</v>
      </c>
      <c r="BD77" s="1" t="s">
        <v>5</v>
      </c>
      <c r="BE77" s="1" t="s">
        <v>5</v>
      </c>
      <c r="BF77" s="1" t="s">
        <v>6</v>
      </c>
      <c r="BG77" s="1" t="s">
        <v>6</v>
      </c>
      <c r="BH77" s="1" t="s">
        <v>7</v>
      </c>
      <c r="BI77" s="1" t="s">
        <v>7</v>
      </c>
      <c r="BJ77" s="1" t="s">
        <v>8</v>
      </c>
      <c r="BK77" s="1" t="s">
        <v>8</v>
      </c>
      <c r="BL77" s="1" t="s">
        <v>9</v>
      </c>
      <c r="BM77" s="1" t="s">
        <v>9</v>
      </c>
      <c r="BN77" s="1" t="s">
        <v>10</v>
      </c>
      <c r="BO77" s="1" t="s">
        <v>10</v>
      </c>
      <c r="BR77" s="1" t="s">
        <v>19</v>
      </c>
      <c r="BS77" s="1" t="s">
        <v>1</v>
      </c>
      <c r="BT77" s="1" t="s">
        <v>1</v>
      </c>
      <c r="BU77" s="1" t="s">
        <v>2</v>
      </c>
      <c r="BV77" s="1" t="s">
        <v>2</v>
      </c>
      <c r="BW77" s="1" t="s">
        <v>3</v>
      </c>
      <c r="BX77" s="1" t="s">
        <v>3</v>
      </c>
      <c r="BY77" s="1" t="s">
        <v>4</v>
      </c>
      <c r="BZ77" s="1" t="s">
        <v>4</v>
      </c>
      <c r="CA77" s="1" t="s">
        <v>5</v>
      </c>
      <c r="CB77" s="1" t="s">
        <v>5</v>
      </c>
      <c r="CC77" s="1" t="s">
        <v>6</v>
      </c>
      <c r="CD77" s="1" t="s">
        <v>6</v>
      </c>
      <c r="CE77" s="1" t="s">
        <v>7</v>
      </c>
      <c r="CF77" s="1" t="s">
        <v>7</v>
      </c>
      <c r="CG77" s="1" t="s">
        <v>8</v>
      </c>
      <c r="CH77" s="1" t="s">
        <v>8</v>
      </c>
      <c r="CI77" s="1" t="s">
        <v>9</v>
      </c>
      <c r="CJ77" s="1" t="s">
        <v>9</v>
      </c>
      <c r="CK77" s="1" t="s">
        <v>10</v>
      </c>
      <c r="CL77" s="1" t="s">
        <v>10</v>
      </c>
    </row>
    <row r="78" spans="2:90" x14ac:dyDescent="0.3">
      <c r="B78" s="1" t="s">
        <v>20</v>
      </c>
      <c r="X78" s="1" t="s">
        <v>20</v>
      </c>
      <c r="AU78" s="1" t="s">
        <v>20</v>
      </c>
      <c r="BR78" s="1" t="s">
        <v>20</v>
      </c>
    </row>
    <row r="79" spans="2:90" x14ac:dyDescent="0.3">
      <c r="B79" s="1" t="s">
        <v>21</v>
      </c>
      <c r="C79" s="2">
        <v>33.46</v>
      </c>
      <c r="D79" s="2">
        <v>53.69</v>
      </c>
      <c r="E79" s="2">
        <v>27.63</v>
      </c>
      <c r="F79" s="2">
        <v>27.63</v>
      </c>
      <c r="G79" s="2">
        <v>8.76</v>
      </c>
      <c r="H79" s="2">
        <v>17.95</v>
      </c>
      <c r="I79" s="2">
        <v>82.85</v>
      </c>
      <c r="J79" s="2">
        <v>35.4</v>
      </c>
      <c r="K79" s="2">
        <v>84.26</v>
      </c>
      <c r="L79" s="2">
        <v>102.44</v>
      </c>
      <c r="M79" s="2">
        <v>71.290000000000006</v>
      </c>
      <c r="N79" s="2">
        <v>116.18</v>
      </c>
      <c r="O79" s="2">
        <v>63.62</v>
      </c>
      <c r="P79" s="2">
        <v>82.3</v>
      </c>
      <c r="Q79" s="2">
        <v>54.14</v>
      </c>
      <c r="R79" s="2">
        <v>57.85</v>
      </c>
      <c r="S79" s="2">
        <v>35.31</v>
      </c>
      <c r="T79" s="2">
        <v>63.98</v>
      </c>
      <c r="U79" s="2">
        <v>34.68</v>
      </c>
      <c r="V79" s="2">
        <v>49.64</v>
      </c>
      <c r="X79" s="1" t="s">
        <v>21</v>
      </c>
      <c r="Y79" s="2">
        <v>1.3</v>
      </c>
      <c r="Z79" s="2">
        <v>1.3</v>
      </c>
      <c r="AA79" s="2">
        <v>1.3</v>
      </c>
      <c r="AB79" s="2">
        <v>1.3</v>
      </c>
      <c r="AC79" s="2">
        <v>0.5</v>
      </c>
      <c r="AD79" s="2">
        <v>0.5</v>
      </c>
      <c r="AE79" s="2">
        <v>1.37</v>
      </c>
      <c r="AF79" s="2">
        <v>1.37</v>
      </c>
      <c r="AG79" s="2">
        <v>1.71</v>
      </c>
      <c r="AH79" s="2">
        <v>1.71</v>
      </c>
      <c r="AI79" s="2">
        <v>3.09</v>
      </c>
      <c r="AJ79" s="2">
        <v>3.09</v>
      </c>
      <c r="AK79" s="2">
        <v>2.4900000000000002</v>
      </c>
      <c r="AL79" s="2">
        <v>2.4900000000000002</v>
      </c>
      <c r="AM79" s="2">
        <v>3.26</v>
      </c>
      <c r="AN79" s="2">
        <v>3.26</v>
      </c>
      <c r="AO79" s="2">
        <v>2.91</v>
      </c>
      <c r="AP79" s="2">
        <v>2.91</v>
      </c>
      <c r="AQ79" s="2">
        <v>3.86</v>
      </c>
      <c r="AR79" s="2">
        <v>3.86</v>
      </c>
      <c r="AU79" s="1" t="s">
        <v>21</v>
      </c>
      <c r="AV79" s="2">
        <v>1.42</v>
      </c>
      <c r="AW79" s="2">
        <v>1.42</v>
      </c>
      <c r="AX79" s="2">
        <v>1.42</v>
      </c>
      <c r="AY79" s="2">
        <v>1.42</v>
      </c>
      <c r="AZ79" s="2">
        <v>0.55000000000000004</v>
      </c>
      <c r="BA79" s="2">
        <v>0.55000000000000004</v>
      </c>
      <c r="BB79" s="2">
        <v>1.48</v>
      </c>
      <c r="BC79" s="2">
        <v>2.19</v>
      </c>
      <c r="BD79" s="2">
        <v>2.5499999999999998</v>
      </c>
      <c r="BE79" s="2">
        <v>2.5499999999999998</v>
      </c>
      <c r="BF79" s="2">
        <v>4.58</v>
      </c>
      <c r="BG79" s="2">
        <v>4.58</v>
      </c>
      <c r="BH79" s="2">
        <v>3.7</v>
      </c>
      <c r="BI79" s="2">
        <v>3.69</v>
      </c>
      <c r="BJ79" s="2">
        <v>4.83</v>
      </c>
      <c r="BK79" s="2">
        <v>4.83</v>
      </c>
      <c r="BL79" s="2">
        <v>4.32</v>
      </c>
      <c r="BM79" s="2">
        <v>3.27</v>
      </c>
      <c r="BN79" s="2">
        <v>5.72</v>
      </c>
      <c r="BO79" s="2">
        <v>4.59</v>
      </c>
      <c r="BR79" s="1" t="s">
        <v>21</v>
      </c>
      <c r="BS79" s="2">
        <v>-0.09</v>
      </c>
      <c r="BT79" s="2">
        <v>-0.09</v>
      </c>
      <c r="BU79" s="2">
        <v>-0.09</v>
      </c>
      <c r="BV79" s="2">
        <v>-0.09</v>
      </c>
      <c r="BW79" s="2">
        <v>-0.09</v>
      </c>
      <c r="BX79" s="2">
        <v>-0.09</v>
      </c>
      <c r="BY79" s="2">
        <v>-7.0000000000000007E-2</v>
      </c>
      <c r="BZ79" s="2">
        <v>-0.38</v>
      </c>
      <c r="CA79" s="2">
        <v>-0.33</v>
      </c>
      <c r="CB79" s="2">
        <v>-0.33</v>
      </c>
      <c r="CC79" s="2">
        <v>-0.33</v>
      </c>
      <c r="CD79" s="2">
        <v>-0.33</v>
      </c>
      <c r="CE79" s="2">
        <v>-0.33</v>
      </c>
      <c r="CF79" s="2">
        <v>-0.33</v>
      </c>
      <c r="CG79" s="2">
        <v>-0.33</v>
      </c>
      <c r="CH79" s="2">
        <v>-0.33</v>
      </c>
      <c r="CI79" s="2">
        <v>-0.33</v>
      </c>
      <c r="CJ79" s="2">
        <v>-0.11</v>
      </c>
      <c r="CK79" s="2">
        <v>-0.33</v>
      </c>
      <c r="CL79" s="2">
        <v>-0.16</v>
      </c>
    </row>
    <row r="80" spans="2:90" x14ac:dyDescent="0.3">
      <c r="B80" s="1" t="s">
        <v>22</v>
      </c>
      <c r="C80" s="2">
        <v>324.75</v>
      </c>
      <c r="D80" s="2">
        <v>82.93</v>
      </c>
      <c r="E80" s="2">
        <v>223.33</v>
      </c>
      <c r="F80" s="2">
        <v>63.24</v>
      </c>
      <c r="G80" s="2">
        <v>42.16</v>
      </c>
      <c r="H80" s="2">
        <v>62.79</v>
      </c>
      <c r="I80" s="2">
        <v>327.24</v>
      </c>
      <c r="J80" s="2">
        <v>374.24</v>
      </c>
      <c r="K80" s="2">
        <v>270.58999999999997</v>
      </c>
      <c r="L80" s="2">
        <v>357.46</v>
      </c>
      <c r="M80" s="2">
        <v>502.33</v>
      </c>
      <c r="N80" s="2">
        <v>506.18</v>
      </c>
      <c r="O80" s="2">
        <v>344.4</v>
      </c>
      <c r="P80" s="2">
        <v>450.85</v>
      </c>
      <c r="Q80" s="2">
        <v>486.15</v>
      </c>
      <c r="R80" s="2">
        <v>385.72</v>
      </c>
      <c r="S80" s="2">
        <v>360.84</v>
      </c>
      <c r="T80" s="2">
        <v>318.13</v>
      </c>
      <c r="U80" s="2">
        <v>610.38</v>
      </c>
      <c r="V80" s="2">
        <v>247.68</v>
      </c>
      <c r="X80" s="1" t="s">
        <v>22</v>
      </c>
      <c r="Y80" s="2">
        <v>1.31</v>
      </c>
      <c r="Z80" s="2">
        <v>1.3</v>
      </c>
      <c r="AA80" s="2">
        <v>1.32</v>
      </c>
      <c r="AB80" s="2">
        <v>1.3</v>
      </c>
      <c r="AC80" s="2">
        <v>0.5</v>
      </c>
      <c r="AD80" s="2">
        <v>0.5</v>
      </c>
      <c r="AE80" s="2">
        <v>1.39</v>
      </c>
      <c r="AF80" s="2">
        <v>1.39</v>
      </c>
      <c r="AG80" s="2">
        <v>1.79</v>
      </c>
      <c r="AH80" s="2">
        <v>1.72</v>
      </c>
      <c r="AI80" s="2">
        <v>3.09</v>
      </c>
      <c r="AJ80" s="2">
        <v>3.1</v>
      </c>
      <c r="AK80" s="2">
        <v>2.5299999999999998</v>
      </c>
      <c r="AL80" s="2">
        <v>2.52</v>
      </c>
      <c r="AM80" s="2">
        <v>3.31</v>
      </c>
      <c r="AN80" s="2">
        <v>3.27</v>
      </c>
      <c r="AO80" s="2">
        <v>2.96</v>
      </c>
      <c r="AP80" s="2">
        <v>2.92</v>
      </c>
      <c r="AQ80" s="2">
        <v>3.87</v>
      </c>
      <c r="AR80" s="2">
        <v>3.86</v>
      </c>
      <c r="AU80" s="1" t="s">
        <v>22</v>
      </c>
      <c r="AV80" s="2">
        <v>2.12</v>
      </c>
      <c r="AW80" s="2">
        <v>1.47</v>
      </c>
      <c r="AX80" s="2">
        <v>2.06</v>
      </c>
      <c r="AY80" s="2">
        <v>1.47</v>
      </c>
      <c r="AZ80" s="2">
        <v>0.66</v>
      </c>
      <c r="BA80" s="2">
        <v>0.62</v>
      </c>
      <c r="BB80" s="2">
        <v>2.4300000000000002</v>
      </c>
      <c r="BC80" s="2">
        <v>2.06</v>
      </c>
      <c r="BD80" s="2">
        <v>2.5499999999999998</v>
      </c>
      <c r="BE80" s="2">
        <v>2.25</v>
      </c>
      <c r="BF80" s="2">
        <v>5.28</v>
      </c>
      <c r="BG80" s="2">
        <v>4.12</v>
      </c>
      <c r="BH80" s="2">
        <v>3.59</v>
      </c>
      <c r="BI80" s="2">
        <v>3.6</v>
      </c>
      <c r="BJ80" s="2">
        <v>4.7</v>
      </c>
      <c r="BK80" s="2">
        <v>4.22</v>
      </c>
      <c r="BL80" s="2">
        <v>4.21</v>
      </c>
      <c r="BM80" s="2">
        <v>3.39</v>
      </c>
      <c r="BN80" s="2">
        <v>5.99</v>
      </c>
      <c r="BO80" s="2">
        <v>4.03</v>
      </c>
      <c r="BR80" s="1" t="s">
        <v>22</v>
      </c>
      <c r="BS80" s="2">
        <v>-0.38</v>
      </c>
      <c r="BT80" s="2">
        <v>-0.12</v>
      </c>
      <c r="BU80" s="2">
        <v>-0.36</v>
      </c>
      <c r="BV80" s="2">
        <v>-0.12</v>
      </c>
      <c r="BW80" s="2">
        <v>-0.24</v>
      </c>
      <c r="BX80" s="2">
        <v>-0.19</v>
      </c>
      <c r="BY80" s="2">
        <v>-0.43</v>
      </c>
      <c r="BZ80" s="2">
        <v>-0.32</v>
      </c>
      <c r="CA80" s="2">
        <v>-0.3</v>
      </c>
      <c r="CB80" s="2">
        <v>-0.23</v>
      </c>
      <c r="CC80" s="2">
        <v>-0.41</v>
      </c>
      <c r="CD80" s="2">
        <v>-0.25</v>
      </c>
      <c r="CE80" s="2">
        <v>-0.3</v>
      </c>
      <c r="CF80" s="2">
        <v>-0.3</v>
      </c>
      <c r="CG80" s="2">
        <v>-0.3</v>
      </c>
      <c r="CH80" s="2">
        <v>-0.23</v>
      </c>
      <c r="CI80" s="2">
        <v>-0.3</v>
      </c>
      <c r="CJ80" s="2">
        <v>-0.14000000000000001</v>
      </c>
      <c r="CK80" s="2">
        <v>-0.35</v>
      </c>
      <c r="CL80" s="2">
        <v>-0.04</v>
      </c>
    </row>
    <row r="81" spans="2:90" x14ac:dyDescent="0.3">
      <c r="B81" s="1" t="s">
        <v>23</v>
      </c>
      <c r="C81" s="2">
        <v>1705.59</v>
      </c>
      <c r="D81" s="2">
        <v>220.94</v>
      </c>
      <c r="E81" s="2">
        <v>1402.69</v>
      </c>
      <c r="F81" s="2">
        <v>119.12</v>
      </c>
      <c r="G81" s="2">
        <v>456.04</v>
      </c>
      <c r="H81" s="2">
        <v>693.39</v>
      </c>
      <c r="I81" s="2">
        <v>2903.13</v>
      </c>
      <c r="J81" s="2">
        <v>1469.99</v>
      </c>
      <c r="K81" s="2">
        <v>3179.72</v>
      </c>
      <c r="L81" s="2">
        <v>1415.06</v>
      </c>
      <c r="M81" s="2">
        <v>5358.55</v>
      </c>
      <c r="N81" s="2">
        <v>2333.31</v>
      </c>
      <c r="O81" s="2">
        <v>4742.08</v>
      </c>
      <c r="P81" s="2">
        <v>2031.2</v>
      </c>
      <c r="Q81" s="2">
        <v>6020.55</v>
      </c>
      <c r="R81" s="2">
        <v>2189.62</v>
      </c>
      <c r="S81" s="2">
        <v>1707.75</v>
      </c>
      <c r="T81" s="2">
        <v>1714.62</v>
      </c>
      <c r="U81" s="2">
        <v>1886.72</v>
      </c>
      <c r="V81" s="2">
        <v>1595.97</v>
      </c>
      <c r="X81" s="1" t="s">
        <v>23</v>
      </c>
      <c r="Y81" s="2">
        <v>1.45</v>
      </c>
      <c r="Z81" s="2">
        <v>1.3</v>
      </c>
      <c r="AA81" s="2">
        <v>1.45</v>
      </c>
      <c r="AB81" s="2">
        <v>1.3</v>
      </c>
      <c r="AC81" s="2">
        <v>0.52</v>
      </c>
      <c r="AD81" s="2">
        <v>0.5</v>
      </c>
      <c r="AE81" s="2">
        <v>1.54</v>
      </c>
      <c r="AF81" s="2">
        <v>1.55</v>
      </c>
      <c r="AG81" s="2">
        <v>1.87</v>
      </c>
      <c r="AH81" s="2">
        <v>1.79</v>
      </c>
      <c r="AI81" s="2">
        <v>3.37</v>
      </c>
      <c r="AJ81" s="2">
        <v>3.23</v>
      </c>
      <c r="AK81" s="2">
        <v>2.64</v>
      </c>
      <c r="AL81" s="2">
        <v>2.66</v>
      </c>
      <c r="AM81" s="2">
        <v>3.41</v>
      </c>
      <c r="AN81" s="2">
        <v>3.39</v>
      </c>
      <c r="AO81" s="2">
        <v>3.22</v>
      </c>
      <c r="AP81" s="2">
        <v>2.93</v>
      </c>
      <c r="AQ81" s="2">
        <v>3.88</v>
      </c>
      <c r="AR81" s="2">
        <v>3.86</v>
      </c>
      <c r="AU81" s="1" t="s">
        <v>23</v>
      </c>
      <c r="AV81" s="2">
        <v>3.76</v>
      </c>
      <c r="AW81" s="2">
        <v>1.44</v>
      </c>
      <c r="AX81" s="2">
        <v>3.62</v>
      </c>
      <c r="AY81" s="2">
        <v>1.43</v>
      </c>
      <c r="AZ81" s="2">
        <v>1.35</v>
      </c>
      <c r="BA81" s="2">
        <v>1.0900000000000001</v>
      </c>
      <c r="BB81" s="2">
        <v>4.1100000000000003</v>
      </c>
      <c r="BC81" s="2">
        <v>2.2999999999999998</v>
      </c>
      <c r="BD81" s="2">
        <v>4.99</v>
      </c>
      <c r="BE81" s="2">
        <v>2.4900000000000002</v>
      </c>
      <c r="BF81" s="2">
        <v>9</v>
      </c>
      <c r="BG81" s="2">
        <v>4.5199999999999996</v>
      </c>
      <c r="BH81" s="2">
        <v>7.16</v>
      </c>
      <c r="BI81" s="2">
        <v>3.81</v>
      </c>
      <c r="BJ81" s="2">
        <v>9.3000000000000007</v>
      </c>
      <c r="BK81" s="2">
        <v>4.6900000000000004</v>
      </c>
      <c r="BL81" s="2">
        <v>4.6399999999999997</v>
      </c>
      <c r="BM81" s="2">
        <v>3.64</v>
      </c>
      <c r="BN81" s="2">
        <v>4.82</v>
      </c>
      <c r="BO81" s="2">
        <v>4.47</v>
      </c>
      <c r="BR81" s="1" t="s">
        <v>23</v>
      </c>
      <c r="BS81" s="2">
        <v>-0.61</v>
      </c>
      <c r="BT81" s="2">
        <v>-0.1</v>
      </c>
      <c r="BU81" s="2">
        <v>-0.6</v>
      </c>
      <c r="BV81" s="2">
        <v>-0.09</v>
      </c>
      <c r="BW81" s="2">
        <v>-0.62</v>
      </c>
      <c r="BX81" s="2">
        <v>-0.54</v>
      </c>
      <c r="BY81" s="2">
        <v>-0.63</v>
      </c>
      <c r="BZ81" s="2">
        <v>-0.33</v>
      </c>
      <c r="CA81" s="2">
        <v>-0.62</v>
      </c>
      <c r="CB81" s="2">
        <v>-0.28000000000000003</v>
      </c>
      <c r="CC81" s="2">
        <v>-0.63</v>
      </c>
      <c r="CD81" s="2">
        <v>-0.28999999999999998</v>
      </c>
      <c r="CE81" s="2">
        <v>-0.63</v>
      </c>
      <c r="CF81" s="2">
        <v>-0.3</v>
      </c>
      <c r="CG81" s="2">
        <v>-0.63</v>
      </c>
      <c r="CH81" s="2">
        <v>-0.28000000000000003</v>
      </c>
      <c r="CI81" s="2">
        <v>-0.31</v>
      </c>
      <c r="CJ81" s="2">
        <v>-0.19</v>
      </c>
      <c r="CK81" s="2">
        <v>-0.19</v>
      </c>
      <c r="CL81" s="2">
        <v>-0.13</v>
      </c>
    </row>
    <row r="82" spans="2:90" x14ac:dyDescent="0.3">
      <c r="B82" s="1" t="s">
        <v>24</v>
      </c>
      <c r="C82" s="2">
        <v>337.85</v>
      </c>
      <c r="D82" s="2">
        <v>111.48</v>
      </c>
      <c r="E82" s="2">
        <v>187.09</v>
      </c>
      <c r="F82" s="2">
        <v>49.12</v>
      </c>
      <c r="G82" s="2">
        <v>65.14</v>
      </c>
      <c r="H82" s="2">
        <v>147.21</v>
      </c>
      <c r="I82" s="2">
        <v>450.78</v>
      </c>
      <c r="J82" s="2">
        <v>417.62</v>
      </c>
      <c r="K82" s="2">
        <v>574.72</v>
      </c>
      <c r="L82" s="2">
        <v>441.29</v>
      </c>
      <c r="M82" s="2">
        <v>949.7</v>
      </c>
      <c r="N82" s="2">
        <v>652.07000000000005</v>
      </c>
      <c r="O82" s="2">
        <v>1244.23</v>
      </c>
      <c r="P82" s="2">
        <v>580.80999999999995</v>
      </c>
      <c r="Q82" s="2">
        <v>1187.82</v>
      </c>
      <c r="R82" s="2">
        <v>1158.42</v>
      </c>
      <c r="S82" s="2">
        <v>996.14</v>
      </c>
      <c r="T82" s="2">
        <v>491.8</v>
      </c>
      <c r="U82" s="2">
        <v>777.34</v>
      </c>
      <c r="V82" s="2">
        <v>672.89</v>
      </c>
      <c r="X82" s="1" t="s">
        <v>24</v>
      </c>
      <c r="Y82" s="2">
        <v>1.32</v>
      </c>
      <c r="Z82" s="2">
        <v>1.3</v>
      </c>
      <c r="AA82" s="2">
        <v>1.42</v>
      </c>
      <c r="AB82" s="2">
        <v>1.3</v>
      </c>
      <c r="AC82" s="2">
        <v>0.52</v>
      </c>
      <c r="AD82" s="2">
        <v>0.51</v>
      </c>
      <c r="AE82" s="2">
        <v>1.51</v>
      </c>
      <c r="AF82" s="2">
        <v>1.5</v>
      </c>
      <c r="AG82" s="2">
        <v>1.84</v>
      </c>
      <c r="AH82" s="2">
        <v>1.79</v>
      </c>
      <c r="AI82" s="2">
        <v>3.32</v>
      </c>
      <c r="AJ82" s="2">
        <v>3.17</v>
      </c>
      <c r="AK82" s="2">
        <v>2.5099999999999998</v>
      </c>
      <c r="AL82" s="2">
        <v>2.59</v>
      </c>
      <c r="AM82" s="2">
        <v>3.5</v>
      </c>
      <c r="AN82" s="2">
        <v>3.26</v>
      </c>
      <c r="AO82" s="2">
        <v>2.92</v>
      </c>
      <c r="AP82" s="2">
        <v>2.93</v>
      </c>
      <c r="AQ82" s="2">
        <v>3.87</v>
      </c>
      <c r="AR82" s="2">
        <v>3.86</v>
      </c>
      <c r="AU82" s="1" t="s">
        <v>24</v>
      </c>
      <c r="AV82" s="2">
        <v>2.7</v>
      </c>
      <c r="AW82" s="2">
        <v>1.62</v>
      </c>
      <c r="AX82" s="2">
        <v>2.16</v>
      </c>
      <c r="AY82" s="2">
        <v>1.46</v>
      </c>
      <c r="AZ82" s="2">
        <v>0.81</v>
      </c>
      <c r="BA82" s="2">
        <v>1.03</v>
      </c>
      <c r="BB82" s="2">
        <v>2.38</v>
      </c>
      <c r="BC82" s="2">
        <v>2.39</v>
      </c>
      <c r="BD82" s="2">
        <v>2.85</v>
      </c>
      <c r="BE82" s="2">
        <v>2.71</v>
      </c>
      <c r="BF82" s="2">
        <v>5.12</v>
      </c>
      <c r="BG82" s="2">
        <v>4.75</v>
      </c>
      <c r="BH82" s="2">
        <v>5.08</v>
      </c>
      <c r="BI82" s="2">
        <v>3.95</v>
      </c>
      <c r="BJ82" s="2">
        <v>5.42</v>
      </c>
      <c r="BK82" s="2">
        <v>5.8</v>
      </c>
      <c r="BL82" s="2">
        <v>4.93</v>
      </c>
      <c r="BM82" s="2">
        <v>3.94</v>
      </c>
      <c r="BN82" s="2">
        <v>5.26</v>
      </c>
      <c r="BO82" s="2">
        <v>5</v>
      </c>
      <c r="BR82" s="1" t="s">
        <v>24</v>
      </c>
      <c r="BS82" s="2">
        <v>-0.51</v>
      </c>
      <c r="BT82" s="2">
        <v>-0.2</v>
      </c>
      <c r="BU82" s="2">
        <v>-0.34</v>
      </c>
      <c r="BV82" s="2">
        <v>-0.11</v>
      </c>
      <c r="BW82" s="2">
        <v>-0.36</v>
      </c>
      <c r="BX82" s="2">
        <v>-0.5</v>
      </c>
      <c r="BY82" s="2">
        <v>-0.37</v>
      </c>
      <c r="BZ82" s="2">
        <v>-0.37</v>
      </c>
      <c r="CA82" s="2">
        <v>-0.35</v>
      </c>
      <c r="CB82" s="2">
        <v>-0.34</v>
      </c>
      <c r="CC82" s="2">
        <v>-0.35</v>
      </c>
      <c r="CD82" s="2">
        <v>-0.33</v>
      </c>
      <c r="CE82" s="2">
        <v>-0.51</v>
      </c>
      <c r="CF82" s="2">
        <v>-0.34</v>
      </c>
      <c r="CG82" s="2">
        <v>-0.35</v>
      </c>
      <c r="CH82" s="2">
        <v>-0.44</v>
      </c>
      <c r="CI82" s="2">
        <v>-0.41</v>
      </c>
      <c r="CJ82" s="2">
        <v>-0.26</v>
      </c>
      <c r="CK82" s="2">
        <v>-0.26</v>
      </c>
      <c r="CL82" s="2">
        <v>-0.23</v>
      </c>
    </row>
    <row r="83" spans="2:90" x14ac:dyDescent="0.3">
      <c r="B83" s="1" t="s">
        <v>25</v>
      </c>
      <c r="C83" s="2">
        <v>591.73</v>
      </c>
      <c r="D83" s="2">
        <v>1143.93</v>
      </c>
      <c r="E83" s="2">
        <v>823.3</v>
      </c>
      <c r="F83" s="2">
        <v>793.18</v>
      </c>
      <c r="G83" s="2">
        <v>207.18</v>
      </c>
      <c r="H83" s="2">
        <v>301.70999999999998</v>
      </c>
      <c r="I83" s="2">
        <v>1755.59</v>
      </c>
      <c r="J83" s="2">
        <v>1267.06</v>
      </c>
      <c r="K83" s="2">
        <v>1762.75</v>
      </c>
      <c r="L83" s="2">
        <v>1639.61</v>
      </c>
      <c r="M83" s="2">
        <v>2664.95</v>
      </c>
      <c r="N83" s="2">
        <v>2668.38</v>
      </c>
      <c r="O83" s="2">
        <v>2429.6</v>
      </c>
      <c r="P83" s="2">
        <v>2402.98</v>
      </c>
      <c r="Q83" s="2">
        <v>3433.6</v>
      </c>
      <c r="R83" s="2">
        <v>3167.9</v>
      </c>
      <c r="S83" s="2">
        <v>3628.93</v>
      </c>
      <c r="T83" s="2">
        <v>1905.62</v>
      </c>
      <c r="U83" s="2">
        <v>3002.55</v>
      </c>
      <c r="V83" s="2">
        <v>2097.7600000000002</v>
      </c>
      <c r="X83" s="1" t="s">
        <v>25</v>
      </c>
      <c r="Y83" s="2">
        <v>1.31</v>
      </c>
      <c r="Z83" s="2">
        <v>1.3</v>
      </c>
      <c r="AA83" s="2">
        <v>1.3</v>
      </c>
      <c r="AB83" s="2">
        <v>1.32</v>
      </c>
      <c r="AC83" s="2">
        <v>0.5</v>
      </c>
      <c r="AD83" s="2">
        <v>0.51</v>
      </c>
      <c r="AE83" s="2">
        <v>1.38</v>
      </c>
      <c r="AF83" s="2">
        <v>1.4</v>
      </c>
      <c r="AG83" s="2">
        <v>1.76</v>
      </c>
      <c r="AH83" s="2">
        <v>1.76</v>
      </c>
      <c r="AI83" s="2">
        <v>3.17</v>
      </c>
      <c r="AJ83" s="2">
        <v>3.19</v>
      </c>
      <c r="AK83" s="2">
        <v>2.5499999999999998</v>
      </c>
      <c r="AL83" s="2">
        <v>2.58</v>
      </c>
      <c r="AM83" s="2">
        <v>3.34</v>
      </c>
      <c r="AN83" s="2">
        <v>3.32</v>
      </c>
      <c r="AO83" s="2">
        <v>2.92</v>
      </c>
      <c r="AP83" s="2">
        <v>2.92</v>
      </c>
      <c r="AQ83" s="2">
        <v>3.88</v>
      </c>
      <c r="AR83" s="2">
        <v>3.86</v>
      </c>
      <c r="AU83" s="1" t="s">
        <v>25</v>
      </c>
      <c r="AV83" s="2">
        <v>1.96</v>
      </c>
      <c r="AW83" s="2">
        <v>2.44</v>
      </c>
      <c r="AX83" s="2">
        <v>2.38</v>
      </c>
      <c r="AY83" s="2">
        <v>2.37</v>
      </c>
      <c r="AZ83" s="2">
        <v>0.74</v>
      </c>
      <c r="BA83" s="2">
        <v>0.75</v>
      </c>
      <c r="BB83" s="2">
        <v>2.2000000000000002</v>
      </c>
      <c r="BC83" s="2">
        <v>2.13</v>
      </c>
      <c r="BD83" s="2">
        <v>2.59</v>
      </c>
      <c r="BE83" s="2">
        <v>2.58</v>
      </c>
      <c r="BF83" s="2">
        <v>4.67</v>
      </c>
      <c r="BG83" s="2">
        <v>4.71</v>
      </c>
      <c r="BH83" s="2">
        <v>3.77</v>
      </c>
      <c r="BI83" s="2">
        <v>3.81</v>
      </c>
      <c r="BJ83" s="2">
        <v>4.9400000000000004</v>
      </c>
      <c r="BK83" s="2">
        <v>4.82</v>
      </c>
      <c r="BL83" s="2">
        <v>4.8099999999999996</v>
      </c>
      <c r="BM83" s="2">
        <v>3.79</v>
      </c>
      <c r="BN83" s="2">
        <v>5.24</v>
      </c>
      <c r="BO83" s="2">
        <v>4.71</v>
      </c>
      <c r="BR83" s="1" t="s">
        <v>25</v>
      </c>
      <c r="BS83" s="2">
        <v>-0.33</v>
      </c>
      <c r="BT83" s="2">
        <v>-0.47</v>
      </c>
      <c r="BU83" s="2">
        <v>-0.45</v>
      </c>
      <c r="BV83" s="2">
        <v>-0.44</v>
      </c>
      <c r="BW83" s="2">
        <v>-0.32</v>
      </c>
      <c r="BX83" s="2">
        <v>-0.32</v>
      </c>
      <c r="BY83" s="2">
        <v>-0.37</v>
      </c>
      <c r="BZ83" s="2">
        <v>-0.34</v>
      </c>
      <c r="CA83" s="2">
        <v>-0.32</v>
      </c>
      <c r="CB83" s="2">
        <v>-0.32</v>
      </c>
      <c r="CC83" s="2">
        <v>-0.32</v>
      </c>
      <c r="CD83" s="2">
        <v>-0.32</v>
      </c>
      <c r="CE83" s="2">
        <v>-0.32</v>
      </c>
      <c r="CF83" s="2">
        <v>-0.32</v>
      </c>
      <c r="CG83" s="2">
        <v>-0.32</v>
      </c>
      <c r="CH83" s="2">
        <v>-0.31</v>
      </c>
      <c r="CI83" s="2">
        <v>-0.39</v>
      </c>
      <c r="CJ83" s="2">
        <v>-0.23</v>
      </c>
      <c r="CK83" s="2">
        <v>-0.26</v>
      </c>
      <c r="CL83" s="2">
        <v>-0.18</v>
      </c>
    </row>
    <row r="84" spans="2:90" x14ac:dyDescent="0.3">
      <c r="B84" s="1" t="s">
        <v>26</v>
      </c>
      <c r="C84" s="2">
        <v>146.28</v>
      </c>
      <c r="D84" s="2">
        <v>85.47</v>
      </c>
      <c r="E84" s="2">
        <v>206.98</v>
      </c>
      <c r="F84" s="2">
        <v>72.95</v>
      </c>
      <c r="G84" s="2">
        <v>40.36</v>
      </c>
      <c r="H84" s="2">
        <v>30.49</v>
      </c>
      <c r="I84" s="2">
        <v>174.08</v>
      </c>
      <c r="J84" s="2">
        <v>100.68</v>
      </c>
      <c r="K84" s="2">
        <v>180.17</v>
      </c>
      <c r="L84" s="2">
        <v>188.16</v>
      </c>
      <c r="M84" s="2">
        <v>424.11</v>
      </c>
      <c r="N84" s="2">
        <v>297.10000000000002</v>
      </c>
      <c r="O84" s="2">
        <v>390.68</v>
      </c>
      <c r="P84" s="2">
        <v>236.5</v>
      </c>
      <c r="Q84" s="2">
        <v>499.39</v>
      </c>
      <c r="R84" s="2">
        <v>403.29</v>
      </c>
      <c r="S84" s="2">
        <v>465.17</v>
      </c>
      <c r="T84" s="2">
        <v>217.86</v>
      </c>
      <c r="U84" s="2">
        <v>469.72</v>
      </c>
      <c r="V84" s="2">
        <v>341.52</v>
      </c>
      <c r="X84" s="1" t="s">
        <v>26</v>
      </c>
      <c r="Y84" s="2">
        <v>1.36</v>
      </c>
      <c r="Z84" s="2">
        <v>1.31</v>
      </c>
      <c r="AA84" s="2">
        <v>1.34</v>
      </c>
      <c r="AB84" s="2">
        <v>1.35</v>
      </c>
      <c r="AC84" s="2">
        <v>0.51</v>
      </c>
      <c r="AD84" s="2">
        <v>0.52</v>
      </c>
      <c r="AE84" s="2">
        <v>1.48</v>
      </c>
      <c r="AF84" s="2">
        <v>1.39</v>
      </c>
      <c r="AG84" s="2">
        <v>1.77</v>
      </c>
      <c r="AH84" s="2">
        <v>1.87</v>
      </c>
      <c r="AI84" s="2">
        <v>3.38</v>
      </c>
      <c r="AJ84" s="2">
        <v>3.4</v>
      </c>
      <c r="AK84" s="2">
        <v>2.73</v>
      </c>
      <c r="AL84" s="2">
        <v>2.74</v>
      </c>
      <c r="AM84" s="2">
        <v>3.56</v>
      </c>
      <c r="AN84" s="2">
        <v>3.58</v>
      </c>
      <c r="AO84" s="2">
        <v>3.03</v>
      </c>
      <c r="AP84" s="2">
        <v>3.21</v>
      </c>
      <c r="AQ84" s="2">
        <v>3.92</v>
      </c>
      <c r="AR84" s="2">
        <v>3.87</v>
      </c>
      <c r="AU84" s="1" t="s">
        <v>26</v>
      </c>
      <c r="AV84" s="2">
        <v>2.06</v>
      </c>
      <c r="AW84" s="2">
        <v>2.52</v>
      </c>
      <c r="AX84" s="2">
        <v>2.59</v>
      </c>
      <c r="AY84" s="2">
        <v>2.5499999999999998</v>
      </c>
      <c r="AZ84" s="2">
        <v>0.76</v>
      </c>
      <c r="BA84" s="2">
        <v>0.78</v>
      </c>
      <c r="BB84" s="2">
        <v>2.2000000000000002</v>
      </c>
      <c r="BC84" s="2">
        <v>2.09</v>
      </c>
      <c r="BD84" s="2">
        <v>2.5</v>
      </c>
      <c r="BE84" s="2">
        <v>2.74</v>
      </c>
      <c r="BF84" s="2">
        <v>4.9400000000000004</v>
      </c>
      <c r="BG84" s="2">
        <v>4.95</v>
      </c>
      <c r="BH84" s="2">
        <v>4</v>
      </c>
      <c r="BI84" s="2">
        <v>3.99</v>
      </c>
      <c r="BJ84" s="2">
        <v>5.2</v>
      </c>
      <c r="BK84" s="2">
        <v>5.23</v>
      </c>
      <c r="BL84" s="2">
        <v>4.33</v>
      </c>
      <c r="BM84" s="2">
        <v>4.68</v>
      </c>
      <c r="BN84" s="2">
        <v>5.41</v>
      </c>
      <c r="BO84" s="2">
        <v>5.26</v>
      </c>
      <c r="BR84" s="1" t="s">
        <v>26</v>
      </c>
      <c r="BS84" s="2">
        <v>-0.34</v>
      </c>
      <c r="BT84" s="2">
        <v>-0.48</v>
      </c>
      <c r="BU84" s="2">
        <v>-0.48</v>
      </c>
      <c r="BV84" s="2">
        <v>-0.47</v>
      </c>
      <c r="BW84" s="2">
        <v>-0.33</v>
      </c>
      <c r="BX84" s="2">
        <v>-0.33</v>
      </c>
      <c r="BY84" s="2">
        <v>-0.33</v>
      </c>
      <c r="BZ84" s="2">
        <v>-0.33</v>
      </c>
      <c r="CA84" s="2">
        <v>-0.28999999999999998</v>
      </c>
      <c r="CB84" s="2">
        <v>-0.32</v>
      </c>
      <c r="CC84" s="2">
        <v>-0.32</v>
      </c>
      <c r="CD84" s="2">
        <v>-0.31</v>
      </c>
      <c r="CE84" s="2">
        <v>-0.32</v>
      </c>
      <c r="CF84" s="2">
        <v>-0.31</v>
      </c>
      <c r="CG84" s="2">
        <v>-0.32</v>
      </c>
      <c r="CH84" s="2">
        <v>-0.31</v>
      </c>
      <c r="CI84" s="2">
        <v>-0.3</v>
      </c>
      <c r="CJ84" s="2">
        <v>-0.31</v>
      </c>
      <c r="CK84" s="2">
        <v>-0.28000000000000003</v>
      </c>
      <c r="CL84" s="2">
        <v>-0.27</v>
      </c>
    </row>
    <row r="85" spans="2:90" x14ac:dyDescent="0.3">
      <c r="B85" s="1" t="s">
        <v>27</v>
      </c>
      <c r="C85" s="2">
        <v>760.01</v>
      </c>
      <c r="D85" s="2">
        <v>785.56</v>
      </c>
      <c r="E85" s="2">
        <v>395.82</v>
      </c>
      <c r="F85" s="2">
        <v>658</v>
      </c>
      <c r="G85" s="2">
        <v>94.15</v>
      </c>
      <c r="H85" s="2">
        <v>326.45999999999998</v>
      </c>
      <c r="I85" s="2">
        <v>451.88</v>
      </c>
      <c r="J85" s="2">
        <v>338.71</v>
      </c>
      <c r="K85" s="2">
        <v>1040.7</v>
      </c>
      <c r="L85" s="2">
        <v>1256.44</v>
      </c>
      <c r="M85" s="2">
        <v>885.11</v>
      </c>
      <c r="N85" s="2">
        <v>2184.7600000000002</v>
      </c>
      <c r="O85" s="2">
        <v>694.11</v>
      </c>
      <c r="P85" s="2">
        <v>1946.17</v>
      </c>
      <c r="Q85" s="2">
        <v>1093.9100000000001</v>
      </c>
      <c r="R85" s="2">
        <v>2975.22</v>
      </c>
      <c r="S85" s="2">
        <v>968.12</v>
      </c>
      <c r="T85" s="2">
        <v>1126.26</v>
      </c>
      <c r="U85" s="2">
        <v>1033.01</v>
      </c>
      <c r="V85" s="2">
        <v>770.79</v>
      </c>
      <c r="X85" s="1" t="s">
        <v>27</v>
      </c>
      <c r="Y85" s="2">
        <v>1.43</v>
      </c>
      <c r="Z85" s="2">
        <v>1.47</v>
      </c>
      <c r="AA85" s="2">
        <v>1.33</v>
      </c>
      <c r="AB85" s="2">
        <v>1.59</v>
      </c>
      <c r="AC85" s="2">
        <v>0.52</v>
      </c>
      <c r="AD85" s="2">
        <v>0.55000000000000004</v>
      </c>
      <c r="AE85" s="2">
        <v>1.57</v>
      </c>
      <c r="AF85" s="2">
        <v>1.64</v>
      </c>
      <c r="AG85" s="2">
        <v>1.74</v>
      </c>
      <c r="AH85" s="2">
        <v>1.93</v>
      </c>
      <c r="AI85" s="2">
        <v>3.5</v>
      </c>
      <c r="AJ85" s="2">
        <v>3.46</v>
      </c>
      <c r="AK85" s="2">
        <v>2.82</v>
      </c>
      <c r="AL85" s="2">
        <v>2.79</v>
      </c>
      <c r="AM85" s="2">
        <v>3.69</v>
      </c>
      <c r="AN85" s="2">
        <v>3.65</v>
      </c>
      <c r="AO85" s="2">
        <v>3.15</v>
      </c>
      <c r="AP85" s="2">
        <v>2.97</v>
      </c>
      <c r="AQ85" s="2">
        <v>4.04</v>
      </c>
      <c r="AR85" s="2">
        <v>4.01</v>
      </c>
      <c r="AU85" s="1" t="s">
        <v>27</v>
      </c>
      <c r="AV85" s="2">
        <v>3.49</v>
      </c>
      <c r="AW85" s="2">
        <v>3.56</v>
      </c>
      <c r="AX85" s="2">
        <v>2.6</v>
      </c>
      <c r="AY85" s="2">
        <v>3.55</v>
      </c>
      <c r="AZ85" s="2">
        <v>0.74</v>
      </c>
      <c r="BA85" s="2">
        <v>1.32</v>
      </c>
      <c r="BB85" s="2">
        <v>2.2200000000000002</v>
      </c>
      <c r="BC85" s="2">
        <v>2.4700000000000002</v>
      </c>
      <c r="BD85" s="2">
        <v>3.33</v>
      </c>
      <c r="BE85" s="2">
        <v>4.76</v>
      </c>
      <c r="BF85" s="2">
        <v>4.8</v>
      </c>
      <c r="BG85" s="2">
        <v>8.57</v>
      </c>
      <c r="BH85" s="2">
        <v>3.87</v>
      </c>
      <c r="BI85" s="2">
        <v>6.9</v>
      </c>
      <c r="BJ85" s="2">
        <v>5.07</v>
      </c>
      <c r="BK85" s="2">
        <v>9.07</v>
      </c>
      <c r="BL85" s="2">
        <v>4.3</v>
      </c>
      <c r="BM85" s="2">
        <v>5.26</v>
      </c>
      <c r="BN85" s="2">
        <v>5.4</v>
      </c>
      <c r="BO85" s="2">
        <v>5.29</v>
      </c>
      <c r="BR85" s="1" t="s">
        <v>27</v>
      </c>
      <c r="BS85" s="2">
        <v>-0.59</v>
      </c>
      <c r="BT85" s="2">
        <v>-0.59</v>
      </c>
      <c r="BU85" s="2">
        <v>-0.49</v>
      </c>
      <c r="BV85" s="2">
        <v>-0.55000000000000004</v>
      </c>
      <c r="BW85" s="2">
        <v>-0.28999999999999998</v>
      </c>
      <c r="BX85" s="2">
        <v>-0.57999999999999996</v>
      </c>
      <c r="BY85" s="2">
        <v>-0.28999999999999998</v>
      </c>
      <c r="BZ85" s="2">
        <v>-0.34</v>
      </c>
      <c r="CA85" s="2">
        <v>-0.48</v>
      </c>
      <c r="CB85" s="2">
        <v>-0.6</v>
      </c>
      <c r="CC85" s="2">
        <v>-0.27</v>
      </c>
      <c r="CD85" s="2">
        <v>-0.6</v>
      </c>
      <c r="CE85" s="2">
        <v>-0.27</v>
      </c>
      <c r="CF85" s="2">
        <v>-0.6</v>
      </c>
      <c r="CG85" s="2">
        <v>-0.27</v>
      </c>
      <c r="CH85" s="2">
        <v>-0.6</v>
      </c>
      <c r="CI85" s="2">
        <v>-0.27</v>
      </c>
      <c r="CJ85" s="2">
        <v>-0.43</v>
      </c>
      <c r="CK85" s="2">
        <v>-0.25</v>
      </c>
      <c r="CL85" s="2">
        <v>-0.24</v>
      </c>
    </row>
    <row r="86" spans="2:90" x14ac:dyDescent="0.3">
      <c r="B86" s="1" t="s">
        <v>28</v>
      </c>
      <c r="C86" s="2">
        <v>58.57</v>
      </c>
      <c r="D86" s="2">
        <v>110.41</v>
      </c>
      <c r="E86" s="2">
        <v>9.9499999999999993</v>
      </c>
      <c r="F86" s="2">
        <v>14.26</v>
      </c>
      <c r="G86" s="2">
        <v>3.94</v>
      </c>
      <c r="H86" s="2">
        <v>6.22</v>
      </c>
      <c r="I86" s="2">
        <v>35.159999999999997</v>
      </c>
      <c r="J86" s="2">
        <v>62.22</v>
      </c>
      <c r="K86" s="2">
        <v>111.15</v>
      </c>
      <c r="L86" s="2">
        <v>129.93</v>
      </c>
      <c r="M86" s="2">
        <v>240.66</v>
      </c>
      <c r="N86" s="2">
        <v>159.78</v>
      </c>
      <c r="O86" s="2">
        <v>189.36</v>
      </c>
      <c r="P86" s="2">
        <v>97.35</v>
      </c>
      <c r="Q86" s="2">
        <v>149.66999999999999</v>
      </c>
      <c r="R86" s="2">
        <v>74.92</v>
      </c>
      <c r="S86" s="2">
        <v>69.489999999999995</v>
      </c>
      <c r="T86" s="2">
        <v>66.02</v>
      </c>
      <c r="U86" s="2">
        <v>194.5</v>
      </c>
      <c r="V86" s="2">
        <v>191.38</v>
      </c>
      <c r="X86" s="1" t="s">
        <v>28</v>
      </c>
      <c r="Y86" s="2">
        <v>1.3</v>
      </c>
      <c r="Z86" s="2">
        <v>1.31</v>
      </c>
      <c r="AA86" s="2">
        <v>1.3</v>
      </c>
      <c r="AB86" s="2">
        <v>1.3</v>
      </c>
      <c r="AC86" s="2">
        <v>0.5</v>
      </c>
      <c r="AD86" s="2">
        <v>0.5</v>
      </c>
      <c r="AE86" s="2">
        <v>1.37</v>
      </c>
      <c r="AF86" s="2">
        <v>1.37</v>
      </c>
      <c r="AG86" s="2">
        <v>1.72</v>
      </c>
      <c r="AH86" s="2">
        <v>1.72</v>
      </c>
      <c r="AI86" s="2">
        <v>3.09</v>
      </c>
      <c r="AJ86" s="2">
        <v>3.09</v>
      </c>
      <c r="AK86" s="2">
        <v>2.4900000000000002</v>
      </c>
      <c r="AL86" s="2">
        <v>2.4900000000000002</v>
      </c>
      <c r="AM86" s="2">
        <v>3.26</v>
      </c>
      <c r="AN86" s="2">
        <v>3.26</v>
      </c>
      <c r="AO86" s="2">
        <v>2.92</v>
      </c>
      <c r="AP86" s="2">
        <v>2.92</v>
      </c>
      <c r="AQ86" s="2">
        <v>3.86</v>
      </c>
      <c r="AR86" s="2">
        <v>3.86</v>
      </c>
      <c r="AU86" s="1" t="s">
        <v>28</v>
      </c>
      <c r="AV86" s="2">
        <v>1.7</v>
      </c>
      <c r="AW86" s="2">
        <v>1.84</v>
      </c>
      <c r="AX86" s="2">
        <v>1.43</v>
      </c>
      <c r="AY86" s="2">
        <v>1.43</v>
      </c>
      <c r="AZ86" s="2">
        <v>0.55000000000000004</v>
      </c>
      <c r="BA86" s="2">
        <v>0.55000000000000004</v>
      </c>
      <c r="BB86" s="2">
        <v>1.48</v>
      </c>
      <c r="BC86" s="2">
        <v>1.87</v>
      </c>
      <c r="BD86" s="2">
        <v>2.14</v>
      </c>
      <c r="BE86" s="2">
        <v>2.2200000000000002</v>
      </c>
      <c r="BF86" s="2">
        <v>3.98</v>
      </c>
      <c r="BG86" s="2">
        <v>4.01</v>
      </c>
      <c r="BH86" s="2">
        <v>3.19</v>
      </c>
      <c r="BI86" s="2">
        <v>3.24</v>
      </c>
      <c r="BJ86" s="2">
        <v>4.1900000000000004</v>
      </c>
      <c r="BK86" s="2">
        <v>4.22</v>
      </c>
      <c r="BL86" s="2">
        <v>3.74</v>
      </c>
      <c r="BM86" s="2">
        <v>3.63</v>
      </c>
      <c r="BN86" s="2">
        <v>4.99</v>
      </c>
      <c r="BO86" s="2">
        <v>4.59</v>
      </c>
      <c r="BR86" s="1" t="s">
        <v>28</v>
      </c>
      <c r="BS86" s="2">
        <v>-0.24</v>
      </c>
      <c r="BT86" s="2">
        <v>-0.28999999999999998</v>
      </c>
      <c r="BU86" s="2">
        <v>-0.09</v>
      </c>
      <c r="BV86" s="2">
        <v>-0.09</v>
      </c>
      <c r="BW86" s="2">
        <v>-0.09</v>
      </c>
      <c r="BX86" s="2">
        <v>-0.1</v>
      </c>
      <c r="BY86" s="2">
        <v>-7.0000000000000007E-2</v>
      </c>
      <c r="BZ86" s="2">
        <v>-0.26</v>
      </c>
      <c r="CA86" s="2">
        <v>-0.2</v>
      </c>
      <c r="CB86" s="2">
        <v>-0.23</v>
      </c>
      <c r="CC86" s="2">
        <v>-0.22</v>
      </c>
      <c r="CD86" s="2">
        <v>-0.23</v>
      </c>
      <c r="CE86" s="2">
        <v>-0.22</v>
      </c>
      <c r="CF86" s="2">
        <v>-0.23</v>
      </c>
      <c r="CG86" s="2">
        <v>-0.22</v>
      </c>
      <c r="CH86" s="2">
        <v>-0.23</v>
      </c>
      <c r="CI86" s="2">
        <v>-0.22</v>
      </c>
      <c r="CJ86" s="2">
        <v>-0.2</v>
      </c>
      <c r="CK86" s="2">
        <v>-0.23</v>
      </c>
      <c r="CL86" s="2">
        <v>-0.16</v>
      </c>
    </row>
    <row r="89" spans="2:90" x14ac:dyDescent="0.3">
      <c r="B89" t="s">
        <v>49</v>
      </c>
      <c r="X89" t="s">
        <v>50</v>
      </c>
      <c r="AU89" t="s">
        <v>51</v>
      </c>
      <c r="BR89" t="s">
        <v>52</v>
      </c>
    </row>
    <row r="90" spans="2:90" x14ac:dyDescent="0.3">
      <c r="B90" s="1" t="s">
        <v>16</v>
      </c>
      <c r="C90" s="1" t="s">
        <v>17</v>
      </c>
      <c r="D90" s="1" t="s">
        <v>18</v>
      </c>
      <c r="E90" s="1" t="s">
        <v>17</v>
      </c>
      <c r="F90" s="1" t="s">
        <v>18</v>
      </c>
      <c r="G90" s="1" t="s">
        <v>17</v>
      </c>
      <c r="H90" s="1" t="s">
        <v>18</v>
      </c>
      <c r="I90" s="1" t="s">
        <v>17</v>
      </c>
      <c r="J90" s="1" t="s">
        <v>18</v>
      </c>
      <c r="K90" s="1" t="s">
        <v>17</v>
      </c>
      <c r="L90" s="1" t="s">
        <v>18</v>
      </c>
      <c r="M90" s="1" t="s">
        <v>17</v>
      </c>
      <c r="N90" s="1" t="s">
        <v>18</v>
      </c>
      <c r="O90" s="1" t="s">
        <v>17</v>
      </c>
      <c r="P90" s="1" t="s">
        <v>18</v>
      </c>
      <c r="Q90" s="1" t="s">
        <v>17</v>
      </c>
      <c r="R90" s="1" t="s">
        <v>18</v>
      </c>
      <c r="S90" s="1" t="s">
        <v>17</v>
      </c>
      <c r="T90" s="1" t="s">
        <v>18</v>
      </c>
      <c r="U90" s="1" t="s">
        <v>17</v>
      </c>
      <c r="V90" s="1" t="s">
        <v>18</v>
      </c>
      <c r="X90" s="1" t="s">
        <v>16</v>
      </c>
      <c r="Y90" s="13" t="s">
        <v>17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 t="s">
        <v>18</v>
      </c>
      <c r="AJ90" s="13"/>
      <c r="AK90" s="13"/>
      <c r="AL90" s="13"/>
      <c r="AM90" s="13"/>
      <c r="AN90" s="13"/>
      <c r="AO90" s="13"/>
      <c r="AP90" s="13"/>
      <c r="AQ90" s="13"/>
      <c r="AR90" s="13"/>
      <c r="AU90" s="1" t="s">
        <v>16</v>
      </c>
      <c r="AV90" s="13" t="s">
        <v>17</v>
      </c>
      <c r="AW90" s="13"/>
      <c r="AX90" s="13"/>
      <c r="AY90" s="13"/>
      <c r="AZ90" s="13"/>
      <c r="BA90" s="13"/>
      <c r="BB90" s="13"/>
      <c r="BC90" s="13"/>
      <c r="BD90" s="13"/>
      <c r="BE90" s="13"/>
      <c r="BF90" s="13" t="s">
        <v>18</v>
      </c>
      <c r="BG90" s="13"/>
      <c r="BH90" s="13"/>
      <c r="BI90" s="13"/>
      <c r="BJ90" s="13"/>
      <c r="BK90" s="13"/>
      <c r="BL90" s="13"/>
      <c r="BM90" s="13"/>
      <c r="BN90" s="13"/>
      <c r="BO90" s="13"/>
      <c r="BR90" s="1" t="s">
        <v>16</v>
      </c>
      <c r="BS90" s="1" t="s">
        <v>17</v>
      </c>
      <c r="BT90" s="1" t="s">
        <v>18</v>
      </c>
      <c r="BU90" s="1" t="s">
        <v>17</v>
      </c>
      <c r="BV90" s="1" t="s">
        <v>18</v>
      </c>
      <c r="BW90" s="1" t="s">
        <v>17</v>
      </c>
      <c r="BX90" s="1" t="s">
        <v>18</v>
      </c>
      <c r="BY90" s="1" t="s">
        <v>17</v>
      </c>
      <c r="BZ90" s="1" t="s">
        <v>18</v>
      </c>
      <c r="CA90" s="1" t="s">
        <v>17</v>
      </c>
      <c r="CB90" s="1" t="s">
        <v>18</v>
      </c>
      <c r="CC90" s="1" t="s">
        <v>17</v>
      </c>
      <c r="CD90" s="1" t="s">
        <v>18</v>
      </c>
      <c r="CE90" s="1" t="s">
        <v>17</v>
      </c>
      <c r="CF90" s="1" t="s">
        <v>18</v>
      </c>
      <c r="CG90" s="1" t="s">
        <v>17</v>
      </c>
      <c r="CH90" s="1" t="s">
        <v>18</v>
      </c>
      <c r="CI90" s="1" t="s">
        <v>17</v>
      </c>
      <c r="CJ90" s="1" t="s">
        <v>18</v>
      </c>
      <c r="CK90" s="1" t="s">
        <v>17</v>
      </c>
      <c r="CL90" s="1" t="s">
        <v>18</v>
      </c>
    </row>
    <row r="91" spans="2:90" x14ac:dyDescent="0.3">
      <c r="B91" s="1" t="s">
        <v>19</v>
      </c>
      <c r="C91" s="1" t="s">
        <v>1</v>
      </c>
      <c r="D91" s="1" t="s">
        <v>1</v>
      </c>
      <c r="E91" s="1" t="s">
        <v>2</v>
      </c>
      <c r="F91" s="1" t="s">
        <v>2</v>
      </c>
      <c r="G91" s="1" t="s">
        <v>3</v>
      </c>
      <c r="H91" s="1" t="s">
        <v>3</v>
      </c>
      <c r="I91" s="1" t="s">
        <v>4</v>
      </c>
      <c r="J91" s="1" t="s">
        <v>4</v>
      </c>
      <c r="K91" s="1" t="s">
        <v>5</v>
      </c>
      <c r="L91" s="1" t="s">
        <v>5</v>
      </c>
      <c r="M91" s="1" t="s">
        <v>6</v>
      </c>
      <c r="N91" s="1" t="s">
        <v>6</v>
      </c>
      <c r="O91" s="1" t="s">
        <v>7</v>
      </c>
      <c r="P91" s="1" t="s">
        <v>7</v>
      </c>
      <c r="Q91" s="1" t="s">
        <v>8</v>
      </c>
      <c r="R91" s="1" t="s">
        <v>8</v>
      </c>
      <c r="S91" s="1" t="s">
        <v>9</v>
      </c>
      <c r="T91" s="1" t="s">
        <v>9</v>
      </c>
      <c r="U91" s="1" t="s">
        <v>10</v>
      </c>
      <c r="V91" s="1" t="s">
        <v>10</v>
      </c>
      <c r="X91" s="1" t="s">
        <v>19</v>
      </c>
      <c r="Y91" s="1" t="s">
        <v>1</v>
      </c>
      <c r="Z91" s="1" t="s">
        <v>10</v>
      </c>
      <c r="AA91" s="1" t="s">
        <v>2</v>
      </c>
      <c r="AB91" s="1" t="s">
        <v>3</v>
      </c>
      <c r="AC91" s="1" t="s">
        <v>4</v>
      </c>
      <c r="AD91" s="1" t="s">
        <v>5</v>
      </c>
      <c r="AE91" s="1" t="s">
        <v>6</v>
      </c>
      <c r="AF91" s="1" t="s">
        <v>7</v>
      </c>
      <c r="AG91" s="1" t="s">
        <v>8</v>
      </c>
      <c r="AH91" s="1" t="s">
        <v>9</v>
      </c>
      <c r="AI91" s="1" t="s">
        <v>1</v>
      </c>
      <c r="AJ91" s="1" t="s">
        <v>10</v>
      </c>
      <c r="AK91" s="1" t="s">
        <v>2</v>
      </c>
      <c r="AL91" s="1" t="s">
        <v>3</v>
      </c>
      <c r="AM91" s="1" t="s">
        <v>4</v>
      </c>
      <c r="AN91" s="1" t="s">
        <v>5</v>
      </c>
      <c r="AO91" s="1" t="s">
        <v>6</v>
      </c>
      <c r="AP91" s="1" t="s">
        <v>7</v>
      </c>
      <c r="AQ91" s="1" t="s">
        <v>8</v>
      </c>
      <c r="AR91" s="1" t="s">
        <v>9</v>
      </c>
      <c r="AU91" s="1" t="s">
        <v>19</v>
      </c>
      <c r="AV91" s="1" t="s">
        <v>1</v>
      </c>
      <c r="AW91" s="1" t="s">
        <v>10</v>
      </c>
      <c r="AX91" s="1" t="s">
        <v>2</v>
      </c>
      <c r="AY91" s="1" t="s">
        <v>3</v>
      </c>
      <c r="AZ91" s="1" t="s">
        <v>4</v>
      </c>
      <c r="BA91" s="1" t="s">
        <v>5</v>
      </c>
      <c r="BB91" s="1" t="s">
        <v>6</v>
      </c>
      <c r="BC91" s="1" t="s">
        <v>7</v>
      </c>
      <c r="BD91" s="1" t="s">
        <v>8</v>
      </c>
      <c r="BE91" s="1" t="s">
        <v>9</v>
      </c>
      <c r="BF91" s="1" t="s">
        <v>1</v>
      </c>
      <c r="BG91" s="1" t="s">
        <v>10</v>
      </c>
      <c r="BH91" s="1" t="s">
        <v>2</v>
      </c>
      <c r="BI91" s="1" t="s">
        <v>3</v>
      </c>
      <c r="BJ91" s="1" t="s">
        <v>4</v>
      </c>
      <c r="BK91" s="1" t="s">
        <v>5</v>
      </c>
      <c r="BL91" s="1" t="s">
        <v>6</v>
      </c>
      <c r="BM91" s="1" t="s">
        <v>7</v>
      </c>
      <c r="BN91" s="1" t="s">
        <v>8</v>
      </c>
      <c r="BO91" s="1" t="s">
        <v>9</v>
      </c>
      <c r="BR91" s="1" t="s">
        <v>19</v>
      </c>
      <c r="BS91" s="1" t="s">
        <v>1</v>
      </c>
      <c r="BT91" s="1" t="s">
        <v>1</v>
      </c>
      <c r="BU91" s="1" t="s">
        <v>2</v>
      </c>
      <c r="BV91" s="1" t="s">
        <v>2</v>
      </c>
      <c r="BW91" s="1" t="s">
        <v>3</v>
      </c>
      <c r="BX91" s="1" t="s">
        <v>3</v>
      </c>
      <c r="BY91" s="1" t="s">
        <v>4</v>
      </c>
      <c r="BZ91" s="1" t="s">
        <v>4</v>
      </c>
      <c r="CA91" s="1" t="s">
        <v>5</v>
      </c>
      <c r="CB91" s="1" t="s">
        <v>5</v>
      </c>
      <c r="CC91" s="1" t="s">
        <v>6</v>
      </c>
      <c r="CD91" s="1" t="s">
        <v>6</v>
      </c>
      <c r="CE91" s="1" t="s">
        <v>7</v>
      </c>
      <c r="CF91" s="1" t="s">
        <v>7</v>
      </c>
      <c r="CG91" s="1" t="s">
        <v>8</v>
      </c>
      <c r="CH91" s="1" t="s">
        <v>8</v>
      </c>
      <c r="CI91" s="1" t="s">
        <v>9</v>
      </c>
      <c r="CJ91" s="1" t="s">
        <v>9</v>
      </c>
      <c r="CK91" s="1" t="s">
        <v>10</v>
      </c>
      <c r="CL91" s="1" t="s">
        <v>10</v>
      </c>
    </row>
    <row r="92" spans="2:90" x14ac:dyDescent="0.3">
      <c r="B92" s="1" t="s">
        <v>20</v>
      </c>
      <c r="X92" s="1" t="s">
        <v>20</v>
      </c>
      <c r="AU92" s="1" t="s">
        <v>20</v>
      </c>
      <c r="BR92" s="1" t="s">
        <v>20</v>
      </c>
    </row>
    <row r="93" spans="2:90" x14ac:dyDescent="0.3">
      <c r="B93" s="1" t="s">
        <v>21</v>
      </c>
      <c r="C93" s="2">
        <v>832.04</v>
      </c>
      <c r="D93" s="2">
        <v>838.86</v>
      </c>
      <c r="E93" s="2">
        <v>432.75</v>
      </c>
      <c r="F93" s="2">
        <v>444.56</v>
      </c>
      <c r="G93" s="2">
        <v>250.31</v>
      </c>
      <c r="H93" s="2">
        <v>257.22000000000003</v>
      </c>
      <c r="I93" s="2">
        <v>890.16</v>
      </c>
      <c r="J93" s="2">
        <v>815.56</v>
      </c>
      <c r="K93" s="2">
        <v>1128.1199999999999</v>
      </c>
      <c r="L93" s="2">
        <v>1010.23</v>
      </c>
      <c r="M93" s="2">
        <v>1725.21</v>
      </c>
      <c r="N93" s="2">
        <v>1844.9</v>
      </c>
      <c r="O93" s="2">
        <v>1349.37</v>
      </c>
      <c r="P93" s="2">
        <v>1617.57</v>
      </c>
      <c r="Q93" s="2">
        <v>1956.6</v>
      </c>
      <c r="R93" s="2">
        <v>2032.53</v>
      </c>
      <c r="S93" s="2">
        <v>1637.63</v>
      </c>
      <c r="T93" s="2">
        <v>1770.52</v>
      </c>
      <c r="U93" s="2">
        <v>2558.14</v>
      </c>
      <c r="V93" s="2">
        <v>2796.68</v>
      </c>
      <c r="X93" s="1" t="s">
        <v>21</v>
      </c>
      <c r="Y93" s="2">
        <v>2022.41</v>
      </c>
      <c r="Z93" s="2">
        <v>5635.39</v>
      </c>
      <c r="AA93" s="2">
        <v>2113.1999999999998</v>
      </c>
      <c r="AB93" s="2">
        <v>586.6</v>
      </c>
      <c r="AC93" s="2">
        <v>2466.56</v>
      </c>
      <c r="AD93" s="2">
        <v>3293.33</v>
      </c>
      <c r="AE93" s="2">
        <v>5077.5</v>
      </c>
      <c r="AF93" s="2">
        <v>3878.15</v>
      </c>
      <c r="AG93" s="2">
        <v>5333.86</v>
      </c>
      <c r="AH93" s="2">
        <v>4621.43</v>
      </c>
      <c r="AI93" s="2">
        <v>1964.49</v>
      </c>
      <c r="AJ93" s="2">
        <v>3916.39</v>
      </c>
      <c r="AK93" s="2">
        <v>1916.37</v>
      </c>
      <c r="AL93" s="2">
        <v>745.8</v>
      </c>
      <c r="AM93" s="2">
        <v>2013.01</v>
      </c>
      <c r="AN93" s="2">
        <v>2514.13</v>
      </c>
      <c r="AO93" s="2">
        <v>4587.0600000000004</v>
      </c>
      <c r="AP93" s="2">
        <v>3603.43</v>
      </c>
      <c r="AQ93" s="2">
        <v>4995.96</v>
      </c>
      <c r="AR93" s="2">
        <v>2945.25</v>
      </c>
      <c r="AU93" s="1" t="s">
        <v>21</v>
      </c>
      <c r="AV93" s="2">
        <v>2022.41</v>
      </c>
      <c r="AW93" s="2">
        <v>5635.39</v>
      </c>
      <c r="AX93" s="2">
        <v>2113.1999999999998</v>
      </c>
      <c r="AY93" s="2">
        <v>586.6</v>
      </c>
      <c r="AZ93" s="2">
        <v>2466.56</v>
      </c>
      <c r="BA93" s="2">
        <v>3293.33</v>
      </c>
      <c r="BB93" s="2">
        <v>5077.5</v>
      </c>
      <c r="BC93" s="2">
        <v>3878.15</v>
      </c>
      <c r="BD93" s="2">
        <v>5333.86</v>
      </c>
      <c r="BE93" s="2">
        <v>4621.43</v>
      </c>
      <c r="BF93" s="2">
        <v>1964.49</v>
      </c>
      <c r="BG93" s="2">
        <v>3916.39</v>
      </c>
      <c r="BH93" s="2">
        <v>1916.37</v>
      </c>
      <c r="BI93" s="2">
        <v>745.8</v>
      </c>
      <c r="BJ93" s="2">
        <v>2013.01</v>
      </c>
      <c r="BK93" s="2">
        <v>2514.13</v>
      </c>
      <c r="BL93" s="2">
        <v>4587.0600000000004</v>
      </c>
      <c r="BM93" s="2">
        <v>3603.43</v>
      </c>
      <c r="BN93" s="2">
        <v>4995.96</v>
      </c>
      <c r="BO93" s="2">
        <v>2945.25</v>
      </c>
      <c r="BR93" s="1" t="s">
        <v>21</v>
      </c>
      <c r="BS93" s="2">
        <v>1</v>
      </c>
      <c r="BT93" s="2">
        <v>1</v>
      </c>
      <c r="BU93" s="2">
        <v>1</v>
      </c>
      <c r="BV93" s="2">
        <v>1</v>
      </c>
      <c r="BW93" s="2">
        <v>0.39</v>
      </c>
      <c r="BX93" s="2">
        <v>0.39</v>
      </c>
      <c r="BY93" s="2">
        <v>1.24</v>
      </c>
      <c r="BZ93" s="2">
        <v>1.24</v>
      </c>
      <c r="CA93" s="2">
        <v>1.54</v>
      </c>
      <c r="CB93" s="2">
        <v>1.54</v>
      </c>
      <c r="CC93" s="2">
        <v>2.78</v>
      </c>
      <c r="CD93" s="2">
        <v>2.78</v>
      </c>
      <c r="CE93" s="2">
        <v>2.2400000000000002</v>
      </c>
      <c r="CF93" s="2">
        <v>2.2400000000000002</v>
      </c>
      <c r="CG93" s="2">
        <v>2.94</v>
      </c>
      <c r="CH93" s="2">
        <v>2.94</v>
      </c>
      <c r="CI93" s="2">
        <v>2.63</v>
      </c>
      <c r="CJ93" s="2">
        <v>2.63</v>
      </c>
      <c r="CK93" s="2">
        <v>3.48</v>
      </c>
      <c r="CL93" s="2">
        <v>3.48</v>
      </c>
    </row>
    <row r="94" spans="2:90" x14ac:dyDescent="0.3">
      <c r="B94" s="1" t="s">
        <v>22</v>
      </c>
      <c r="C94" s="2">
        <v>315.52</v>
      </c>
      <c r="D94" s="2">
        <v>120.07</v>
      </c>
      <c r="E94" s="2">
        <v>169.89</v>
      </c>
      <c r="F94" s="2">
        <v>73.92</v>
      </c>
      <c r="G94" s="2">
        <v>65.010000000000005</v>
      </c>
      <c r="H94" s="2">
        <v>49.99</v>
      </c>
      <c r="I94" s="2">
        <v>322.87</v>
      </c>
      <c r="J94" s="2">
        <v>378.36</v>
      </c>
      <c r="K94" s="2">
        <v>295.45999999999998</v>
      </c>
      <c r="L94" s="2">
        <v>326.73</v>
      </c>
      <c r="M94" s="2">
        <v>705.36</v>
      </c>
      <c r="N94" s="2">
        <v>678.24</v>
      </c>
      <c r="O94" s="2">
        <v>524.11</v>
      </c>
      <c r="P94" s="2">
        <v>649.35</v>
      </c>
      <c r="Q94" s="2">
        <v>742.6</v>
      </c>
      <c r="R94" s="2">
        <v>587.47</v>
      </c>
      <c r="S94" s="2">
        <v>667.38</v>
      </c>
      <c r="T94" s="2">
        <v>465.69</v>
      </c>
      <c r="U94" s="2">
        <v>1387.75</v>
      </c>
      <c r="V94" s="2">
        <v>419.72</v>
      </c>
      <c r="X94" s="1" t="s">
        <v>22</v>
      </c>
      <c r="Y94" s="2">
        <v>1694.22</v>
      </c>
      <c r="Z94" s="2">
        <v>5141.6000000000004</v>
      </c>
      <c r="AA94" s="2">
        <v>1963.04</v>
      </c>
      <c r="AB94" s="2">
        <v>554.48</v>
      </c>
      <c r="AC94" s="2">
        <v>2368.2199999999998</v>
      </c>
      <c r="AD94" s="2">
        <v>3566.76</v>
      </c>
      <c r="AE94" s="2">
        <v>4146.95</v>
      </c>
      <c r="AF94" s="2">
        <v>4311.3100000000004</v>
      </c>
      <c r="AG94" s="2">
        <v>5607.91</v>
      </c>
      <c r="AH94" s="2">
        <v>5097.04</v>
      </c>
      <c r="AI94" s="2">
        <v>1028.78</v>
      </c>
      <c r="AJ94" s="2">
        <v>3320.87</v>
      </c>
      <c r="AK94" s="2">
        <v>1270.75</v>
      </c>
      <c r="AL94" s="2">
        <v>578.5</v>
      </c>
      <c r="AM94" s="2">
        <v>2127.7199999999998</v>
      </c>
      <c r="AN94" s="2">
        <v>2101.5100000000002</v>
      </c>
      <c r="AO94" s="2">
        <v>3970.03</v>
      </c>
      <c r="AP94" s="2">
        <v>4091</v>
      </c>
      <c r="AQ94" s="2">
        <v>4285.12</v>
      </c>
      <c r="AR94" s="2">
        <v>2609.31</v>
      </c>
      <c r="AU94" s="1" t="s">
        <v>22</v>
      </c>
      <c r="AV94" s="2">
        <v>1694.22</v>
      </c>
      <c r="AW94" s="2">
        <v>5141.6000000000004</v>
      </c>
      <c r="AX94" s="2">
        <v>1963.04</v>
      </c>
      <c r="AY94" s="2">
        <v>554.48</v>
      </c>
      <c r="AZ94" s="2">
        <v>2368.2199999999998</v>
      </c>
      <c r="BA94" s="2">
        <v>3566.76</v>
      </c>
      <c r="BB94" s="2">
        <v>4146.95</v>
      </c>
      <c r="BC94" s="2">
        <v>4311.3100000000004</v>
      </c>
      <c r="BD94" s="2">
        <v>5607.91</v>
      </c>
      <c r="BE94" s="2">
        <v>5097.04</v>
      </c>
      <c r="BF94" s="2">
        <v>1028.78</v>
      </c>
      <c r="BG94" s="2">
        <v>3320.87</v>
      </c>
      <c r="BH94" s="2">
        <v>1270.75</v>
      </c>
      <c r="BI94" s="2">
        <v>578.5</v>
      </c>
      <c r="BJ94" s="2">
        <v>2127.7199999999998</v>
      </c>
      <c r="BK94" s="2">
        <v>2101.5100000000002</v>
      </c>
      <c r="BL94" s="2">
        <v>3970.03</v>
      </c>
      <c r="BM94" s="2">
        <v>4091</v>
      </c>
      <c r="BN94" s="2">
        <v>4285.12</v>
      </c>
      <c r="BO94" s="2">
        <v>2609.31</v>
      </c>
      <c r="BR94" s="1" t="s">
        <v>22</v>
      </c>
      <c r="BS94" s="2">
        <v>5.47</v>
      </c>
      <c r="BT94" s="2">
        <v>2</v>
      </c>
      <c r="BU94" s="2">
        <v>5.03</v>
      </c>
      <c r="BV94" s="2">
        <v>1.81</v>
      </c>
      <c r="BW94" s="2">
        <v>1.29</v>
      </c>
      <c r="BX94" s="2">
        <v>1.01</v>
      </c>
      <c r="BY94" s="2">
        <v>7.19</v>
      </c>
      <c r="BZ94" s="2">
        <v>4.12</v>
      </c>
      <c r="CA94" s="2">
        <v>5.15</v>
      </c>
      <c r="CB94" s="2">
        <v>5.15</v>
      </c>
      <c r="CC94" s="2">
        <v>17.68</v>
      </c>
      <c r="CD94" s="2">
        <v>9.27</v>
      </c>
      <c r="CE94" s="2">
        <v>7.47</v>
      </c>
      <c r="CF94" s="2">
        <v>7.47</v>
      </c>
      <c r="CG94" s="2">
        <v>9.7799999999999994</v>
      </c>
      <c r="CH94" s="2">
        <v>9.7799999999999994</v>
      </c>
      <c r="CI94" s="2">
        <v>8.75</v>
      </c>
      <c r="CJ94" s="2">
        <v>8.08</v>
      </c>
      <c r="CK94" s="2">
        <v>18.64</v>
      </c>
      <c r="CL94" s="2">
        <v>6.45</v>
      </c>
    </row>
    <row r="95" spans="2:90" x14ac:dyDescent="0.3">
      <c r="B95" s="1" t="s">
        <v>23</v>
      </c>
      <c r="C95" s="2">
        <v>4723.78</v>
      </c>
      <c r="D95" s="2">
        <v>426.7</v>
      </c>
      <c r="E95" s="2">
        <v>2042.51</v>
      </c>
      <c r="F95" s="2">
        <v>174.35</v>
      </c>
      <c r="G95" s="2">
        <v>1670.13</v>
      </c>
      <c r="H95" s="2">
        <v>849.6</v>
      </c>
      <c r="I95" s="2">
        <v>4743.8100000000004</v>
      </c>
      <c r="J95" s="2">
        <v>2168.81</v>
      </c>
      <c r="K95" s="2">
        <v>5820.92</v>
      </c>
      <c r="L95" s="2">
        <v>2391.63</v>
      </c>
      <c r="M95" s="2">
        <v>10673.6</v>
      </c>
      <c r="N95" s="2">
        <v>4611.4399999999996</v>
      </c>
      <c r="O95" s="2">
        <v>9707.4</v>
      </c>
      <c r="P95" s="2">
        <v>4238.57</v>
      </c>
      <c r="Q95" s="2">
        <v>12378.77</v>
      </c>
      <c r="R95" s="2">
        <v>4525.37</v>
      </c>
      <c r="S95" s="2">
        <v>4493.54</v>
      </c>
      <c r="T95" s="2">
        <v>3505.79</v>
      </c>
      <c r="U95" s="2">
        <v>4249.41</v>
      </c>
      <c r="V95" s="2">
        <v>3614.51</v>
      </c>
      <c r="X95" s="1" t="s">
        <v>23</v>
      </c>
      <c r="Y95" s="2">
        <v>7534.39</v>
      </c>
      <c r="Z95" s="2">
        <v>15597.74</v>
      </c>
      <c r="AA95" s="2">
        <v>8066.51</v>
      </c>
      <c r="AB95" s="2">
        <v>2317.29</v>
      </c>
      <c r="AC95" s="2">
        <v>9377.6299999999992</v>
      </c>
      <c r="AD95" s="2">
        <v>11013.64</v>
      </c>
      <c r="AE95" s="2">
        <v>19907.95</v>
      </c>
      <c r="AF95" s="2">
        <v>14541.82</v>
      </c>
      <c r="AG95" s="2">
        <v>18326.7</v>
      </c>
      <c r="AH95" s="2">
        <v>18787.919999999998</v>
      </c>
      <c r="AI95" s="2">
        <v>2509.7800000000002</v>
      </c>
      <c r="AJ95" s="2">
        <v>12322.34</v>
      </c>
      <c r="AK95" s="2">
        <v>2851.46</v>
      </c>
      <c r="AL95" s="2">
        <v>1843.46</v>
      </c>
      <c r="AM95" s="2">
        <v>8686.73</v>
      </c>
      <c r="AN95" s="2">
        <v>9012.92</v>
      </c>
      <c r="AO95" s="2">
        <v>16172.87</v>
      </c>
      <c r="AP95" s="2">
        <v>14117.27</v>
      </c>
      <c r="AQ95" s="2">
        <v>17513.900000000001</v>
      </c>
      <c r="AR95" s="2">
        <v>10962.3</v>
      </c>
      <c r="AU95" s="1" t="s">
        <v>23</v>
      </c>
      <c r="AV95" s="2">
        <v>7534.39</v>
      </c>
      <c r="AW95" s="2">
        <v>15597.74</v>
      </c>
      <c r="AX95" s="2">
        <v>8066.51</v>
      </c>
      <c r="AY95" s="2">
        <v>2317.29</v>
      </c>
      <c r="AZ95" s="2">
        <v>9377.6299999999992</v>
      </c>
      <c r="BA95" s="2">
        <v>11013.64</v>
      </c>
      <c r="BB95" s="2">
        <v>19907.95</v>
      </c>
      <c r="BC95" s="2">
        <v>14541.82</v>
      </c>
      <c r="BD95" s="2">
        <v>18326.7</v>
      </c>
      <c r="BE95" s="2">
        <v>18787.919999999998</v>
      </c>
      <c r="BF95" s="2">
        <v>2509.7800000000002</v>
      </c>
      <c r="BG95" s="2">
        <v>12322.34</v>
      </c>
      <c r="BH95" s="2">
        <v>2851.46</v>
      </c>
      <c r="BI95" s="2">
        <v>1843.46</v>
      </c>
      <c r="BJ95" s="2">
        <v>8686.73</v>
      </c>
      <c r="BK95" s="2">
        <v>9012.92</v>
      </c>
      <c r="BL95" s="2">
        <v>16172.87</v>
      </c>
      <c r="BM95" s="2">
        <v>14117.27</v>
      </c>
      <c r="BN95" s="2">
        <v>17513.900000000001</v>
      </c>
      <c r="BO95" s="2">
        <v>10962.3</v>
      </c>
      <c r="BR95" s="1" t="s">
        <v>23</v>
      </c>
      <c r="BS95" s="2">
        <v>10.039999999999999</v>
      </c>
      <c r="BT95" s="2">
        <v>2.41</v>
      </c>
      <c r="BU95" s="2">
        <v>10.039999999999999</v>
      </c>
      <c r="BV95" s="2">
        <v>1.87</v>
      </c>
      <c r="BW95" s="2">
        <v>3.86</v>
      </c>
      <c r="BX95" s="2">
        <v>3.72</v>
      </c>
      <c r="BY95" s="2">
        <v>12.36</v>
      </c>
      <c r="BZ95" s="2">
        <v>4.12</v>
      </c>
      <c r="CA95" s="2">
        <v>15.45</v>
      </c>
      <c r="CB95" s="2">
        <v>5.15</v>
      </c>
      <c r="CC95" s="2">
        <v>27.81</v>
      </c>
      <c r="CD95" s="2">
        <v>9.27</v>
      </c>
      <c r="CE95" s="2">
        <v>22.4</v>
      </c>
      <c r="CF95" s="2">
        <v>7.47</v>
      </c>
      <c r="CG95" s="2">
        <v>29.35</v>
      </c>
      <c r="CH95" s="2">
        <v>9.7799999999999994</v>
      </c>
      <c r="CI95" s="2">
        <v>8.75</v>
      </c>
      <c r="CJ95" s="2">
        <v>8.75</v>
      </c>
      <c r="CK95" s="2">
        <v>11.59</v>
      </c>
      <c r="CL95" s="2">
        <v>11.59</v>
      </c>
    </row>
    <row r="96" spans="2:90" x14ac:dyDescent="0.3">
      <c r="B96" s="1" t="s">
        <v>24</v>
      </c>
      <c r="C96" s="2">
        <v>1030.8599999999999</v>
      </c>
      <c r="D96" s="2">
        <v>290.37</v>
      </c>
      <c r="E96" s="2">
        <v>321.05</v>
      </c>
      <c r="F96" s="2">
        <v>86.09</v>
      </c>
      <c r="G96" s="2">
        <v>247.59</v>
      </c>
      <c r="H96" s="2">
        <v>335.08</v>
      </c>
      <c r="I96" s="2">
        <v>695.49</v>
      </c>
      <c r="J96" s="2">
        <v>882.52</v>
      </c>
      <c r="K96" s="2">
        <v>883.01</v>
      </c>
      <c r="L96" s="2">
        <v>950.5</v>
      </c>
      <c r="M96" s="2">
        <v>1600.46</v>
      </c>
      <c r="N96" s="2">
        <v>1732.68</v>
      </c>
      <c r="O96" s="2">
        <v>1807.72</v>
      </c>
      <c r="P96" s="2">
        <v>1557.09</v>
      </c>
      <c r="Q96" s="2">
        <v>1841.56</v>
      </c>
      <c r="R96" s="2">
        <v>1906.16</v>
      </c>
      <c r="S96" s="2">
        <v>1445.68</v>
      </c>
      <c r="T96" s="2">
        <v>1312.91</v>
      </c>
      <c r="U96" s="2">
        <v>1627.77</v>
      </c>
      <c r="V96" s="2">
        <v>1463.18</v>
      </c>
      <c r="X96" s="1" t="s">
        <v>24</v>
      </c>
      <c r="Y96" s="2">
        <v>1767.73</v>
      </c>
      <c r="Z96" s="2">
        <v>4709.5</v>
      </c>
      <c r="AA96" s="2">
        <v>2561.11</v>
      </c>
      <c r="AB96" s="2">
        <v>782.31</v>
      </c>
      <c r="AC96" s="2">
        <v>2841.66</v>
      </c>
      <c r="AD96" s="2">
        <v>3385.88</v>
      </c>
      <c r="AE96" s="2">
        <v>6067.66</v>
      </c>
      <c r="AF96" s="2">
        <v>3537.85</v>
      </c>
      <c r="AG96" s="2">
        <v>6203.14</v>
      </c>
      <c r="AH96" s="2">
        <v>2879.29</v>
      </c>
      <c r="AI96" s="2">
        <v>914.63</v>
      </c>
      <c r="AJ96" s="2">
        <v>4089.26</v>
      </c>
      <c r="AK96" s="2">
        <v>1120.02</v>
      </c>
      <c r="AL96" s="2">
        <v>739.59</v>
      </c>
      <c r="AM96" s="2">
        <v>2811.83</v>
      </c>
      <c r="AN96" s="2">
        <v>2988.65</v>
      </c>
      <c r="AO96" s="2">
        <v>4980.6499999999996</v>
      </c>
      <c r="AP96" s="2">
        <v>4345.09</v>
      </c>
      <c r="AQ96" s="2">
        <v>3256.58</v>
      </c>
      <c r="AR96" s="2">
        <v>3445.34</v>
      </c>
      <c r="AU96" s="1" t="s">
        <v>24</v>
      </c>
      <c r="AV96" s="2">
        <v>1767.73</v>
      </c>
      <c r="AW96" s="2">
        <v>4709.5</v>
      </c>
      <c r="AX96" s="2">
        <v>2561.11</v>
      </c>
      <c r="AY96" s="2">
        <v>782.31</v>
      </c>
      <c r="AZ96" s="2">
        <v>2841.66</v>
      </c>
      <c r="BA96" s="2">
        <v>3385.88</v>
      </c>
      <c r="BB96" s="2">
        <v>6067.66</v>
      </c>
      <c r="BC96" s="2">
        <v>3537.85</v>
      </c>
      <c r="BD96" s="2">
        <v>6203.14</v>
      </c>
      <c r="BE96" s="2">
        <v>2879.29</v>
      </c>
      <c r="BF96" s="2">
        <v>914.63</v>
      </c>
      <c r="BG96" s="2">
        <v>4089.26</v>
      </c>
      <c r="BH96" s="2">
        <v>1120.02</v>
      </c>
      <c r="BI96" s="2">
        <v>739.59</v>
      </c>
      <c r="BJ96" s="2">
        <v>2811.83</v>
      </c>
      <c r="BK96" s="2">
        <v>2988.65</v>
      </c>
      <c r="BL96" s="2">
        <v>4980.6499999999996</v>
      </c>
      <c r="BM96" s="2">
        <v>4345.09</v>
      </c>
      <c r="BN96" s="2">
        <v>3256.58</v>
      </c>
      <c r="BO96" s="2">
        <v>3445.34</v>
      </c>
      <c r="BR96" s="1" t="s">
        <v>24</v>
      </c>
      <c r="BS96" s="2">
        <v>6.69</v>
      </c>
      <c r="BT96" s="2">
        <v>3.35</v>
      </c>
      <c r="BU96" s="2">
        <v>3.35</v>
      </c>
      <c r="BV96" s="2">
        <v>1.71</v>
      </c>
      <c r="BW96" s="2">
        <v>1.29</v>
      </c>
      <c r="BX96" s="2">
        <v>2.57</v>
      </c>
      <c r="BY96" s="2">
        <v>4.12</v>
      </c>
      <c r="BZ96" s="2">
        <v>4.12</v>
      </c>
      <c r="CA96" s="2">
        <v>5.15</v>
      </c>
      <c r="CB96" s="2">
        <v>5.15</v>
      </c>
      <c r="CC96" s="2">
        <v>9.27</v>
      </c>
      <c r="CD96" s="2">
        <v>9.27</v>
      </c>
      <c r="CE96" s="2">
        <v>14.93</v>
      </c>
      <c r="CF96" s="2">
        <v>7.47</v>
      </c>
      <c r="CG96" s="2">
        <v>9.7799999999999994</v>
      </c>
      <c r="CH96" s="2">
        <v>19.57</v>
      </c>
      <c r="CI96" s="2">
        <v>16.489999999999998</v>
      </c>
      <c r="CJ96" s="2">
        <v>8.75</v>
      </c>
      <c r="CK96" s="2">
        <v>11.59</v>
      </c>
      <c r="CL96" s="2">
        <v>11.59</v>
      </c>
    </row>
    <row r="97" spans="2:90" x14ac:dyDescent="0.3">
      <c r="B97" s="1" t="s">
        <v>25</v>
      </c>
      <c r="C97" s="2">
        <v>2234.23</v>
      </c>
      <c r="D97" s="2">
        <v>3320.2</v>
      </c>
      <c r="E97" s="2">
        <v>1364.48</v>
      </c>
      <c r="F97" s="2">
        <v>1803.9</v>
      </c>
      <c r="G97" s="2">
        <v>716.67</v>
      </c>
      <c r="H97" s="2">
        <v>674.72</v>
      </c>
      <c r="I97" s="2">
        <v>2457.08</v>
      </c>
      <c r="J97" s="2">
        <v>2465.96</v>
      </c>
      <c r="K97" s="2">
        <v>2971.05</v>
      </c>
      <c r="L97" s="2">
        <v>3051.93</v>
      </c>
      <c r="M97" s="2">
        <v>5534.67</v>
      </c>
      <c r="N97" s="2">
        <v>5736.15</v>
      </c>
      <c r="O97" s="2">
        <v>4792.87</v>
      </c>
      <c r="P97" s="2">
        <v>4774.8900000000003</v>
      </c>
      <c r="Q97" s="2">
        <v>6764.79</v>
      </c>
      <c r="R97" s="2">
        <v>6113.59</v>
      </c>
      <c r="S97" s="2">
        <v>6404.7</v>
      </c>
      <c r="T97" s="2">
        <v>3894.82</v>
      </c>
      <c r="U97" s="2">
        <v>6953.17</v>
      </c>
      <c r="V97" s="2">
        <v>5292.2</v>
      </c>
      <c r="X97" s="1" t="s">
        <v>25</v>
      </c>
      <c r="Y97" s="2">
        <v>7929.58</v>
      </c>
      <c r="Z97" s="2">
        <v>25298.61</v>
      </c>
      <c r="AA97" s="2">
        <v>7727.94</v>
      </c>
      <c r="AB97" s="2">
        <v>3072.11</v>
      </c>
      <c r="AC97" s="2">
        <v>9449.34</v>
      </c>
      <c r="AD97" s="2">
        <v>14970.97</v>
      </c>
      <c r="AE97" s="2">
        <v>27022.7</v>
      </c>
      <c r="AF97" s="2">
        <v>21473.03</v>
      </c>
      <c r="AG97" s="2">
        <v>27824.68</v>
      </c>
      <c r="AH97" s="2">
        <v>14712.99</v>
      </c>
      <c r="AI97" s="2">
        <v>7120.74</v>
      </c>
      <c r="AJ97" s="2">
        <v>21844.42</v>
      </c>
      <c r="AK97" s="2">
        <v>9666.16</v>
      </c>
      <c r="AL97" s="2">
        <v>3401.63</v>
      </c>
      <c r="AM97" s="2">
        <v>11460.47</v>
      </c>
      <c r="AN97" s="2">
        <v>14885.88</v>
      </c>
      <c r="AO97" s="2">
        <v>28617.45</v>
      </c>
      <c r="AP97" s="2">
        <v>23307.67</v>
      </c>
      <c r="AQ97" s="2">
        <v>27001.61</v>
      </c>
      <c r="AR97" s="2">
        <v>18070.04</v>
      </c>
      <c r="AU97" s="1" t="s">
        <v>25</v>
      </c>
      <c r="AV97" s="2">
        <v>7929.58</v>
      </c>
      <c r="AW97" s="2">
        <v>25298.61</v>
      </c>
      <c r="AX97" s="2">
        <v>7727.94</v>
      </c>
      <c r="AY97" s="2">
        <v>3072.11</v>
      </c>
      <c r="AZ97" s="2">
        <v>9449.34</v>
      </c>
      <c r="BA97" s="2">
        <v>14970.97</v>
      </c>
      <c r="BB97" s="2">
        <v>27022.7</v>
      </c>
      <c r="BC97" s="2">
        <v>21473.03</v>
      </c>
      <c r="BD97" s="2">
        <v>27824.68</v>
      </c>
      <c r="BE97" s="2">
        <v>14712.99</v>
      </c>
      <c r="BF97" s="2">
        <v>7120.74</v>
      </c>
      <c r="BG97" s="2">
        <v>21844.42</v>
      </c>
      <c r="BH97" s="2">
        <v>9666.16</v>
      </c>
      <c r="BI97" s="2">
        <v>3401.63</v>
      </c>
      <c r="BJ97" s="2">
        <v>11460.47</v>
      </c>
      <c r="BK97" s="2">
        <v>14885.88</v>
      </c>
      <c r="BL97" s="2">
        <v>28617.45</v>
      </c>
      <c r="BM97" s="2">
        <v>23307.67</v>
      </c>
      <c r="BN97" s="2">
        <v>27001.61</v>
      </c>
      <c r="BO97" s="2">
        <v>18070.04</v>
      </c>
      <c r="BR97" s="1" t="s">
        <v>25</v>
      </c>
      <c r="BS97" s="2">
        <v>3.35</v>
      </c>
      <c r="BT97" s="2">
        <v>6.69</v>
      </c>
      <c r="BU97" s="2">
        <v>6.69</v>
      </c>
      <c r="BV97" s="2">
        <v>6.53</v>
      </c>
      <c r="BW97" s="2">
        <v>1.29</v>
      </c>
      <c r="BX97" s="2">
        <v>1.29</v>
      </c>
      <c r="BY97" s="2">
        <v>6.15</v>
      </c>
      <c r="BZ97" s="2">
        <v>4.12</v>
      </c>
      <c r="CA97" s="2">
        <v>5.15</v>
      </c>
      <c r="CB97" s="2">
        <v>5.15</v>
      </c>
      <c r="CC97" s="2">
        <v>9.27</v>
      </c>
      <c r="CD97" s="2">
        <v>9.27</v>
      </c>
      <c r="CE97" s="2">
        <v>7.47</v>
      </c>
      <c r="CF97" s="2">
        <v>7.47</v>
      </c>
      <c r="CG97" s="2">
        <v>9.7799999999999994</v>
      </c>
      <c r="CH97" s="2">
        <v>9.7799999999999994</v>
      </c>
      <c r="CI97" s="2">
        <v>15.78</v>
      </c>
      <c r="CJ97" s="2">
        <v>8.75</v>
      </c>
      <c r="CK97" s="2">
        <v>11.59</v>
      </c>
      <c r="CL97" s="2">
        <v>11.16</v>
      </c>
    </row>
    <row r="98" spans="2:90" x14ac:dyDescent="0.3">
      <c r="B98" s="1" t="s">
        <v>26</v>
      </c>
      <c r="C98" s="2">
        <v>474.22</v>
      </c>
      <c r="D98" s="2">
        <v>554.73</v>
      </c>
      <c r="E98" s="2">
        <v>279.83999999999997</v>
      </c>
      <c r="F98" s="2">
        <v>175.6</v>
      </c>
      <c r="G98" s="2">
        <v>135.99</v>
      </c>
      <c r="H98" s="2">
        <v>121.48</v>
      </c>
      <c r="I98" s="2">
        <v>322.31</v>
      </c>
      <c r="J98" s="2">
        <v>360.55</v>
      </c>
      <c r="K98" s="2">
        <v>370.74</v>
      </c>
      <c r="L98" s="2">
        <v>495.91</v>
      </c>
      <c r="M98" s="2">
        <v>898.43</v>
      </c>
      <c r="N98" s="2">
        <v>739.74</v>
      </c>
      <c r="O98" s="2">
        <v>745.44</v>
      </c>
      <c r="P98" s="2">
        <v>565.95000000000005</v>
      </c>
      <c r="Q98" s="2">
        <v>1003.4</v>
      </c>
      <c r="R98" s="2">
        <v>849.92</v>
      </c>
      <c r="S98" s="2">
        <v>868.54</v>
      </c>
      <c r="T98" s="2">
        <v>673.38</v>
      </c>
      <c r="U98" s="2">
        <v>1113.8499999999999</v>
      </c>
      <c r="V98" s="2">
        <v>714.59</v>
      </c>
      <c r="X98" s="1" t="s">
        <v>26</v>
      </c>
      <c r="Y98" s="2">
        <v>2287.4499999999998</v>
      </c>
      <c r="Z98" s="2">
        <v>6562.41</v>
      </c>
      <c r="AA98" s="2">
        <v>2301.27</v>
      </c>
      <c r="AB98" s="2">
        <v>790.73</v>
      </c>
      <c r="AC98" s="2">
        <v>3079.78</v>
      </c>
      <c r="AD98" s="2">
        <v>3352.15</v>
      </c>
      <c r="AE98" s="2">
        <v>7046.43</v>
      </c>
      <c r="AF98" s="2">
        <v>5726.63</v>
      </c>
      <c r="AG98" s="2">
        <v>7374.91</v>
      </c>
      <c r="AH98" s="2">
        <v>5662.8</v>
      </c>
      <c r="AI98" s="2">
        <v>1820.93</v>
      </c>
      <c r="AJ98" s="2">
        <v>5079.42</v>
      </c>
      <c r="AK98" s="2">
        <v>2374.58</v>
      </c>
      <c r="AL98" s="2">
        <v>906.59</v>
      </c>
      <c r="AM98" s="2">
        <v>2425.91</v>
      </c>
      <c r="AN98" s="2">
        <v>3973.44</v>
      </c>
      <c r="AO98" s="2">
        <v>7370.36</v>
      </c>
      <c r="AP98" s="2">
        <v>6015.68</v>
      </c>
      <c r="AQ98" s="2">
        <v>7672.19</v>
      </c>
      <c r="AR98" s="2">
        <v>7104.31</v>
      </c>
      <c r="AU98" s="1" t="s">
        <v>26</v>
      </c>
      <c r="AV98" s="2">
        <v>2287.4499999999998</v>
      </c>
      <c r="AW98" s="2">
        <v>6562.41</v>
      </c>
      <c r="AX98" s="2">
        <v>2301.27</v>
      </c>
      <c r="AY98" s="2">
        <v>790.73</v>
      </c>
      <c r="AZ98" s="2">
        <v>3079.78</v>
      </c>
      <c r="BA98" s="2">
        <v>3352.15</v>
      </c>
      <c r="BB98" s="2">
        <v>7046.43</v>
      </c>
      <c r="BC98" s="2">
        <v>5726.63</v>
      </c>
      <c r="BD98" s="2">
        <v>7374.91</v>
      </c>
      <c r="BE98" s="2">
        <v>5662.8</v>
      </c>
      <c r="BF98" s="2">
        <v>1820.93</v>
      </c>
      <c r="BG98" s="2">
        <v>5079.42</v>
      </c>
      <c r="BH98" s="2">
        <v>2374.58</v>
      </c>
      <c r="BI98" s="2">
        <v>906.59</v>
      </c>
      <c r="BJ98" s="2">
        <v>2425.91</v>
      </c>
      <c r="BK98" s="2">
        <v>3973.44</v>
      </c>
      <c r="BL98" s="2">
        <v>7370.36</v>
      </c>
      <c r="BM98" s="2">
        <v>6015.68</v>
      </c>
      <c r="BN98" s="2">
        <v>7672.19</v>
      </c>
      <c r="BO98" s="2">
        <v>7104.31</v>
      </c>
      <c r="BR98" s="1" t="s">
        <v>26</v>
      </c>
      <c r="BS98" s="2">
        <v>3.35</v>
      </c>
      <c r="BT98" s="2">
        <v>6.69</v>
      </c>
      <c r="BU98" s="2">
        <v>6.99</v>
      </c>
      <c r="BV98" s="2">
        <v>6.77</v>
      </c>
      <c r="BW98" s="2">
        <v>1.29</v>
      </c>
      <c r="BX98" s="2">
        <v>1.29</v>
      </c>
      <c r="BY98" s="2">
        <v>4.12</v>
      </c>
      <c r="BZ98" s="2">
        <v>4.12</v>
      </c>
      <c r="CA98" s="2">
        <v>5.15</v>
      </c>
      <c r="CB98" s="2">
        <v>5.15</v>
      </c>
      <c r="CC98" s="2">
        <v>9.27</v>
      </c>
      <c r="CD98" s="2">
        <v>9.27</v>
      </c>
      <c r="CE98" s="2">
        <v>7.47</v>
      </c>
      <c r="CF98" s="2">
        <v>7.47</v>
      </c>
      <c r="CG98" s="2">
        <v>9.7799999999999994</v>
      </c>
      <c r="CH98" s="2">
        <v>9.7799999999999994</v>
      </c>
      <c r="CI98" s="2">
        <v>8.75</v>
      </c>
      <c r="CJ98" s="2">
        <v>8.75</v>
      </c>
      <c r="CK98" s="2">
        <v>11.59</v>
      </c>
      <c r="CL98" s="2">
        <v>14.53</v>
      </c>
    </row>
    <row r="99" spans="2:90" x14ac:dyDescent="0.3">
      <c r="B99" s="1" t="s">
        <v>27</v>
      </c>
      <c r="C99" s="2">
        <v>3674.83</v>
      </c>
      <c r="D99" s="2">
        <v>4073.53</v>
      </c>
      <c r="E99" s="2">
        <v>988.67</v>
      </c>
      <c r="F99" s="2">
        <v>1531.41</v>
      </c>
      <c r="G99" s="2">
        <v>412.94</v>
      </c>
      <c r="H99" s="2">
        <v>1244.0899999999999</v>
      </c>
      <c r="I99" s="2">
        <v>1263.97</v>
      </c>
      <c r="J99" s="2">
        <v>4305.01</v>
      </c>
      <c r="K99" s="2">
        <v>2439.3000000000002</v>
      </c>
      <c r="L99" s="2">
        <v>4715</v>
      </c>
      <c r="M99" s="2">
        <v>3097.88</v>
      </c>
      <c r="N99" s="2">
        <v>8018.73</v>
      </c>
      <c r="O99" s="2">
        <v>2602.09</v>
      </c>
      <c r="P99" s="2">
        <v>6663.61</v>
      </c>
      <c r="Q99" s="2">
        <v>3751.41</v>
      </c>
      <c r="R99" s="2">
        <v>9507.42</v>
      </c>
      <c r="S99" s="2">
        <v>3531.04</v>
      </c>
      <c r="T99" s="2">
        <v>4365.62</v>
      </c>
      <c r="U99" s="2">
        <v>4502.2</v>
      </c>
      <c r="V99" s="2">
        <v>3857.41</v>
      </c>
      <c r="X99" s="1" t="s">
        <v>27</v>
      </c>
      <c r="Y99" s="2">
        <v>7979.5</v>
      </c>
      <c r="Z99" s="2">
        <v>24088.11</v>
      </c>
      <c r="AA99" s="2">
        <v>6737.68</v>
      </c>
      <c r="AB99" s="2">
        <v>2696.16</v>
      </c>
      <c r="AC99" s="2">
        <v>10430.790000000001</v>
      </c>
      <c r="AD99" s="2">
        <v>9298.14</v>
      </c>
      <c r="AE99" s="2">
        <v>22982.89</v>
      </c>
      <c r="AF99" s="2">
        <v>18605.14</v>
      </c>
      <c r="AG99" s="2">
        <v>24079.05</v>
      </c>
      <c r="AH99" s="2">
        <v>19665.009999999998</v>
      </c>
      <c r="AI99" s="2">
        <v>8238.19</v>
      </c>
      <c r="AJ99" s="2">
        <v>23672.25</v>
      </c>
      <c r="AK99" s="2">
        <v>9582.1200000000008</v>
      </c>
      <c r="AL99" s="2">
        <v>3113.45</v>
      </c>
      <c r="AM99" s="2">
        <v>9937.36</v>
      </c>
      <c r="AN99" s="2">
        <v>12759.62</v>
      </c>
      <c r="AO99" s="2">
        <v>23089.77</v>
      </c>
      <c r="AP99" s="2">
        <v>18690.740000000002</v>
      </c>
      <c r="AQ99" s="2">
        <v>23943.54</v>
      </c>
      <c r="AR99" s="2">
        <v>16358.76</v>
      </c>
      <c r="AU99" s="1" t="s">
        <v>27</v>
      </c>
      <c r="AV99" s="2">
        <v>7979.5</v>
      </c>
      <c r="AW99" s="2">
        <v>24088.11</v>
      </c>
      <c r="AX99" s="2">
        <v>6737.68</v>
      </c>
      <c r="AY99" s="2">
        <v>2696.16</v>
      </c>
      <c r="AZ99" s="2">
        <v>10430.790000000001</v>
      </c>
      <c r="BA99" s="2">
        <v>9298.14</v>
      </c>
      <c r="BB99" s="2">
        <v>22982.89</v>
      </c>
      <c r="BC99" s="2">
        <v>18605.14</v>
      </c>
      <c r="BD99" s="2">
        <v>24079.05</v>
      </c>
      <c r="BE99" s="2">
        <v>19665.009999999998</v>
      </c>
      <c r="BF99" s="2">
        <v>8238.19</v>
      </c>
      <c r="BG99" s="2">
        <v>23672.25</v>
      </c>
      <c r="BH99" s="2">
        <v>9582.1200000000008</v>
      </c>
      <c r="BI99" s="2">
        <v>3113.45</v>
      </c>
      <c r="BJ99" s="2">
        <v>9937.36</v>
      </c>
      <c r="BK99" s="2">
        <v>12759.62</v>
      </c>
      <c r="BL99" s="2">
        <v>23089.77</v>
      </c>
      <c r="BM99" s="2">
        <v>18690.740000000002</v>
      </c>
      <c r="BN99" s="2">
        <v>23943.54</v>
      </c>
      <c r="BO99" s="2">
        <v>16358.76</v>
      </c>
      <c r="BR99" s="1" t="s">
        <v>27</v>
      </c>
      <c r="BS99" s="2">
        <v>10.039999999999999</v>
      </c>
      <c r="BT99" s="2">
        <v>10.039999999999999</v>
      </c>
      <c r="BU99" s="2">
        <v>8.5</v>
      </c>
      <c r="BV99" s="2">
        <v>10.039999999999999</v>
      </c>
      <c r="BW99" s="2">
        <v>1.29</v>
      </c>
      <c r="BX99" s="2">
        <v>3.86</v>
      </c>
      <c r="BY99" s="2">
        <v>4.12</v>
      </c>
      <c r="BZ99" s="2">
        <v>4.12</v>
      </c>
      <c r="CA99" s="2">
        <v>12.23</v>
      </c>
      <c r="CB99" s="2">
        <v>15.45</v>
      </c>
      <c r="CC99" s="2">
        <v>9.27</v>
      </c>
      <c r="CD99" s="2">
        <v>27.81</v>
      </c>
      <c r="CE99" s="2">
        <v>7.47</v>
      </c>
      <c r="CF99" s="2">
        <v>22.4</v>
      </c>
      <c r="CG99" s="2">
        <v>9.7799999999999994</v>
      </c>
      <c r="CH99" s="2">
        <v>29.35</v>
      </c>
      <c r="CI99" s="2">
        <v>8.75</v>
      </c>
      <c r="CJ99" s="2">
        <v>17.93</v>
      </c>
      <c r="CK99" s="2">
        <v>11.59</v>
      </c>
      <c r="CL99" s="2">
        <v>11.59</v>
      </c>
    </row>
    <row r="100" spans="2:90" x14ac:dyDescent="0.3">
      <c r="B100" s="1" t="s">
        <v>28</v>
      </c>
      <c r="C100" s="2">
        <v>760.29</v>
      </c>
      <c r="D100" s="2">
        <v>918.14</v>
      </c>
      <c r="E100" s="2">
        <v>84.47</v>
      </c>
      <c r="F100" s="2">
        <v>97.2</v>
      </c>
      <c r="G100" s="2">
        <v>53.82</v>
      </c>
      <c r="H100" s="2">
        <v>71.52</v>
      </c>
      <c r="I100" s="2">
        <v>193.36</v>
      </c>
      <c r="J100" s="2">
        <v>742.22</v>
      </c>
      <c r="K100" s="2">
        <v>1068.6300000000001</v>
      </c>
      <c r="L100" s="2">
        <v>885.92</v>
      </c>
      <c r="M100" s="2">
        <v>2167.9</v>
      </c>
      <c r="N100" s="2">
        <v>1662.2</v>
      </c>
      <c r="O100" s="2">
        <v>1732.83</v>
      </c>
      <c r="P100" s="2">
        <v>1534.46</v>
      </c>
      <c r="Q100" s="2">
        <v>2372.96</v>
      </c>
      <c r="R100" s="2">
        <v>2328.8000000000002</v>
      </c>
      <c r="S100" s="2">
        <v>2194.63</v>
      </c>
      <c r="T100" s="2">
        <v>1913.72</v>
      </c>
      <c r="U100" s="2">
        <v>3148.82</v>
      </c>
      <c r="V100" s="2">
        <v>2459.77</v>
      </c>
      <c r="X100" s="1" t="s">
        <v>28</v>
      </c>
      <c r="Y100" s="2">
        <v>4112.76</v>
      </c>
      <c r="Z100" s="2">
        <v>12576.84</v>
      </c>
      <c r="AA100" s="2">
        <v>4083.81</v>
      </c>
      <c r="AB100" s="2">
        <v>980.7</v>
      </c>
      <c r="AC100" s="2">
        <v>3431.35</v>
      </c>
      <c r="AD100" s="2">
        <v>5411.55</v>
      </c>
      <c r="AE100" s="2">
        <v>9819.2800000000007</v>
      </c>
      <c r="AF100" s="2">
        <v>7559.56</v>
      </c>
      <c r="AG100" s="2">
        <v>10086.790000000001</v>
      </c>
      <c r="AH100" s="2">
        <v>8756.58</v>
      </c>
      <c r="AI100" s="2">
        <v>5628.38</v>
      </c>
      <c r="AJ100" s="2">
        <v>10058.35</v>
      </c>
      <c r="AK100" s="2">
        <v>4321.26</v>
      </c>
      <c r="AL100" s="2">
        <v>1674.99</v>
      </c>
      <c r="AM100" s="2">
        <v>5456.59</v>
      </c>
      <c r="AN100" s="2">
        <v>6545.4</v>
      </c>
      <c r="AO100" s="2">
        <v>12049</v>
      </c>
      <c r="AP100" s="2">
        <v>9603.39</v>
      </c>
      <c r="AQ100" s="2">
        <v>11266.46</v>
      </c>
      <c r="AR100" s="2">
        <v>8613.89</v>
      </c>
      <c r="AU100" s="1" t="s">
        <v>28</v>
      </c>
      <c r="AV100" s="2">
        <v>4112.76</v>
      </c>
      <c r="AW100" s="2">
        <v>12576.84</v>
      </c>
      <c r="AX100" s="2">
        <v>4083.81</v>
      </c>
      <c r="AY100" s="2">
        <v>980.7</v>
      </c>
      <c r="AZ100" s="2">
        <v>3431.35</v>
      </c>
      <c r="BA100" s="2">
        <v>5411.55</v>
      </c>
      <c r="BB100" s="2">
        <v>9819.2800000000007</v>
      </c>
      <c r="BC100" s="2">
        <v>7559.56</v>
      </c>
      <c r="BD100" s="2">
        <v>10086.790000000001</v>
      </c>
      <c r="BE100" s="2">
        <v>8756.58</v>
      </c>
      <c r="BF100" s="2">
        <v>5628.38</v>
      </c>
      <c r="BG100" s="2">
        <v>10058.35</v>
      </c>
      <c r="BH100" s="2">
        <v>4321.26</v>
      </c>
      <c r="BI100" s="2">
        <v>1674.99</v>
      </c>
      <c r="BJ100" s="2">
        <v>5456.59</v>
      </c>
      <c r="BK100" s="2">
        <v>6545.4</v>
      </c>
      <c r="BL100" s="2">
        <v>12049</v>
      </c>
      <c r="BM100" s="2">
        <v>9603.39</v>
      </c>
      <c r="BN100" s="2">
        <v>11266.46</v>
      </c>
      <c r="BO100" s="2">
        <v>8613.89</v>
      </c>
      <c r="BR100" s="1" t="s">
        <v>28</v>
      </c>
      <c r="BS100" s="2">
        <v>3.35</v>
      </c>
      <c r="BT100" s="2">
        <v>3.35</v>
      </c>
      <c r="BU100" s="2">
        <v>0.97</v>
      </c>
      <c r="BV100" s="2">
        <v>1.04</v>
      </c>
      <c r="BW100" s="2">
        <v>0.39</v>
      </c>
      <c r="BX100" s="2">
        <v>0.47</v>
      </c>
      <c r="BY100" s="2">
        <v>1.2</v>
      </c>
      <c r="BZ100" s="2">
        <v>4.12</v>
      </c>
      <c r="CA100" s="2">
        <v>5.15</v>
      </c>
      <c r="CB100" s="2">
        <v>5.15</v>
      </c>
      <c r="CC100" s="2">
        <v>9.27</v>
      </c>
      <c r="CD100" s="2">
        <v>9.27</v>
      </c>
      <c r="CE100" s="2">
        <v>7.47</v>
      </c>
      <c r="CF100" s="2">
        <v>7.47</v>
      </c>
      <c r="CG100" s="2">
        <v>9.7799999999999994</v>
      </c>
      <c r="CH100" s="2">
        <v>9.7799999999999994</v>
      </c>
      <c r="CI100" s="2">
        <v>8.75</v>
      </c>
      <c r="CJ100" s="2">
        <v>8.75</v>
      </c>
      <c r="CK100" s="2">
        <v>11.59</v>
      </c>
      <c r="CL100" s="2">
        <v>11.59</v>
      </c>
    </row>
    <row r="102" spans="2:90" x14ac:dyDescent="0.3">
      <c r="Y102">
        <v>1.3</v>
      </c>
      <c r="Z102">
        <v>1.3</v>
      </c>
      <c r="AA102">
        <v>1.3</v>
      </c>
      <c r="AB102">
        <v>1.3</v>
      </c>
      <c r="AC102">
        <v>0.5</v>
      </c>
      <c r="AD102">
        <v>0.5</v>
      </c>
      <c r="AE102">
        <v>1.6</v>
      </c>
      <c r="AF102">
        <v>1.6</v>
      </c>
      <c r="AG102">
        <v>2</v>
      </c>
      <c r="AH102">
        <v>2</v>
      </c>
      <c r="AI102">
        <v>3.6</v>
      </c>
      <c r="AJ102">
        <v>3.6</v>
      </c>
      <c r="AK102">
        <v>2.9</v>
      </c>
      <c r="AL102">
        <v>2.9</v>
      </c>
      <c r="AM102">
        <v>3.8</v>
      </c>
      <c r="AN102">
        <v>3.8</v>
      </c>
      <c r="AO102">
        <v>3.4</v>
      </c>
      <c r="AP102">
        <v>3.4</v>
      </c>
      <c r="AQ102">
        <v>4.5</v>
      </c>
      <c r="AR102">
        <v>4.5</v>
      </c>
    </row>
    <row r="103" spans="2:90" x14ac:dyDescent="0.3">
      <c r="B103" t="s">
        <v>53</v>
      </c>
      <c r="X103" t="s">
        <v>54</v>
      </c>
      <c r="AU103" t="s">
        <v>55</v>
      </c>
      <c r="BR103" t="s">
        <v>56</v>
      </c>
    </row>
    <row r="104" spans="2:90" x14ac:dyDescent="0.3">
      <c r="B104" s="1" t="s">
        <v>16</v>
      </c>
      <c r="C104" s="1" t="s">
        <v>17</v>
      </c>
      <c r="D104" s="1" t="s">
        <v>18</v>
      </c>
      <c r="E104" s="1" t="s">
        <v>17</v>
      </c>
      <c r="F104" s="1" t="s">
        <v>18</v>
      </c>
      <c r="G104" s="1" t="s">
        <v>17</v>
      </c>
      <c r="H104" s="1" t="s">
        <v>18</v>
      </c>
      <c r="I104" s="1" t="s">
        <v>17</v>
      </c>
      <c r="J104" s="1" t="s">
        <v>18</v>
      </c>
      <c r="K104" s="1" t="s">
        <v>17</v>
      </c>
      <c r="L104" s="1" t="s">
        <v>18</v>
      </c>
      <c r="M104" s="1" t="s">
        <v>17</v>
      </c>
      <c r="N104" s="1" t="s">
        <v>18</v>
      </c>
      <c r="O104" s="1" t="s">
        <v>17</v>
      </c>
      <c r="P104" s="1" t="s">
        <v>18</v>
      </c>
      <c r="Q104" s="1" t="s">
        <v>17</v>
      </c>
      <c r="R104" s="1" t="s">
        <v>18</v>
      </c>
      <c r="S104" s="1" t="s">
        <v>17</v>
      </c>
      <c r="T104" s="1" t="s">
        <v>18</v>
      </c>
      <c r="U104" s="1" t="s">
        <v>17</v>
      </c>
      <c r="V104" s="1" t="s">
        <v>18</v>
      </c>
      <c r="X104" s="1" t="s">
        <v>16</v>
      </c>
      <c r="Y104" s="1" t="s">
        <v>17</v>
      </c>
      <c r="Z104" s="1" t="s">
        <v>18</v>
      </c>
      <c r="AA104" s="1" t="s">
        <v>17</v>
      </c>
      <c r="AB104" s="1" t="s">
        <v>18</v>
      </c>
      <c r="AC104" s="1" t="s">
        <v>17</v>
      </c>
      <c r="AD104" s="1" t="s">
        <v>18</v>
      </c>
      <c r="AE104" s="1" t="s">
        <v>17</v>
      </c>
      <c r="AF104" s="1" t="s">
        <v>18</v>
      </c>
      <c r="AG104" s="1" t="s">
        <v>17</v>
      </c>
      <c r="AH104" s="1" t="s">
        <v>18</v>
      </c>
      <c r="AI104" s="1" t="s">
        <v>17</v>
      </c>
      <c r="AJ104" s="1" t="s">
        <v>18</v>
      </c>
      <c r="AK104" s="1" t="s">
        <v>17</v>
      </c>
      <c r="AL104" s="1" t="s">
        <v>18</v>
      </c>
      <c r="AM104" s="1" t="s">
        <v>17</v>
      </c>
      <c r="AN104" s="1" t="s">
        <v>18</v>
      </c>
      <c r="AO104" s="1" t="s">
        <v>17</v>
      </c>
      <c r="AP104" s="1" t="s">
        <v>18</v>
      </c>
      <c r="AQ104" s="1" t="s">
        <v>17</v>
      </c>
      <c r="AR104" s="1" t="s">
        <v>18</v>
      </c>
      <c r="AU104" s="1" t="s">
        <v>16</v>
      </c>
      <c r="AV104" s="1" t="s">
        <v>17</v>
      </c>
      <c r="AW104" s="1" t="s">
        <v>18</v>
      </c>
      <c r="AX104" s="1" t="s">
        <v>17</v>
      </c>
      <c r="AY104" s="1" t="s">
        <v>18</v>
      </c>
      <c r="AZ104" s="1" t="s">
        <v>17</v>
      </c>
      <c r="BA104" s="1" t="s">
        <v>18</v>
      </c>
      <c r="BB104" s="1" t="s">
        <v>17</v>
      </c>
      <c r="BC104" s="1" t="s">
        <v>18</v>
      </c>
      <c r="BD104" s="1" t="s">
        <v>17</v>
      </c>
      <c r="BE104" s="1" t="s">
        <v>18</v>
      </c>
      <c r="BF104" s="1" t="s">
        <v>17</v>
      </c>
      <c r="BG104" s="1" t="s">
        <v>18</v>
      </c>
      <c r="BH104" s="1" t="s">
        <v>17</v>
      </c>
      <c r="BI104" s="1" t="s">
        <v>18</v>
      </c>
      <c r="BJ104" s="1" t="s">
        <v>17</v>
      </c>
      <c r="BK104" s="1" t="s">
        <v>18</v>
      </c>
      <c r="BL104" s="1" t="s">
        <v>17</v>
      </c>
      <c r="BM104" s="1" t="s">
        <v>18</v>
      </c>
      <c r="BN104" s="1" t="s">
        <v>17</v>
      </c>
      <c r="BO104" s="1" t="s">
        <v>18</v>
      </c>
      <c r="BR104" s="1" t="s">
        <v>16</v>
      </c>
      <c r="BS104" s="1" t="s">
        <v>17</v>
      </c>
      <c r="BT104" s="1" t="s">
        <v>18</v>
      </c>
      <c r="BU104" s="1" t="s">
        <v>17</v>
      </c>
      <c r="BV104" s="1" t="s">
        <v>18</v>
      </c>
      <c r="BW104" s="1" t="s">
        <v>17</v>
      </c>
      <c r="BX104" s="1" t="s">
        <v>18</v>
      </c>
      <c r="BY104" s="1" t="s">
        <v>17</v>
      </c>
      <c r="BZ104" s="1" t="s">
        <v>18</v>
      </c>
      <c r="CA104" s="1" t="s">
        <v>17</v>
      </c>
      <c r="CB104" s="1" t="s">
        <v>18</v>
      </c>
      <c r="CC104" s="1" t="s">
        <v>17</v>
      </c>
      <c r="CD104" s="1" t="s">
        <v>18</v>
      </c>
      <c r="CE104" s="1" t="s">
        <v>17</v>
      </c>
      <c r="CF104" s="1" t="s">
        <v>18</v>
      </c>
      <c r="CG104" s="1" t="s">
        <v>17</v>
      </c>
      <c r="CH104" s="1" t="s">
        <v>18</v>
      </c>
      <c r="CI104" s="1" t="s">
        <v>17</v>
      </c>
      <c r="CJ104" s="1" t="s">
        <v>18</v>
      </c>
      <c r="CK104" s="1" t="s">
        <v>17</v>
      </c>
      <c r="CL104" s="1" t="s">
        <v>18</v>
      </c>
    </row>
    <row r="105" spans="2:90" x14ac:dyDescent="0.3">
      <c r="B105" s="1" t="s">
        <v>19</v>
      </c>
      <c r="C105" s="1" t="s">
        <v>1</v>
      </c>
      <c r="D105" s="1" t="s">
        <v>1</v>
      </c>
      <c r="E105" s="1" t="s">
        <v>2</v>
      </c>
      <c r="F105" s="1" t="s">
        <v>2</v>
      </c>
      <c r="G105" s="1" t="s">
        <v>3</v>
      </c>
      <c r="H105" s="1" t="s">
        <v>3</v>
      </c>
      <c r="I105" s="1" t="s">
        <v>4</v>
      </c>
      <c r="J105" s="1" t="s">
        <v>4</v>
      </c>
      <c r="K105" s="1" t="s">
        <v>5</v>
      </c>
      <c r="L105" s="1" t="s">
        <v>5</v>
      </c>
      <c r="M105" s="1" t="s">
        <v>6</v>
      </c>
      <c r="N105" s="1" t="s">
        <v>6</v>
      </c>
      <c r="O105" s="1" t="s">
        <v>7</v>
      </c>
      <c r="P105" s="1" t="s">
        <v>7</v>
      </c>
      <c r="Q105" s="1" t="s">
        <v>8</v>
      </c>
      <c r="R105" s="1" t="s">
        <v>8</v>
      </c>
      <c r="S105" s="1" t="s">
        <v>9</v>
      </c>
      <c r="T105" s="1" t="s">
        <v>9</v>
      </c>
      <c r="U105" s="1" t="s">
        <v>10</v>
      </c>
      <c r="V105" s="1" t="s">
        <v>10</v>
      </c>
      <c r="X105" s="1" t="s">
        <v>19</v>
      </c>
      <c r="Y105" s="1" t="s">
        <v>1</v>
      </c>
      <c r="Z105" s="1" t="s">
        <v>1</v>
      </c>
      <c r="AA105" s="1" t="s">
        <v>2</v>
      </c>
      <c r="AB105" s="1" t="s">
        <v>2</v>
      </c>
      <c r="AC105" s="1" t="s">
        <v>3</v>
      </c>
      <c r="AD105" s="1" t="s">
        <v>3</v>
      </c>
      <c r="AE105" s="1" t="s">
        <v>4</v>
      </c>
      <c r="AF105" s="1" t="s">
        <v>4</v>
      </c>
      <c r="AG105" s="1" t="s">
        <v>5</v>
      </c>
      <c r="AH105" s="1" t="s">
        <v>5</v>
      </c>
      <c r="AI105" s="1" t="s">
        <v>6</v>
      </c>
      <c r="AJ105" s="1" t="s">
        <v>6</v>
      </c>
      <c r="AK105" s="1" t="s">
        <v>7</v>
      </c>
      <c r="AL105" s="1" t="s">
        <v>7</v>
      </c>
      <c r="AM105" s="1" t="s">
        <v>8</v>
      </c>
      <c r="AN105" s="1" t="s">
        <v>8</v>
      </c>
      <c r="AO105" s="1" t="s">
        <v>9</v>
      </c>
      <c r="AP105" s="1" t="s">
        <v>9</v>
      </c>
      <c r="AQ105" s="1" t="s">
        <v>10</v>
      </c>
      <c r="AR105" s="1" t="s">
        <v>10</v>
      </c>
      <c r="AU105" s="1" t="s">
        <v>19</v>
      </c>
      <c r="AV105" s="1" t="s">
        <v>1</v>
      </c>
      <c r="AW105" s="1" t="s">
        <v>1</v>
      </c>
      <c r="AX105" s="1" t="s">
        <v>2</v>
      </c>
      <c r="AY105" s="1" t="s">
        <v>2</v>
      </c>
      <c r="AZ105" s="1" t="s">
        <v>3</v>
      </c>
      <c r="BA105" s="1" t="s">
        <v>3</v>
      </c>
      <c r="BB105" s="1" t="s">
        <v>4</v>
      </c>
      <c r="BC105" s="1" t="s">
        <v>4</v>
      </c>
      <c r="BD105" s="1" t="s">
        <v>5</v>
      </c>
      <c r="BE105" s="1" t="s">
        <v>5</v>
      </c>
      <c r="BF105" s="1" t="s">
        <v>6</v>
      </c>
      <c r="BG105" s="1" t="s">
        <v>6</v>
      </c>
      <c r="BH105" s="1" t="s">
        <v>7</v>
      </c>
      <c r="BI105" s="1" t="s">
        <v>7</v>
      </c>
      <c r="BJ105" s="1" t="s">
        <v>8</v>
      </c>
      <c r="BK105" s="1" t="s">
        <v>8</v>
      </c>
      <c r="BL105" s="1" t="s">
        <v>9</v>
      </c>
      <c r="BM105" s="1" t="s">
        <v>9</v>
      </c>
      <c r="BN105" s="1" t="s">
        <v>10</v>
      </c>
      <c r="BO105" s="1" t="s">
        <v>10</v>
      </c>
      <c r="BR105" s="1" t="s">
        <v>19</v>
      </c>
      <c r="BS105" s="1" t="s">
        <v>1</v>
      </c>
      <c r="BT105" s="1" t="s">
        <v>1</v>
      </c>
      <c r="BU105" s="1" t="s">
        <v>2</v>
      </c>
      <c r="BV105" s="1" t="s">
        <v>2</v>
      </c>
      <c r="BW105" s="1" t="s">
        <v>3</v>
      </c>
      <c r="BX105" s="1" t="s">
        <v>3</v>
      </c>
      <c r="BY105" s="1" t="s">
        <v>4</v>
      </c>
      <c r="BZ105" s="1" t="s">
        <v>4</v>
      </c>
      <c r="CA105" s="1" t="s">
        <v>5</v>
      </c>
      <c r="CB105" s="1" t="s">
        <v>5</v>
      </c>
      <c r="CC105" s="1" t="s">
        <v>6</v>
      </c>
      <c r="CD105" s="1" t="s">
        <v>6</v>
      </c>
      <c r="CE105" s="1" t="s">
        <v>7</v>
      </c>
      <c r="CF105" s="1" t="s">
        <v>7</v>
      </c>
      <c r="CG105" s="1" t="s">
        <v>8</v>
      </c>
      <c r="CH105" s="1" t="s">
        <v>8</v>
      </c>
      <c r="CI105" s="1" t="s">
        <v>9</v>
      </c>
      <c r="CJ105" s="1" t="s">
        <v>9</v>
      </c>
      <c r="CK105" s="1" t="s">
        <v>10</v>
      </c>
      <c r="CL105" s="1" t="s">
        <v>10</v>
      </c>
    </row>
    <row r="106" spans="2:90" x14ac:dyDescent="0.3">
      <c r="B106" s="1" t="s">
        <v>20</v>
      </c>
      <c r="X106" s="1" t="s">
        <v>20</v>
      </c>
      <c r="AU106" s="1" t="s">
        <v>20</v>
      </c>
      <c r="BR106" s="1" t="s">
        <v>20</v>
      </c>
    </row>
    <row r="107" spans="2:90" x14ac:dyDescent="0.3">
      <c r="B107" s="1" t="s">
        <v>21</v>
      </c>
      <c r="C107" s="2">
        <v>1.2266196993480871E-2</v>
      </c>
      <c r="D107" s="2">
        <v>1.612617939683602E-2</v>
      </c>
      <c r="E107" s="2">
        <v>1.099715366427075E-2</v>
      </c>
      <c r="F107" s="2">
        <v>1.2592184917489769E-2</v>
      </c>
      <c r="G107" s="2">
        <v>1.5552808950091051E-2</v>
      </c>
      <c r="H107" s="2">
        <v>1.3659357135754609E-2</v>
      </c>
      <c r="I107" s="2">
        <v>1.500034093833197E-2</v>
      </c>
      <c r="J107" s="2">
        <v>1.8412378868601351E-2</v>
      </c>
      <c r="K107" s="2">
        <v>1.4596665343947501E-2</v>
      </c>
      <c r="L107" s="2">
        <v>1.337624771844287E-2</v>
      </c>
      <c r="M107" s="2">
        <v>1.348285515645482E-2</v>
      </c>
      <c r="N107" s="2">
        <v>1.324193704988004E-2</v>
      </c>
      <c r="O107" s="2">
        <v>1.334243315475705E-2</v>
      </c>
      <c r="P107" s="2">
        <v>1.3073750057715069E-2</v>
      </c>
      <c r="Q107" s="2">
        <v>1.456531444035746E-2</v>
      </c>
      <c r="R107" s="2">
        <v>1.376472263950169E-2</v>
      </c>
      <c r="S107" s="2">
        <v>1.9075966684882231E-2</v>
      </c>
      <c r="T107" s="2">
        <v>1.6668023770049969E-2</v>
      </c>
      <c r="U107" s="2">
        <v>2.340155238033324E-2</v>
      </c>
      <c r="V107" s="2">
        <v>2.465696094743627E-2</v>
      </c>
      <c r="X107" s="1" t="s">
        <v>21</v>
      </c>
      <c r="Y107" s="2">
        <v>1555.7</v>
      </c>
      <c r="Z107" s="2">
        <v>1511.15</v>
      </c>
      <c r="AA107" s="2">
        <v>1625.54</v>
      </c>
      <c r="AB107" s="2">
        <v>1474.13</v>
      </c>
      <c r="AC107" s="2">
        <v>1173.2</v>
      </c>
      <c r="AD107" s="2">
        <v>1491.59</v>
      </c>
      <c r="AE107" s="2">
        <v>1541.6</v>
      </c>
      <c r="AF107" s="2">
        <v>1258.1300000000001</v>
      </c>
      <c r="AG107" s="2">
        <v>1646.67</v>
      </c>
      <c r="AH107" s="2">
        <v>1257.07</v>
      </c>
      <c r="AI107" s="2">
        <v>1410.42</v>
      </c>
      <c r="AJ107" s="2">
        <v>1274.18</v>
      </c>
      <c r="AK107" s="2">
        <v>1337.29</v>
      </c>
      <c r="AL107" s="2">
        <v>1242.56</v>
      </c>
      <c r="AM107" s="2">
        <v>1403.65</v>
      </c>
      <c r="AN107" s="2">
        <v>1314.73</v>
      </c>
      <c r="AO107" s="2">
        <v>1359.24</v>
      </c>
      <c r="AP107" s="2">
        <v>866.25</v>
      </c>
      <c r="AQ107" s="2">
        <v>1252.31</v>
      </c>
      <c r="AR107" s="2">
        <v>870.31</v>
      </c>
      <c r="AU107" s="1" t="s">
        <v>21</v>
      </c>
      <c r="AV107" s="2">
        <v>14001.31</v>
      </c>
      <c r="AW107" s="2">
        <v>13600.31</v>
      </c>
      <c r="AX107" s="2">
        <v>14629.86</v>
      </c>
      <c r="AY107" s="2">
        <v>13267.17</v>
      </c>
      <c r="AZ107" s="2">
        <v>10558.8</v>
      </c>
      <c r="BA107" s="2">
        <v>13424.36</v>
      </c>
      <c r="BB107" s="2">
        <v>13874.43</v>
      </c>
      <c r="BC107" s="2">
        <v>11323.18</v>
      </c>
      <c r="BD107" s="2">
        <v>14819.99</v>
      </c>
      <c r="BE107" s="2">
        <v>11313.61</v>
      </c>
      <c r="BF107" s="2">
        <v>12693.75</v>
      </c>
      <c r="BG107" s="2">
        <v>11467.65</v>
      </c>
      <c r="BH107" s="2">
        <v>12035.63</v>
      </c>
      <c r="BI107" s="2">
        <v>11183.07</v>
      </c>
      <c r="BJ107" s="2">
        <v>12632.82</v>
      </c>
      <c r="BK107" s="2">
        <v>11832.54</v>
      </c>
      <c r="BL107" s="2">
        <v>12233.19</v>
      </c>
      <c r="BM107" s="2">
        <v>7796.25</v>
      </c>
      <c r="BN107" s="2">
        <v>11270.79</v>
      </c>
      <c r="BO107" s="2">
        <v>7832.79</v>
      </c>
      <c r="BR107" s="1" t="s">
        <v>21</v>
      </c>
      <c r="BS107" s="2">
        <v>3.01</v>
      </c>
      <c r="BT107" s="2">
        <v>3.01</v>
      </c>
      <c r="BU107" s="2">
        <v>3.01</v>
      </c>
      <c r="BV107" s="2">
        <v>3.01</v>
      </c>
      <c r="BW107" s="2">
        <v>1.1599999999999999</v>
      </c>
      <c r="BX107" s="2">
        <v>1.1599999999999999</v>
      </c>
      <c r="BY107" s="2">
        <v>3.71</v>
      </c>
      <c r="BZ107" s="2">
        <v>3.71</v>
      </c>
      <c r="CA107" s="2">
        <v>4.63</v>
      </c>
      <c r="CB107" s="2">
        <v>4.63</v>
      </c>
      <c r="CC107" s="2">
        <v>8.34</v>
      </c>
      <c r="CD107" s="2">
        <v>8.34</v>
      </c>
      <c r="CE107" s="2">
        <v>6.72</v>
      </c>
      <c r="CF107" s="2">
        <v>6.72</v>
      </c>
      <c r="CG107" s="2">
        <v>8.81</v>
      </c>
      <c r="CH107" s="2">
        <v>8.81</v>
      </c>
      <c r="CI107" s="2">
        <v>7.88</v>
      </c>
      <c r="CJ107" s="2">
        <v>7.88</v>
      </c>
      <c r="CK107" s="2">
        <v>10.43</v>
      </c>
      <c r="CL107" s="2">
        <v>10.43</v>
      </c>
    </row>
    <row r="108" spans="2:90" x14ac:dyDescent="0.3">
      <c r="B108" s="1" t="s">
        <v>22</v>
      </c>
      <c r="C108" s="2">
        <v>4.0341230822456622E-2</v>
      </c>
      <c r="D108" s="2">
        <v>1.250066876410553E-2</v>
      </c>
      <c r="E108" s="2">
        <v>4.185807356470405E-2</v>
      </c>
      <c r="F108" s="2">
        <v>1.2564011729150349E-2</v>
      </c>
      <c r="G108" s="2">
        <v>3.4055488756507213E-2</v>
      </c>
      <c r="H108" s="2">
        <v>2.1180345003280171E-2</v>
      </c>
      <c r="I108" s="2">
        <v>5.9617273080654051E-2</v>
      </c>
      <c r="J108" s="2">
        <v>5.0104886638965361E-2</v>
      </c>
      <c r="K108" s="2">
        <v>3.8350236482535348E-2</v>
      </c>
      <c r="L108" s="2">
        <v>2.8588248241721501E-2</v>
      </c>
      <c r="M108" s="2">
        <v>5.1876100072762138E-2</v>
      </c>
      <c r="N108" s="2">
        <v>2.9686699643543299E-2</v>
      </c>
      <c r="O108" s="2">
        <v>3.7023912660915162E-2</v>
      </c>
      <c r="P108" s="2">
        <v>3.5640812198546028E-2</v>
      </c>
      <c r="Q108" s="2">
        <v>3.8444083775741371E-2</v>
      </c>
      <c r="R108" s="2">
        <v>2.8828747581664971E-2</v>
      </c>
      <c r="S108" s="2">
        <v>5.1969289870176918E-2</v>
      </c>
      <c r="T108" s="2">
        <v>2.953565002629301E-2</v>
      </c>
      <c r="U108" s="2">
        <v>8.0240452901621032E-2</v>
      </c>
      <c r="V108" s="2">
        <v>2.3666915776920251E-2</v>
      </c>
      <c r="X108" s="1" t="s">
        <v>22</v>
      </c>
      <c r="Y108" s="2">
        <v>1303.25</v>
      </c>
      <c r="Z108" s="2">
        <v>791.37</v>
      </c>
      <c r="AA108" s="2">
        <v>1510.03</v>
      </c>
      <c r="AB108" s="2">
        <v>977.5</v>
      </c>
      <c r="AC108" s="2">
        <v>1108.96</v>
      </c>
      <c r="AD108" s="2">
        <v>1157</v>
      </c>
      <c r="AE108" s="2">
        <v>1480.13</v>
      </c>
      <c r="AF108" s="2">
        <v>1329.83</v>
      </c>
      <c r="AG108" s="2">
        <v>1783.38</v>
      </c>
      <c r="AH108" s="2">
        <v>1050.75</v>
      </c>
      <c r="AI108" s="2">
        <v>1151.93</v>
      </c>
      <c r="AJ108" s="2">
        <v>1102.79</v>
      </c>
      <c r="AK108" s="2">
        <v>1486.66</v>
      </c>
      <c r="AL108" s="2">
        <v>1410.69</v>
      </c>
      <c r="AM108" s="2">
        <v>1475.77</v>
      </c>
      <c r="AN108" s="2">
        <v>1127.6600000000001</v>
      </c>
      <c r="AO108" s="2">
        <v>1499.13</v>
      </c>
      <c r="AP108" s="2">
        <v>767.44</v>
      </c>
      <c r="AQ108" s="2">
        <v>1142.58</v>
      </c>
      <c r="AR108" s="2">
        <v>737.97</v>
      </c>
      <c r="AU108" s="1" t="s">
        <v>22</v>
      </c>
      <c r="AV108" s="2">
        <v>7093.33</v>
      </c>
      <c r="AW108" s="2">
        <v>4044.89</v>
      </c>
      <c r="AX108" s="2">
        <v>7881.48</v>
      </c>
      <c r="AY108" s="2">
        <v>4685.74</v>
      </c>
      <c r="AZ108" s="2">
        <v>4546.9399999999996</v>
      </c>
      <c r="BA108" s="2">
        <v>5506.59</v>
      </c>
      <c r="BB108" s="2">
        <v>8011.16</v>
      </c>
      <c r="BC108" s="2">
        <v>4194.9799999999996</v>
      </c>
      <c r="BD108" s="2">
        <v>7190.36</v>
      </c>
      <c r="BE108" s="2">
        <v>4469.55</v>
      </c>
      <c r="BF108" s="2">
        <v>6993.4</v>
      </c>
      <c r="BG108" s="2">
        <v>4493.3100000000004</v>
      </c>
      <c r="BH108" s="2">
        <v>5367.08</v>
      </c>
      <c r="BI108" s="2">
        <v>4960.07</v>
      </c>
      <c r="BJ108" s="2">
        <v>5300.68</v>
      </c>
      <c r="BK108" s="2">
        <v>5168.5600000000004</v>
      </c>
      <c r="BL108" s="2">
        <v>5364.93</v>
      </c>
      <c r="BM108" s="2">
        <v>4018.49</v>
      </c>
      <c r="BN108" s="2">
        <v>7044.24</v>
      </c>
      <c r="BO108" s="2">
        <v>3892.42</v>
      </c>
      <c r="BR108" s="1" t="s">
        <v>22</v>
      </c>
      <c r="BS108" s="2">
        <v>16.420000000000002</v>
      </c>
      <c r="BT108" s="2">
        <v>5.99</v>
      </c>
      <c r="BU108" s="2">
        <v>15.1</v>
      </c>
      <c r="BV108" s="2">
        <v>5.42</v>
      </c>
      <c r="BW108" s="2">
        <v>3.86</v>
      </c>
      <c r="BX108" s="2">
        <v>3.02</v>
      </c>
      <c r="BY108" s="2">
        <v>21.58</v>
      </c>
      <c r="BZ108" s="2">
        <v>12.36</v>
      </c>
      <c r="CA108" s="2">
        <v>15.45</v>
      </c>
      <c r="CB108" s="2">
        <v>15.45</v>
      </c>
      <c r="CC108" s="2">
        <v>53.05</v>
      </c>
      <c r="CD108" s="2">
        <v>27.81</v>
      </c>
      <c r="CE108" s="2">
        <v>22.4</v>
      </c>
      <c r="CF108" s="2">
        <v>22.4</v>
      </c>
      <c r="CG108" s="2">
        <v>29.35</v>
      </c>
      <c r="CH108" s="2">
        <v>29.35</v>
      </c>
      <c r="CI108" s="2">
        <v>26.26</v>
      </c>
      <c r="CJ108" s="2">
        <v>24.25</v>
      </c>
      <c r="CK108" s="2">
        <v>55.92</v>
      </c>
      <c r="CL108" s="2">
        <v>19.350000000000001</v>
      </c>
    </row>
    <row r="109" spans="2:90" x14ac:dyDescent="0.3">
      <c r="B109" s="1" t="s">
        <v>23</v>
      </c>
      <c r="C109" s="2">
        <v>0.3437122468606571</v>
      </c>
      <c r="D109" s="2">
        <v>3.767970873554112E-2</v>
      </c>
      <c r="E109" s="2">
        <v>0.35808656132648609</v>
      </c>
      <c r="F109" s="2">
        <v>2.9572436189112469E-2</v>
      </c>
      <c r="G109" s="2">
        <v>0.46607213094631611</v>
      </c>
      <c r="H109" s="2">
        <v>0.26659025734517072</v>
      </c>
      <c r="I109" s="2">
        <v>0.44151130745619682</v>
      </c>
      <c r="J109" s="2">
        <v>0.21324486138862339</v>
      </c>
      <c r="K109" s="2">
        <v>0.39199256696348922</v>
      </c>
      <c r="L109" s="2">
        <v>0.13133193100197471</v>
      </c>
      <c r="M109" s="2">
        <v>0.42824619197236341</v>
      </c>
      <c r="N109" s="2">
        <v>0.13062743690155559</v>
      </c>
      <c r="O109" s="2">
        <v>0.41193344089797712</v>
      </c>
      <c r="P109" s="2">
        <v>0.13632885885158691</v>
      </c>
      <c r="Q109" s="2">
        <v>0.41118987192550349</v>
      </c>
      <c r="R109" s="2">
        <v>0.1298851821470581</v>
      </c>
      <c r="S109" s="2">
        <v>0.2103432069551312</v>
      </c>
      <c r="T109" s="2">
        <v>0.1502338593318715</v>
      </c>
      <c r="U109" s="2">
        <v>0.1671575723294684</v>
      </c>
      <c r="V109" s="2">
        <v>0.16610791500222369</v>
      </c>
      <c r="X109" s="1" t="s">
        <v>23</v>
      </c>
      <c r="Y109" s="2">
        <v>5795.68</v>
      </c>
      <c r="Z109" s="2">
        <v>1930.6</v>
      </c>
      <c r="AA109" s="2">
        <v>6205.01</v>
      </c>
      <c r="AB109" s="2">
        <v>2193.4299999999998</v>
      </c>
      <c r="AC109" s="2">
        <v>4634.57</v>
      </c>
      <c r="AD109" s="2">
        <v>3686.93</v>
      </c>
      <c r="AE109" s="2">
        <v>5861.02</v>
      </c>
      <c r="AF109" s="2">
        <v>5429.2</v>
      </c>
      <c r="AG109" s="2">
        <v>5506.82</v>
      </c>
      <c r="AH109" s="2">
        <v>4506.46</v>
      </c>
      <c r="AI109" s="2">
        <v>5529.99</v>
      </c>
      <c r="AJ109" s="2">
        <v>4492.46</v>
      </c>
      <c r="AK109" s="2">
        <v>5014.42</v>
      </c>
      <c r="AL109" s="2">
        <v>4868.03</v>
      </c>
      <c r="AM109" s="2">
        <v>4822.82</v>
      </c>
      <c r="AN109" s="2">
        <v>4608.92</v>
      </c>
      <c r="AO109" s="2">
        <v>5525.86</v>
      </c>
      <c r="AP109" s="2">
        <v>3224.2</v>
      </c>
      <c r="AQ109" s="2">
        <v>3466.16</v>
      </c>
      <c r="AR109" s="2">
        <v>2738.3</v>
      </c>
      <c r="AU109" s="1" t="s">
        <v>23</v>
      </c>
      <c r="AV109" s="2">
        <v>17173.57</v>
      </c>
      <c r="AW109" s="2">
        <v>9862.42</v>
      </c>
      <c r="AX109" s="2">
        <v>19131.25</v>
      </c>
      <c r="AY109" s="2">
        <v>10469.120000000001</v>
      </c>
      <c r="AZ109" s="2">
        <v>12392.34</v>
      </c>
      <c r="BA109" s="2">
        <v>15215.94</v>
      </c>
      <c r="BB109" s="2">
        <v>18800.27</v>
      </c>
      <c r="BC109" s="2">
        <v>13580.15</v>
      </c>
      <c r="BD109" s="2">
        <v>18606.349999999999</v>
      </c>
      <c r="BE109" s="2">
        <v>12733.14</v>
      </c>
      <c r="BF109" s="2">
        <v>18770.64</v>
      </c>
      <c r="BG109" s="2">
        <v>12524.7</v>
      </c>
      <c r="BH109" s="2">
        <v>16267.82</v>
      </c>
      <c r="BI109" s="2">
        <v>12884.85</v>
      </c>
      <c r="BJ109" s="2">
        <v>15490.28</v>
      </c>
      <c r="BK109" s="2">
        <v>13235.33</v>
      </c>
      <c r="BL109" s="2">
        <v>14510.8</v>
      </c>
      <c r="BM109" s="2">
        <v>10849.22</v>
      </c>
      <c r="BN109" s="2">
        <v>11829.05</v>
      </c>
      <c r="BO109" s="2">
        <v>10582.55</v>
      </c>
      <c r="BR109" s="1" t="s">
        <v>23</v>
      </c>
      <c r="BS109" s="2">
        <v>30.13</v>
      </c>
      <c r="BT109" s="2">
        <v>7.23</v>
      </c>
      <c r="BU109" s="2">
        <v>30.13</v>
      </c>
      <c r="BV109" s="2">
        <v>5.61</v>
      </c>
      <c r="BW109" s="2">
        <v>11.59</v>
      </c>
      <c r="BX109" s="2">
        <v>11.17</v>
      </c>
      <c r="BY109" s="2">
        <v>37.08</v>
      </c>
      <c r="BZ109" s="2">
        <v>12.36</v>
      </c>
      <c r="CA109" s="2">
        <v>46.35</v>
      </c>
      <c r="CB109" s="2">
        <v>15.45</v>
      </c>
      <c r="CC109" s="2">
        <v>83.43</v>
      </c>
      <c r="CD109" s="2">
        <v>27.81</v>
      </c>
      <c r="CE109" s="2">
        <v>67.209999999999994</v>
      </c>
      <c r="CF109" s="2">
        <v>22.4</v>
      </c>
      <c r="CG109" s="2">
        <v>88.06</v>
      </c>
      <c r="CH109" s="2">
        <v>29.35</v>
      </c>
      <c r="CI109" s="2">
        <v>26.26</v>
      </c>
      <c r="CJ109" s="2">
        <v>26.26</v>
      </c>
      <c r="CK109" s="2">
        <v>34.76</v>
      </c>
      <c r="CL109" s="2">
        <v>34.76</v>
      </c>
    </row>
    <row r="110" spans="2:90" x14ac:dyDescent="0.3">
      <c r="B110" s="1" t="s">
        <v>24</v>
      </c>
      <c r="C110" s="2">
        <v>5.6182559239820018E-2</v>
      </c>
      <c r="D110" s="2">
        <v>1.9311939947744061E-2</v>
      </c>
      <c r="E110" s="2">
        <v>3.8407859955033187E-2</v>
      </c>
      <c r="F110" s="2">
        <v>1.0928859562253861E-2</v>
      </c>
      <c r="G110" s="2">
        <v>5.3597579724992489E-2</v>
      </c>
      <c r="H110" s="2">
        <v>7.1470445192357887E-2</v>
      </c>
      <c r="I110" s="2">
        <v>4.743547182132242E-2</v>
      </c>
      <c r="J110" s="2">
        <v>6.7570787522570522E-2</v>
      </c>
      <c r="K110" s="2">
        <v>4.2143812795760183E-2</v>
      </c>
      <c r="L110" s="2">
        <v>4.3207864130288071E-2</v>
      </c>
      <c r="M110" s="2">
        <v>4.6151123199109738E-2</v>
      </c>
      <c r="N110" s="2">
        <v>4.0021003492828687E-2</v>
      </c>
      <c r="O110" s="2">
        <v>6.9223617053867675E-2</v>
      </c>
      <c r="P110" s="2">
        <v>4.1628425243956192E-2</v>
      </c>
      <c r="Q110" s="2">
        <v>4.9054435001803343E-2</v>
      </c>
      <c r="R110" s="2">
        <v>4.9917809761771001E-2</v>
      </c>
      <c r="S110" s="2">
        <v>6.3807696519728285E-2</v>
      </c>
      <c r="T110" s="2">
        <v>4.5873701443529973E-2</v>
      </c>
      <c r="U110" s="2">
        <v>5.2405974725443921E-2</v>
      </c>
      <c r="V110" s="2">
        <v>5.5874720832229288E-2</v>
      </c>
      <c r="X110" s="1" t="s">
        <v>24</v>
      </c>
      <c r="Y110" s="2">
        <v>1359.79</v>
      </c>
      <c r="Z110" s="2">
        <v>703.56</v>
      </c>
      <c r="AA110" s="2">
        <v>1970.08</v>
      </c>
      <c r="AB110" s="2">
        <v>861.55</v>
      </c>
      <c r="AC110" s="2">
        <v>1564.62</v>
      </c>
      <c r="AD110" s="2">
        <v>1479.17</v>
      </c>
      <c r="AE110" s="2">
        <v>1776.04</v>
      </c>
      <c r="AF110" s="2">
        <v>1757.39</v>
      </c>
      <c r="AG110" s="2">
        <v>1692.94</v>
      </c>
      <c r="AH110" s="2">
        <v>1494.32</v>
      </c>
      <c r="AI110" s="2">
        <v>1685.46</v>
      </c>
      <c r="AJ110" s="2">
        <v>1383.51</v>
      </c>
      <c r="AK110" s="2">
        <v>1219.95</v>
      </c>
      <c r="AL110" s="2">
        <v>1498.31</v>
      </c>
      <c r="AM110" s="2">
        <v>1632.41</v>
      </c>
      <c r="AN110" s="2">
        <v>856.99</v>
      </c>
      <c r="AO110" s="2">
        <v>846.85</v>
      </c>
      <c r="AP110" s="2">
        <v>1013.34</v>
      </c>
      <c r="AQ110" s="2">
        <v>1046.56</v>
      </c>
      <c r="AR110" s="2">
        <v>908.73</v>
      </c>
      <c r="AU110" s="1" t="s">
        <v>24</v>
      </c>
      <c r="AV110" s="2">
        <v>4734.78</v>
      </c>
      <c r="AW110" s="2">
        <v>3443.82</v>
      </c>
      <c r="AX110" s="2">
        <v>5104.12</v>
      </c>
      <c r="AY110" s="2">
        <v>4105.33</v>
      </c>
      <c r="AZ110" s="2">
        <v>3444.35</v>
      </c>
      <c r="BA110" s="2">
        <v>5211.2299999999996</v>
      </c>
      <c r="BB110" s="2">
        <v>4700.32</v>
      </c>
      <c r="BC110" s="2">
        <v>4494.7700000000004</v>
      </c>
      <c r="BD110" s="2">
        <v>4702.6400000000003</v>
      </c>
      <c r="BE110" s="2">
        <v>4344.58</v>
      </c>
      <c r="BF110" s="2">
        <v>4691.05</v>
      </c>
      <c r="BG110" s="2">
        <v>4157.04</v>
      </c>
      <c r="BH110" s="2">
        <v>4947.8900000000003</v>
      </c>
      <c r="BI110" s="2">
        <v>4267.42</v>
      </c>
      <c r="BJ110" s="2">
        <v>4493.5200000000004</v>
      </c>
      <c r="BK110" s="2">
        <v>4569.0600000000004</v>
      </c>
      <c r="BL110" s="2">
        <v>4619.13</v>
      </c>
      <c r="BM110" s="2">
        <v>3759.44</v>
      </c>
      <c r="BN110" s="2">
        <v>3874.05</v>
      </c>
      <c r="BO110" s="2">
        <v>3708.31</v>
      </c>
      <c r="BR110" s="1" t="s">
        <v>24</v>
      </c>
      <c r="BS110" s="2">
        <v>20.079999999999998</v>
      </c>
      <c r="BT110" s="2">
        <v>10.039999999999999</v>
      </c>
      <c r="BU110" s="2">
        <v>10.039999999999999</v>
      </c>
      <c r="BV110" s="2">
        <v>5.14</v>
      </c>
      <c r="BW110" s="2">
        <v>3.86</v>
      </c>
      <c r="BX110" s="2">
        <v>7.72</v>
      </c>
      <c r="BY110" s="2">
        <v>12.36</v>
      </c>
      <c r="BZ110" s="2">
        <v>12.36</v>
      </c>
      <c r="CA110" s="2">
        <v>15.45</v>
      </c>
      <c r="CB110" s="2">
        <v>15.45</v>
      </c>
      <c r="CC110" s="2">
        <v>27.81</v>
      </c>
      <c r="CD110" s="2">
        <v>27.81</v>
      </c>
      <c r="CE110" s="2">
        <v>44.8</v>
      </c>
      <c r="CF110" s="2">
        <v>22.4</v>
      </c>
      <c r="CG110" s="2">
        <v>29.35</v>
      </c>
      <c r="CH110" s="2">
        <v>58.71</v>
      </c>
      <c r="CI110" s="2">
        <v>49.48</v>
      </c>
      <c r="CJ110" s="2">
        <v>26.26</v>
      </c>
      <c r="CK110" s="2">
        <v>34.76</v>
      </c>
      <c r="CL110" s="2">
        <v>34.76</v>
      </c>
    </row>
    <row r="111" spans="2:90" x14ac:dyDescent="0.3">
      <c r="B111" s="1" t="s">
        <v>25</v>
      </c>
      <c r="C111" s="2">
        <v>0.1221462381693512</v>
      </c>
      <c r="D111" s="2">
        <v>0.28436211518456578</v>
      </c>
      <c r="E111" s="2">
        <v>0.22800781687764021</v>
      </c>
      <c r="F111" s="2">
        <v>0.34106326473982151</v>
      </c>
      <c r="G111" s="2">
        <v>0.20006809148725779</v>
      </c>
      <c r="H111" s="2">
        <v>0.15861422835034539</v>
      </c>
      <c r="I111" s="2">
        <v>0.2249726627184182</v>
      </c>
      <c r="J111" s="2">
        <v>0.26326892070361962</v>
      </c>
      <c r="K111" s="2">
        <v>0.17924044101442091</v>
      </c>
      <c r="L111" s="2">
        <v>0.19755084835509851</v>
      </c>
      <c r="M111" s="2">
        <v>0.19608826639573601</v>
      </c>
      <c r="N111" s="2">
        <v>0.20625471380294361</v>
      </c>
      <c r="O111" s="2">
        <v>0.2003842508743735</v>
      </c>
      <c r="P111" s="2">
        <v>0.20437866089305609</v>
      </c>
      <c r="Q111" s="2">
        <v>0.2079763151423373</v>
      </c>
      <c r="R111" s="2">
        <v>0.19257522408079919</v>
      </c>
      <c r="S111" s="2">
        <v>0.30325805613750378</v>
      </c>
      <c r="T111" s="2">
        <v>0.2171590348240095</v>
      </c>
      <c r="U111" s="2">
        <v>0.26572939589498651</v>
      </c>
      <c r="V111" s="2">
        <v>0.26577039138199882</v>
      </c>
      <c r="X111" s="1" t="s">
        <v>25</v>
      </c>
      <c r="Y111" s="2">
        <v>6099.67</v>
      </c>
      <c r="Z111" s="2">
        <v>5477.5</v>
      </c>
      <c r="AA111" s="2">
        <v>5944.57</v>
      </c>
      <c r="AB111" s="2">
        <v>7435.51</v>
      </c>
      <c r="AC111" s="2">
        <v>6144.22</v>
      </c>
      <c r="AD111" s="2">
        <v>6803.26</v>
      </c>
      <c r="AE111" s="2">
        <v>5905.84</v>
      </c>
      <c r="AF111" s="2">
        <v>7162.8</v>
      </c>
      <c r="AG111" s="2">
        <v>7485.49</v>
      </c>
      <c r="AH111" s="2">
        <v>7442.94</v>
      </c>
      <c r="AI111" s="2">
        <v>7506.3</v>
      </c>
      <c r="AJ111" s="2">
        <v>7949.29</v>
      </c>
      <c r="AK111" s="2">
        <v>7404.49</v>
      </c>
      <c r="AL111" s="2">
        <v>8037.13</v>
      </c>
      <c r="AM111" s="2">
        <v>7322.29</v>
      </c>
      <c r="AN111" s="2">
        <v>7105.69</v>
      </c>
      <c r="AO111" s="2">
        <v>4327.3500000000004</v>
      </c>
      <c r="AP111" s="2">
        <v>5314.72</v>
      </c>
      <c r="AQ111" s="2">
        <v>5621.91</v>
      </c>
      <c r="AR111" s="2">
        <v>4854.32</v>
      </c>
      <c r="AU111" s="1" t="s">
        <v>25</v>
      </c>
      <c r="AV111" s="2">
        <v>15118.55</v>
      </c>
      <c r="AW111" s="2">
        <v>23258.02</v>
      </c>
      <c r="AX111" s="2">
        <v>26351.37</v>
      </c>
      <c r="AY111" s="2">
        <v>39096.44</v>
      </c>
      <c r="AZ111" s="2">
        <v>14969.29</v>
      </c>
      <c r="BA111" s="2">
        <v>17418.93</v>
      </c>
      <c r="BB111" s="2">
        <v>29532.959999999999</v>
      </c>
      <c r="BC111" s="2">
        <v>20408.009999999998</v>
      </c>
      <c r="BD111" s="2">
        <v>24212.46</v>
      </c>
      <c r="BE111" s="2">
        <v>23706.61</v>
      </c>
      <c r="BF111" s="2">
        <v>24237.4</v>
      </c>
      <c r="BG111" s="2">
        <v>26229.46</v>
      </c>
      <c r="BH111" s="2">
        <v>23674.15</v>
      </c>
      <c r="BI111" s="2">
        <v>26603.64</v>
      </c>
      <c r="BJ111" s="2">
        <v>23216.26</v>
      </c>
      <c r="BK111" s="2">
        <v>23524.05</v>
      </c>
      <c r="BL111" s="2">
        <v>23319.15</v>
      </c>
      <c r="BM111" s="2">
        <v>23142.06</v>
      </c>
      <c r="BN111" s="2">
        <v>21607.94</v>
      </c>
      <c r="BO111" s="2">
        <v>26615.86</v>
      </c>
      <c r="BR111" s="1" t="s">
        <v>25</v>
      </c>
      <c r="BS111" s="2">
        <v>10.039999999999999</v>
      </c>
      <c r="BT111" s="2">
        <v>20.079999999999998</v>
      </c>
      <c r="BU111" s="2">
        <v>20.079999999999998</v>
      </c>
      <c r="BV111" s="2">
        <v>19.579999999999998</v>
      </c>
      <c r="BW111" s="2">
        <v>3.86</v>
      </c>
      <c r="BX111" s="2">
        <v>3.86</v>
      </c>
      <c r="BY111" s="2">
        <v>18.440000000000001</v>
      </c>
      <c r="BZ111" s="2">
        <v>12.36</v>
      </c>
      <c r="CA111" s="2">
        <v>15.45</v>
      </c>
      <c r="CB111" s="2">
        <v>15.45</v>
      </c>
      <c r="CC111" s="2">
        <v>27.81</v>
      </c>
      <c r="CD111" s="2">
        <v>27.81</v>
      </c>
      <c r="CE111" s="2">
        <v>22.4</v>
      </c>
      <c r="CF111" s="2">
        <v>22.4</v>
      </c>
      <c r="CG111" s="2">
        <v>29.35</v>
      </c>
      <c r="CH111" s="2">
        <v>29.35</v>
      </c>
      <c r="CI111" s="2">
        <v>47.33</v>
      </c>
      <c r="CJ111" s="2">
        <v>26.26</v>
      </c>
      <c r="CK111" s="2">
        <v>34.76</v>
      </c>
      <c r="CL111" s="2">
        <v>33.479999999999997</v>
      </c>
    </row>
    <row r="112" spans="2:90" x14ac:dyDescent="0.3">
      <c r="B112" s="1" t="s">
        <v>26</v>
      </c>
      <c r="C112" s="2">
        <v>3.3384908112028093E-2</v>
      </c>
      <c r="D112" s="2">
        <v>6.7595407331126983E-2</v>
      </c>
      <c r="E112" s="2">
        <v>6.8066001524501304E-2</v>
      </c>
      <c r="F112" s="2">
        <v>8.2296405193438157E-2</v>
      </c>
      <c r="G112" s="2">
        <v>4.9217455887228548E-2</v>
      </c>
      <c r="H112" s="2">
        <v>3.9368902529375187E-2</v>
      </c>
      <c r="I112" s="2">
        <v>4.5636611501019567E-2</v>
      </c>
      <c r="J112" s="2">
        <v>5.0913801365354533E-2</v>
      </c>
      <c r="K112" s="2">
        <v>3.6856507035814418E-2</v>
      </c>
      <c r="L112" s="2">
        <v>4.8764917074872453E-2</v>
      </c>
      <c r="M112" s="2">
        <v>4.8007437309260187E-2</v>
      </c>
      <c r="N112" s="2">
        <v>4.8999994401132112E-2</v>
      </c>
      <c r="O112" s="2">
        <v>4.9431991192534053E-2</v>
      </c>
      <c r="P112" s="2">
        <v>4.8045648771064882E-2</v>
      </c>
      <c r="Q112" s="2">
        <v>5.0781240340007687E-2</v>
      </c>
      <c r="R112" s="2">
        <v>5.0006496181087011E-2</v>
      </c>
      <c r="S112" s="2">
        <v>6.0014151966021292E-2</v>
      </c>
      <c r="T112" s="2">
        <v>7.7530547876416445E-2</v>
      </c>
      <c r="U112" s="2">
        <v>6.4149486716029214E-2</v>
      </c>
      <c r="V112" s="2">
        <v>7.4016020723792222E-2</v>
      </c>
      <c r="X112" s="1" t="s">
        <v>26</v>
      </c>
      <c r="Y112" s="2">
        <v>1759.57</v>
      </c>
      <c r="Z112" s="2">
        <v>1400.72</v>
      </c>
      <c r="AA112" s="2">
        <v>1770.21</v>
      </c>
      <c r="AB112" s="2">
        <v>1826.6</v>
      </c>
      <c r="AC112" s="2">
        <v>1581.45</v>
      </c>
      <c r="AD112" s="2">
        <v>1813.17</v>
      </c>
      <c r="AE112" s="2">
        <v>1924.86</v>
      </c>
      <c r="AF112" s="2">
        <v>1516.19</v>
      </c>
      <c r="AG112" s="2">
        <v>1676.07</v>
      </c>
      <c r="AH112" s="2">
        <v>1986.72</v>
      </c>
      <c r="AI112" s="2">
        <v>1957.34</v>
      </c>
      <c r="AJ112" s="2">
        <v>2047.32</v>
      </c>
      <c r="AK112" s="2">
        <v>1974.7</v>
      </c>
      <c r="AL112" s="2">
        <v>2074.37</v>
      </c>
      <c r="AM112" s="2">
        <v>1940.77</v>
      </c>
      <c r="AN112" s="2">
        <v>2019</v>
      </c>
      <c r="AO112" s="2">
        <v>1665.53</v>
      </c>
      <c r="AP112" s="2">
        <v>2089.5</v>
      </c>
      <c r="AQ112" s="2">
        <v>1458.31</v>
      </c>
      <c r="AR112" s="2">
        <v>1128.76</v>
      </c>
      <c r="AU112" s="1" t="s">
        <v>26</v>
      </c>
      <c r="AV112" s="2">
        <v>3716.44</v>
      </c>
      <c r="AW112" s="2">
        <v>4437.03</v>
      </c>
      <c r="AX112" s="2">
        <v>6512.3</v>
      </c>
      <c r="AY112" s="2">
        <v>6759.51</v>
      </c>
      <c r="AZ112" s="2">
        <v>3146.75</v>
      </c>
      <c r="BA112" s="2">
        <v>3879.9</v>
      </c>
      <c r="BB112" s="2">
        <v>5365.27</v>
      </c>
      <c r="BC112" s="2">
        <v>3189.55</v>
      </c>
      <c r="BD112" s="2">
        <v>5271.34</v>
      </c>
      <c r="BE112" s="2">
        <v>5340.03</v>
      </c>
      <c r="BF112" s="2">
        <v>5374.97</v>
      </c>
      <c r="BG112" s="2">
        <v>5715.85</v>
      </c>
      <c r="BH112" s="2">
        <v>5383.87</v>
      </c>
      <c r="BI112" s="2">
        <v>5814.29</v>
      </c>
      <c r="BJ112" s="2">
        <v>5298.87</v>
      </c>
      <c r="BK112" s="2">
        <v>5589.43</v>
      </c>
      <c r="BL112" s="2">
        <v>4927.47</v>
      </c>
      <c r="BM112" s="2">
        <v>5865.19</v>
      </c>
      <c r="BN112" s="2">
        <v>4695.32</v>
      </c>
      <c r="BO112" s="2">
        <v>5194.97</v>
      </c>
      <c r="BR112" s="1" t="s">
        <v>26</v>
      </c>
      <c r="BS112" s="2">
        <v>10.039999999999999</v>
      </c>
      <c r="BT112" s="2">
        <v>20.079999999999998</v>
      </c>
      <c r="BU112" s="2">
        <v>20.98</v>
      </c>
      <c r="BV112" s="2">
        <v>20.32</v>
      </c>
      <c r="BW112" s="2">
        <v>3.86</v>
      </c>
      <c r="BX112" s="2">
        <v>3.86</v>
      </c>
      <c r="BY112" s="2">
        <v>12.36</v>
      </c>
      <c r="BZ112" s="2">
        <v>12.36</v>
      </c>
      <c r="CA112" s="2">
        <v>15.45</v>
      </c>
      <c r="CB112" s="2">
        <v>15.45</v>
      </c>
      <c r="CC112" s="2">
        <v>27.81</v>
      </c>
      <c r="CD112" s="2">
        <v>27.81</v>
      </c>
      <c r="CE112" s="2">
        <v>22.4</v>
      </c>
      <c r="CF112" s="2">
        <v>22.4</v>
      </c>
      <c r="CG112" s="2">
        <v>29.35</v>
      </c>
      <c r="CH112" s="2">
        <v>29.35</v>
      </c>
      <c r="CI112" s="2">
        <v>26.26</v>
      </c>
      <c r="CJ112" s="2">
        <v>26.26</v>
      </c>
      <c r="CK112" s="2">
        <v>34.76</v>
      </c>
      <c r="CL112" s="2">
        <v>43.6</v>
      </c>
    </row>
    <row r="113" spans="2:90" x14ac:dyDescent="0.3">
      <c r="B113" s="1" t="s">
        <v>27</v>
      </c>
      <c r="C113" s="2">
        <v>0.33426700168884133</v>
      </c>
      <c r="D113" s="2">
        <v>0.46088645467569078</v>
      </c>
      <c r="E113" s="2">
        <v>0.2383847526139426</v>
      </c>
      <c r="F113" s="2">
        <v>0.48842331088971852</v>
      </c>
      <c r="G113" s="2">
        <v>0.16350333604745501</v>
      </c>
      <c r="H113" s="2">
        <v>0.4036876247737694</v>
      </c>
      <c r="I113" s="2">
        <v>0.15131495186299149</v>
      </c>
      <c r="J113" s="2">
        <v>0.2277498735023869</v>
      </c>
      <c r="K113" s="2">
        <v>0.23830285648974761</v>
      </c>
      <c r="L113" s="2">
        <v>0.46146542934804052</v>
      </c>
      <c r="M113" s="2">
        <v>0.15172019595186259</v>
      </c>
      <c r="N113" s="2">
        <v>0.4547125784757578</v>
      </c>
      <c r="O113" s="2">
        <v>0.15523621605492741</v>
      </c>
      <c r="P113" s="2">
        <v>0.44562938876725822</v>
      </c>
      <c r="Q113" s="2">
        <v>0.16130043470291569</v>
      </c>
      <c r="R113" s="2">
        <v>0.46350998819232619</v>
      </c>
      <c r="S113" s="2">
        <v>0.20236556858426799</v>
      </c>
      <c r="T113" s="2">
        <v>0.36791421999089108</v>
      </c>
      <c r="U113" s="2">
        <v>0.22826712970032639</v>
      </c>
      <c r="V113" s="2">
        <v>0.27375366268547668</v>
      </c>
      <c r="X113" s="1" t="s">
        <v>27</v>
      </c>
      <c r="Y113" s="2">
        <v>6138.08</v>
      </c>
      <c r="Z113" s="2">
        <v>6337.07</v>
      </c>
      <c r="AA113" s="2">
        <v>5182.83</v>
      </c>
      <c r="AB113" s="2">
        <v>7370.86</v>
      </c>
      <c r="AC113" s="2">
        <v>5392.31</v>
      </c>
      <c r="AD113" s="2">
        <v>6226.91</v>
      </c>
      <c r="AE113" s="2">
        <v>6519.24</v>
      </c>
      <c r="AF113" s="2">
        <v>6210.85</v>
      </c>
      <c r="AG113" s="2">
        <v>4649.07</v>
      </c>
      <c r="AH113" s="2">
        <v>6379.81</v>
      </c>
      <c r="AI113" s="2">
        <v>6384.14</v>
      </c>
      <c r="AJ113" s="2">
        <v>6413.83</v>
      </c>
      <c r="AK113" s="2">
        <v>6415.56</v>
      </c>
      <c r="AL113" s="2">
        <v>6445.08</v>
      </c>
      <c r="AM113" s="2">
        <v>6336.59</v>
      </c>
      <c r="AN113" s="2">
        <v>6300.93</v>
      </c>
      <c r="AO113" s="2">
        <v>5783.83</v>
      </c>
      <c r="AP113" s="2">
        <v>4811.3999999999996</v>
      </c>
      <c r="AQ113" s="2">
        <v>5352.91</v>
      </c>
      <c r="AR113" s="2">
        <v>5260.5</v>
      </c>
      <c r="AU113" s="1" t="s">
        <v>27</v>
      </c>
      <c r="AV113" s="2">
        <v>16269.02</v>
      </c>
      <c r="AW113" s="2">
        <v>16920.61</v>
      </c>
      <c r="AX113" s="2">
        <v>19321.86</v>
      </c>
      <c r="AY113" s="2">
        <v>22187.61</v>
      </c>
      <c r="AZ113" s="2">
        <v>10245.4</v>
      </c>
      <c r="BA113" s="2">
        <v>16294.47</v>
      </c>
      <c r="BB113" s="2">
        <v>15718.81</v>
      </c>
      <c r="BC113" s="2">
        <v>11800.62</v>
      </c>
      <c r="BD113" s="2">
        <v>17972.48</v>
      </c>
      <c r="BE113" s="2">
        <v>19935.38</v>
      </c>
      <c r="BF113" s="2">
        <v>16211.72</v>
      </c>
      <c r="BG113" s="2">
        <v>20299.98</v>
      </c>
      <c r="BH113" s="2">
        <v>16181.24</v>
      </c>
      <c r="BI113" s="2">
        <v>20264.82</v>
      </c>
      <c r="BJ113" s="2">
        <v>15816.75</v>
      </c>
      <c r="BK113" s="2">
        <v>19710.990000000002</v>
      </c>
      <c r="BL113" s="2">
        <v>14824.62</v>
      </c>
      <c r="BM113" s="2">
        <v>17311.61</v>
      </c>
      <c r="BN113" s="2">
        <v>14374.13</v>
      </c>
      <c r="BO113" s="2">
        <v>14626.63</v>
      </c>
      <c r="BR113" s="1" t="s">
        <v>27</v>
      </c>
      <c r="BS113" s="2">
        <v>30.13</v>
      </c>
      <c r="BT113" s="2">
        <v>30.13</v>
      </c>
      <c r="BU113" s="2">
        <v>25.5</v>
      </c>
      <c r="BV113" s="2">
        <v>30.13</v>
      </c>
      <c r="BW113" s="2">
        <v>3.86</v>
      </c>
      <c r="BX113" s="2">
        <v>11.59</v>
      </c>
      <c r="BY113" s="2">
        <v>12.36</v>
      </c>
      <c r="BZ113" s="2">
        <v>12.36</v>
      </c>
      <c r="CA113" s="2">
        <v>36.700000000000003</v>
      </c>
      <c r="CB113" s="2">
        <v>46.35</v>
      </c>
      <c r="CC113" s="2">
        <v>27.81</v>
      </c>
      <c r="CD113" s="2">
        <v>83.43</v>
      </c>
      <c r="CE113" s="2">
        <v>22.4</v>
      </c>
      <c r="CF113" s="2">
        <v>67.209999999999994</v>
      </c>
      <c r="CG113" s="2">
        <v>29.35</v>
      </c>
      <c r="CH113" s="2">
        <v>88.06</v>
      </c>
      <c r="CI113" s="2">
        <v>26.26</v>
      </c>
      <c r="CJ113" s="2">
        <v>53.79</v>
      </c>
      <c r="CK113" s="2">
        <v>34.76</v>
      </c>
      <c r="CL113" s="2">
        <v>34.76</v>
      </c>
    </row>
    <row r="114" spans="2:90" x14ac:dyDescent="0.3">
      <c r="B114" s="1" t="s">
        <v>28</v>
      </c>
      <c r="C114" s="2">
        <v>5.7699618113364763E-2</v>
      </c>
      <c r="D114" s="2">
        <v>0.1015375259643896</v>
      </c>
      <c r="E114" s="2">
        <v>1.6191780473421961E-2</v>
      </c>
      <c r="F114" s="2">
        <v>2.2559526779015349E-2</v>
      </c>
      <c r="G114" s="2">
        <v>1.7933108200151648E-2</v>
      </c>
      <c r="H114" s="2">
        <v>2.5428839669946631E-2</v>
      </c>
      <c r="I114" s="2">
        <v>1.451138062106521E-2</v>
      </c>
      <c r="J114" s="2">
        <v>0.1087344900098782</v>
      </c>
      <c r="K114" s="2">
        <v>5.8516913874284843E-2</v>
      </c>
      <c r="L114" s="2">
        <v>7.5714514129561289E-2</v>
      </c>
      <c r="M114" s="2">
        <v>6.4427829942450929E-2</v>
      </c>
      <c r="N114" s="2">
        <v>7.6455636232358848E-2</v>
      </c>
      <c r="O114" s="2">
        <v>6.3424138110648148E-2</v>
      </c>
      <c r="P114" s="2">
        <v>7.5274455216816541E-2</v>
      </c>
      <c r="Q114" s="2">
        <v>6.6688304671333784E-2</v>
      </c>
      <c r="R114" s="2">
        <v>7.1511829415791761E-2</v>
      </c>
      <c r="S114" s="2">
        <v>8.9166063282288224E-2</v>
      </c>
      <c r="T114" s="2">
        <v>9.5084962736938533E-2</v>
      </c>
      <c r="U114" s="2">
        <v>0.1186484353517912</v>
      </c>
      <c r="V114" s="2">
        <v>0.1161534126499227</v>
      </c>
      <c r="X114" s="1" t="s">
        <v>28</v>
      </c>
      <c r="Y114" s="2">
        <v>3163.66</v>
      </c>
      <c r="Z114" s="2">
        <v>4329.5200000000004</v>
      </c>
      <c r="AA114" s="2">
        <v>3141.39</v>
      </c>
      <c r="AB114" s="2">
        <v>3324.04</v>
      </c>
      <c r="AC114" s="2">
        <v>1961.4</v>
      </c>
      <c r="AD114" s="2">
        <v>3349.97</v>
      </c>
      <c r="AE114" s="2">
        <v>2144.59</v>
      </c>
      <c r="AF114" s="2">
        <v>3410.37</v>
      </c>
      <c r="AG114" s="2">
        <v>2705.77</v>
      </c>
      <c r="AH114" s="2">
        <v>3272.7</v>
      </c>
      <c r="AI114" s="2">
        <v>2727.58</v>
      </c>
      <c r="AJ114" s="2">
        <v>3346.95</v>
      </c>
      <c r="AK114" s="2">
        <v>2606.7399999999998</v>
      </c>
      <c r="AL114" s="2">
        <v>3311.51</v>
      </c>
      <c r="AM114" s="2">
        <v>2654.42</v>
      </c>
      <c r="AN114" s="2">
        <v>2964.86</v>
      </c>
      <c r="AO114" s="2">
        <v>2575.46</v>
      </c>
      <c r="AP114" s="2">
        <v>2533.5</v>
      </c>
      <c r="AQ114" s="2">
        <v>2794.85</v>
      </c>
      <c r="AR114" s="2">
        <v>2235.19</v>
      </c>
      <c r="AU114" s="1" t="s">
        <v>28</v>
      </c>
      <c r="AV114" s="2">
        <v>10536.14</v>
      </c>
      <c r="AW114" s="2">
        <v>12174.07</v>
      </c>
      <c r="AX114" s="2">
        <v>11583.71</v>
      </c>
      <c r="AY114" s="2">
        <v>12299.37</v>
      </c>
      <c r="AZ114" s="2">
        <v>7090.49</v>
      </c>
      <c r="BA114" s="2">
        <v>12196.78</v>
      </c>
      <c r="BB114" s="2">
        <v>7821.29</v>
      </c>
      <c r="BC114" s="2">
        <v>9039.48</v>
      </c>
      <c r="BD114" s="2">
        <v>8494.1299999999992</v>
      </c>
      <c r="BE114" s="2">
        <v>9482.2199999999993</v>
      </c>
      <c r="BF114" s="2">
        <v>7077.88</v>
      </c>
      <c r="BG114" s="2">
        <v>9819.09</v>
      </c>
      <c r="BH114" s="2">
        <v>6618.13</v>
      </c>
      <c r="BI114" s="2">
        <v>9550.73</v>
      </c>
      <c r="BJ114" s="2">
        <v>6771.57</v>
      </c>
      <c r="BK114" s="2">
        <v>8006</v>
      </c>
      <c r="BL114" s="2">
        <v>6552.37</v>
      </c>
      <c r="BM114" s="2">
        <v>7482.6</v>
      </c>
      <c r="BN114" s="2">
        <v>7445.95</v>
      </c>
      <c r="BO114" s="2">
        <v>8302.91</v>
      </c>
      <c r="BR114" s="1" t="s">
        <v>28</v>
      </c>
      <c r="BS114" s="2">
        <v>10.039999999999999</v>
      </c>
      <c r="BT114" s="2">
        <v>10.039999999999999</v>
      </c>
      <c r="BU114" s="2">
        <v>2.92</v>
      </c>
      <c r="BV114" s="2">
        <v>3.13</v>
      </c>
      <c r="BW114" s="2">
        <v>1.18</v>
      </c>
      <c r="BX114" s="2">
        <v>1.41</v>
      </c>
      <c r="BY114" s="2">
        <v>3.6</v>
      </c>
      <c r="BZ114" s="2">
        <v>12.36</v>
      </c>
      <c r="CA114" s="2">
        <v>15.45</v>
      </c>
      <c r="CB114" s="2">
        <v>15.45</v>
      </c>
      <c r="CC114" s="2">
        <v>27.81</v>
      </c>
      <c r="CD114" s="2">
        <v>27.81</v>
      </c>
      <c r="CE114" s="2">
        <v>22.4</v>
      </c>
      <c r="CF114" s="2">
        <v>22.4</v>
      </c>
      <c r="CG114" s="2">
        <v>29.35</v>
      </c>
      <c r="CH114" s="2">
        <v>29.35</v>
      </c>
      <c r="CI114" s="2">
        <v>26.26</v>
      </c>
      <c r="CJ114" s="2">
        <v>26.26</v>
      </c>
      <c r="CK114" s="2">
        <v>34.76</v>
      </c>
      <c r="CL114" s="2">
        <v>34.76</v>
      </c>
    </row>
    <row r="117" spans="2:90" x14ac:dyDescent="0.3">
      <c r="X117" t="s">
        <v>57</v>
      </c>
      <c r="AU117" t="s">
        <v>58</v>
      </c>
      <c r="BR117" t="s">
        <v>59</v>
      </c>
    </row>
    <row r="118" spans="2:90" x14ac:dyDescent="0.3">
      <c r="B118" s="1" t="s">
        <v>21</v>
      </c>
      <c r="C118">
        <f>C9*Y191*Y$102*3-C93</f>
        <v>-2.7014899999999216</v>
      </c>
      <c r="D118">
        <f t="shared" ref="D118:V125" si="0">D9*Z191*Z$102*3-D93</f>
        <v>-2.704680000000053</v>
      </c>
      <c r="E118">
        <f t="shared" si="0"/>
        <v>-1.3990800000000263</v>
      </c>
      <c r="F118">
        <f t="shared" si="0"/>
        <v>-1.4373199999999997</v>
      </c>
      <c r="G118">
        <f t="shared" si="0"/>
        <v>-0.80689999999998463</v>
      </c>
      <c r="H118">
        <f t="shared" si="0"/>
        <v>-0.83310000000005857</v>
      </c>
      <c r="I118">
        <f t="shared" si="0"/>
        <v>-2.8982399999998734</v>
      </c>
      <c r="J118">
        <f t="shared" si="0"/>
        <v>-2.6247999999998228</v>
      </c>
      <c r="K118">
        <f t="shared" si="0"/>
        <v>-3.6581999999998516</v>
      </c>
      <c r="L118">
        <f t="shared" si="0"/>
        <v>-3.254799999999932</v>
      </c>
      <c r="M118">
        <f t="shared" si="0"/>
        <v>-5.5443600000003244</v>
      </c>
      <c r="N118">
        <f t="shared" si="0"/>
        <v>-5.9829199999999219</v>
      </c>
      <c r="O118">
        <f t="shared" si="0"/>
        <v>-4.3447799999999006</v>
      </c>
      <c r="P118">
        <f t="shared" si="0"/>
        <v>-5.2546799999997802</v>
      </c>
      <c r="Q118">
        <f t="shared" si="0"/>
        <v>-6.3039599999997336</v>
      </c>
      <c r="R118">
        <f t="shared" si="0"/>
        <v>-6.567600000000084</v>
      </c>
      <c r="S118">
        <f t="shared" si="0"/>
        <v>-5.333180000000084</v>
      </c>
      <c r="T118">
        <f t="shared" si="0"/>
        <v>-5.7262000000000626</v>
      </c>
      <c r="U118">
        <f t="shared" si="0"/>
        <v>-8.2464999999997417</v>
      </c>
      <c r="V118">
        <f t="shared" si="0"/>
        <v>-9.0528499999995802</v>
      </c>
      <c r="X118" s="1" t="s">
        <v>16</v>
      </c>
      <c r="Y118" s="13" t="s">
        <v>17</v>
      </c>
      <c r="Z118" s="13"/>
      <c r="AA118" s="13"/>
      <c r="AB118" s="13"/>
      <c r="AC118" s="13"/>
      <c r="AD118" s="13"/>
      <c r="AE118" s="13"/>
      <c r="AF118" s="13"/>
      <c r="AG118" s="13"/>
      <c r="AH118" s="13"/>
      <c r="AI118" s="13" t="s">
        <v>18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U118" s="1" t="s">
        <v>16</v>
      </c>
      <c r="AV118" s="13" t="s">
        <v>17</v>
      </c>
      <c r="AW118" s="13"/>
      <c r="AX118" s="13"/>
      <c r="AY118" s="13"/>
      <c r="AZ118" s="13"/>
      <c r="BA118" s="13"/>
      <c r="BB118" s="13"/>
      <c r="BC118" s="13"/>
      <c r="BD118" s="13"/>
      <c r="BE118" s="13"/>
      <c r="BF118" s="13" t="s">
        <v>18</v>
      </c>
      <c r="BG118" s="13"/>
      <c r="BH118" s="13"/>
      <c r="BI118" s="13"/>
      <c r="BJ118" s="13"/>
      <c r="BK118" s="13"/>
      <c r="BL118" s="13"/>
      <c r="BM118" s="13"/>
      <c r="BN118" s="13"/>
      <c r="BO118" s="13"/>
      <c r="BR118" s="1" t="s">
        <v>16</v>
      </c>
      <c r="BS118" s="1" t="s">
        <v>17</v>
      </c>
      <c r="BT118" s="1" t="s">
        <v>18</v>
      </c>
      <c r="BU118" s="1" t="s">
        <v>17</v>
      </c>
      <c r="BV118" s="1" t="s">
        <v>18</v>
      </c>
      <c r="BW118" s="1" t="s">
        <v>17</v>
      </c>
      <c r="BX118" s="1" t="s">
        <v>18</v>
      </c>
      <c r="BY118" s="1" t="s">
        <v>17</v>
      </c>
      <c r="BZ118" s="1" t="s">
        <v>18</v>
      </c>
      <c r="CA118" s="1" t="s">
        <v>17</v>
      </c>
      <c r="CB118" s="1" t="s">
        <v>18</v>
      </c>
      <c r="CC118" s="1" t="s">
        <v>17</v>
      </c>
      <c r="CD118" s="1" t="s">
        <v>18</v>
      </c>
      <c r="CE118" s="1" t="s">
        <v>17</v>
      </c>
      <c r="CF118" s="1" t="s">
        <v>18</v>
      </c>
      <c r="CG118" s="1" t="s">
        <v>17</v>
      </c>
      <c r="CH118" s="1" t="s">
        <v>18</v>
      </c>
      <c r="CI118" s="1" t="s">
        <v>17</v>
      </c>
      <c r="CJ118" s="1" t="s">
        <v>18</v>
      </c>
      <c r="CK118" s="1" t="s">
        <v>17</v>
      </c>
      <c r="CL118" s="1" t="s">
        <v>18</v>
      </c>
    </row>
    <row r="119" spans="2:90" x14ac:dyDescent="0.3">
      <c r="B119" s="1" t="s">
        <v>22</v>
      </c>
      <c r="C119">
        <f t="shared" ref="C119:C125" si="1">C10*Y192*Y$102*3-C94</f>
        <v>5.3179999999997563E-2</v>
      </c>
      <c r="D119">
        <f t="shared" si="0"/>
        <v>0.29024000000001138</v>
      </c>
      <c r="E119">
        <f t="shared" si="0"/>
        <v>-9.3749999999971578E-2</v>
      </c>
      <c r="F119">
        <f t="shared" si="0"/>
        <v>2.2439999999988913E-2</v>
      </c>
      <c r="G119">
        <f t="shared" si="0"/>
        <v>-0.13035000000000707</v>
      </c>
      <c r="H119">
        <f t="shared" si="0"/>
        <v>0.12620000000000431</v>
      </c>
      <c r="I119">
        <f t="shared" si="0"/>
        <v>0.2660000000000764</v>
      </c>
      <c r="J119">
        <f t="shared" si="0"/>
        <v>-0.75504000000000815</v>
      </c>
      <c r="K119">
        <f t="shared" si="0"/>
        <v>-0.62959999999998217</v>
      </c>
      <c r="L119">
        <f t="shared" si="0"/>
        <v>-0.59700000000009368</v>
      </c>
      <c r="M119">
        <f t="shared" si="0"/>
        <v>-8.7599999999838474E-2</v>
      </c>
      <c r="N119">
        <f t="shared" si="0"/>
        <v>-1.2711600000000089</v>
      </c>
      <c r="O119">
        <f t="shared" si="0"/>
        <v>-0.90940000000011878</v>
      </c>
      <c r="P119">
        <f t="shared" si="0"/>
        <v>-1.1625900000001366</v>
      </c>
      <c r="Q119">
        <f t="shared" si="0"/>
        <v>-1.3606000000000904</v>
      </c>
      <c r="R119">
        <f t="shared" si="0"/>
        <v>-1.2170200000000477</v>
      </c>
      <c r="S119">
        <f t="shared" si="0"/>
        <v>-1.2822600000000648</v>
      </c>
      <c r="T119">
        <f t="shared" si="0"/>
        <v>0.65195999999997412</v>
      </c>
      <c r="U119">
        <f t="shared" si="0"/>
        <v>-0.56020000000034997</v>
      </c>
      <c r="V119">
        <f t="shared" si="0"/>
        <v>-0.99455000000000382</v>
      </c>
      <c r="X119" s="1" t="s">
        <v>19</v>
      </c>
      <c r="Y119" s="1" t="s">
        <v>1</v>
      </c>
      <c r="Z119" s="1" t="s">
        <v>10</v>
      </c>
      <c r="AA119" s="1" t="s">
        <v>2</v>
      </c>
      <c r="AB119" s="1" t="s">
        <v>3</v>
      </c>
      <c r="AC119" s="1" t="s">
        <v>4</v>
      </c>
      <c r="AD119" s="1" t="s">
        <v>5</v>
      </c>
      <c r="AE119" s="1" t="s">
        <v>6</v>
      </c>
      <c r="AF119" s="1" t="s">
        <v>7</v>
      </c>
      <c r="AG119" s="1" t="s">
        <v>8</v>
      </c>
      <c r="AH119" s="1" t="s">
        <v>9</v>
      </c>
      <c r="AI119" s="1" t="s">
        <v>1</v>
      </c>
      <c r="AJ119" s="1" t="s">
        <v>10</v>
      </c>
      <c r="AK119" s="1" t="s">
        <v>2</v>
      </c>
      <c r="AL119" s="1" t="s">
        <v>3</v>
      </c>
      <c r="AM119" s="1" t="s">
        <v>4</v>
      </c>
      <c r="AN119" s="1" t="s">
        <v>5</v>
      </c>
      <c r="AO119" s="1" t="s">
        <v>6</v>
      </c>
      <c r="AP119" s="1" t="s">
        <v>7</v>
      </c>
      <c r="AQ119" s="1" t="s">
        <v>8</v>
      </c>
      <c r="AR119" s="1" t="s">
        <v>9</v>
      </c>
      <c r="AU119" s="1" t="s">
        <v>19</v>
      </c>
      <c r="AV119" s="1" t="s">
        <v>1</v>
      </c>
      <c r="AW119" s="1" t="s">
        <v>10</v>
      </c>
      <c r="AX119" s="1" t="s">
        <v>2</v>
      </c>
      <c r="AY119" s="1" t="s">
        <v>3</v>
      </c>
      <c r="AZ119" s="1" t="s">
        <v>4</v>
      </c>
      <c r="BA119" s="1" t="s">
        <v>5</v>
      </c>
      <c r="BB119" s="1" t="s">
        <v>6</v>
      </c>
      <c r="BC119" s="1" t="s">
        <v>7</v>
      </c>
      <c r="BD119" s="1" t="s">
        <v>8</v>
      </c>
      <c r="BE119" s="1" t="s">
        <v>9</v>
      </c>
      <c r="BF119" s="1" t="s">
        <v>1</v>
      </c>
      <c r="BG119" s="1" t="s">
        <v>10</v>
      </c>
      <c r="BH119" s="1" t="s">
        <v>2</v>
      </c>
      <c r="BI119" s="1" t="s">
        <v>3</v>
      </c>
      <c r="BJ119" s="1" t="s">
        <v>4</v>
      </c>
      <c r="BK119" s="1" t="s">
        <v>5</v>
      </c>
      <c r="BL119" s="1" t="s">
        <v>6</v>
      </c>
      <c r="BM119" s="1" t="s">
        <v>7</v>
      </c>
      <c r="BN119" s="1" t="s">
        <v>8</v>
      </c>
      <c r="BO119" s="1" t="s">
        <v>9</v>
      </c>
      <c r="BR119" s="1" t="s">
        <v>19</v>
      </c>
      <c r="BS119" s="1" t="s">
        <v>1</v>
      </c>
      <c r="BT119" s="1" t="s">
        <v>1</v>
      </c>
      <c r="BU119" s="1" t="s">
        <v>2</v>
      </c>
      <c r="BV119" s="1" t="s">
        <v>2</v>
      </c>
      <c r="BW119" s="1" t="s">
        <v>3</v>
      </c>
      <c r="BX119" s="1" t="s">
        <v>3</v>
      </c>
      <c r="BY119" s="1" t="s">
        <v>4</v>
      </c>
      <c r="BZ119" s="1" t="s">
        <v>4</v>
      </c>
      <c r="CA119" s="1" t="s">
        <v>5</v>
      </c>
      <c r="CB119" s="1" t="s">
        <v>5</v>
      </c>
      <c r="CC119" s="1" t="s">
        <v>6</v>
      </c>
      <c r="CD119" s="1" t="s">
        <v>6</v>
      </c>
      <c r="CE119" s="1" t="s">
        <v>7</v>
      </c>
      <c r="CF119" s="1" t="s">
        <v>7</v>
      </c>
      <c r="CG119" s="1" t="s">
        <v>8</v>
      </c>
      <c r="CH119" s="1" t="s">
        <v>8</v>
      </c>
      <c r="CI119" s="1" t="s">
        <v>9</v>
      </c>
      <c r="CJ119" s="1" t="s">
        <v>9</v>
      </c>
      <c r="CK119" s="1" t="s">
        <v>10</v>
      </c>
      <c r="CL119" s="1" t="s">
        <v>10</v>
      </c>
    </row>
    <row r="120" spans="2:90" x14ac:dyDescent="0.3">
      <c r="B120" s="1" t="s">
        <v>23</v>
      </c>
      <c r="C120">
        <f t="shared" si="1"/>
        <v>-3.1466799999998329</v>
      </c>
      <c r="D120">
        <f t="shared" si="0"/>
        <v>-1.0871499999998946</v>
      </c>
      <c r="E120">
        <f t="shared" si="0"/>
        <v>-1.1875999999999749</v>
      </c>
      <c r="F120">
        <f t="shared" si="0"/>
        <v>0.25144000000000233</v>
      </c>
      <c r="G120">
        <f t="shared" si="0"/>
        <v>-1.104600000000346</v>
      </c>
      <c r="H120">
        <f t="shared" si="0"/>
        <v>0.48224999999990814</v>
      </c>
      <c r="I120">
        <f t="shared" si="0"/>
        <v>-3.2359200000000783</v>
      </c>
      <c r="J120">
        <f t="shared" si="0"/>
        <v>-4.2120799999997871</v>
      </c>
      <c r="K120">
        <f t="shared" si="0"/>
        <v>-3.5911999999998443</v>
      </c>
      <c r="L120">
        <f t="shared" si="0"/>
        <v>-4.6140000000000327</v>
      </c>
      <c r="M120">
        <f t="shared" si="0"/>
        <v>-7.3083200000000943</v>
      </c>
      <c r="N120">
        <f t="shared" si="0"/>
        <v>-8.9400799999993978</v>
      </c>
      <c r="O120">
        <f t="shared" si="0"/>
        <v>-6.2318399999985559</v>
      </c>
      <c r="P120">
        <f t="shared" si="0"/>
        <v>-8.2471999999997934</v>
      </c>
      <c r="Q120">
        <f t="shared" si="0"/>
        <v>-8.3655200000030163</v>
      </c>
      <c r="R120">
        <f t="shared" si="0"/>
        <v>-8.7903200000009747</v>
      </c>
      <c r="S120">
        <f t="shared" si="0"/>
        <v>-8.8488799999995535</v>
      </c>
      <c r="T120">
        <f t="shared" si="0"/>
        <v>-6.7452800000005482</v>
      </c>
      <c r="U120">
        <f t="shared" si="0"/>
        <v>-8.2932000000000698</v>
      </c>
      <c r="V120">
        <f t="shared" si="0"/>
        <v>-6.9239000000006854</v>
      </c>
      <c r="X120" s="1" t="s">
        <v>20</v>
      </c>
      <c r="AU120" s="1" t="s">
        <v>20</v>
      </c>
      <c r="BR120" s="1" t="s">
        <v>20</v>
      </c>
    </row>
    <row r="121" spans="2:90" x14ac:dyDescent="0.3">
      <c r="B121" s="1" t="s">
        <v>24</v>
      </c>
      <c r="C121">
        <f t="shared" si="1"/>
        <v>-9.7799999999779175E-2</v>
      </c>
      <c r="D121">
        <f t="shared" si="0"/>
        <v>-0.60507000000001199</v>
      </c>
      <c r="E121">
        <f t="shared" si="0"/>
        <v>-0.61469000000005281</v>
      </c>
      <c r="F121">
        <f t="shared" si="0"/>
        <v>8.7519999999983611E-2</v>
      </c>
      <c r="G121">
        <f t="shared" si="0"/>
        <v>-0.48450000000005389</v>
      </c>
      <c r="H121">
        <f t="shared" si="0"/>
        <v>3.0500000000074579E-2</v>
      </c>
      <c r="I121">
        <f t="shared" si="0"/>
        <v>-1.3432799999999361</v>
      </c>
      <c r="J121">
        <f t="shared" si="0"/>
        <v>-1.7296000000001186</v>
      </c>
      <c r="K121">
        <f t="shared" si="0"/>
        <v>-1.7570000000000618</v>
      </c>
      <c r="L121">
        <f t="shared" si="0"/>
        <v>-1.8615999999999531</v>
      </c>
      <c r="M121">
        <f t="shared" si="0"/>
        <v>-3.1022000000002663</v>
      </c>
      <c r="N121">
        <f t="shared" si="0"/>
        <v>-3.4812000000001717</v>
      </c>
      <c r="O121">
        <f t="shared" si="0"/>
        <v>0.16174999999998363</v>
      </c>
      <c r="P121">
        <f t="shared" si="0"/>
        <v>-2.9159099999999398</v>
      </c>
      <c r="Q121">
        <f t="shared" si="0"/>
        <v>-3.6964600000003429</v>
      </c>
      <c r="R121">
        <f t="shared" si="0"/>
        <v>0.15370000000007167</v>
      </c>
      <c r="S121">
        <f t="shared" si="0"/>
        <v>-0.16660000000024411</v>
      </c>
      <c r="T121">
        <f t="shared" si="0"/>
        <v>-2.4721400000000813</v>
      </c>
      <c r="U121">
        <f t="shared" si="0"/>
        <v>-3.0031500000000051</v>
      </c>
      <c r="V121">
        <f t="shared" si="0"/>
        <v>-2.8674499999999625</v>
      </c>
      <c r="X121" s="1" t="s">
        <v>21</v>
      </c>
      <c r="Y121" s="2">
        <v>53.6</v>
      </c>
      <c r="Z121" s="2">
        <v>180.75</v>
      </c>
      <c r="AA121" s="2">
        <v>40.770000000000003</v>
      </c>
      <c r="AB121" s="2">
        <v>16.34</v>
      </c>
      <c r="AC121" s="2">
        <v>58.41</v>
      </c>
      <c r="AD121" s="2">
        <v>84.1</v>
      </c>
      <c r="AE121" s="2">
        <v>119.56</v>
      </c>
      <c r="AF121" s="2">
        <v>112.53</v>
      </c>
      <c r="AG121" s="2">
        <v>124.6</v>
      </c>
      <c r="AH121" s="2">
        <v>137.59</v>
      </c>
      <c r="AI121" s="2">
        <v>56.45</v>
      </c>
      <c r="AJ121" s="2">
        <v>172.3</v>
      </c>
      <c r="AK121" s="2">
        <v>40.770000000000003</v>
      </c>
      <c r="AL121" s="2">
        <v>24.47</v>
      </c>
      <c r="AM121" s="2">
        <v>76.47</v>
      </c>
      <c r="AN121" s="2">
        <v>71.64</v>
      </c>
      <c r="AO121" s="2">
        <v>135.31</v>
      </c>
      <c r="AP121" s="2">
        <v>103.33</v>
      </c>
      <c r="AQ121" s="2">
        <v>128.96</v>
      </c>
      <c r="AR121" s="2">
        <v>114.24</v>
      </c>
      <c r="AU121" s="1" t="s">
        <v>21</v>
      </c>
      <c r="AV121" s="2">
        <v>53.6</v>
      </c>
      <c r="AW121" s="2">
        <v>180.75</v>
      </c>
      <c r="AX121" s="2">
        <v>40.770000000000003</v>
      </c>
      <c r="AY121" s="2">
        <v>16.34</v>
      </c>
      <c r="AZ121" s="2">
        <v>58.41</v>
      </c>
      <c r="BA121" s="2">
        <v>84.1</v>
      </c>
      <c r="BB121" s="2">
        <v>119.56</v>
      </c>
      <c r="BC121" s="2">
        <v>112.53</v>
      </c>
      <c r="BD121" s="2">
        <v>124.6</v>
      </c>
      <c r="BE121" s="2">
        <v>137.59</v>
      </c>
      <c r="BF121" s="2">
        <v>56.45</v>
      </c>
      <c r="BG121" s="2">
        <v>172.3</v>
      </c>
      <c r="BH121" s="2">
        <v>40.770000000000003</v>
      </c>
      <c r="BI121" s="2">
        <v>24.47</v>
      </c>
      <c r="BJ121" s="2">
        <v>76.47</v>
      </c>
      <c r="BK121" s="2">
        <v>71.64</v>
      </c>
      <c r="BL121" s="2">
        <v>135.31</v>
      </c>
      <c r="BM121" s="2">
        <v>103.33</v>
      </c>
      <c r="BN121" s="2">
        <v>128.96</v>
      </c>
      <c r="BO121" s="2">
        <v>114.24</v>
      </c>
      <c r="BR121" s="1" t="s">
        <v>21</v>
      </c>
      <c r="BS121" s="2">
        <v>496.83</v>
      </c>
      <c r="BT121" s="2">
        <v>496.84</v>
      </c>
      <c r="BU121" s="2">
        <v>485.78</v>
      </c>
      <c r="BV121" s="2">
        <v>485.78</v>
      </c>
      <c r="BW121" s="2">
        <v>490.24</v>
      </c>
      <c r="BX121" s="2">
        <v>490.43</v>
      </c>
      <c r="BY121" s="2">
        <v>678.3</v>
      </c>
      <c r="BZ121" s="2">
        <v>90.08</v>
      </c>
      <c r="CA121" s="2">
        <v>111.24</v>
      </c>
      <c r="CB121" s="2">
        <v>111.08</v>
      </c>
      <c r="CC121" s="2">
        <v>111.9</v>
      </c>
      <c r="CD121" s="2">
        <v>111.33</v>
      </c>
      <c r="CE121" s="2">
        <v>111.08</v>
      </c>
      <c r="CF121" s="2">
        <v>111.88</v>
      </c>
      <c r="CG121" s="2">
        <v>111.91</v>
      </c>
      <c r="CH121" s="2">
        <v>111.95</v>
      </c>
      <c r="CI121" s="2">
        <v>112.19</v>
      </c>
      <c r="CJ121" s="2">
        <v>440.8</v>
      </c>
      <c r="CK121" s="2">
        <v>111.78</v>
      </c>
      <c r="CL121" s="2">
        <v>284.04000000000002</v>
      </c>
    </row>
    <row r="122" spans="2:90" x14ac:dyDescent="0.3">
      <c r="B122" s="1" t="s">
        <v>25</v>
      </c>
      <c r="C122">
        <f t="shared" si="1"/>
        <v>-4.3129599999997481</v>
      </c>
      <c r="D122">
        <f t="shared" si="0"/>
        <v>5.1350000000638829E-2</v>
      </c>
      <c r="E122">
        <f t="shared" si="0"/>
        <v>9.4900000000052387E-2</v>
      </c>
      <c r="F122">
        <f t="shared" si="0"/>
        <v>0.21270000000004075</v>
      </c>
      <c r="G122">
        <f t="shared" si="0"/>
        <v>-1.3747499999999491</v>
      </c>
      <c r="H122">
        <f t="shared" si="0"/>
        <v>-1.3286000000000513</v>
      </c>
      <c r="I122">
        <f t="shared" si="0"/>
        <v>-1.2003199999994649</v>
      </c>
      <c r="J122">
        <f t="shared" si="0"/>
        <v>-4.8046400000002905</v>
      </c>
      <c r="K122">
        <f t="shared" si="0"/>
        <v>-5.7840000000001055</v>
      </c>
      <c r="L122">
        <f t="shared" si="0"/>
        <v>-5.8632000000002336</v>
      </c>
      <c r="M122">
        <f t="shared" si="0"/>
        <v>-10.67087999999967</v>
      </c>
      <c r="N122">
        <f t="shared" si="0"/>
        <v>-11.197439999999915</v>
      </c>
      <c r="O122">
        <f t="shared" si="0"/>
        <v>-9.3855400000002192</v>
      </c>
      <c r="P122">
        <f t="shared" si="0"/>
        <v>-9.2927400000007765</v>
      </c>
      <c r="Q122">
        <f t="shared" si="0"/>
        <v>-13.065900000000511</v>
      </c>
      <c r="R122">
        <f t="shared" si="0"/>
        <v>-11.988520000001699</v>
      </c>
      <c r="S122">
        <f t="shared" si="0"/>
        <v>-0.74831999999969412</v>
      </c>
      <c r="T122">
        <f t="shared" si="0"/>
        <v>-7.5459400000008827</v>
      </c>
      <c r="U122">
        <f t="shared" si="0"/>
        <v>-13.47609999999986</v>
      </c>
      <c r="V122">
        <f t="shared" si="0"/>
        <v>-0.35119999999915308</v>
      </c>
      <c r="X122" s="1" t="s">
        <v>22</v>
      </c>
      <c r="Y122" s="2">
        <v>49.12</v>
      </c>
      <c r="Z122" s="2">
        <v>157.53</v>
      </c>
      <c r="AA122" s="2">
        <v>28.67</v>
      </c>
      <c r="AB122" s="2">
        <v>13.92</v>
      </c>
      <c r="AC122" s="2">
        <v>50.59</v>
      </c>
      <c r="AD122" s="2">
        <v>81.7</v>
      </c>
      <c r="AE122" s="2">
        <v>101.35</v>
      </c>
      <c r="AF122" s="2">
        <v>127.85</v>
      </c>
      <c r="AG122" s="2">
        <v>165.15</v>
      </c>
      <c r="AH122" s="2">
        <v>129.36000000000001</v>
      </c>
      <c r="AI122" s="2">
        <v>40.369999999999997</v>
      </c>
      <c r="AJ122" s="2">
        <v>137.41999999999999</v>
      </c>
      <c r="AK122" s="2">
        <v>33.53</v>
      </c>
      <c r="AL122" s="2">
        <v>21.36</v>
      </c>
      <c r="AM122" s="2">
        <v>103.32</v>
      </c>
      <c r="AN122" s="2">
        <v>102.03</v>
      </c>
      <c r="AO122" s="2">
        <v>211.82</v>
      </c>
      <c r="AP122" s="2">
        <v>160.65</v>
      </c>
      <c r="AQ122" s="2">
        <v>139.76</v>
      </c>
      <c r="AR122" s="2">
        <v>107.3</v>
      </c>
      <c r="AU122" s="1" t="s">
        <v>22</v>
      </c>
      <c r="AV122" s="2">
        <v>49.12</v>
      </c>
      <c r="AW122" s="2">
        <v>157.53</v>
      </c>
      <c r="AX122" s="2">
        <v>28.67</v>
      </c>
      <c r="AY122" s="2">
        <v>13.92</v>
      </c>
      <c r="AZ122" s="2">
        <v>50.59</v>
      </c>
      <c r="BA122" s="2">
        <v>81.7</v>
      </c>
      <c r="BB122" s="2">
        <v>101.35</v>
      </c>
      <c r="BC122" s="2">
        <v>127.85</v>
      </c>
      <c r="BD122" s="2">
        <v>165.15</v>
      </c>
      <c r="BE122" s="2">
        <v>129.36000000000001</v>
      </c>
      <c r="BF122" s="2">
        <v>40.369999999999997</v>
      </c>
      <c r="BG122" s="2">
        <v>137.41999999999999</v>
      </c>
      <c r="BH122" s="2">
        <v>33.53</v>
      </c>
      <c r="BI122" s="2">
        <v>21.36</v>
      </c>
      <c r="BJ122" s="2">
        <v>103.32</v>
      </c>
      <c r="BK122" s="2">
        <v>102.03</v>
      </c>
      <c r="BL122" s="2">
        <v>211.82</v>
      </c>
      <c r="BM122" s="2">
        <v>160.65</v>
      </c>
      <c r="BN122" s="2">
        <v>139.76</v>
      </c>
      <c r="BO122" s="2">
        <v>107.3</v>
      </c>
      <c r="BR122" s="1" t="s">
        <v>22</v>
      </c>
      <c r="BS122" s="2">
        <v>406.28</v>
      </c>
      <c r="BT122" s="2">
        <v>701.75</v>
      </c>
      <c r="BU122" s="2">
        <v>406.46</v>
      </c>
      <c r="BV122" s="2">
        <v>636.85</v>
      </c>
      <c r="BW122" s="2">
        <v>483.1</v>
      </c>
      <c r="BX122" s="2">
        <v>527.14</v>
      </c>
      <c r="BY122" s="2">
        <v>413.69</v>
      </c>
      <c r="BZ122" s="2">
        <v>370.21</v>
      </c>
      <c r="CA122" s="2">
        <v>403.31</v>
      </c>
      <c r="CB122" s="2">
        <v>587.29</v>
      </c>
      <c r="CC122" s="2">
        <v>484.75</v>
      </c>
      <c r="CD122" s="2">
        <v>543.14</v>
      </c>
      <c r="CE122" s="2">
        <v>422.28</v>
      </c>
      <c r="CF122" s="2">
        <v>417.55</v>
      </c>
      <c r="CG122" s="2">
        <v>420.76</v>
      </c>
      <c r="CH122" s="2">
        <v>616.54999999999995</v>
      </c>
      <c r="CI122" s="2">
        <v>420.33</v>
      </c>
      <c r="CJ122" s="2">
        <v>1019.41</v>
      </c>
      <c r="CK122" s="2">
        <v>526.66</v>
      </c>
      <c r="CL122" s="2">
        <v>2314.11</v>
      </c>
    </row>
    <row r="123" spans="2:90" x14ac:dyDescent="0.3">
      <c r="B123" s="1" t="s">
        <v>26</v>
      </c>
      <c r="C123">
        <f t="shared" si="1"/>
        <v>-0.93394000000012056</v>
      </c>
      <c r="D123">
        <f t="shared" si="0"/>
        <v>1.770000000010441E-2</v>
      </c>
      <c r="E123">
        <f t="shared" si="0"/>
        <v>5.9880000000021028E-2</v>
      </c>
      <c r="F123">
        <f t="shared" si="0"/>
        <v>-4.3839999999988777E-2</v>
      </c>
      <c r="G123">
        <f t="shared" si="0"/>
        <v>-0.25544999999999618</v>
      </c>
      <c r="H123">
        <f t="shared" si="0"/>
        <v>-0.24025000000001739</v>
      </c>
      <c r="I123">
        <f t="shared" si="0"/>
        <v>-0.58711999999997033</v>
      </c>
      <c r="J123">
        <f t="shared" si="0"/>
        <v>-0.70888000000002194</v>
      </c>
      <c r="K123">
        <f t="shared" si="0"/>
        <v>-0.66000000000008185</v>
      </c>
      <c r="L123">
        <f t="shared" si="0"/>
        <v>-0.92800000000005411</v>
      </c>
      <c r="M123">
        <f t="shared" si="0"/>
        <v>-1.6336399999999003</v>
      </c>
      <c r="N123">
        <f t="shared" si="0"/>
        <v>-1.4304000000000769</v>
      </c>
      <c r="O123">
        <f t="shared" si="0"/>
        <v>-1.5560700000000907</v>
      </c>
      <c r="P123">
        <f t="shared" si="0"/>
        <v>-1.1616600000000972</v>
      </c>
      <c r="Q123">
        <f t="shared" si="0"/>
        <v>-1.9943600000002562</v>
      </c>
      <c r="R123">
        <f t="shared" si="0"/>
        <v>-1.7429000000000769</v>
      </c>
      <c r="S123">
        <f t="shared" si="0"/>
        <v>-1.6430200000000923</v>
      </c>
      <c r="T123">
        <f t="shared" si="0"/>
        <v>-1.2530399999999418</v>
      </c>
      <c r="U123">
        <f t="shared" si="0"/>
        <v>-2.2221999999999298</v>
      </c>
      <c r="V123">
        <f t="shared" si="0"/>
        <v>9.5950000000016189E-2</v>
      </c>
      <c r="X123" s="1" t="s">
        <v>23</v>
      </c>
      <c r="Y123" s="2">
        <v>296.79000000000002</v>
      </c>
      <c r="Z123" s="2">
        <v>816.6</v>
      </c>
      <c r="AA123" s="2">
        <v>235.77</v>
      </c>
      <c r="AB123" s="2">
        <v>105.76</v>
      </c>
      <c r="AC123" s="2">
        <v>371.85</v>
      </c>
      <c r="AD123" s="2">
        <v>519.24</v>
      </c>
      <c r="AE123" s="2">
        <v>889.92</v>
      </c>
      <c r="AF123" s="2">
        <v>750.18</v>
      </c>
      <c r="AG123" s="2">
        <v>917.63</v>
      </c>
      <c r="AH123" s="2">
        <v>873.57</v>
      </c>
      <c r="AI123" s="2">
        <v>114.05</v>
      </c>
      <c r="AJ123" s="2">
        <v>686.86</v>
      </c>
      <c r="AK123" s="2">
        <v>96.03</v>
      </c>
      <c r="AL123" s="2">
        <v>109.84</v>
      </c>
      <c r="AM123" s="2">
        <v>506.27</v>
      </c>
      <c r="AN123" s="2">
        <v>596.54999999999995</v>
      </c>
      <c r="AO123" s="2">
        <v>1139.75</v>
      </c>
      <c r="AP123" s="2">
        <v>858.01</v>
      </c>
      <c r="AQ123" s="2">
        <v>925.47</v>
      </c>
      <c r="AR123" s="2">
        <v>774.11</v>
      </c>
      <c r="AU123" s="1" t="s">
        <v>23</v>
      </c>
      <c r="AV123" s="2">
        <v>296.79000000000002</v>
      </c>
      <c r="AW123" s="2">
        <v>816.6</v>
      </c>
      <c r="AX123" s="2">
        <v>235.77</v>
      </c>
      <c r="AY123" s="2">
        <v>105.76</v>
      </c>
      <c r="AZ123" s="2">
        <v>371.85</v>
      </c>
      <c r="BA123" s="2">
        <v>519.24</v>
      </c>
      <c r="BB123" s="2">
        <v>889.92</v>
      </c>
      <c r="BC123" s="2">
        <v>750.18</v>
      </c>
      <c r="BD123" s="2">
        <v>917.63</v>
      </c>
      <c r="BE123" s="2">
        <v>873.57</v>
      </c>
      <c r="BF123" s="2">
        <v>114.05</v>
      </c>
      <c r="BG123" s="2">
        <v>686.86</v>
      </c>
      <c r="BH123" s="2">
        <v>96.03</v>
      </c>
      <c r="BI123" s="2">
        <v>109.84</v>
      </c>
      <c r="BJ123" s="2">
        <v>506.27</v>
      </c>
      <c r="BK123" s="2">
        <v>596.54999999999995</v>
      </c>
      <c r="BL123" s="2">
        <v>1139.75</v>
      </c>
      <c r="BM123" s="2">
        <v>858.01</v>
      </c>
      <c r="BN123" s="2">
        <v>925.47</v>
      </c>
      <c r="BO123" s="2">
        <v>774.11</v>
      </c>
      <c r="BR123" s="1" t="s">
        <v>23</v>
      </c>
      <c r="BS123" s="2">
        <v>260.67</v>
      </c>
      <c r="BT123" s="2">
        <v>1044.43</v>
      </c>
      <c r="BU123" s="2">
        <v>277.27999999999997</v>
      </c>
      <c r="BV123" s="2">
        <v>876.13</v>
      </c>
      <c r="BW123" s="2">
        <v>276.77999999999997</v>
      </c>
      <c r="BX123" s="2">
        <v>383.08</v>
      </c>
      <c r="BY123" s="2">
        <v>288.72000000000003</v>
      </c>
      <c r="BZ123" s="2">
        <v>329.56</v>
      </c>
      <c r="CA123" s="2">
        <v>297.61</v>
      </c>
      <c r="CB123" s="2">
        <v>440.35</v>
      </c>
      <c r="CC123" s="2">
        <v>295.92</v>
      </c>
      <c r="CD123" s="2">
        <v>431.27</v>
      </c>
      <c r="CE123" s="2">
        <v>297.25</v>
      </c>
      <c r="CF123" s="2">
        <v>391.56</v>
      </c>
      <c r="CG123" s="2">
        <v>299.25</v>
      </c>
      <c r="CH123" s="2">
        <v>452.85</v>
      </c>
      <c r="CI123" s="2">
        <v>369.12</v>
      </c>
      <c r="CJ123" s="2">
        <v>746.76</v>
      </c>
      <c r="CK123" s="2">
        <v>744.49</v>
      </c>
      <c r="CL123" s="2">
        <v>1156.0999999999999</v>
      </c>
    </row>
    <row r="124" spans="2:90" x14ac:dyDescent="0.3">
      <c r="B124" s="1" t="s">
        <v>27</v>
      </c>
      <c r="C124">
        <f t="shared" si="1"/>
        <v>-2.2561599999999089</v>
      </c>
      <c r="D124">
        <f t="shared" si="0"/>
        <v>-2.6273199999991448</v>
      </c>
      <c r="E124">
        <f t="shared" si="0"/>
        <v>0.45268000000021402</v>
      </c>
      <c r="F124">
        <f t="shared" si="0"/>
        <v>-1.0203599999999824</v>
      </c>
      <c r="G124">
        <f t="shared" si="0"/>
        <v>-0.80195000000003347</v>
      </c>
      <c r="H124">
        <f t="shared" si="0"/>
        <v>-0.74540000000001783</v>
      </c>
      <c r="I124">
        <f t="shared" si="0"/>
        <v>-2.4906399999999849</v>
      </c>
      <c r="J124">
        <f t="shared" si="0"/>
        <v>-8.3811999999998079</v>
      </c>
      <c r="K124">
        <f t="shared" si="0"/>
        <v>1.1111999999993714</v>
      </c>
      <c r="L124">
        <f t="shared" si="0"/>
        <v>-2.866399999999885</v>
      </c>
      <c r="M124">
        <f t="shared" si="0"/>
        <v>-6.1391600000006292</v>
      </c>
      <c r="N124">
        <f t="shared" si="0"/>
        <v>-5.4626399999997375</v>
      </c>
      <c r="O124">
        <f t="shared" si="0"/>
        <v>-5.0921500000004016</v>
      </c>
      <c r="P124">
        <f t="shared" si="0"/>
        <v>-4.2993999999998778</v>
      </c>
      <c r="Q124">
        <f t="shared" si="0"/>
        <v>-7.4185800000000199</v>
      </c>
      <c r="R124">
        <f t="shared" si="0"/>
        <v>-6.0763200000019424</v>
      </c>
      <c r="S124">
        <f t="shared" si="0"/>
        <v>-6.8298400000003312</v>
      </c>
      <c r="T124">
        <f t="shared" si="0"/>
        <v>-2.945360000000619</v>
      </c>
      <c r="U124">
        <f t="shared" si="0"/>
        <v>-8.850550000000112</v>
      </c>
      <c r="V124">
        <f t="shared" si="0"/>
        <v>-7.6528000000002976</v>
      </c>
      <c r="X124" s="1" t="s">
        <v>24</v>
      </c>
      <c r="Y124" s="2">
        <v>78.739999999999995</v>
      </c>
      <c r="Z124" s="2">
        <v>253.9</v>
      </c>
      <c r="AA124" s="2">
        <v>69.42</v>
      </c>
      <c r="AB124" s="2">
        <v>33.369999999999997</v>
      </c>
      <c r="AC124" s="2">
        <v>138.13</v>
      </c>
      <c r="AD124" s="2">
        <v>159.5</v>
      </c>
      <c r="AE124" s="2">
        <v>304.14</v>
      </c>
      <c r="AF124" s="2">
        <v>191.28</v>
      </c>
      <c r="AG124" s="2">
        <v>339.05</v>
      </c>
      <c r="AH124" s="2">
        <v>150.87</v>
      </c>
      <c r="AI124" s="2">
        <v>37.01</v>
      </c>
      <c r="AJ124" s="2">
        <v>199.97</v>
      </c>
      <c r="AK124" s="2">
        <v>41.67</v>
      </c>
      <c r="AL124" s="2">
        <v>29.76</v>
      </c>
      <c r="AM124" s="2">
        <v>121.62</v>
      </c>
      <c r="AN124" s="2">
        <v>170.41</v>
      </c>
      <c r="AO124" s="2">
        <v>307.35000000000002</v>
      </c>
      <c r="AP124" s="2">
        <v>221.63</v>
      </c>
      <c r="AQ124" s="2">
        <v>182.83</v>
      </c>
      <c r="AR124" s="2">
        <v>176.43</v>
      </c>
      <c r="AU124" s="1" t="s">
        <v>24</v>
      </c>
      <c r="AV124" s="2">
        <v>78.739999999999995</v>
      </c>
      <c r="AW124" s="2">
        <v>253.9</v>
      </c>
      <c r="AX124" s="2">
        <v>69.42</v>
      </c>
      <c r="AY124" s="2">
        <v>33.369999999999997</v>
      </c>
      <c r="AZ124" s="2">
        <v>138.13</v>
      </c>
      <c r="BA124" s="2">
        <v>159.5</v>
      </c>
      <c r="BB124" s="2">
        <v>304.14</v>
      </c>
      <c r="BC124" s="2">
        <v>191.28</v>
      </c>
      <c r="BD124" s="2">
        <v>339.05</v>
      </c>
      <c r="BE124" s="2">
        <v>150.87</v>
      </c>
      <c r="BF124" s="2">
        <v>37.01</v>
      </c>
      <c r="BG124" s="2">
        <v>199.97</v>
      </c>
      <c r="BH124" s="2">
        <v>41.67</v>
      </c>
      <c r="BI124" s="2">
        <v>29.76</v>
      </c>
      <c r="BJ124" s="2">
        <v>121.62</v>
      </c>
      <c r="BK124" s="2">
        <v>170.41</v>
      </c>
      <c r="BL124" s="2">
        <v>307.35000000000002</v>
      </c>
      <c r="BM124" s="2">
        <v>221.63</v>
      </c>
      <c r="BN124" s="2">
        <v>182.83</v>
      </c>
      <c r="BO124" s="2">
        <v>176.43</v>
      </c>
      <c r="BR124" s="1" t="s">
        <v>24</v>
      </c>
      <c r="BS124" s="2">
        <v>290.97000000000003</v>
      </c>
      <c r="BT124" s="2">
        <v>630.57000000000005</v>
      </c>
      <c r="BU124" s="2">
        <v>269.87</v>
      </c>
      <c r="BV124" s="2">
        <v>661.75</v>
      </c>
      <c r="BW124" s="2">
        <v>262.60000000000002</v>
      </c>
      <c r="BX124" s="2">
        <v>300.05</v>
      </c>
      <c r="BY124" s="2">
        <v>283.89999999999998</v>
      </c>
      <c r="BZ124" s="2">
        <v>279.58</v>
      </c>
      <c r="CA124" s="2">
        <v>308.16000000000003</v>
      </c>
      <c r="CB124" s="2">
        <v>333.31</v>
      </c>
      <c r="CC124" s="2">
        <v>307.67</v>
      </c>
      <c r="CD124" s="2">
        <v>353.26</v>
      </c>
      <c r="CE124" s="2">
        <v>348.78</v>
      </c>
      <c r="CF124" s="2">
        <v>329.4</v>
      </c>
      <c r="CG124" s="2">
        <v>305.99</v>
      </c>
      <c r="CH124" s="2">
        <v>463.31</v>
      </c>
      <c r="CI124" s="2">
        <v>492.02</v>
      </c>
      <c r="CJ124" s="2">
        <v>518.34</v>
      </c>
      <c r="CK124" s="2">
        <v>502.3</v>
      </c>
      <c r="CL124" s="2">
        <v>609.41999999999996</v>
      </c>
    </row>
    <row r="125" spans="2:90" x14ac:dyDescent="0.3">
      <c r="B125" s="1" t="s">
        <v>28</v>
      </c>
      <c r="C125">
        <f t="shared" si="1"/>
        <v>-1.4486699999999928</v>
      </c>
      <c r="D125">
        <f t="shared" si="0"/>
        <v>-1.7371100000000297</v>
      </c>
      <c r="E125">
        <f t="shared" si="0"/>
        <v>0.26725000000000421</v>
      </c>
      <c r="F125">
        <f t="shared" si="0"/>
        <v>-0.1991999999999905</v>
      </c>
      <c r="G125">
        <f t="shared" si="0"/>
        <v>0.12120000000000886</v>
      </c>
      <c r="H125">
        <f t="shared" si="0"/>
        <v>0.23489999999999611</v>
      </c>
      <c r="I125">
        <f t="shared" si="0"/>
        <v>-4.0000000000190994E-3</v>
      </c>
      <c r="J125">
        <f t="shared" si="0"/>
        <v>-1.4432000000000471</v>
      </c>
      <c r="K125">
        <f t="shared" si="0"/>
        <v>-2.0286000000000968</v>
      </c>
      <c r="L125">
        <f t="shared" si="0"/>
        <v>-1.7371999999999161</v>
      </c>
      <c r="M125">
        <f t="shared" si="0"/>
        <v>-4.3198000000002139</v>
      </c>
      <c r="N125">
        <f t="shared" si="0"/>
        <v>-3.2238799999997809</v>
      </c>
      <c r="O125">
        <f t="shared" si="0"/>
        <v>-3.3613500000001295</v>
      </c>
      <c r="P125">
        <f t="shared" si="0"/>
        <v>-2.86850000000004</v>
      </c>
      <c r="Q125">
        <f t="shared" si="0"/>
        <v>-4.5096800000001167</v>
      </c>
      <c r="R125">
        <f t="shared" si="0"/>
        <v>-4.5896600000005492</v>
      </c>
      <c r="S125">
        <f t="shared" si="0"/>
        <v>-4.1881600000001526</v>
      </c>
      <c r="T125">
        <f t="shared" si="0"/>
        <v>-3.7679600000001301</v>
      </c>
      <c r="U125">
        <f t="shared" si="0"/>
        <v>-6.1469000000006417</v>
      </c>
      <c r="V125">
        <f t="shared" si="0"/>
        <v>-4.7517999999995482</v>
      </c>
      <c r="X125" s="1" t="s">
        <v>25</v>
      </c>
      <c r="Y125" s="2">
        <v>280.7</v>
      </c>
      <c r="Z125" s="2">
        <v>1104.45</v>
      </c>
      <c r="AA125" s="2">
        <v>217.71</v>
      </c>
      <c r="AB125" s="2">
        <v>105.45</v>
      </c>
      <c r="AC125" s="2">
        <v>406.4</v>
      </c>
      <c r="AD125" s="2">
        <v>677.96</v>
      </c>
      <c r="AE125" s="2">
        <v>1219.32</v>
      </c>
      <c r="AF125" s="2">
        <v>985.9</v>
      </c>
      <c r="AG125" s="2">
        <v>1271.49</v>
      </c>
      <c r="AH125" s="2">
        <v>726.28</v>
      </c>
      <c r="AI125" s="2">
        <v>237.54</v>
      </c>
      <c r="AJ125" s="2">
        <v>809.97</v>
      </c>
      <c r="AK125" s="2">
        <v>287.52999999999997</v>
      </c>
      <c r="AL125" s="2">
        <v>104.64</v>
      </c>
      <c r="AM125" s="2">
        <v>478.01</v>
      </c>
      <c r="AN125" s="2">
        <v>588.41</v>
      </c>
      <c r="AO125" s="2">
        <v>1104.03</v>
      </c>
      <c r="AP125" s="2">
        <v>859.33</v>
      </c>
      <c r="AQ125" s="2">
        <v>1114.6400000000001</v>
      </c>
      <c r="AR125" s="2">
        <v>603.47</v>
      </c>
      <c r="AU125" s="1" t="s">
        <v>25</v>
      </c>
      <c r="AV125" s="2">
        <v>280.7</v>
      </c>
      <c r="AW125" s="2">
        <v>1104.45</v>
      </c>
      <c r="AX125" s="2">
        <v>217.71</v>
      </c>
      <c r="AY125" s="2">
        <v>105.45</v>
      </c>
      <c r="AZ125" s="2">
        <v>406.4</v>
      </c>
      <c r="BA125" s="2">
        <v>677.96</v>
      </c>
      <c r="BB125" s="2">
        <v>1219.32</v>
      </c>
      <c r="BC125" s="2">
        <v>985.9</v>
      </c>
      <c r="BD125" s="2">
        <v>1271.49</v>
      </c>
      <c r="BE125" s="2">
        <v>726.28</v>
      </c>
      <c r="BF125" s="2">
        <v>237.54</v>
      </c>
      <c r="BG125" s="2">
        <v>809.97</v>
      </c>
      <c r="BH125" s="2">
        <v>287.52999999999997</v>
      </c>
      <c r="BI125" s="2">
        <v>104.64</v>
      </c>
      <c r="BJ125" s="2">
        <v>478.01</v>
      </c>
      <c r="BK125" s="2">
        <v>588.41</v>
      </c>
      <c r="BL125" s="2">
        <v>1104.03</v>
      </c>
      <c r="BM125" s="2">
        <v>859.33</v>
      </c>
      <c r="BN125" s="2">
        <v>1114.6400000000001</v>
      </c>
      <c r="BO125" s="2">
        <v>603.47</v>
      </c>
      <c r="BR125" s="1" t="s">
        <v>25</v>
      </c>
      <c r="BS125" s="2">
        <v>310.06</v>
      </c>
      <c r="BT125" s="2">
        <v>352.32</v>
      </c>
      <c r="BU125" s="2">
        <v>373.76</v>
      </c>
      <c r="BV125" s="2">
        <v>374.06</v>
      </c>
      <c r="BW125" s="2">
        <v>325.31</v>
      </c>
      <c r="BX125" s="2">
        <v>317.64999999999998</v>
      </c>
      <c r="BY125" s="2">
        <v>448.38</v>
      </c>
      <c r="BZ125" s="2">
        <v>338.56</v>
      </c>
      <c r="CA125" s="2">
        <v>371.64</v>
      </c>
      <c r="CB125" s="2">
        <v>373.42</v>
      </c>
      <c r="CC125" s="2">
        <v>370.47</v>
      </c>
      <c r="CD125" s="2">
        <v>365.18</v>
      </c>
      <c r="CE125" s="2">
        <v>369.26</v>
      </c>
      <c r="CF125" s="2">
        <v>363.57</v>
      </c>
      <c r="CG125" s="2">
        <v>367.44</v>
      </c>
      <c r="CH125" s="2">
        <v>390.31</v>
      </c>
      <c r="CI125" s="2">
        <v>500.91</v>
      </c>
      <c r="CJ125" s="2">
        <v>606.91999999999996</v>
      </c>
      <c r="CK125" s="2">
        <v>508.26</v>
      </c>
      <c r="CL125" s="2">
        <v>789.68</v>
      </c>
    </row>
    <row r="126" spans="2:90" x14ac:dyDescent="0.3">
      <c r="X126" s="1" t="s">
        <v>26</v>
      </c>
      <c r="Y126" s="2">
        <v>56.34</v>
      </c>
      <c r="Z126" s="2">
        <v>221.05</v>
      </c>
      <c r="AA126" s="2">
        <v>41.53</v>
      </c>
      <c r="AB126" s="2">
        <v>20.87</v>
      </c>
      <c r="AC126" s="2">
        <v>96.09</v>
      </c>
      <c r="AD126" s="2">
        <v>102.85</v>
      </c>
      <c r="AE126" s="2">
        <v>243.66</v>
      </c>
      <c r="AF126" s="2">
        <v>183.6</v>
      </c>
      <c r="AG126" s="2">
        <v>244.6</v>
      </c>
      <c r="AH126" s="2">
        <v>204.86</v>
      </c>
      <c r="AI126" s="2">
        <v>40.96</v>
      </c>
      <c r="AJ126" s="2">
        <v>140.6</v>
      </c>
      <c r="AK126" s="2">
        <v>48.33</v>
      </c>
      <c r="AL126" s="2">
        <v>16.91</v>
      </c>
      <c r="AM126" s="2">
        <v>56.34</v>
      </c>
      <c r="AN126" s="2">
        <v>106.98</v>
      </c>
      <c r="AO126" s="2">
        <v>195.97</v>
      </c>
      <c r="AP126" s="2">
        <v>137.74</v>
      </c>
      <c r="AQ126" s="2">
        <v>219</v>
      </c>
      <c r="AR126" s="2">
        <v>150.52000000000001</v>
      </c>
      <c r="AU126" s="1" t="s">
        <v>26</v>
      </c>
      <c r="AV126" s="2">
        <v>56.34</v>
      </c>
      <c r="AW126" s="2">
        <v>221.05</v>
      </c>
      <c r="AX126" s="2">
        <v>41.53</v>
      </c>
      <c r="AY126" s="2">
        <v>20.87</v>
      </c>
      <c r="AZ126" s="2">
        <v>96.09</v>
      </c>
      <c r="BA126" s="2">
        <v>102.85</v>
      </c>
      <c r="BB126" s="2">
        <v>243.66</v>
      </c>
      <c r="BC126" s="2">
        <v>183.6</v>
      </c>
      <c r="BD126" s="2">
        <v>244.6</v>
      </c>
      <c r="BE126" s="2">
        <v>204.86</v>
      </c>
      <c r="BF126" s="2">
        <v>40.96</v>
      </c>
      <c r="BG126" s="2">
        <v>140.6</v>
      </c>
      <c r="BH126" s="2">
        <v>48.33</v>
      </c>
      <c r="BI126" s="2">
        <v>16.91</v>
      </c>
      <c r="BJ126" s="2">
        <v>56.34</v>
      </c>
      <c r="BK126" s="2">
        <v>106.98</v>
      </c>
      <c r="BL126" s="2">
        <v>195.97</v>
      </c>
      <c r="BM126" s="2">
        <v>137.74</v>
      </c>
      <c r="BN126" s="2">
        <v>219</v>
      </c>
      <c r="BO126" s="2">
        <v>150.52000000000001</v>
      </c>
      <c r="BR126" s="1" t="s">
        <v>26</v>
      </c>
      <c r="BS126" s="2">
        <v>288.27</v>
      </c>
      <c r="BT126" s="2">
        <v>331.96</v>
      </c>
      <c r="BU126" s="2">
        <v>337.46</v>
      </c>
      <c r="BV126" s="2">
        <v>337.9</v>
      </c>
      <c r="BW126" s="2">
        <v>311.69</v>
      </c>
      <c r="BX126" s="2">
        <v>304.8</v>
      </c>
      <c r="BY126" s="2">
        <v>343.55</v>
      </c>
      <c r="BZ126" s="2">
        <v>353.16</v>
      </c>
      <c r="CA126" s="2">
        <v>425.45</v>
      </c>
      <c r="CB126" s="2">
        <v>355.26</v>
      </c>
      <c r="CC126" s="2">
        <v>356.25</v>
      </c>
      <c r="CD126" s="2">
        <v>357.64</v>
      </c>
      <c r="CE126" s="2">
        <v>354.56</v>
      </c>
      <c r="CF126" s="2">
        <v>358.65</v>
      </c>
      <c r="CG126" s="2">
        <v>356.26</v>
      </c>
      <c r="CH126" s="2">
        <v>356.28</v>
      </c>
      <c r="CI126" s="2">
        <v>402.32</v>
      </c>
      <c r="CJ126" s="2">
        <v>358.54</v>
      </c>
      <c r="CK126" s="2">
        <v>467.15</v>
      </c>
      <c r="CL126" s="2">
        <v>624.47</v>
      </c>
    </row>
    <row r="127" spans="2:90" x14ac:dyDescent="0.3">
      <c r="X127" s="1" t="s">
        <v>27</v>
      </c>
      <c r="Y127" s="2">
        <v>149.69</v>
      </c>
      <c r="Z127" s="2">
        <v>553.95000000000005</v>
      </c>
      <c r="AA127" s="2">
        <v>101</v>
      </c>
      <c r="AB127" s="2">
        <v>56.43</v>
      </c>
      <c r="AC127" s="2">
        <v>236.44</v>
      </c>
      <c r="AD127" s="2">
        <v>226.42</v>
      </c>
      <c r="AE127" s="2">
        <v>557.61</v>
      </c>
      <c r="AF127" s="2">
        <v>404.65</v>
      </c>
      <c r="AG127" s="2">
        <v>549.79</v>
      </c>
      <c r="AH127" s="2">
        <v>500.44</v>
      </c>
      <c r="AI127" s="2">
        <v>177.83</v>
      </c>
      <c r="AJ127" s="2">
        <v>522.98</v>
      </c>
      <c r="AK127" s="2">
        <v>137.63</v>
      </c>
      <c r="AL127" s="2">
        <v>52.36</v>
      </c>
      <c r="AM127" s="2">
        <v>222.74</v>
      </c>
      <c r="AN127" s="2">
        <v>283.77999999999997</v>
      </c>
      <c r="AO127" s="2">
        <v>484.02</v>
      </c>
      <c r="AP127" s="2">
        <v>344.82</v>
      </c>
      <c r="AQ127" s="2">
        <v>559.57000000000005</v>
      </c>
      <c r="AR127" s="2">
        <v>303.55</v>
      </c>
      <c r="AU127" s="1" t="s">
        <v>27</v>
      </c>
      <c r="AV127" s="2">
        <v>149.69</v>
      </c>
      <c r="AW127" s="2">
        <v>553.95000000000005</v>
      </c>
      <c r="AX127" s="2">
        <v>101</v>
      </c>
      <c r="AY127" s="2">
        <v>56.43</v>
      </c>
      <c r="AZ127" s="2">
        <v>236.44</v>
      </c>
      <c r="BA127" s="2">
        <v>226.42</v>
      </c>
      <c r="BB127" s="2">
        <v>557.61</v>
      </c>
      <c r="BC127" s="2">
        <v>404.65</v>
      </c>
      <c r="BD127" s="2">
        <v>549.79</v>
      </c>
      <c r="BE127" s="2">
        <v>500.44</v>
      </c>
      <c r="BF127" s="2">
        <v>177.83</v>
      </c>
      <c r="BG127" s="2">
        <v>522.98</v>
      </c>
      <c r="BH127" s="2">
        <v>137.63</v>
      </c>
      <c r="BI127" s="2">
        <v>52.36</v>
      </c>
      <c r="BJ127" s="2">
        <v>222.74</v>
      </c>
      <c r="BK127" s="2">
        <v>283.77999999999997</v>
      </c>
      <c r="BL127" s="2">
        <v>484.02</v>
      </c>
      <c r="BM127" s="2">
        <v>344.82</v>
      </c>
      <c r="BN127" s="2">
        <v>559.57000000000005</v>
      </c>
      <c r="BO127" s="2">
        <v>303.55</v>
      </c>
      <c r="BR127" s="1" t="s">
        <v>27</v>
      </c>
      <c r="BS127" s="2">
        <v>291.32</v>
      </c>
      <c r="BT127" s="2">
        <v>288.39</v>
      </c>
      <c r="BU127" s="2">
        <v>400.91</v>
      </c>
      <c r="BV127" s="2">
        <v>307.17</v>
      </c>
      <c r="BW127" s="2">
        <v>363.08</v>
      </c>
      <c r="BX127" s="2">
        <v>301.16000000000003</v>
      </c>
      <c r="BY127" s="2">
        <v>378.52</v>
      </c>
      <c r="BZ127" s="2">
        <v>297.77</v>
      </c>
      <c r="CA127" s="2">
        <v>462.58</v>
      </c>
      <c r="CB127" s="2">
        <v>327.47000000000003</v>
      </c>
      <c r="CC127" s="2">
        <v>426.56</v>
      </c>
      <c r="CD127" s="2">
        <v>326.67</v>
      </c>
      <c r="CE127" s="2">
        <v>425.78</v>
      </c>
      <c r="CF127" s="2">
        <v>326.88</v>
      </c>
      <c r="CG127" s="2">
        <v>423.16</v>
      </c>
      <c r="CH127" s="2">
        <v>325.05</v>
      </c>
      <c r="CI127" s="2">
        <v>457.49</v>
      </c>
      <c r="CJ127" s="2">
        <v>470.71</v>
      </c>
      <c r="CK127" s="2">
        <v>512.6</v>
      </c>
      <c r="CL127" s="2">
        <v>542.98</v>
      </c>
    </row>
    <row r="128" spans="2:90" x14ac:dyDescent="0.3">
      <c r="X128" s="1" t="s">
        <v>28</v>
      </c>
      <c r="Y128" s="2">
        <v>77.08</v>
      </c>
      <c r="Z128" s="2">
        <v>208.79</v>
      </c>
      <c r="AA128" s="2">
        <v>32.49</v>
      </c>
      <c r="AB128" s="2">
        <v>14.43</v>
      </c>
      <c r="AC128" s="2">
        <v>50.41</v>
      </c>
      <c r="AD128" s="2">
        <v>94.02</v>
      </c>
      <c r="AE128" s="2">
        <v>124.07</v>
      </c>
      <c r="AF128" s="2">
        <v>104.78</v>
      </c>
      <c r="AG128" s="2">
        <v>116.24</v>
      </c>
      <c r="AH128" s="2">
        <v>153.44</v>
      </c>
      <c r="AI128" s="2">
        <v>61.8</v>
      </c>
      <c r="AJ128" s="2">
        <v>128.16999999999999</v>
      </c>
      <c r="AK128" s="2">
        <v>38.340000000000003</v>
      </c>
      <c r="AL128" s="2">
        <v>15.43</v>
      </c>
      <c r="AM128" s="2">
        <v>51.8</v>
      </c>
      <c r="AN128" s="2">
        <v>46.73</v>
      </c>
      <c r="AO128" s="2">
        <v>96.37</v>
      </c>
      <c r="AP128" s="2">
        <v>107.84</v>
      </c>
      <c r="AQ128" s="2">
        <v>135.76</v>
      </c>
      <c r="AR128" s="2">
        <v>102.81</v>
      </c>
      <c r="AU128" s="1" t="s">
        <v>28</v>
      </c>
      <c r="AV128" s="2">
        <v>77.08</v>
      </c>
      <c r="AW128" s="2">
        <v>208.79</v>
      </c>
      <c r="AX128" s="2">
        <v>32.49</v>
      </c>
      <c r="AY128" s="2">
        <v>14.43</v>
      </c>
      <c r="AZ128" s="2">
        <v>50.41</v>
      </c>
      <c r="BA128" s="2">
        <v>94.02</v>
      </c>
      <c r="BB128" s="2">
        <v>124.07</v>
      </c>
      <c r="BC128" s="2">
        <v>104.78</v>
      </c>
      <c r="BD128" s="2">
        <v>116.24</v>
      </c>
      <c r="BE128" s="2">
        <v>153.44</v>
      </c>
      <c r="BF128" s="2">
        <v>61.8</v>
      </c>
      <c r="BG128" s="2">
        <v>128.16999999999999</v>
      </c>
      <c r="BH128" s="2">
        <v>38.340000000000003</v>
      </c>
      <c r="BI128" s="2">
        <v>15.43</v>
      </c>
      <c r="BJ128" s="2">
        <v>51.8</v>
      </c>
      <c r="BK128" s="2">
        <v>46.73</v>
      </c>
      <c r="BL128" s="2">
        <v>96.37</v>
      </c>
      <c r="BM128" s="2">
        <v>107.84</v>
      </c>
      <c r="BN128" s="2">
        <v>135.76</v>
      </c>
      <c r="BO128" s="2">
        <v>102.81</v>
      </c>
      <c r="BR128" s="1" t="s">
        <v>28</v>
      </c>
      <c r="BS128" s="2">
        <v>501.65</v>
      </c>
      <c r="BT128" s="2">
        <v>382.97</v>
      </c>
      <c r="BU128" s="2">
        <v>458.84</v>
      </c>
      <c r="BV128" s="2">
        <v>476.02</v>
      </c>
      <c r="BW128" s="2">
        <v>508.88</v>
      </c>
      <c r="BX128" s="2">
        <v>522.28</v>
      </c>
      <c r="BY128" s="2">
        <v>656.52</v>
      </c>
      <c r="BZ128" s="2">
        <v>499.42</v>
      </c>
      <c r="CA128" s="2">
        <v>722.07</v>
      </c>
      <c r="CB128" s="2">
        <v>610.58000000000004</v>
      </c>
      <c r="CC128" s="2">
        <v>625.26</v>
      </c>
      <c r="CD128" s="2">
        <v>602.96</v>
      </c>
      <c r="CE128" s="2">
        <v>633</v>
      </c>
      <c r="CF128" s="2">
        <v>594.42999999999995</v>
      </c>
      <c r="CG128" s="2">
        <v>630</v>
      </c>
      <c r="CH128" s="2">
        <v>610.41999999999996</v>
      </c>
      <c r="CI128" s="2">
        <v>634.13</v>
      </c>
      <c r="CJ128" s="2">
        <v>730</v>
      </c>
      <c r="CK128" s="2">
        <v>617.52</v>
      </c>
      <c r="CL128" s="2">
        <v>949.99</v>
      </c>
    </row>
    <row r="131" spans="24:67" x14ac:dyDescent="0.3">
      <c r="X131" t="s">
        <v>60</v>
      </c>
      <c r="AU131" t="s">
        <v>61</v>
      </c>
    </row>
    <row r="132" spans="24:67" x14ac:dyDescent="0.3">
      <c r="X132" s="1" t="s">
        <v>16</v>
      </c>
      <c r="Y132" s="1" t="s">
        <v>17</v>
      </c>
      <c r="Z132" s="1" t="s">
        <v>18</v>
      </c>
      <c r="AA132" s="1" t="s">
        <v>17</v>
      </c>
      <c r="AB132" s="1" t="s">
        <v>18</v>
      </c>
      <c r="AC132" s="1" t="s">
        <v>17</v>
      </c>
      <c r="AD132" s="1" t="s">
        <v>18</v>
      </c>
      <c r="AE132" s="1" t="s">
        <v>17</v>
      </c>
      <c r="AF132" s="1" t="s">
        <v>18</v>
      </c>
      <c r="AG132" s="1" t="s">
        <v>17</v>
      </c>
      <c r="AH132" s="1" t="s">
        <v>18</v>
      </c>
      <c r="AI132" s="1" t="s">
        <v>17</v>
      </c>
      <c r="AJ132" s="1" t="s">
        <v>18</v>
      </c>
      <c r="AK132" s="1" t="s">
        <v>17</v>
      </c>
      <c r="AL132" s="1" t="s">
        <v>18</v>
      </c>
      <c r="AM132" s="1" t="s">
        <v>17</v>
      </c>
      <c r="AN132" s="1" t="s">
        <v>18</v>
      </c>
      <c r="AO132" s="1" t="s">
        <v>17</v>
      </c>
      <c r="AP132" s="1" t="s">
        <v>18</v>
      </c>
      <c r="AQ132" s="1" t="s">
        <v>17</v>
      </c>
      <c r="AR132" s="1" t="s">
        <v>18</v>
      </c>
      <c r="AU132" s="1" t="s">
        <v>16</v>
      </c>
      <c r="AV132" s="1" t="s">
        <v>17</v>
      </c>
      <c r="AW132" s="1" t="s">
        <v>18</v>
      </c>
      <c r="AX132" s="1" t="s">
        <v>17</v>
      </c>
      <c r="AY132" s="1" t="s">
        <v>18</v>
      </c>
      <c r="AZ132" s="1" t="s">
        <v>17</v>
      </c>
      <c r="BA132" s="1" t="s">
        <v>18</v>
      </c>
      <c r="BB132" s="1" t="s">
        <v>17</v>
      </c>
      <c r="BC132" s="1" t="s">
        <v>18</v>
      </c>
      <c r="BD132" s="1" t="s">
        <v>17</v>
      </c>
      <c r="BE132" s="1" t="s">
        <v>18</v>
      </c>
      <c r="BF132" s="1" t="s">
        <v>17</v>
      </c>
      <c r="BG132" s="1" t="s">
        <v>18</v>
      </c>
      <c r="BH132" s="1" t="s">
        <v>17</v>
      </c>
      <c r="BI132" s="1" t="s">
        <v>18</v>
      </c>
      <c r="BJ132" s="1" t="s">
        <v>17</v>
      </c>
      <c r="BK132" s="1" t="s">
        <v>18</v>
      </c>
      <c r="BL132" s="1" t="s">
        <v>17</v>
      </c>
      <c r="BM132" s="1" t="s">
        <v>18</v>
      </c>
      <c r="BN132" s="1" t="s">
        <v>17</v>
      </c>
      <c r="BO132" s="1" t="s">
        <v>18</v>
      </c>
    </row>
    <row r="133" spans="24:67" x14ac:dyDescent="0.3">
      <c r="X133" s="1" t="s">
        <v>19</v>
      </c>
      <c r="Y133" s="1" t="s">
        <v>1</v>
      </c>
      <c r="Z133" s="1" t="s">
        <v>1</v>
      </c>
      <c r="AA133" s="1" t="s">
        <v>2</v>
      </c>
      <c r="AB133" s="1" t="s">
        <v>2</v>
      </c>
      <c r="AC133" s="1" t="s">
        <v>3</v>
      </c>
      <c r="AD133" s="1" t="s">
        <v>3</v>
      </c>
      <c r="AE133" s="1" t="s">
        <v>4</v>
      </c>
      <c r="AF133" s="1" t="s">
        <v>4</v>
      </c>
      <c r="AG133" s="1" t="s">
        <v>5</v>
      </c>
      <c r="AH133" s="1" t="s">
        <v>5</v>
      </c>
      <c r="AI133" s="1" t="s">
        <v>6</v>
      </c>
      <c r="AJ133" s="1" t="s">
        <v>6</v>
      </c>
      <c r="AK133" s="1" t="s">
        <v>7</v>
      </c>
      <c r="AL133" s="1" t="s">
        <v>7</v>
      </c>
      <c r="AM133" s="1" t="s">
        <v>8</v>
      </c>
      <c r="AN133" s="1" t="s">
        <v>8</v>
      </c>
      <c r="AO133" s="1" t="s">
        <v>9</v>
      </c>
      <c r="AP133" s="1" t="s">
        <v>9</v>
      </c>
      <c r="AQ133" s="1" t="s">
        <v>10</v>
      </c>
      <c r="AR133" s="1" t="s">
        <v>10</v>
      </c>
      <c r="AU133" s="1" t="s">
        <v>19</v>
      </c>
      <c r="AV133" s="1" t="s">
        <v>1</v>
      </c>
      <c r="AW133" s="1" t="s">
        <v>1</v>
      </c>
      <c r="AX133" s="1" t="s">
        <v>2</v>
      </c>
      <c r="AY133" s="1" t="s">
        <v>2</v>
      </c>
      <c r="AZ133" s="1" t="s">
        <v>3</v>
      </c>
      <c r="BA133" s="1" t="s">
        <v>3</v>
      </c>
      <c r="BB133" s="1" t="s">
        <v>4</v>
      </c>
      <c r="BC133" s="1" t="s">
        <v>4</v>
      </c>
      <c r="BD133" s="1" t="s">
        <v>5</v>
      </c>
      <c r="BE133" s="1" t="s">
        <v>5</v>
      </c>
      <c r="BF133" s="1" t="s">
        <v>6</v>
      </c>
      <c r="BG133" s="1" t="s">
        <v>6</v>
      </c>
      <c r="BH133" s="1" t="s">
        <v>7</v>
      </c>
      <c r="BI133" s="1" t="s">
        <v>7</v>
      </c>
      <c r="BJ133" s="1" t="s">
        <v>8</v>
      </c>
      <c r="BK133" s="1" t="s">
        <v>8</v>
      </c>
      <c r="BL133" s="1" t="s">
        <v>9</v>
      </c>
      <c r="BM133" s="1" t="s">
        <v>9</v>
      </c>
      <c r="BN133" s="1" t="s">
        <v>10</v>
      </c>
      <c r="BO133" s="1" t="s">
        <v>10</v>
      </c>
    </row>
    <row r="134" spans="24:67" x14ac:dyDescent="0.3">
      <c r="X134" s="1" t="s">
        <v>20</v>
      </c>
      <c r="AU134" s="1" t="s">
        <v>20</v>
      </c>
    </row>
    <row r="135" spans="24:67" x14ac:dyDescent="0.3">
      <c r="X135" s="1" t="s">
        <v>21</v>
      </c>
      <c r="Y135" s="2">
        <v>41.23</v>
      </c>
      <c r="Z135" s="2">
        <v>43.42</v>
      </c>
      <c r="AA135" s="2">
        <v>31.36</v>
      </c>
      <c r="AB135" s="2">
        <v>31.36</v>
      </c>
      <c r="AC135" s="2">
        <v>32.69</v>
      </c>
      <c r="AD135" s="2">
        <v>48.94</v>
      </c>
      <c r="AE135" s="2">
        <v>36.51</v>
      </c>
      <c r="AF135" s="2">
        <v>47.8</v>
      </c>
      <c r="AG135" s="2">
        <v>42.05</v>
      </c>
      <c r="AH135" s="2">
        <v>35.82</v>
      </c>
      <c r="AI135" s="2">
        <v>33.21</v>
      </c>
      <c r="AJ135" s="2">
        <v>37.590000000000003</v>
      </c>
      <c r="AK135" s="2">
        <v>38.799999999999997</v>
      </c>
      <c r="AL135" s="2">
        <v>35.630000000000003</v>
      </c>
      <c r="AM135" s="2">
        <v>32.79</v>
      </c>
      <c r="AN135" s="2">
        <v>33.94</v>
      </c>
      <c r="AO135" s="2">
        <v>40.47</v>
      </c>
      <c r="AP135" s="2">
        <v>33.6</v>
      </c>
      <c r="AQ135" s="2">
        <v>40.17</v>
      </c>
      <c r="AR135" s="2">
        <v>38.29</v>
      </c>
      <c r="AU135" s="1" t="s">
        <v>21</v>
      </c>
      <c r="AV135" s="2">
        <v>371.07</v>
      </c>
      <c r="AW135" s="2">
        <v>390.82</v>
      </c>
      <c r="AX135" s="2">
        <v>282.24</v>
      </c>
      <c r="AY135" s="2">
        <v>282.24</v>
      </c>
      <c r="AZ135" s="2">
        <v>294.20999999999998</v>
      </c>
      <c r="BA135" s="2">
        <v>440.5</v>
      </c>
      <c r="BB135" s="2">
        <v>328.58</v>
      </c>
      <c r="BC135" s="2">
        <v>430.17</v>
      </c>
      <c r="BD135" s="2">
        <v>378.46</v>
      </c>
      <c r="BE135" s="2">
        <v>322.36</v>
      </c>
      <c r="BF135" s="2">
        <v>298.89999999999998</v>
      </c>
      <c r="BG135" s="2">
        <v>338.27</v>
      </c>
      <c r="BH135" s="2">
        <v>349.24</v>
      </c>
      <c r="BI135" s="2">
        <v>320.67</v>
      </c>
      <c r="BJ135" s="2">
        <v>295.11</v>
      </c>
      <c r="BK135" s="2">
        <v>305.43</v>
      </c>
      <c r="BL135" s="2">
        <v>364.2</v>
      </c>
      <c r="BM135" s="2">
        <v>302.39999999999998</v>
      </c>
      <c r="BN135" s="2">
        <v>361.49</v>
      </c>
      <c r="BO135" s="2">
        <v>344.61</v>
      </c>
    </row>
    <row r="136" spans="24:67" x14ac:dyDescent="0.3">
      <c r="X136" s="1" t="s">
        <v>22</v>
      </c>
      <c r="Y136" s="2">
        <v>37.79</v>
      </c>
      <c r="Z136" s="2">
        <v>31.06</v>
      </c>
      <c r="AA136" s="2">
        <v>22.05</v>
      </c>
      <c r="AB136" s="2">
        <v>25.79</v>
      </c>
      <c r="AC136" s="2">
        <v>27.84</v>
      </c>
      <c r="AD136" s="2">
        <v>42.72</v>
      </c>
      <c r="AE136" s="2">
        <v>31.62</v>
      </c>
      <c r="AF136" s="2">
        <v>64.58</v>
      </c>
      <c r="AG136" s="2">
        <v>40.85</v>
      </c>
      <c r="AH136" s="2">
        <v>51.01</v>
      </c>
      <c r="AI136" s="2">
        <v>28.15</v>
      </c>
      <c r="AJ136" s="2">
        <v>58.84</v>
      </c>
      <c r="AK136" s="2">
        <v>44.09</v>
      </c>
      <c r="AL136" s="2">
        <v>55.4</v>
      </c>
      <c r="AM136" s="2">
        <v>43.46</v>
      </c>
      <c r="AN136" s="2">
        <v>36.78</v>
      </c>
      <c r="AO136" s="2">
        <v>38.049999999999997</v>
      </c>
      <c r="AP136" s="2">
        <v>31.56</v>
      </c>
      <c r="AQ136" s="2">
        <v>35.01</v>
      </c>
      <c r="AR136" s="2">
        <v>30.54</v>
      </c>
      <c r="AU136" s="1" t="s">
        <v>22</v>
      </c>
      <c r="AV136" s="2">
        <v>202.47</v>
      </c>
      <c r="AW136" s="2">
        <v>158.28</v>
      </c>
      <c r="AX136" s="2">
        <v>112.66</v>
      </c>
      <c r="AY136" s="2">
        <v>123.08</v>
      </c>
      <c r="AZ136" s="2">
        <v>113.96</v>
      </c>
      <c r="BA136" s="2">
        <v>202.76</v>
      </c>
      <c r="BB136" s="2">
        <v>166.26</v>
      </c>
      <c r="BC136" s="2">
        <v>202.85</v>
      </c>
      <c r="BD136" s="2">
        <v>163.11000000000001</v>
      </c>
      <c r="BE136" s="2">
        <v>215.89</v>
      </c>
      <c r="BF136" s="2">
        <v>163.29</v>
      </c>
      <c r="BG136" s="2">
        <v>237.56</v>
      </c>
      <c r="BH136" s="2">
        <v>157.63999999999999</v>
      </c>
      <c r="BI136" s="2">
        <v>193.12</v>
      </c>
      <c r="BJ136" s="2">
        <v>154.16999999999999</v>
      </c>
      <c r="BK136" s="2">
        <v>166.52</v>
      </c>
      <c r="BL136" s="2">
        <v>134.61000000000001</v>
      </c>
      <c r="BM136" s="2">
        <v>163.62</v>
      </c>
      <c r="BN136" s="2">
        <v>205.44</v>
      </c>
      <c r="BO136" s="2">
        <v>159.56</v>
      </c>
    </row>
    <row r="137" spans="24:67" x14ac:dyDescent="0.3">
      <c r="X137" s="1" t="s">
        <v>23</v>
      </c>
      <c r="Y137" s="2">
        <v>228.3</v>
      </c>
      <c r="Z137" s="2">
        <v>87.73</v>
      </c>
      <c r="AA137" s="2">
        <v>181.36</v>
      </c>
      <c r="AB137" s="2">
        <v>73.87</v>
      </c>
      <c r="AC137" s="2">
        <v>211.53</v>
      </c>
      <c r="AD137" s="2">
        <v>219.69</v>
      </c>
      <c r="AE137" s="2">
        <v>232.41</v>
      </c>
      <c r="AF137" s="2">
        <v>316.42</v>
      </c>
      <c r="AG137" s="2">
        <v>259.62</v>
      </c>
      <c r="AH137" s="2">
        <v>298.27999999999997</v>
      </c>
      <c r="AI137" s="2">
        <v>247.2</v>
      </c>
      <c r="AJ137" s="2">
        <v>316.60000000000002</v>
      </c>
      <c r="AK137" s="2">
        <v>258.68</v>
      </c>
      <c r="AL137" s="2">
        <v>295.86</v>
      </c>
      <c r="AM137" s="2">
        <v>241.48</v>
      </c>
      <c r="AN137" s="2">
        <v>243.55</v>
      </c>
      <c r="AO137" s="2">
        <v>256.93</v>
      </c>
      <c r="AP137" s="2">
        <v>227.68</v>
      </c>
      <c r="AQ137" s="2">
        <v>181.47</v>
      </c>
      <c r="AR137" s="2">
        <v>152.63999999999999</v>
      </c>
      <c r="AU137" s="1" t="s">
        <v>23</v>
      </c>
      <c r="AV137" s="2">
        <v>669.08</v>
      </c>
      <c r="AW137" s="2">
        <v>446.93</v>
      </c>
      <c r="AX137" s="2">
        <v>551.27</v>
      </c>
      <c r="AY137" s="2">
        <v>351.35</v>
      </c>
      <c r="AZ137" s="2">
        <v>563.77</v>
      </c>
      <c r="BA137" s="2">
        <v>903.17</v>
      </c>
      <c r="BB137" s="2">
        <v>732.93</v>
      </c>
      <c r="BC137" s="2">
        <v>787.65</v>
      </c>
      <c r="BD137" s="2">
        <v>861.52</v>
      </c>
      <c r="BE137" s="2">
        <v>838.82</v>
      </c>
      <c r="BF137" s="2">
        <v>811.83</v>
      </c>
      <c r="BG137" s="2">
        <v>875.39</v>
      </c>
      <c r="BH137" s="2">
        <v>820.86</v>
      </c>
      <c r="BI137" s="2">
        <v>777.5</v>
      </c>
      <c r="BJ137" s="2">
        <v>754.59</v>
      </c>
      <c r="BK137" s="2">
        <v>692.57</v>
      </c>
      <c r="BL137" s="2">
        <v>667.97</v>
      </c>
      <c r="BM137" s="2">
        <v>761.11</v>
      </c>
      <c r="BN137" s="2">
        <v>613.04999999999995</v>
      </c>
      <c r="BO137" s="2">
        <v>584.67999999999995</v>
      </c>
    </row>
    <row r="138" spans="24:67" x14ac:dyDescent="0.3">
      <c r="X138" s="1" t="s">
        <v>24</v>
      </c>
      <c r="Y138" s="2">
        <v>60.57</v>
      </c>
      <c r="Z138" s="2">
        <v>28.47</v>
      </c>
      <c r="AA138" s="2">
        <v>53.4</v>
      </c>
      <c r="AB138" s="2">
        <v>32.06</v>
      </c>
      <c r="AC138" s="2">
        <v>66.739999999999995</v>
      </c>
      <c r="AD138" s="2">
        <v>59.53</v>
      </c>
      <c r="AE138" s="2">
        <v>86.33</v>
      </c>
      <c r="AF138" s="2">
        <v>76.010000000000005</v>
      </c>
      <c r="AG138" s="2">
        <v>79.75</v>
      </c>
      <c r="AH138" s="2">
        <v>85.21</v>
      </c>
      <c r="AI138" s="2">
        <v>84.48</v>
      </c>
      <c r="AJ138" s="2">
        <v>85.38</v>
      </c>
      <c r="AK138" s="2">
        <v>65.959999999999994</v>
      </c>
      <c r="AL138" s="2">
        <v>76.42</v>
      </c>
      <c r="AM138" s="2">
        <v>89.22</v>
      </c>
      <c r="AN138" s="2">
        <v>48.11</v>
      </c>
      <c r="AO138" s="2">
        <v>44.37</v>
      </c>
      <c r="AP138" s="2">
        <v>51.89</v>
      </c>
      <c r="AQ138" s="2">
        <v>56.42</v>
      </c>
      <c r="AR138" s="2">
        <v>44.44</v>
      </c>
      <c r="AU138" s="1" t="s">
        <v>24</v>
      </c>
      <c r="AV138" s="2">
        <v>209.41</v>
      </c>
      <c r="AW138" s="2">
        <v>139</v>
      </c>
      <c r="AX138" s="2">
        <v>137.69</v>
      </c>
      <c r="AY138" s="2">
        <v>152.24</v>
      </c>
      <c r="AZ138" s="2">
        <v>146.76</v>
      </c>
      <c r="BA138" s="2">
        <v>208.99</v>
      </c>
      <c r="BB138" s="2">
        <v>227.31</v>
      </c>
      <c r="BC138" s="2">
        <v>193.45</v>
      </c>
      <c r="BD138" s="2">
        <v>220.3</v>
      </c>
      <c r="BE138" s="2">
        <v>246.5</v>
      </c>
      <c r="BF138" s="2">
        <v>232.8</v>
      </c>
      <c r="BG138" s="2">
        <v>254.39</v>
      </c>
      <c r="BH138" s="2">
        <v>263.20999999999998</v>
      </c>
      <c r="BI138" s="2">
        <v>216.09</v>
      </c>
      <c r="BJ138" s="2">
        <v>243.17</v>
      </c>
      <c r="BK138" s="2">
        <v>250.56</v>
      </c>
      <c r="BL138" s="2">
        <v>236.74</v>
      </c>
      <c r="BM138" s="2">
        <v>191.12</v>
      </c>
      <c r="BN138" s="2">
        <v>206.81</v>
      </c>
      <c r="BO138" s="2">
        <v>179.62</v>
      </c>
    </row>
    <row r="139" spans="24:67" x14ac:dyDescent="0.3">
      <c r="X139" s="1" t="s">
        <v>25</v>
      </c>
      <c r="Y139" s="2">
        <v>215.92</v>
      </c>
      <c r="Z139" s="2">
        <v>182.73</v>
      </c>
      <c r="AA139" s="2">
        <v>167.47</v>
      </c>
      <c r="AB139" s="2">
        <v>221.18</v>
      </c>
      <c r="AC139" s="2">
        <v>210.91</v>
      </c>
      <c r="AD139" s="2">
        <v>209.27</v>
      </c>
      <c r="AE139" s="2">
        <v>254</v>
      </c>
      <c r="AF139" s="2">
        <v>298.76</v>
      </c>
      <c r="AG139" s="2">
        <v>338.98</v>
      </c>
      <c r="AH139" s="2">
        <v>294.20999999999998</v>
      </c>
      <c r="AI139" s="2">
        <v>338.7</v>
      </c>
      <c r="AJ139" s="2">
        <v>306.67</v>
      </c>
      <c r="AK139" s="2">
        <v>339.96</v>
      </c>
      <c r="AL139" s="2">
        <v>296.32</v>
      </c>
      <c r="AM139" s="2">
        <v>334.6</v>
      </c>
      <c r="AN139" s="2">
        <v>293.33</v>
      </c>
      <c r="AO139" s="2">
        <v>213.61</v>
      </c>
      <c r="AP139" s="2">
        <v>177.49</v>
      </c>
      <c r="AQ139" s="2">
        <v>245.43</v>
      </c>
      <c r="AR139" s="2">
        <v>179.99</v>
      </c>
      <c r="AU139" s="1" t="s">
        <v>25</v>
      </c>
      <c r="AV139" s="2">
        <v>534</v>
      </c>
      <c r="AW139" s="2">
        <v>770.31</v>
      </c>
      <c r="AX139" s="2">
        <v>735.38</v>
      </c>
      <c r="AY139" s="2">
        <v>1134.47</v>
      </c>
      <c r="AZ139" s="2">
        <v>513.35</v>
      </c>
      <c r="BA139" s="2">
        <v>535.21</v>
      </c>
      <c r="BB139" s="2">
        <v>1250.8</v>
      </c>
      <c r="BC139" s="2">
        <v>847.6</v>
      </c>
      <c r="BD139" s="2">
        <v>1090.23</v>
      </c>
      <c r="BE139" s="2">
        <v>931.8</v>
      </c>
      <c r="BF139" s="2">
        <v>1082.45</v>
      </c>
      <c r="BG139" s="2">
        <v>1000.28</v>
      </c>
      <c r="BH139" s="2">
        <v>1078.22</v>
      </c>
      <c r="BI139" s="2">
        <v>971.53</v>
      </c>
      <c r="BJ139" s="2">
        <v>1049.94</v>
      </c>
      <c r="BK139" s="2">
        <v>960.8</v>
      </c>
      <c r="BL139" s="2">
        <v>1126.3900000000001</v>
      </c>
      <c r="BM139" s="2">
        <v>765.38</v>
      </c>
      <c r="BN139" s="2">
        <v>932.57</v>
      </c>
      <c r="BO139" s="2">
        <v>965.23</v>
      </c>
    </row>
    <row r="140" spans="24:67" x14ac:dyDescent="0.3">
      <c r="X140" s="1" t="s">
        <v>26</v>
      </c>
      <c r="Y140" s="2">
        <v>43.34</v>
      </c>
      <c r="Z140" s="2">
        <v>31.51</v>
      </c>
      <c r="AA140" s="2">
        <v>31.95</v>
      </c>
      <c r="AB140" s="2">
        <v>37.17</v>
      </c>
      <c r="AC140" s="2">
        <v>41.75</v>
      </c>
      <c r="AD140" s="2">
        <v>33.82</v>
      </c>
      <c r="AE140" s="2">
        <v>60.06</v>
      </c>
      <c r="AF140" s="2">
        <v>35.21</v>
      </c>
      <c r="AG140" s="2">
        <v>51.43</v>
      </c>
      <c r="AH140" s="2">
        <v>53.49</v>
      </c>
      <c r="AI140" s="2">
        <v>67.680000000000007</v>
      </c>
      <c r="AJ140" s="2">
        <v>54.43</v>
      </c>
      <c r="AK140" s="2">
        <v>63.31</v>
      </c>
      <c r="AL140" s="2">
        <v>47.5</v>
      </c>
      <c r="AM140" s="2">
        <v>64.37</v>
      </c>
      <c r="AN140" s="2">
        <v>57.63</v>
      </c>
      <c r="AO140" s="2">
        <v>60.25</v>
      </c>
      <c r="AP140" s="2">
        <v>44.27</v>
      </c>
      <c r="AQ140" s="2">
        <v>49.12</v>
      </c>
      <c r="AR140" s="2">
        <v>31.24</v>
      </c>
      <c r="AU140" s="1" t="s">
        <v>26</v>
      </c>
      <c r="AV140" s="2">
        <v>91.25</v>
      </c>
      <c r="AW140" s="2">
        <v>99.1</v>
      </c>
      <c r="AX140" s="2">
        <v>115.94</v>
      </c>
      <c r="AY140" s="2">
        <v>135.62</v>
      </c>
      <c r="AZ140" s="2">
        <v>82.98</v>
      </c>
      <c r="BA140" s="2">
        <v>72.27</v>
      </c>
      <c r="BB140" s="2">
        <v>166.36</v>
      </c>
      <c r="BC140" s="2">
        <v>73.81</v>
      </c>
      <c r="BD140" s="2">
        <v>160.66</v>
      </c>
      <c r="BE140" s="2">
        <v>142.78</v>
      </c>
      <c r="BF140" s="2">
        <v>183.59</v>
      </c>
      <c r="BG140" s="2">
        <v>149.94999999999999</v>
      </c>
      <c r="BH140" s="2">
        <v>170.89</v>
      </c>
      <c r="BI140" s="2">
        <v>131.65</v>
      </c>
      <c r="BJ140" s="2">
        <v>173.5</v>
      </c>
      <c r="BK140" s="2">
        <v>157.37</v>
      </c>
      <c r="BL140" s="2">
        <v>176.41</v>
      </c>
      <c r="BM140" s="2">
        <v>122.63</v>
      </c>
      <c r="BN140" s="2">
        <v>156.09</v>
      </c>
      <c r="BO140" s="2">
        <v>139.65</v>
      </c>
    </row>
    <row r="141" spans="24:67" x14ac:dyDescent="0.3">
      <c r="X141" s="1" t="s">
        <v>27</v>
      </c>
      <c r="Y141" s="2">
        <v>115.15</v>
      </c>
      <c r="Z141" s="2">
        <v>136.79</v>
      </c>
      <c r="AA141" s="2">
        <v>77.69</v>
      </c>
      <c r="AB141" s="2">
        <v>105.87</v>
      </c>
      <c r="AC141" s="2">
        <v>112.87</v>
      </c>
      <c r="AD141" s="2">
        <v>104.71</v>
      </c>
      <c r="AE141" s="2">
        <v>147.77000000000001</v>
      </c>
      <c r="AF141" s="2">
        <v>139.21</v>
      </c>
      <c r="AG141" s="2">
        <v>113.21</v>
      </c>
      <c r="AH141" s="2">
        <v>141.88999999999999</v>
      </c>
      <c r="AI141" s="2">
        <v>154.88999999999999</v>
      </c>
      <c r="AJ141" s="2">
        <v>134.44999999999999</v>
      </c>
      <c r="AK141" s="2">
        <v>139.53</v>
      </c>
      <c r="AL141" s="2">
        <v>118.9</v>
      </c>
      <c r="AM141" s="2">
        <v>144.68</v>
      </c>
      <c r="AN141" s="2">
        <v>147.26</v>
      </c>
      <c r="AO141" s="2">
        <v>147.19</v>
      </c>
      <c r="AP141" s="2">
        <v>89.28</v>
      </c>
      <c r="AQ141" s="2">
        <v>123.1</v>
      </c>
      <c r="AR141" s="2">
        <v>116.22</v>
      </c>
      <c r="AU141" s="1" t="s">
        <v>27</v>
      </c>
      <c r="AV141" s="2">
        <v>301.77999999999997</v>
      </c>
      <c r="AW141" s="2">
        <v>360.99</v>
      </c>
      <c r="AX141" s="2">
        <v>285.02999999999997</v>
      </c>
      <c r="AY141" s="2">
        <v>312.94</v>
      </c>
      <c r="AZ141" s="2">
        <v>214.45</v>
      </c>
      <c r="BA141" s="2">
        <v>272.64999999999998</v>
      </c>
      <c r="BB141" s="2">
        <v>354.04</v>
      </c>
      <c r="BC141" s="2">
        <v>264.5</v>
      </c>
      <c r="BD141" s="2">
        <v>430.31</v>
      </c>
      <c r="BE141" s="2">
        <v>433.93</v>
      </c>
      <c r="BF141" s="2">
        <v>388.24</v>
      </c>
      <c r="BG141" s="2">
        <v>409.04</v>
      </c>
      <c r="BH141" s="2">
        <v>348.23</v>
      </c>
      <c r="BI141" s="2">
        <v>362.07</v>
      </c>
      <c r="BJ141" s="2">
        <v>356.29</v>
      </c>
      <c r="BK141" s="2">
        <v>442.49</v>
      </c>
      <c r="BL141" s="2">
        <v>373.08</v>
      </c>
      <c r="BM141" s="2">
        <v>313.01</v>
      </c>
      <c r="BN141" s="2">
        <v>325.87</v>
      </c>
      <c r="BO141" s="2">
        <v>318.49</v>
      </c>
    </row>
    <row r="142" spans="24:67" x14ac:dyDescent="0.3">
      <c r="X142" s="1" t="s">
        <v>28</v>
      </c>
      <c r="Y142" s="2">
        <v>59.29</v>
      </c>
      <c r="Z142" s="2">
        <v>47.54</v>
      </c>
      <c r="AA142" s="2">
        <v>24.99</v>
      </c>
      <c r="AB142" s="2">
        <v>29.49</v>
      </c>
      <c r="AC142" s="2">
        <v>28.85</v>
      </c>
      <c r="AD142" s="2">
        <v>30.86</v>
      </c>
      <c r="AE142" s="2">
        <v>31.51</v>
      </c>
      <c r="AF142" s="2">
        <v>32.380000000000003</v>
      </c>
      <c r="AG142" s="2">
        <v>47.01</v>
      </c>
      <c r="AH142" s="2">
        <v>23.37</v>
      </c>
      <c r="AI142" s="2">
        <v>34.46</v>
      </c>
      <c r="AJ142" s="2">
        <v>26.77</v>
      </c>
      <c r="AK142" s="2">
        <v>36.130000000000003</v>
      </c>
      <c r="AL142" s="2">
        <v>37.19</v>
      </c>
      <c r="AM142" s="2">
        <v>30.59</v>
      </c>
      <c r="AN142" s="2">
        <v>35.729999999999997</v>
      </c>
      <c r="AO142" s="2">
        <v>45.13</v>
      </c>
      <c r="AP142" s="2">
        <v>30.24</v>
      </c>
      <c r="AQ142" s="2">
        <v>46.4</v>
      </c>
      <c r="AR142" s="2">
        <v>28.48</v>
      </c>
      <c r="AU142" s="1" t="s">
        <v>28</v>
      </c>
      <c r="AV142" s="2">
        <v>196.91</v>
      </c>
      <c r="AW142" s="2">
        <v>133.22999999999999</v>
      </c>
      <c r="AX142" s="2">
        <v>91.86</v>
      </c>
      <c r="AY142" s="2">
        <v>108.73</v>
      </c>
      <c r="AZ142" s="2">
        <v>104.24</v>
      </c>
      <c r="BA142" s="2">
        <v>112.21</v>
      </c>
      <c r="BB142" s="2">
        <v>114.7</v>
      </c>
      <c r="BC142" s="2">
        <v>85.54</v>
      </c>
      <c r="BD142" s="2">
        <v>147.09</v>
      </c>
      <c r="BE142" s="2">
        <v>67.44</v>
      </c>
      <c r="BF142" s="2">
        <v>88.99</v>
      </c>
      <c r="BG142" s="2">
        <v>77.97</v>
      </c>
      <c r="BH142" s="2">
        <v>91.39</v>
      </c>
      <c r="BI142" s="2">
        <v>106.65</v>
      </c>
      <c r="BJ142" s="2">
        <v>77.64</v>
      </c>
      <c r="BK142" s="2">
        <v>95.89</v>
      </c>
      <c r="BL142" s="2">
        <v>114.32</v>
      </c>
      <c r="BM142" s="2">
        <v>88.86</v>
      </c>
      <c r="BN142" s="2">
        <v>122.8</v>
      </c>
      <c r="BO142" s="2">
        <v>105.02</v>
      </c>
    </row>
    <row r="145" spans="24:67" x14ac:dyDescent="0.3">
      <c r="X145" t="s">
        <v>62</v>
      </c>
      <c r="AU145" t="s">
        <v>63</v>
      </c>
    </row>
    <row r="146" spans="24:67" x14ac:dyDescent="0.3">
      <c r="X146" s="1" t="s">
        <v>16</v>
      </c>
      <c r="Y146" s="13" t="s">
        <v>17</v>
      </c>
      <c r="Z146" s="13"/>
      <c r="AA146" s="13"/>
      <c r="AB146" s="13"/>
      <c r="AC146" s="13"/>
      <c r="AD146" s="13"/>
      <c r="AE146" s="13"/>
      <c r="AF146" s="13"/>
      <c r="AG146" s="13"/>
      <c r="AH146" s="13"/>
      <c r="AI146" s="13" t="s">
        <v>18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U146" s="1" t="s">
        <v>16</v>
      </c>
      <c r="AV146" s="13" t="s">
        <v>17</v>
      </c>
      <c r="AW146" s="13"/>
      <c r="AX146" s="13"/>
      <c r="AY146" s="13"/>
      <c r="AZ146" s="13"/>
      <c r="BA146" s="13"/>
      <c r="BB146" s="13"/>
      <c r="BC146" s="13"/>
      <c r="BD146" s="13"/>
      <c r="BE146" s="13"/>
      <c r="BF146" s="13" t="s">
        <v>18</v>
      </c>
      <c r="BG146" s="13"/>
      <c r="BH146" s="13"/>
      <c r="BI146" s="13"/>
      <c r="BJ146" s="13"/>
      <c r="BK146" s="13"/>
      <c r="BL146" s="13"/>
      <c r="BM146" s="13"/>
      <c r="BN146" s="13"/>
      <c r="BO146" s="13"/>
    </row>
    <row r="147" spans="24:67" x14ac:dyDescent="0.3">
      <c r="X147" s="1" t="s">
        <v>19</v>
      </c>
      <c r="Y147" s="1" t="s">
        <v>1</v>
      </c>
      <c r="Z147" s="1" t="s">
        <v>10</v>
      </c>
      <c r="AA147" s="1" t="s">
        <v>2</v>
      </c>
      <c r="AB147" s="1" t="s">
        <v>3</v>
      </c>
      <c r="AC147" s="1" t="s">
        <v>4</v>
      </c>
      <c r="AD147" s="1" t="s">
        <v>5</v>
      </c>
      <c r="AE147" s="1" t="s">
        <v>6</v>
      </c>
      <c r="AF147" s="1" t="s">
        <v>7</v>
      </c>
      <c r="AG147" s="1" t="s">
        <v>8</v>
      </c>
      <c r="AH147" s="1" t="s">
        <v>9</v>
      </c>
      <c r="AI147" s="1" t="s">
        <v>1</v>
      </c>
      <c r="AJ147" s="1" t="s">
        <v>10</v>
      </c>
      <c r="AK147" s="1" t="s">
        <v>2</v>
      </c>
      <c r="AL147" s="1" t="s">
        <v>3</v>
      </c>
      <c r="AM147" s="1" t="s">
        <v>4</v>
      </c>
      <c r="AN147" s="1" t="s">
        <v>5</v>
      </c>
      <c r="AO147" s="1" t="s">
        <v>6</v>
      </c>
      <c r="AP147" s="1" t="s">
        <v>7</v>
      </c>
      <c r="AQ147" s="1" t="s">
        <v>8</v>
      </c>
      <c r="AR147" s="1" t="s">
        <v>9</v>
      </c>
      <c r="AU147" s="1" t="s">
        <v>19</v>
      </c>
      <c r="AV147" s="1" t="s">
        <v>1</v>
      </c>
      <c r="AW147" s="1" t="s">
        <v>10</v>
      </c>
      <c r="AX147" s="1" t="s">
        <v>2</v>
      </c>
      <c r="AY147" s="1" t="s">
        <v>3</v>
      </c>
      <c r="AZ147" s="1" t="s">
        <v>4</v>
      </c>
      <c r="BA147" s="1" t="s">
        <v>5</v>
      </c>
      <c r="BB147" s="1" t="s">
        <v>6</v>
      </c>
      <c r="BC147" s="1" t="s">
        <v>7</v>
      </c>
      <c r="BD147" s="1" t="s">
        <v>8</v>
      </c>
      <c r="BE147" s="1" t="s">
        <v>9</v>
      </c>
      <c r="BF147" s="1" t="s">
        <v>1</v>
      </c>
      <c r="BG147" s="1" t="s">
        <v>10</v>
      </c>
      <c r="BH147" s="1" t="s">
        <v>2</v>
      </c>
      <c r="BI147" s="1" t="s">
        <v>3</v>
      </c>
      <c r="BJ147" s="1" t="s">
        <v>4</v>
      </c>
      <c r="BK147" s="1" t="s">
        <v>5</v>
      </c>
      <c r="BL147" s="1" t="s">
        <v>6</v>
      </c>
      <c r="BM147" s="1" t="s">
        <v>7</v>
      </c>
      <c r="BN147" s="1" t="s">
        <v>8</v>
      </c>
      <c r="BO147" s="1" t="s">
        <v>9</v>
      </c>
    </row>
    <row r="148" spans="24:67" x14ac:dyDescent="0.3">
      <c r="X148" s="1" t="s">
        <v>20</v>
      </c>
      <c r="AU148" s="1" t="s">
        <v>20</v>
      </c>
    </row>
    <row r="149" spans="24:67" x14ac:dyDescent="0.3">
      <c r="X149" s="1" t="s">
        <v>21</v>
      </c>
      <c r="Y149" s="2">
        <v>14.44</v>
      </c>
      <c r="Z149" s="2">
        <v>14.96</v>
      </c>
      <c r="AA149" s="2">
        <v>11.92</v>
      </c>
      <c r="AB149" s="2">
        <v>3.78</v>
      </c>
      <c r="AC149" s="2">
        <v>35.75</v>
      </c>
      <c r="AD149" s="2">
        <v>36.36</v>
      </c>
      <c r="AE149" s="2">
        <v>30.76</v>
      </c>
      <c r="AF149" s="2">
        <v>27.45</v>
      </c>
      <c r="AG149" s="2">
        <v>23.36</v>
      </c>
      <c r="AH149" s="2">
        <v>15.24</v>
      </c>
      <c r="AI149" s="2">
        <v>23.17</v>
      </c>
      <c r="AJ149" s="2">
        <v>21.42</v>
      </c>
      <c r="AK149" s="2">
        <v>11.92</v>
      </c>
      <c r="AL149" s="2">
        <v>7.75</v>
      </c>
      <c r="AM149" s="2">
        <v>15.28</v>
      </c>
      <c r="AN149" s="2">
        <v>44.2</v>
      </c>
      <c r="AO149" s="2">
        <v>50.13</v>
      </c>
      <c r="AP149" s="2">
        <v>35.51</v>
      </c>
      <c r="AQ149" s="2">
        <v>24.96</v>
      </c>
      <c r="AR149" s="2">
        <v>27.61</v>
      </c>
      <c r="AU149" s="1" t="s">
        <v>21</v>
      </c>
      <c r="AV149" s="2">
        <v>14.44</v>
      </c>
      <c r="AW149" s="2">
        <v>14.96</v>
      </c>
      <c r="AX149" s="2">
        <v>11.92</v>
      </c>
      <c r="AY149" s="2">
        <v>3.78</v>
      </c>
      <c r="AZ149" s="2">
        <v>35.75</v>
      </c>
      <c r="BA149" s="2">
        <v>36.36</v>
      </c>
      <c r="BB149" s="2">
        <v>30.76</v>
      </c>
      <c r="BC149" s="2">
        <v>27.45</v>
      </c>
      <c r="BD149" s="2">
        <v>23.36</v>
      </c>
      <c r="BE149" s="2">
        <v>15.24</v>
      </c>
      <c r="BF149" s="2">
        <v>23.17</v>
      </c>
      <c r="BG149" s="2">
        <v>21.42</v>
      </c>
      <c r="BH149" s="2">
        <v>11.92</v>
      </c>
      <c r="BI149" s="2">
        <v>7.75</v>
      </c>
      <c r="BJ149" s="2">
        <v>15.28</v>
      </c>
      <c r="BK149" s="2">
        <v>44.2</v>
      </c>
      <c r="BL149" s="2">
        <v>50.13</v>
      </c>
      <c r="BM149" s="2">
        <v>35.51</v>
      </c>
      <c r="BN149" s="2">
        <v>24.96</v>
      </c>
      <c r="BO149" s="2">
        <v>27.61</v>
      </c>
    </row>
    <row r="150" spans="24:67" x14ac:dyDescent="0.3">
      <c r="X150" s="1" t="s">
        <v>22</v>
      </c>
      <c r="Y150" s="2">
        <v>25.71</v>
      </c>
      <c r="Z150" s="2">
        <v>49.12</v>
      </c>
      <c r="AA150" s="2">
        <v>19.23</v>
      </c>
      <c r="AB150" s="2">
        <v>5.46</v>
      </c>
      <c r="AC150" s="2">
        <v>24.27</v>
      </c>
      <c r="AD150" s="2">
        <v>35.03</v>
      </c>
      <c r="AE150" s="2">
        <v>34.090000000000003</v>
      </c>
      <c r="AF150" s="2">
        <v>44.58</v>
      </c>
      <c r="AG150" s="2">
        <v>62.93</v>
      </c>
      <c r="AH150" s="2">
        <v>46.71</v>
      </c>
      <c r="AI150" s="2">
        <v>17.989999999999998</v>
      </c>
      <c r="AJ150" s="2">
        <v>57.59</v>
      </c>
      <c r="AK150" s="2">
        <v>15.17</v>
      </c>
      <c r="AL150" s="2">
        <v>10.38</v>
      </c>
      <c r="AM150" s="2">
        <v>48.45</v>
      </c>
      <c r="AN150" s="2">
        <v>46.27</v>
      </c>
      <c r="AO150" s="2">
        <v>65.53</v>
      </c>
      <c r="AP150" s="2">
        <v>58.36</v>
      </c>
      <c r="AQ150" s="2">
        <v>49.93</v>
      </c>
      <c r="AR150" s="2">
        <v>44.61</v>
      </c>
      <c r="AU150" s="1" t="s">
        <v>22</v>
      </c>
      <c r="AV150" s="2">
        <v>25.71</v>
      </c>
      <c r="AW150" s="2">
        <v>49.12</v>
      </c>
      <c r="AX150" s="2">
        <v>19.23</v>
      </c>
      <c r="AY150" s="2">
        <v>5.46</v>
      </c>
      <c r="AZ150" s="2">
        <v>24.27</v>
      </c>
      <c r="BA150" s="2">
        <v>35.03</v>
      </c>
      <c r="BB150" s="2">
        <v>34.090000000000003</v>
      </c>
      <c r="BC150" s="2">
        <v>44.58</v>
      </c>
      <c r="BD150" s="2">
        <v>62.93</v>
      </c>
      <c r="BE150" s="2">
        <v>46.71</v>
      </c>
      <c r="BF150" s="2">
        <v>17.989999999999998</v>
      </c>
      <c r="BG150" s="2">
        <v>57.59</v>
      </c>
      <c r="BH150" s="2">
        <v>15.17</v>
      </c>
      <c r="BI150" s="2">
        <v>10.38</v>
      </c>
      <c r="BJ150" s="2">
        <v>48.45</v>
      </c>
      <c r="BK150" s="2">
        <v>46.27</v>
      </c>
      <c r="BL150" s="2">
        <v>65.53</v>
      </c>
      <c r="BM150" s="2">
        <v>58.36</v>
      </c>
      <c r="BN150" s="2">
        <v>49.93</v>
      </c>
      <c r="BO150" s="2">
        <v>44.61</v>
      </c>
    </row>
    <row r="151" spans="24:67" x14ac:dyDescent="0.3">
      <c r="X151" s="1" t="s">
        <v>23</v>
      </c>
      <c r="Y151" s="2">
        <v>73.599999999999994</v>
      </c>
      <c r="Z151" s="2">
        <v>244.24</v>
      </c>
      <c r="AA151" s="2">
        <v>60.53</v>
      </c>
      <c r="AB151" s="2">
        <v>19.68</v>
      </c>
      <c r="AC151" s="2">
        <v>125.27</v>
      </c>
      <c r="AD151" s="2">
        <v>137.19999999999999</v>
      </c>
      <c r="AE151" s="2">
        <v>231.22</v>
      </c>
      <c r="AF151" s="2">
        <v>204.62</v>
      </c>
      <c r="AG151" s="2">
        <v>259.79000000000002</v>
      </c>
      <c r="AH151" s="2">
        <v>221.07</v>
      </c>
      <c r="AI151" s="2">
        <v>39.71</v>
      </c>
      <c r="AJ151" s="2">
        <v>206.6</v>
      </c>
      <c r="AK151" s="2">
        <v>27.62</v>
      </c>
      <c r="AL151" s="2">
        <v>31.04</v>
      </c>
      <c r="AM151" s="2">
        <v>190.29</v>
      </c>
      <c r="AN151" s="2">
        <v>183.18</v>
      </c>
      <c r="AO151" s="2">
        <v>302.05</v>
      </c>
      <c r="AP151" s="2">
        <v>262.94</v>
      </c>
      <c r="AQ151" s="2">
        <v>283.45</v>
      </c>
      <c r="AR151" s="2">
        <v>221.96</v>
      </c>
      <c r="AU151" s="1" t="s">
        <v>23</v>
      </c>
      <c r="AV151" s="2">
        <v>73.599999999999994</v>
      </c>
      <c r="AW151" s="2">
        <v>244.24</v>
      </c>
      <c r="AX151" s="2">
        <v>60.53</v>
      </c>
      <c r="AY151" s="2">
        <v>19.68</v>
      </c>
      <c r="AZ151" s="2">
        <v>125.27</v>
      </c>
      <c r="BA151" s="2">
        <v>137.19999999999999</v>
      </c>
      <c r="BB151" s="2">
        <v>231.22</v>
      </c>
      <c r="BC151" s="2">
        <v>204.62</v>
      </c>
      <c r="BD151" s="2">
        <v>259.79000000000002</v>
      </c>
      <c r="BE151" s="2">
        <v>221.07</v>
      </c>
      <c r="BF151" s="2">
        <v>39.71</v>
      </c>
      <c r="BG151" s="2">
        <v>206.6</v>
      </c>
      <c r="BH151" s="2">
        <v>27.62</v>
      </c>
      <c r="BI151" s="2">
        <v>31.04</v>
      </c>
      <c r="BJ151" s="2">
        <v>190.29</v>
      </c>
      <c r="BK151" s="2">
        <v>183.18</v>
      </c>
      <c r="BL151" s="2">
        <v>302.05</v>
      </c>
      <c r="BM151" s="2">
        <v>262.94</v>
      </c>
      <c r="BN151" s="2">
        <v>283.45</v>
      </c>
      <c r="BO151" s="2">
        <v>221.96</v>
      </c>
    </row>
    <row r="152" spans="24:67" x14ac:dyDescent="0.3">
      <c r="X152" s="1" t="s">
        <v>24</v>
      </c>
      <c r="Y152" s="2">
        <v>21.87</v>
      </c>
      <c r="Z152" s="2">
        <v>100.63</v>
      </c>
      <c r="AA152" s="2">
        <v>24.22</v>
      </c>
      <c r="AB152" s="2">
        <v>8.43</v>
      </c>
      <c r="AC152" s="2">
        <v>58.35</v>
      </c>
      <c r="AD152" s="2">
        <v>74.400000000000006</v>
      </c>
      <c r="AE152" s="2">
        <v>122.94</v>
      </c>
      <c r="AF152" s="2">
        <v>80.53</v>
      </c>
      <c r="AG152" s="2">
        <v>153.76</v>
      </c>
      <c r="AH152" s="2">
        <v>68.45</v>
      </c>
      <c r="AI152" s="2">
        <v>14.43</v>
      </c>
      <c r="AJ152" s="2">
        <v>87.11</v>
      </c>
      <c r="AK152" s="2">
        <v>12.42</v>
      </c>
      <c r="AL152" s="2">
        <v>9.5299999999999994</v>
      </c>
      <c r="AM152" s="2">
        <v>54.06</v>
      </c>
      <c r="AN152" s="2">
        <v>57.12</v>
      </c>
      <c r="AO152" s="2">
        <v>84.41</v>
      </c>
      <c r="AP152" s="2">
        <v>75.19</v>
      </c>
      <c r="AQ152" s="2">
        <v>74.98</v>
      </c>
      <c r="AR152" s="2">
        <v>63.66</v>
      </c>
      <c r="AU152" s="1" t="s">
        <v>24</v>
      </c>
      <c r="AV152" s="2">
        <v>21.87</v>
      </c>
      <c r="AW152" s="2">
        <v>100.63</v>
      </c>
      <c r="AX152" s="2">
        <v>24.22</v>
      </c>
      <c r="AY152" s="2">
        <v>8.43</v>
      </c>
      <c r="AZ152" s="2">
        <v>58.35</v>
      </c>
      <c r="BA152" s="2">
        <v>74.400000000000006</v>
      </c>
      <c r="BB152" s="2">
        <v>122.94</v>
      </c>
      <c r="BC152" s="2">
        <v>80.53</v>
      </c>
      <c r="BD152" s="2">
        <v>153.76</v>
      </c>
      <c r="BE152" s="2">
        <v>68.45</v>
      </c>
      <c r="BF152" s="2">
        <v>14.43</v>
      </c>
      <c r="BG152" s="2">
        <v>87.11</v>
      </c>
      <c r="BH152" s="2">
        <v>12.42</v>
      </c>
      <c r="BI152" s="2">
        <v>9.5299999999999994</v>
      </c>
      <c r="BJ152" s="2">
        <v>54.06</v>
      </c>
      <c r="BK152" s="2">
        <v>57.12</v>
      </c>
      <c r="BL152" s="2">
        <v>84.41</v>
      </c>
      <c r="BM152" s="2">
        <v>75.19</v>
      </c>
      <c r="BN152" s="2">
        <v>74.98</v>
      </c>
      <c r="BO152" s="2">
        <v>63.66</v>
      </c>
    </row>
    <row r="153" spans="24:67" x14ac:dyDescent="0.3">
      <c r="X153" s="1" t="s">
        <v>25</v>
      </c>
      <c r="Y153" s="2">
        <v>76.599999999999994</v>
      </c>
      <c r="Z153" s="2">
        <v>388.68</v>
      </c>
      <c r="AA153" s="2">
        <v>53.29</v>
      </c>
      <c r="AB153" s="2">
        <v>26.82</v>
      </c>
      <c r="AC153" s="2">
        <v>152.32</v>
      </c>
      <c r="AD153" s="2">
        <v>228.19</v>
      </c>
      <c r="AE153" s="2">
        <v>344.98</v>
      </c>
      <c r="AF153" s="2">
        <v>314.51</v>
      </c>
      <c r="AG153" s="2">
        <v>444.48</v>
      </c>
      <c r="AH153" s="2">
        <v>260.68</v>
      </c>
      <c r="AI153" s="2">
        <v>74.040000000000006</v>
      </c>
      <c r="AJ153" s="2">
        <v>281.94</v>
      </c>
      <c r="AK153" s="2">
        <v>52.67</v>
      </c>
      <c r="AL153" s="2">
        <v>39.06</v>
      </c>
      <c r="AM153" s="2">
        <v>164.02</v>
      </c>
      <c r="AN153" s="2">
        <v>212.25</v>
      </c>
      <c r="AO153" s="2">
        <v>345.42</v>
      </c>
      <c r="AP153" s="2">
        <v>311.07</v>
      </c>
      <c r="AQ153" s="2">
        <v>410.08</v>
      </c>
      <c r="AR153" s="2">
        <v>246.68</v>
      </c>
      <c r="AU153" s="1" t="s">
        <v>25</v>
      </c>
      <c r="AV153" s="2">
        <v>76.599999999999994</v>
      </c>
      <c r="AW153" s="2">
        <v>388.68</v>
      </c>
      <c r="AX153" s="2">
        <v>53.29</v>
      </c>
      <c r="AY153" s="2">
        <v>26.82</v>
      </c>
      <c r="AZ153" s="2">
        <v>152.32</v>
      </c>
      <c r="BA153" s="2">
        <v>228.19</v>
      </c>
      <c r="BB153" s="2">
        <v>344.98</v>
      </c>
      <c r="BC153" s="2">
        <v>314.51</v>
      </c>
      <c r="BD153" s="2">
        <v>444.48</v>
      </c>
      <c r="BE153" s="2">
        <v>260.68</v>
      </c>
      <c r="BF153" s="2">
        <v>74.040000000000006</v>
      </c>
      <c r="BG153" s="2">
        <v>281.94</v>
      </c>
      <c r="BH153" s="2">
        <v>52.67</v>
      </c>
      <c r="BI153" s="2">
        <v>39.06</v>
      </c>
      <c r="BJ153" s="2">
        <v>164.02</v>
      </c>
      <c r="BK153" s="2">
        <v>212.25</v>
      </c>
      <c r="BL153" s="2">
        <v>345.42</v>
      </c>
      <c r="BM153" s="2">
        <v>311.07</v>
      </c>
      <c r="BN153" s="2">
        <v>410.08</v>
      </c>
      <c r="BO153" s="2">
        <v>246.68</v>
      </c>
    </row>
    <row r="154" spans="24:67" x14ac:dyDescent="0.3">
      <c r="X154" s="1" t="s">
        <v>26</v>
      </c>
      <c r="Y154" s="2">
        <v>18.940000000000001</v>
      </c>
      <c r="Z154" s="2">
        <v>60.81</v>
      </c>
      <c r="AA154" s="2">
        <v>12.82</v>
      </c>
      <c r="AB154" s="2">
        <v>5.22</v>
      </c>
      <c r="AC154" s="2">
        <v>22.54</v>
      </c>
      <c r="AD154" s="2">
        <v>23.32</v>
      </c>
      <c r="AE154" s="2">
        <v>54.9</v>
      </c>
      <c r="AF154" s="2">
        <v>50.57</v>
      </c>
      <c r="AG154" s="2">
        <v>64.650000000000006</v>
      </c>
      <c r="AH154" s="2">
        <v>60.22</v>
      </c>
      <c r="AI154" s="2">
        <v>5.53</v>
      </c>
      <c r="AJ154" s="2">
        <v>35.25</v>
      </c>
      <c r="AK154" s="2">
        <v>4.67</v>
      </c>
      <c r="AL154" s="2">
        <v>3.95</v>
      </c>
      <c r="AM154" s="2">
        <v>13.03</v>
      </c>
      <c r="AN154" s="2">
        <v>24.36</v>
      </c>
      <c r="AO154" s="2">
        <v>38.46</v>
      </c>
      <c r="AP154" s="2">
        <v>30.62</v>
      </c>
      <c r="AQ154" s="2">
        <v>52.21</v>
      </c>
      <c r="AR154" s="2">
        <v>28.2</v>
      </c>
      <c r="AU154" s="1" t="s">
        <v>26</v>
      </c>
      <c r="AV154" s="2">
        <v>18.940000000000001</v>
      </c>
      <c r="AW154" s="2">
        <v>60.81</v>
      </c>
      <c r="AX154" s="2">
        <v>12.82</v>
      </c>
      <c r="AY154" s="2">
        <v>5.22</v>
      </c>
      <c r="AZ154" s="2">
        <v>22.54</v>
      </c>
      <c r="BA154" s="2">
        <v>23.32</v>
      </c>
      <c r="BB154" s="2">
        <v>54.9</v>
      </c>
      <c r="BC154" s="2">
        <v>50.57</v>
      </c>
      <c r="BD154" s="2">
        <v>64.650000000000006</v>
      </c>
      <c r="BE154" s="2">
        <v>60.22</v>
      </c>
      <c r="BF154" s="2">
        <v>5.53</v>
      </c>
      <c r="BG154" s="2">
        <v>35.25</v>
      </c>
      <c r="BH154" s="2">
        <v>4.67</v>
      </c>
      <c r="BI154" s="2">
        <v>3.95</v>
      </c>
      <c r="BJ154" s="2">
        <v>13.03</v>
      </c>
      <c r="BK154" s="2">
        <v>24.36</v>
      </c>
      <c r="BL154" s="2">
        <v>38.46</v>
      </c>
      <c r="BM154" s="2">
        <v>30.62</v>
      </c>
      <c r="BN154" s="2">
        <v>52.21</v>
      </c>
      <c r="BO154" s="2">
        <v>28.2</v>
      </c>
    </row>
    <row r="155" spans="24:67" x14ac:dyDescent="0.3">
      <c r="X155" s="1" t="s">
        <v>27</v>
      </c>
      <c r="Y155" s="2">
        <v>32.79</v>
      </c>
      <c r="Z155" s="2">
        <v>133.72</v>
      </c>
      <c r="AA155" s="2">
        <v>20.18</v>
      </c>
      <c r="AB155" s="2">
        <v>12.19</v>
      </c>
      <c r="AC155" s="2">
        <v>58.5</v>
      </c>
      <c r="AD155" s="2">
        <v>56.71</v>
      </c>
      <c r="AE155" s="2">
        <v>114.58</v>
      </c>
      <c r="AF155" s="2">
        <v>89.85</v>
      </c>
      <c r="AG155" s="2">
        <v>141.61000000000001</v>
      </c>
      <c r="AH155" s="2">
        <v>125.32</v>
      </c>
      <c r="AI155" s="2">
        <v>33.9</v>
      </c>
      <c r="AJ155" s="2">
        <v>99.78</v>
      </c>
      <c r="AK155" s="2">
        <v>28.39</v>
      </c>
      <c r="AL155" s="2">
        <v>14.09</v>
      </c>
      <c r="AM155" s="2">
        <v>43.85</v>
      </c>
      <c r="AN155" s="2">
        <v>54.22</v>
      </c>
      <c r="AO155" s="2">
        <v>94.27</v>
      </c>
      <c r="AP155" s="2">
        <v>83.98</v>
      </c>
      <c r="AQ155" s="2">
        <v>128.38</v>
      </c>
      <c r="AR155" s="2">
        <v>71.19</v>
      </c>
      <c r="AU155" s="1" t="s">
        <v>27</v>
      </c>
      <c r="AV155" s="2">
        <v>32.79</v>
      </c>
      <c r="AW155" s="2">
        <v>133.72</v>
      </c>
      <c r="AX155" s="2">
        <v>20.18</v>
      </c>
      <c r="AY155" s="2">
        <v>12.19</v>
      </c>
      <c r="AZ155" s="2">
        <v>58.5</v>
      </c>
      <c r="BA155" s="2">
        <v>56.71</v>
      </c>
      <c r="BB155" s="2">
        <v>114.58</v>
      </c>
      <c r="BC155" s="2">
        <v>89.85</v>
      </c>
      <c r="BD155" s="2">
        <v>141.61000000000001</v>
      </c>
      <c r="BE155" s="2">
        <v>125.32</v>
      </c>
      <c r="BF155" s="2">
        <v>33.9</v>
      </c>
      <c r="BG155" s="2">
        <v>99.78</v>
      </c>
      <c r="BH155" s="2">
        <v>28.39</v>
      </c>
      <c r="BI155" s="2">
        <v>14.09</v>
      </c>
      <c r="BJ155" s="2">
        <v>43.85</v>
      </c>
      <c r="BK155" s="2">
        <v>54.22</v>
      </c>
      <c r="BL155" s="2">
        <v>94.27</v>
      </c>
      <c r="BM155" s="2">
        <v>83.98</v>
      </c>
      <c r="BN155" s="2">
        <v>128.38</v>
      </c>
      <c r="BO155" s="2">
        <v>71.19</v>
      </c>
    </row>
    <row r="156" spans="24:67" x14ac:dyDescent="0.3">
      <c r="X156" s="1" t="s">
        <v>28</v>
      </c>
      <c r="Y156" s="2">
        <v>7.58</v>
      </c>
      <c r="Z156" s="2">
        <v>25.18</v>
      </c>
      <c r="AA156" s="2">
        <v>4.4400000000000004</v>
      </c>
      <c r="AB156" s="2">
        <v>1.67</v>
      </c>
      <c r="AC156" s="2">
        <v>15.63</v>
      </c>
      <c r="AD156" s="2">
        <v>14.39</v>
      </c>
      <c r="AE156" s="2">
        <v>31.15</v>
      </c>
      <c r="AF156" s="2">
        <v>24.51</v>
      </c>
      <c r="AG156" s="2">
        <v>19.37</v>
      </c>
      <c r="AH156" s="2">
        <v>9</v>
      </c>
      <c r="AI156" s="2">
        <v>14.29</v>
      </c>
      <c r="AJ156" s="2">
        <v>24.77</v>
      </c>
      <c r="AK156" s="2">
        <v>5.93</v>
      </c>
      <c r="AL156" s="2">
        <v>2.21</v>
      </c>
      <c r="AM156" s="2">
        <v>8.0500000000000007</v>
      </c>
      <c r="AN156" s="2">
        <v>16.82</v>
      </c>
      <c r="AO156" s="2">
        <v>20.68</v>
      </c>
      <c r="AP156" s="2">
        <v>12.6</v>
      </c>
      <c r="AQ156" s="2">
        <v>9.6999999999999993</v>
      </c>
      <c r="AR156" s="2">
        <v>8.5500000000000007</v>
      </c>
      <c r="AU156" s="1" t="s">
        <v>28</v>
      </c>
      <c r="AV156" s="2">
        <v>7.58</v>
      </c>
      <c r="AW156" s="2">
        <v>25.18</v>
      </c>
      <c r="AX156" s="2">
        <v>4.4400000000000004</v>
      </c>
      <c r="AY156" s="2">
        <v>1.67</v>
      </c>
      <c r="AZ156" s="2">
        <v>15.63</v>
      </c>
      <c r="BA156" s="2">
        <v>14.39</v>
      </c>
      <c r="BB156" s="2">
        <v>31.15</v>
      </c>
      <c r="BC156" s="2">
        <v>24.51</v>
      </c>
      <c r="BD156" s="2">
        <v>19.37</v>
      </c>
      <c r="BE156" s="2">
        <v>9</v>
      </c>
      <c r="BF156" s="2">
        <v>14.29</v>
      </c>
      <c r="BG156" s="2">
        <v>24.77</v>
      </c>
      <c r="BH156" s="2">
        <v>5.93</v>
      </c>
      <c r="BI156" s="2">
        <v>2.21</v>
      </c>
      <c r="BJ156" s="2">
        <v>8.0500000000000007</v>
      </c>
      <c r="BK156" s="2">
        <v>16.82</v>
      </c>
      <c r="BL156" s="2">
        <v>20.68</v>
      </c>
      <c r="BM156" s="2">
        <v>12.6</v>
      </c>
      <c r="BN156" s="2">
        <v>9.6999999999999993</v>
      </c>
      <c r="BO156" s="2">
        <v>8.5500000000000007</v>
      </c>
    </row>
    <row r="159" spans="24:67" x14ac:dyDescent="0.3">
      <c r="X159" t="s">
        <v>64</v>
      </c>
      <c r="AU159" t="s">
        <v>65</v>
      </c>
    </row>
    <row r="160" spans="24:67" x14ac:dyDescent="0.3">
      <c r="X160" s="1" t="s">
        <v>16</v>
      </c>
      <c r="Y160" s="1" t="s">
        <v>17</v>
      </c>
      <c r="Z160" s="1" t="s">
        <v>18</v>
      </c>
      <c r="AA160" s="1" t="s">
        <v>17</v>
      </c>
      <c r="AB160" s="1" t="s">
        <v>18</v>
      </c>
      <c r="AC160" s="1" t="s">
        <v>17</v>
      </c>
      <c r="AD160" s="1" t="s">
        <v>18</v>
      </c>
      <c r="AE160" s="1" t="s">
        <v>17</v>
      </c>
      <c r="AF160" s="1" t="s">
        <v>18</v>
      </c>
      <c r="AG160" s="1" t="s">
        <v>17</v>
      </c>
      <c r="AH160" s="1" t="s">
        <v>18</v>
      </c>
      <c r="AI160" s="1" t="s">
        <v>17</v>
      </c>
      <c r="AJ160" s="1" t="s">
        <v>18</v>
      </c>
      <c r="AK160" s="1" t="s">
        <v>17</v>
      </c>
      <c r="AL160" s="1" t="s">
        <v>18</v>
      </c>
      <c r="AM160" s="1" t="s">
        <v>17</v>
      </c>
      <c r="AN160" s="1" t="s">
        <v>18</v>
      </c>
      <c r="AO160" s="1" t="s">
        <v>17</v>
      </c>
      <c r="AP160" s="1" t="s">
        <v>18</v>
      </c>
      <c r="AQ160" s="1" t="s">
        <v>17</v>
      </c>
      <c r="AR160" s="1" t="s">
        <v>18</v>
      </c>
      <c r="AU160" s="1" t="s">
        <v>16</v>
      </c>
      <c r="AV160" s="1" t="s">
        <v>17</v>
      </c>
      <c r="AW160" s="1" t="s">
        <v>18</v>
      </c>
      <c r="AX160" s="1" t="s">
        <v>17</v>
      </c>
      <c r="AY160" s="1" t="s">
        <v>18</v>
      </c>
      <c r="AZ160" s="1" t="s">
        <v>17</v>
      </c>
      <c r="BA160" s="1" t="s">
        <v>18</v>
      </c>
      <c r="BB160" s="1" t="s">
        <v>17</v>
      </c>
      <c r="BC160" s="1" t="s">
        <v>18</v>
      </c>
      <c r="BD160" s="1" t="s">
        <v>17</v>
      </c>
      <c r="BE160" s="1" t="s">
        <v>18</v>
      </c>
      <c r="BF160" s="1" t="s">
        <v>17</v>
      </c>
      <c r="BG160" s="1" t="s">
        <v>18</v>
      </c>
      <c r="BH160" s="1" t="s">
        <v>17</v>
      </c>
      <c r="BI160" s="1" t="s">
        <v>18</v>
      </c>
      <c r="BJ160" s="1" t="s">
        <v>17</v>
      </c>
      <c r="BK160" s="1" t="s">
        <v>18</v>
      </c>
      <c r="BL160" s="1" t="s">
        <v>17</v>
      </c>
      <c r="BM160" s="1" t="s">
        <v>18</v>
      </c>
      <c r="BN160" s="1" t="s">
        <v>17</v>
      </c>
      <c r="BO160" s="1" t="s">
        <v>18</v>
      </c>
    </row>
    <row r="161" spans="24:67" x14ac:dyDescent="0.3">
      <c r="X161" s="1" t="s">
        <v>19</v>
      </c>
      <c r="Y161" s="1" t="s">
        <v>1</v>
      </c>
      <c r="Z161" s="1" t="s">
        <v>1</v>
      </c>
      <c r="AA161" s="1" t="s">
        <v>2</v>
      </c>
      <c r="AB161" s="1" t="s">
        <v>2</v>
      </c>
      <c r="AC161" s="1" t="s">
        <v>3</v>
      </c>
      <c r="AD161" s="1" t="s">
        <v>3</v>
      </c>
      <c r="AE161" s="1" t="s">
        <v>4</v>
      </c>
      <c r="AF161" s="1" t="s">
        <v>4</v>
      </c>
      <c r="AG161" s="1" t="s">
        <v>5</v>
      </c>
      <c r="AH161" s="1" t="s">
        <v>5</v>
      </c>
      <c r="AI161" s="1" t="s">
        <v>6</v>
      </c>
      <c r="AJ161" s="1" t="s">
        <v>6</v>
      </c>
      <c r="AK161" s="1" t="s">
        <v>7</v>
      </c>
      <c r="AL161" s="1" t="s">
        <v>7</v>
      </c>
      <c r="AM161" s="1" t="s">
        <v>8</v>
      </c>
      <c r="AN161" s="1" t="s">
        <v>8</v>
      </c>
      <c r="AO161" s="1" t="s">
        <v>9</v>
      </c>
      <c r="AP161" s="1" t="s">
        <v>9</v>
      </c>
      <c r="AQ161" s="1" t="s">
        <v>10</v>
      </c>
      <c r="AR161" s="1" t="s">
        <v>10</v>
      </c>
      <c r="AU161" s="1" t="s">
        <v>19</v>
      </c>
      <c r="AV161" s="1" t="s">
        <v>1</v>
      </c>
      <c r="AW161" s="1" t="s">
        <v>1</v>
      </c>
      <c r="AX161" s="1" t="s">
        <v>2</v>
      </c>
      <c r="AY161" s="1" t="s">
        <v>2</v>
      </c>
      <c r="AZ161" s="1" t="s">
        <v>3</v>
      </c>
      <c r="BA161" s="1" t="s">
        <v>3</v>
      </c>
      <c r="BB161" s="1" t="s">
        <v>4</v>
      </c>
      <c r="BC161" s="1" t="s">
        <v>4</v>
      </c>
      <c r="BD161" s="1" t="s">
        <v>5</v>
      </c>
      <c r="BE161" s="1" t="s">
        <v>5</v>
      </c>
      <c r="BF161" s="1" t="s">
        <v>6</v>
      </c>
      <c r="BG161" s="1" t="s">
        <v>6</v>
      </c>
      <c r="BH161" s="1" t="s">
        <v>7</v>
      </c>
      <c r="BI161" s="1" t="s">
        <v>7</v>
      </c>
      <c r="BJ161" s="1" t="s">
        <v>8</v>
      </c>
      <c r="BK161" s="1" t="s">
        <v>8</v>
      </c>
      <c r="BL161" s="1" t="s">
        <v>9</v>
      </c>
      <c r="BM161" s="1" t="s">
        <v>9</v>
      </c>
      <c r="BN161" s="1" t="s">
        <v>10</v>
      </c>
      <c r="BO161" s="1" t="s">
        <v>10</v>
      </c>
    </row>
    <row r="162" spans="24:67" x14ac:dyDescent="0.3">
      <c r="X162" s="1" t="s">
        <v>20</v>
      </c>
      <c r="AU162" s="1" t="s">
        <v>20</v>
      </c>
    </row>
    <row r="163" spans="24:67" x14ac:dyDescent="0.3">
      <c r="X163" s="1" t="s">
        <v>21</v>
      </c>
      <c r="Y163" s="2">
        <v>11.11</v>
      </c>
      <c r="Z163" s="2">
        <v>17.82</v>
      </c>
      <c r="AA163" s="2">
        <v>9.17</v>
      </c>
      <c r="AB163" s="2">
        <v>9.17</v>
      </c>
      <c r="AC163" s="2">
        <v>7.56</v>
      </c>
      <c r="AD163" s="2">
        <v>15.49</v>
      </c>
      <c r="AE163" s="2">
        <v>22.34</v>
      </c>
      <c r="AF163" s="2">
        <v>9.5500000000000007</v>
      </c>
      <c r="AG163" s="2">
        <v>18.18</v>
      </c>
      <c r="AH163" s="2">
        <v>22.1</v>
      </c>
      <c r="AI163" s="2">
        <v>8.5399999999999991</v>
      </c>
      <c r="AJ163" s="2">
        <v>13.93</v>
      </c>
      <c r="AK163" s="2">
        <v>9.4700000000000006</v>
      </c>
      <c r="AL163" s="2">
        <v>12.25</v>
      </c>
      <c r="AM163" s="2">
        <v>6.15</v>
      </c>
      <c r="AN163" s="2">
        <v>6.57</v>
      </c>
      <c r="AO163" s="2">
        <v>4.4800000000000004</v>
      </c>
      <c r="AP163" s="2">
        <v>8.1199999999999992</v>
      </c>
      <c r="AQ163" s="2">
        <v>3.33</v>
      </c>
      <c r="AR163" s="2">
        <v>4.76</v>
      </c>
      <c r="AU163" s="1" t="s">
        <v>21</v>
      </c>
      <c r="AV163" s="2">
        <v>11.11</v>
      </c>
      <c r="AW163" s="2">
        <v>17.82</v>
      </c>
      <c r="AX163" s="2">
        <v>9.17</v>
      </c>
      <c r="AY163" s="2">
        <v>9.17</v>
      </c>
      <c r="AZ163" s="2">
        <v>7.56</v>
      </c>
      <c r="BA163" s="2">
        <v>15.49</v>
      </c>
      <c r="BB163" s="2">
        <v>22.34</v>
      </c>
      <c r="BC163" s="2">
        <v>9.5500000000000007</v>
      </c>
      <c r="BD163" s="2">
        <v>18.18</v>
      </c>
      <c r="BE163" s="2">
        <v>22.1</v>
      </c>
      <c r="BF163" s="2">
        <v>8.5399999999999991</v>
      </c>
      <c r="BG163" s="2">
        <v>13.93</v>
      </c>
      <c r="BH163" s="2">
        <v>9.4700000000000006</v>
      </c>
      <c r="BI163" s="2">
        <v>12.25</v>
      </c>
      <c r="BJ163" s="2">
        <v>6.15</v>
      </c>
      <c r="BK163" s="2">
        <v>6.57</v>
      </c>
      <c r="BL163" s="2">
        <v>4.4800000000000004</v>
      </c>
      <c r="BM163" s="2">
        <v>8.1199999999999992</v>
      </c>
      <c r="BN163" s="2">
        <v>3.33</v>
      </c>
      <c r="BO163" s="2">
        <v>4.76</v>
      </c>
    </row>
    <row r="164" spans="24:67" x14ac:dyDescent="0.3">
      <c r="X164" s="1" t="s">
        <v>22</v>
      </c>
      <c r="Y164" s="2">
        <v>19.78</v>
      </c>
      <c r="Z164" s="2">
        <v>13.84</v>
      </c>
      <c r="AA164" s="2">
        <v>14.79</v>
      </c>
      <c r="AB164" s="2">
        <v>11.67</v>
      </c>
      <c r="AC164" s="2">
        <v>10.92</v>
      </c>
      <c r="AD164" s="2">
        <v>20.77</v>
      </c>
      <c r="AE164" s="2">
        <v>15.17</v>
      </c>
      <c r="AF164" s="2">
        <v>30.28</v>
      </c>
      <c r="AG164" s="2">
        <v>17.510000000000002</v>
      </c>
      <c r="AH164" s="2">
        <v>23.14</v>
      </c>
      <c r="AI164" s="2">
        <v>9.4700000000000006</v>
      </c>
      <c r="AJ164" s="2">
        <v>18.2</v>
      </c>
      <c r="AK164" s="2">
        <v>15.37</v>
      </c>
      <c r="AL164" s="2">
        <v>20.12</v>
      </c>
      <c r="AM164" s="2">
        <v>16.559999999999999</v>
      </c>
      <c r="AN164" s="2">
        <v>13.14</v>
      </c>
      <c r="AO164" s="2">
        <v>13.74</v>
      </c>
      <c r="AP164" s="2">
        <v>13.12</v>
      </c>
      <c r="AQ164" s="2">
        <v>10.92</v>
      </c>
      <c r="AR164" s="2">
        <v>12.8</v>
      </c>
      <c r="AU164" s="1" t="s">
        <v>22</v>
      </c>
      <c r="AV164" s="2">
        <v>19.78</v>
      </c>
      <c r="AW164" s="2">
        <v>13.84</v>
      </c>
      <c r="AX164" s="2">
        <v>14.79</v>
      </c>
      <c r="AY164" s="2">
        <v>11.67</v>
      </c>
      <c r="AZ164" s="2">
        <v>10.92</v>
      </c>
      <c r="BA164" s="2">
        <v>20.77</v>
      </c>
      <c r="BB164" s="2">
        <v>15.17</v>
      </c>
      <c r="BC164" s="2">
        <v>30.28</v>
      </c>
      <c r="BD164" s="2">
        <v>17.510000000000002</v>
      </c>
      <c r="BE164" s="2">
        <v>23.14</v>
      </c>
      <c r="BF164" s="2">
        <v>9.4700000000000006</v>
      </c>
      <c r="BG164" s="2">
        <v>18.2</v>
      </c>
      <c r="BH164" s="2">
        <v>15.37</v>
      </c>
      <c r="BI164" s="2">
        <v>20.12</v>
      </c>
      <c r="BJ164" s="2">
        <v>16.559999999999999</v>
      </c>
      <c r="BK164" s="2">
        <v>13.14</v>
      </c>
      <c r="BL164" s="2">
        <v>13.74</v>
      </c>
      <c r="BM164" s="2">
        <v>13.12</v>
      </c>
      <c r="BN164" s="2">
        <v>10.92</v>
      </c>
      <c r="BO164" s="2">
        <v>12.8</v>
      </c>
    </row>
    <row r="165" spans="24:67" x14ac:dyDescent="0.3">
      <c r="X165" s="1" t="s">
        <v>23</v>
      </c>
      <c r="Y165" s="2">
        <v>56.61</v>
      </c>
      <c r="Z165" s="2">
        <v>30.55</v>
      </c>
      <c r="AA165" s="2">
        <v>46.56</v>
      </c>
      <c r="AB165" s="2">
        <v>21.24</v>
      </c>
      <c r="AC165" s="2">
        <v>39.36</v>
      </c>
      <c r="AD165" s="2">
        <v>62.09</v>
      </c>
      <c r="AE165" s="2">
        <v>78.290000000000006</v>
      </c>
      <c r="AF165" s="2">
        <v>118.93</v>
      </c>
      <c r="AG165" s="2">
        <v>68.599999999999994</v>
      </c>
      <c r="AH165" s="2">
        <v>91.59</v>
      </c>
      <c r="AI165" s="2">
        <v>64.23</v>
      </c>
      <c r="AJ165" s="2">
        <v>83.9</v>
      </c>
      <c r="AK165" s="2">
        <v>70.56</v>
      </c>
      <c r="AL165" s="2">
        <v>90.67</v>
      </c>
      <c r="AM165" s="2">
        <v>68.36</v>
      </c>
      <c r="AN165" s="2">
        <v>74.59</v>
      </c>
      <c r="AO165" s="2">
        <v>65.02</v>
      </c>
      <c r="AP165" s="2">
        <v>65.28</v>
      </c>
      <c r="AQ165" s="2">
        <v>54.27</v>
      </c>
      <c r="AR165" s="2">
        <v>45.91</v>
      </c>
      <c r="AU165" s="1" t="s">
        <v>23</v>
      </c>
      <c r="AV165" s="2">
        <v>56.61</v>
      </c>
      <c r="AW165" s="2">
        <v>30.55</v>
      </c>
      <c r="AX165" s="2">
        <v>46.56</v>
      </c>
      <c r="AY165" s="2">
        <v>21.24</v>
      </c>
      <c r="AZ165" s="2">
        <v>39.36</v>
      </c>
      <c r="BA165" s="2">
        <v>62.09</v>
      </c>
      <c r="BB165" s="2">
        <v>78.290000000000006</v>
      </c>
      <c r="BC165" s="2">
        <v>118.93</v>
      </c>
      <c r="BD165" s="2">
        <v>68.599999999999994</v>
      </c>
      <c r="BE165" s="2">
        <v>91.59</v>
      </c>
      <c r="BF165" s="2">
        <v>64.23</v>
      </c>
      <c r="BG165" s="2">
        <v>83.9</v>
      </c>
      <c r="BH165" s="2">
        <v>70.56</v>
      </c>
      <c r="BI165" s="2">
        <v>90.67</v>
      </c>
      <c r="BJ165" s="2">
        <v>68.36</v>
      </c>
      <c r="BK165" s="2">
        <v>74.59</v>
      </c>
      <c r="BL165" s="2">
        <v>65.02</v>
      </c>
      <c r="BM165" s="2">
        <v>65.28</v>
      </c>
      <c r="BN165" s="2">
        <v>54.27</v>
      </c>
      <c r="BO165" s="2">
        <v>45.91</v>
      </c>
    </row>
    <row r="166" spans="24:67" x14ac:dyDescent="0.3">
      <c r="X166" s="1" t="s">
        <v>24</v>
      </c>
      <c r="Y166" s="2">
        <v>16.82</v>
      </c>
      <c r="Z166" s="2">
        <v>11.1</v>
      </c>
      <c r="AA166" s="2">
        <v>18.63</v>
      </c>
      <c r="AB166" s="2">
        <v>9.5500000000000007</v>
      </c>
      <c r="AC166" s="2">
        <v>16.86</v>
      </c>
      <c r="AD166" s="2">
        <v>19.059999999999999</v>
      </c>
      <c r="AE166" s="2">
        <v>36.47</v>
      </c>
      <c r="AF166" s="2">
        <v>33.79</v>
      </c>
      <c r="AG166" s="2">
        <v>37.200000000000003</v>
      </c>
      <c r="AH166" s="2">
        <v>28.56</v>
      </c>
      <c r="AI166" s="2">
        <v>34.15</v>
      </c>
      <c r="AJ166" s="2">
        <v>23.45</v>
      </c>
      <c r="AK166" s="2">
        <v>27.77</v>
      </c>
      <c r="AL166" s="2">
        <v>25.93</v>
      </c>
      <c r="AM166" s="2">
        <v>40.46</v>
      </c>
      <c r="AN166" s="2">
        <v>19.73</v>
      </c>
      <c r="AO166" s="2">
        <v>20.13</v>
      </c>
      <c r="AP166" s="2">
        <v>18.72</v>
      </c>
      <c r="AQ166" s="2">
        <v>22.36</v>
      </c>
      <c r="AR166" s="2">
        <v>19.36</v>
      </c>
      <c r="AU166" s="1" t="s">
        <v>24</v>
      </c>
      <c r="AV166" s="2">
        <v>16.82</v>
      </c>
      <c r="AW166" s="2">
        <v>11.1</v>
      </c>
      <c r="AX166" s="2">
        <v>18.63</v>
      </c>
      <c r="AY166" s="2">
        <v>9.5500000000000007</v>
      </c>
      <c r="AZ166" s="2">
        <v>16.86</v>
      </c>
      <c r="BA166" s="2">
        <v>19.059999999999999</v>
      </c>
      <c r="BB166" s="2">
        <v>36.47</v>
      </c>
      <c r="BC166" s="2">
        <v>33.79</v>
      </c>
      <c r="BD166" s="2">
        <v>37.200000000000003</v>
      </c>
      <c r="BE166" s="2">
        <v>28.56</v>
      </c>
      <c r="BF166" s="2">
        <v>34.15</v>
      </c>
      <c r="BG166" s="2">
        <v>23.45</v>
      </c>
      <c r="BH166" s="2">
        <v>27.77</v>
      </c>
      <c r="BI166" s="2">
        <v>25.93</v>
      </c>
      <c r="BJ166" s="2">
        <v>40.46</v>
      </c>
      <c r="BK166" s="2">
        <v>19.73</v>
      </c>
      <c r="BL166" s="2">
        <v>20.13</v>
      </c>
      <c r="BM166" s="2">
        <v>18.72</v>
      </c>
      <c r="BN166" s="2">
        <v>22.36</v>
      </c>
      <c r="BO166" s="2">
        <v>19.36</v>
      </c>
    </row>
    <row r="167" spans="24:67" x14ac:dyDescent="0.3">
      <c r="X167" s="1" t="s">
        <v>25</v>
      </c>
      <c r="Y167" s="2">
        <v>58.92</v>
      </c>
      <c r="Z167" s="2">
        <v>56.95</v>
      </c>
      <c r="AA167" s="2">
        <v>40.99</v>
      </c>
      <c r="AB167" s="2">
        <v>40.520000000000003</v>
      </c>
      <c r="AC167" s="2">
        <v>53.64</v>
      </c>
      <c r="AD167" s="2">
        <v>78.11</v>
      </c>
      <c r="AE167" s="2">
        <v>95.2</v>
      </c>
      <c r="AF167" s="2">
        <v>102.51</v>
      </c>
      <c r="AG167" s="2">
        <v>114.09</v>
      </c>
      <c r="AH167" s="2">
        <v>106.12</v>
      </c>
      <c r="AI167" s="2">
        <v>95.83</v>
      </c>
      <c r="AJ167" s="2">
        <v>95.95</v>
      </c>
      <c r="AK167" s="2">
        <v>108.45</v>
      </c>
      <c r="AL167" s="2">
        <v>107.26</v>
      </c>
      <c r="AM167" s="2">
        <v>116.97</v>
      </c>
      <c r="AN167" s="2">
        <v>107.92</v>
      </c>
      <c r="AO167" s="2">
        <v>76.67</v>
      </c>
      <c r="AP167" s="2">
        <v>72.55</v>
      </c>
      <c r="AQ167" s="2">
        <v>86.37</v>
      </c>
      <c r="AR167" s="2">
        <v>62.65</v>
      </c>
      <c r="AU167" s="1" t="s">
        <v>25</v>
      </c>
      <c r="AV167" s="2">
        <v>58.92</v>
      </c>
      <c r="AW167" s="2">
        <v>56.95</v>
      </c>
      <c r="AX167" s="2">
        <v>40.99</v>
      </c>
      <c r="AY167" s="2">
        <v>40.520000000000003</v>
      </c>
      <c r="AZ167" s="2">
        <v>53.64</v>
      </c>
      <c r="BA167" s="2">
        <v>78.11</v>
      </c>
      <c r="BB167" s="2">
        <v>95.2</v>
      </c>
      <c r="BC167" s="2">
        <v>102.51</v>
      </c>
      <c r="BD167" s="2">
        <v>114.09</v>
      </c>
      <c r="BE167" s="2">
        <v>106.12</v>
      </c>
      <c r="BF167" s="2">
        <v>95.83</v>
      </c>
      <c r="BG167" s="2">
        <v>95.95</v>
      </c>
      <c r="BH167" s="2">
        <v>108.45</v>
      </c>
      <c r="BI167" s="2">
        <v>107.26</v>
      </c>
      <c r="BJ167" s="2">
        <v>116.97</v>
      </c>
      <c r="BK167" s="2">
        <v>107.92</v>
      </c>
      <c r="BL167" s="2">
        <v>76.67</v>
      </c>
      <c r="BM167" s="2">
        <v>72.55</v>
      </c>
      <c r="BN167" s="2">
        <v>86.37</v>
      </c>
      <c r="BO167" s="2">
        <v>62.65</v>
      </c>
    </row>
    <row r="168" spans="24:67" x14ac:dyDescent="0.3">
      <c r="X168" s="1" t="s">
        <v>26</v>
      </c>
      <c r="Y168" s="2">
        <v>14.57</v>
      </c>
      <c r="Z168" s="2">
        <v>4.26</v>
      </c>
      <c r="AA168" s="2">
        <v>9.86</v>
      </c>
      <c r="AB168" s="2">
        <v>3.59</v>
      </c>
      <c r="AC168" s="2">
        <v>10.45</v>
      </c>
      <c r="AD168" s="2">
        <v>7.89</v>
      </c>
      <c r="AE168" s="2">
        <v>14.08</v>
      </c>
      <c r="AF168" s="2">
        <v>8.15</v>
      </c>
      <c r="AG168" s="2">
        <v>11.66</v>
      </c>
      <c r="AH168" s="2">
        <v>12.18</v>
      </c>
      <c r="AI168" s="2">
        <v>15.25</v>
      </c>
      <c r="AJ168" s="2">
        <v>10.68</v>
      </c>
      <c r="AK168" s="2">
        <v>17.440000000000001</v>
      </c>
      <c r="AL168" s="2">
        <v>10.56</v>
      </c>
      <c r="AM168" s="2">
        <v>17.010000000000002</v>
      </c>
      <c r="AN168" s="2">
        <v>13.74</v>
      </c>
      <c r="AO168" s="2">
        <v>17.71</v>
      </c>
      <c r="AP168" s="2">
        <v>8.2899999999999991</v>
      </c>
      <c r="AQ168" s="2">
        <v>13.51</v>
      </c>
      <c r="AR168" s="2">
        <v>7.83</v>
      </c>
      <c r="AU168" s="1" t="s">
        <v>26</v>
      </c>
      <c r="AV168" s="2">
        <v>14.57</v>
      </c>
      <c r="AW168" s="2">
        <v>4.26</v>
      </c>
      <c r="AX168" s="2">
        <v>9.86</v>
      </c>
      <c r="AY168" s="2">
        <v>3.59</v>
      </c>
      <c r="AZ168" s="2">
        <v>10.45</v>
      </c>
      <c r="BA168" s="2">
        <v>7.89</v>
      </c>
      <c r="BB168" s="2">
        <v>14.08</v>
      </c>
      <c r="BC168" s="2">
        <v>8.15</v>
      </c>
      <c r="BD168" s="2">
        <v>11.66</v>
      </c>
      <c r="BE168" s="2">
        <v>12.18</v>
      </c>
      <c r="BF168" s="2">
        <v>15.25</v>
      </c>
      <c r="BG168" s="2">
        <v>10.68</v>
      </c>
      <c r="BH168" s="2">
        <v>17.440000000000001</v>
      </c>
      <c r="BI168" s="2">
        <v>10.56</v>
      </c>
      <c r="BJ168" s="2">
        <v>17.010000000000002</v>
      </c>
      <c r="BK168" s="2">
        <v>13.74</v>
      </c>
      <c r="BL168" s="2">
        <v>17.71</v>
      </c>
      <c r="BM168" s="2">
        <v>8.2899999999999991</v>
      </c>
      <c r="BN168" s="2">
        <v>13.51</v>
      </c>
      <c r="BO168" s="2">
        <v>7.83</v>
      </c>
    </row>
    <row r="169" spans="24:67" x14ac:dyDescent="0.3">
      <c r="X169" s="1" t="s">
        <v>27</v>
      </c>
      <c r="Y169" s="2">
        <v>25.23</v>
      </c>
      <c r="Z169" s="2">
        <v>26.07</v>
      </c>
      <c r="AA169" s="2">
        <v>15.52</v>
      </c>
      <c r="AB169" s="2">
        <v>21.84</v>
      </c>
      <c r="AC169" s="2">
        <v>24.38</v>
      </c>
      <c r="AD169" s="2">
        <v>28.17</v>
      </c>
      <c r="AE169" s="2">
        <v>36.56</v>
      </c>
      <c r="AF169" s="2">
        <v>27.4</v>
      </c>
      <c r="AG169" s="2">
        <v>28.36</v>
      </c>
      <c r="AH169" s="2">
        <v>27.11</v>
      </c>
      <c r="AI169" s="2">
        <v>31.83</v>
      </c>
      <c r="AJ169" s="2">
        <v>26.19</v>
      </c>
      <c r="AK169" s="2">
        <v>30.98</v>
      </c>
      <c r="AL169" s="2">
        <v>28.96</v>
      </c>
      <c r="AM169" s="2">
        <v>37.26</v>
      </c>
      <c r="AN169" s="2">
        <v>33.78</v>
      </c>
      <c r="AO169" s="2">
        <v>36.86</v>
      </c>
      <c r="AP169" s="2">
        <v>20.94</v>
      </c>
      <c r="AQ169" s="2">
        <v>29.72</v>
      </c>
      <c r="AR169" s="2">
        <v>22.17</v>
      </c>
      <c r="AU169" s="1" t="s">
        <v>27</v>
      </c>
      <c r="AV169" s="2">
        <v>25.23</v>
      </c>
      <c r="AW169" s="2">
        <v>26.07</v>
      </c>
      <c r="AX169" s="2">
        <v>15.52</v>
      </c>
      <c r="AY169" s="2">
        <v>21.84</v>
      </c>
      <c r="AZ169" s="2">
        <v>24.38</v>
      </c>
      <c r="BA169" s="2">
        <v>28.17</v>
      </c>
      <c r="BB169" s="2">
        <v>36.56</v>
      </c>
      <c r="BC169" s="2">
        <v>27.4</v>
      </c>
      <c r="BD169" s="2">
        <v>28.36</v>
      </c>
      <c r="BE169" s="2">
        <v>27.11</v>
      </c>
      <c r="BF169" s="2">
        <v>31.83</v>
      </c>
      <c r="BG169" s="2">
        <v>26.19</v>
      </c>
      <c r="BH169" s="2">
        <v>30.98</v>
      </c>
      <c r="BI169" s="2">
        <v>28.96</v>
      </c>
      <c r="BJ169" s="2">
        <v>37.26</v>
      </c>
      <c r="BK169" s="2">
        <v>33.78</v>
      </c>
      <c r="BL169" s="2">
        <v>36.86</v>
      </c>
      <c r="BM169" s="2">
        <v>20.94</v>
      </c>
      <c r="BN169" s="2">
        <v>29.72</v>
      </c>
      <c r="BO169" s="2">
        <v>22.17</v>
      </c>
    </row>
    <row r="170" spans="24:67" x14ac:dyDescent="0.3">
      <c r="X170" s="1" t="s">
        <v>28</v>
      </c>
      <c r="Y170" s="2">
        <v>5.83</v>
      </c>
      <c r="Z170" s="2">
        <v>10.99</v>
      </c>
      <c r="AA170" s="2">
        <v>3.41</v>
      </c>
      <c r="AB170" s="2">
        <v>4.5599999999999996</v>
      </c>
      <c r="AC170" s="2">
        <v>3.34</v>
      </c>
      <c r="AD170" s="2">
        <v>4.43</v>
      </c>
      <c r="AE170" s="2">
        <v>9.77</v>
      </c>
      <c r="AF170" s="2">
        <v>5.03</v>
      </c>
      <c r="AG170" s="2">
        <v>7.19</v>
      </c>
      <c r="AH170" s="2">
        <v>8.41</v>
      </c>
      <c r="AI170" s="2">
        <v>8.65</v>
      </c>
      <c r="AJ170" s="2">
        <v>5.75</v>
      </c>
      <c r="AK170" s="2">
        <v>8.4499999999999993</v>
      </c>
      <c r="AL170" s="2">
        <v>4.3499999999999996</v>
      </c>
      <c r="AM170" s="2">
        <v>5.0999999999999996</v>
      </c>
      <c r="AN170" s="2">
        <v>2.5499999999999998</v>
      </c>
      <c r="AO170" s="2">
        <v>2.65</v>
      </c>
      <c r="AP170" s="2">
        <v>2.5099999999999998</v>
      </c>
      <c r="AQ170" s="2">
        <v>5.6</v>
      </c>
      <c r="AR170" s="2">
        <v>5.51</v>
      </c>
      <c r="AU170" s="1" t="s">
        <v>28</v>
      </c>
      <c r="AV170" s="2">
        <v>5.83</v>
      </c>
      <c r="AW170" s="2">
        <v>10.99</v>
      </c>
      <c r="AX170" s="2">
        <v>3.41</v>
      </c>
      <c r="AY170" s="2">
        <v>4.5599999999999996</v>
      </c>
      <c r="AZ170" s="2">
        <v>3.34</v>
      </c>
      <c r="BA170" s="2">
        <v>4.43</v>
      </c>
      <c r="BB170" s="2">
        <v>9.77</v>
      </c>
      <c r="BC170" s="2">
        <v>5.03</v>
      </c>
      <c r="BD170" s="2">
        <v>7.19</v>
      </c>
      <c r="BE170" s="2">
        <v>8.41</v>
      </c>
      <c r="BF170" s="2">
        <v>8.65</v>
      </c>
      <c r="BG170" s="2">
        <v>5.75</v>
      </c>
      <c r="BH170" s="2">
        <v>8.4499999999999993</v>
      </c>
      <c r="BI170" s="2">
        <v>4.3499999999999996</v>
      </c>
      <c r="BJ170" s="2">
        <v>5.0999999999999996</v>
      </c>
      <c r="BK170" s="2">
        <v>2.5499999999999998</v>
      </c>
      <c r="BL170" s="2">
        <v>2.65</v>
      </c>
      <c r="BM170" s="2">
        <v>2.5099999999999998</v>
      </c>
      <c r="BN170" s="2">
        <v>5.6</v>
      </c>
      <c r="BO170" s="2">
        <v>5.51</v>
      </c>
    </row>
    <row r="173" spans="24:67" x14ac:dyDescent="0.3">
      <c r="X173" t="s">
        <v>66</v>
      </c>
      <c r="AU173" t="s">
        <v>67</v>
      </c>
    </row>
    <row r="174" spans="24:67" x14ac:dyDescent="0.3">
      <c r="X174" s="1" t="s">
        <v>16</v>
      </c>
      <c r="Y174" s="13" t="s">
        <v>17</v>
      </c>
      <c r="Z174" s="13"/>
      <c r="AA174" s="13"/>
      <c r="AB174" s="13"/>
      <c r="AC174" s="13"/>
      <c r="AD174" s="13"/>
      <c r="AE174" s="13"/>
      <c r="AF174" s="13"/>
      <c r="AG174" s="13"/>
      <c r="AH174" s="13"/>
      <c r="AI174" s="13" t="s">
        <v>18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U174" s="1" t="s">
        <v>16</v>
      </c>
      <c r="AV174" s="13" t="s">
        <v>17</v>
      </c>
      <c r="AW174" s="13"/>
      <c r="AX174" s="13"/>
      <c r="AY174" s="13"/>
      <c r="AZ174" s="13"/>
      <c r="BA174" s="13"/>
      <c r="BB174" s="13"/>
      <c r="BC174" s="13"/>
      <c r="BD174" s="13"/>
      <c r="BE174" s="13"/>
      <c r="BF174" s="13" t="s">
        <v>18</v>
      </c>
      <c r="BG174" s="13"/>
      <c r="BH174" s="13"/>
      <c r="BI174" s="13"/>
      <c r="BJ174" s="13"/>
      <c r="BK174" s="13"/>
      <c r="BL174" s="13"/>
      <c r="BM174" s="13"/>
      <c r="BN174" s="13"/>
      <c r="BO174" s="13"/>
    </row>
    <row r="175" spans="24:67" x14ac:dyDescent="0.3">
      <c r="X175" s="1" t="s">
        <v>19</v>
      </c>
      <c r="Y175" s="1" t="s">
        <v>1</v>
      </c>
      <c r="Z175" s="1" t="s">
        <v>10</v>
      </c>
      <c r="AA175" s="1" t="s">
        <v>2</v>
      </c>
      <c r="AB175" s="1" t="s">
        <v>3</v>
      </c>
      <c r="AC175" s="1" t="s">
        <v>4</v>
      </c>
      <c r="AD175" s="1" t="s">
        <v>5</v>
      </c>
      <c r="AE175" s="1" t="s">
        <v>6</v>
      </c>
      <c r="AF175" s="1" t="s">
        <v>7</v>
      </c>
      <c r="AG175" s="1" t="s">
        <v>8</v>
      </c>
      <c r="AH175" s="1" t="s">
        <v>9</v>
      </c>
      <c r="AI175" s="1" t="s">
        <v>1</v>
      </c>
      <c r="AJ175" s="1" t="s">
        <v>10</v>
      </c>
      <c r="AK175" s="1" t="s">
        <v>2</v>
      </c>
      <c r="AL175" s="1" t="s">
        <v>3</v>
      </c>
      <c r="AM175" s="1" t="s">
        <v>4</v>
      </c>
      <c r="AN175" s="1" t="s">
        <v>5</v>
      </c>
      <c r="AO175" s="1" t="s">
        <v>6</v>
      </c>
      <c r="AP175" s="1" t="s">
        <v>7</v>
      </c>
      <c r="AQ175" s="1" t="s">
        <v>8</v>
      </c>
      <c r="AR175" s="1" t="s">
        <v>9</v>
      </c>
      <c r="AU175" s="1" t="s">
        <v>19</v>
      </c>
      <c r="AV175" s="1" t="s">
        <v>1</v>
      </c>
      <c r="AW175" s="1" t="s">
        <v>10</v>
      </c>
      <c r="AX175" s="1" t="s">
        <v>2</v>
      </c>
      <c r="AY175" s="1" t="s">
        <v>3</v>
      </c>
      <c r="AZ175" s="1" t="s">
        <v>4</v>
      </c>
      <c r="BA175" s="1" t="s">
        <v>5</v>
      </c>
      <c r="BB175" s="1" t="s">
        <v>6</v>
      </c>
      <c r="BC175" s="1" t="s">
        <v>7</v>
      </c>
      <c r="BD175" s="1" t="s">
        <v>8</v>
      </c>
      <c r="BE175" s="1" t="s">
        <v>9</v>
      </c>
      <c r="BF175" s="1" t="s">
        <v>1</v>
      </c>
      <c r="BG175" s="1" t="s">
        <v>10</v>
      </c>
      <c r="BH175" s="1" t="s">
        <v>2</v>
      </c>
      <c r="BI175" s="1" t="s">
        <v>3</v>
      </c>
      <c r="BJ175" s="1" t="s">
        <v>4</v>
      </c>
      <c r="BK175" s="1" t="s">
        <v>5</v>
      </c>
      <c r="BL175" s="1" t="s">
        <v>6</v>
      </c>
      <c r="BM175" s="1" t="s">
        <v>7</v>
      </c>
      <c r="BN175" s="1" t="s">
        <v>8</v>
      </c>
      <c r="BO175" s="1" t="s">
        <v>9</v>
      </c>
    </row>
    <row r="176" spans="24:67" x14ac:dyDescent="0.3">
      <c r="X176" s="1" t="s">
        <v>20</v>
      </c>
      <c r="AU176" s="1" t="s">
        <v>20</v>
      </c>
    </row>
    <row r="177" spans="24:67" x14ac:dyDescent="0.3">
      <c r="X177" s="1" t="s">
        <v>21</v>
      </c>
      <c r="Y177" s="2">
        <v>359.03</v>
      </c>
      <c r="Z177" s="2">
        <v>1103.8399999999999</v>
      </c>
      <c r="AA177" s="2">
        <v>186.73</v>
      </c>
      <c r="AB177" s="2">
        <v>108.01</v>
      </c>
      <c r="AC177" s="2">
        <v>384.1</v>
      </c>
      <c r="AD177" s="2">
        <v>486.78</v>
      </c>
      <c r="AE177" s="2">
        <v>744.43</v>
      </c>
      <c r="AF177" s="2">
        <v>582.25</v>
      </c>
      <c r="AG177" s="2">
        <v>844.27</v>
      </c>
      <c r="AH177" s="2">
        <v>706.64</v>
      </c>
      <c r="AI177" s="2">
        <v>361.97</v>
      </c>
      <c r="AJ177" s="2">
        <v>1206.76</v>
      </c>
      <c r="AK177" s="2">
        <v>191.83</v>
      </c>
      <c r="AL177" s="2">
        <v>110.99</v>
      </c>
      <c r="AM177" s="2">
        <v>351.91</v>
      </c>
      <c r="AN177" s="2">
        <v>435.92</v>
      </c>
      <c r="AO177" s="2">
        <v>796.07</v>
      </c>
      <c r="AP177" s="2">
        <v>697.98</v>
      </c>
      <c r="AQ177" s="2">
        <v>877.03</v>
      </c>
      <c r="AR177" s="2">
        <v>763.98</v>
      </c>
      <c r="AU177" s="1" t="s">
        <v>21</v>
      </c>
      <c r="AV177" s="2">
        <v>359.03</v>
      </c>
      <c r="AW177" s="2">
        <v>1103.8399999999999</v>
      </c>
      <c r="AX177" s="2">
        <v>186.73</v>
      </c>
      <c r="AY177" s="2">
        <v>108.01</v>
      </c>
      <c r="AZ177" s="2">
        <v>384.1</v>
      </c>
      <c r="BA177" s="2">
        <v>486.78</v>
      </c>
      <c r="BB177" s="2">
        <v>744.43</v>
      </c>
      <c r="BC177" s="2">
        <v>582.25</v>
      </c>
      <c r="BD177" s="2">
        <v>844.27</v>
      </c>
      <c r="BE177" s="2">
        <v>706.64</v>
      </c>
      <c r="BF177" s="2">
        <v>361.97</v>
      </c>
      <c r="BG177" s="2">
        <v>1206.76</v>
      </c>
      <c r="BH177" s="2">
        <v>191.83</v>
      </c>
      <c r="BI177" s="2">
        <v>110.99</v>
      </c>
      <c r="BJ177" s="2">
        <v>351.91</v>
      </c>
      <c r="BK177" s="2">
        <v>435.92</v>
      </c>
      <c r="BL177" s="2">
        <v>796.07</v>
      </c>
      <c r="BM177" s="2">
        <v>697.98</v>
      </c>
      <c r="BN177" s="2">
        <v>877.03</v>
      </c>
      <c r="BO177" s="2">
        <v>763.98</v>
      </c>
    </row>
    <row r="178" spans="24:67" x14ac:dyDescent="0.3">
      <c r="X178" s="1" t="s">
        <v>22</v>
      </c>
      <c r="Y178" s="2">
        <v>24.98</v>
      </c>
      <c r="Z178" s="2">
        <v>111.67</v>
      </c>
      <c r="AA178" s="2">
        <v>14.63</v>
      </c>
      <c r="AB178" s="2">
        <v>8.42</v>
      </c>
      <c r="AC178" s="2">
        <v>23.94</v>
      </c>
      <c r="AD178" s="2">
        <v>38.25</v>
      </c>
      <c r="AE178" s="2">
        <v>47.87</v>
      </c>
      <c r="AF178" s="2">
        <v>67.849999999999994</v>
      </c>
      <c r="AG178" s="2">
        <v>96.13</v>
      </c>
      <c r="AH178" s="2">
        <v>86.39</v>
      </c>
      <c r="AI178" s="2">
        <v>26.05</v>
      </c>
      <c r="AJ178" s="2">
        <v>97.59</v>
      </c>
      <c r="AK178" s="2">
        <v>17.73</v>
      </c>
      <c r="AL178" s="2">
        <v>8.27</v>
      </c>
      <c r="AM178" s="2">
        <v>48.98</v>
      </c>
      <c r="AN178" s="2">
        <v>42.29</v>
      </c>
      <c r="AO178" s="2">
        <v>87.8</v>
      </c>
      <c r="AP178" s="2">
        <v>84.06</v>
      </c>
      <c r="AQ178" s="2">
        <v>76.05</v>
      </c>
      <c r="AR178" s="2">
        <v>65.3</v>
      </c>
      <c r="AU178" s="1" t="s">
        <v>22</v>
      </c>
      <c r="AV178" s="2">
        <v>24.98</v>
      </c>
      <c r="AW178" s="2">
        <v>111.67</v>
      </c>
      <c r="AX178" s="2">
        <v>14.63</v>
      </c>
      <c r="AY178" s="2">
        <v>8.42</v>
      </c>
      <c r="AZ178" s="2">
        <v>23.94</v>
      </c>
      <c r="BA178" s="2">
        <v>38.25</v>
      </c>
      <c r="BB178" s="2">
        <v>47.87</v>
      </c>
      <c r="BC178" s="2">
        <v>67.849999999999994</v>
      </c>
      <c r="BD178" s="2">
        <v>96.13</v>
      </c>
      <c r="BE178" s="2">
        <v>86.39</v>
      </c>
      <c r="BF178" s="2">
        <v>26.05</v>
      </c>
      <c r="BG178" s="2">
        <v>97.59</v>
      </c>
      <c r="BH178" s="2">
        <v>17.73</v>
      </c>
      <c r="BI178" s="2">
        <v>8.27</v>
      </c>
      <c r="BJ178" s="2">
        <v>48.98</v>
      </c>
      <c r="BK178" s="2">
        <v>42.29</v>
      </c>
      <c r="BL178" s="2">
        <v>87.8</v>
      </c>
      <c r="BM178" s="2">
        <v>84.06</v>
      </c>
      <c r="BN178" s="2">
        <v>76.05</v>
      </c>
      <c r="BO178" s="2">
        <v>65.3</v>
      </c>
    </row>
    <row r="179" spans="24:67" x14ac:dyDescent="0.3">
      <c r="X179" s="1" t="s">
        <v>23</v>
      </c>
      <c r="Y179" s="2">
        <v>203.83</v>
      </c>
      <c r="Z179" s="2">
        <v>550.09</v>
      </c>
      <c r="AA179" s="2">
        <v>88.13</v>
      </c>
      <c r="AB179" s="2">
        <v>72.069999999999993</v>
      </c>
      <c r="AC179" s="2">
        <v>204.7</v>
      </c>
      <c r="AD179" s="2">
        <v>251.17</v>
      </c>
      <c r="AE179" s="2">
        <v>460.57</v>
      </c>
      <c r="AF179" s="2">
        <v>418.87</v>
      </c>
      <c r="AG179" s="2">
        <v>534.14</v>
      </c>
      <c r="AH179" s="2">
        <v>581.69000000000005</v>
      </c>
      <c r="AI179" s="2">
        <v>76.69</v>
      </c>
      <c r="AJ179" s="2">
        <v>467.9</v>
      </c>
      <c r="AK179" s="2">
        <v>40.42</v>
      </c>
      <c r="AL179" s="2">
        <v>38.04</v>
      </c>
      <c r="AM179" s="2">
        <v>280.75</v>
      </c>
      <c r="AN179" s="2">
        <v>309.60000000000002</v>
      </c>
      <c r="AO179" s="2">
        <v>596.95000000000005</v>
      </c>
      <c r="AP179" s="2">
        <v>548.67999999999995</v>
      </c>
      <c r="AQ179" s="2">
        <v>585.80999999999995</v>
      </c>
      <c r="AR179" s="2">
        <v>453.82</v>
      </c>
      <c r="AU179" s="1" t="s">
        <v>23</v>
      </c>
      <c r="AV179" s="2">
        <v>203.83</v>
      </c>
      <c r="AW179" s="2">
        <v>550.09</v>
      </c>
      <c r="AX179" s="2">
        <v>88.13</v>
      </c>
      <c r="AY179" s="2">
        <v>72.069999999999993</v>
      </c>
      <c r="AZ179" s="2">
        <v>204.7</v>
      </c>
      <c r="BA179" s="2">
        <v>251.17</v>
      </c>
      <c r="BB179" s="2">
        <v>460.57</v>
      </c>
      <c r="BC179" s="2">
        <v>418.87</v>
      </c>
      <c r="BD179" s="2">
        <v>534.14</v>
      </c>
      <c r="BE179" s="2">
        <v>581.69000000000005</v>
      </c>
      <c r="BF179" s="2">
        <v>76.69</v>
      </c>
      <c r="BG179" s="2">
        <v>467.9</v>
      </c>
      <c r="BH179" s="2">
        <v>40.42</v>
      </c>
      <c r="BI179" s="2">
        <v>38.04</v>
      </c>
      <c r="BJ179" s="2">
        <v>280.75</v>
      </c>
      <c r="BK179" s="2">
        <v>309.60000000000002</v>
      </c>
      <c r="BL179" s="2">
        <v>596.95000000000005</v>
      </c>
      <c r="BM179" s="2">
        <v>548.67999999999995</v>
      </c>
      <c r="BN179" s="2">
        <v>585.80999999999995</v>
      </c>
      <c r="BO179" s="2">
        <v>453.82</v>
      </c>
    </row>
    <row r="180" spans="24:67" x14ac:dyDescent="0.3">
      <c r="X180" s="1" t="s">
        <v>24</v>
      </c>
      <c r="Y180" s="2">
        <v>66.72</v>
      </c>
      <c r="Z180" s="2">
        <v>210.72</v>
      </c>
      <c r="AA180" s="2">
        <v>41.56</v>
      </c>
      <c r="AB180" s="2">
        <v>32.049999999999997</v>
      </c>
      <c r="AC180" s="2">
        <v>90.03</v>
      </c>
      <c r="AD180" s="2">
        <v>114.31</v>
      </c>
      <c r="AE180" s="2">
        <v>207.18</v>
      </c>
      <c r="AF180" s="2">
        <v>117</v>
      </c>
      <c r="AG180" s="2">
        <v>238.39</v>
      </c>
      <c r="AH180" s="2">
        <v>99.34</v>
      </c>
      <c r="AI180" s="2">
        <v>37.590000000000003</v>
      </c>
      <c r="AJ180" s="2">
        <v>189.41</v>
      </c>
      <c r="AK180" s="2">
        <v>21.77</v>
      </c>
      <c r="AL180" s="2">
        <v>21.69</v>
      </c>
      <c r="AM180" s="2">
        <v>114.24</v>
      </c>
      <c r="AN180" s="2">
        <v>123.04</v>
      </c>
      <c r="AO180" s="2">
        <v>224.3</v>
      </c>
      <c r="AP180" s="2">
        <v>201.57</v>
      </c>
      <c r="AQ180" s="2">
        <v>123.38</v>
      </c>
      <c r="AR180" s="2">
        <v>169.96</v>
      </c>
      <c r="AU180" s="1" t="s">
        <v>24</v>
      </c>
      <c r="AV180" s="2">
        <v>66.72</v>
      </c>
      <c r="AW180" s="2">
        <v>210.72</v>
      </c>
      <c r="AX180" s="2">
        <v>41.56</v>
      </c>
      <c r="AY180" s="2">
        <v>32.049999999999997</v>
      </c>
      <c r="AZ180" s="2">
        <v>90.03</v>
      </c>
      <c r="BA180" s="2">
        <v>114.31</v>
      </c>
      <c r="BB180" s="2">
        <v>207.18</v>
      </c>
      <c r="BC180" s="2">
        <v>117</v>
      </c>
      <c r="BD180" s="2">
        <v>238.39</v>
      </c>
      <c r="BE180" s="2">
        <v>99.34</v>
      </c>
      <c r="BF180" s="2">
        <v>37.590000000000003</v>
      </c>
      <c r="BG180" s="2">
        <v>189.41</v>
      </c>
      <c r="BH180" s="2">
        <v>21.77</v>
      </c>
      <c r="BI180" s="2">
        <v>21.69</v>
      </c>
      <c r="BJ180" s="2">
        <v>114.24</v>
      </c>
      <c r="BK180" s="2">
        <v>123.04</v>
      </c>
      <c r="BL180" s="2">
        <v>224.3</v>
      </c>
      <c r="BM180" s="2">
        <v>201.57</v>
      </c>
      <c r="BN180" s="2">
        <v>123.38</v>
      </c>
      <c r="BO180" s="2">
        <v>169.96</v>
      </c>
    </row>
    <row r="181" spans="24:67" x14ac:dyDescent="0.3">
      <c r="X181" s="1" t="s">
        <v>25</v>
      </c>
      <c r="Y181" s="2">
        <v>289.22000000000003</v>
      </c>
      <c r="Z181" s="2">
        <v>900.09</v>
      </c>
      <c r="AA181" s="2">
        <v>88.32</v>
      </c>
      <c r="AB181" s="2">
        <v>92.77</v>
      </c>
      <c r="AC181" s="2">
        <v>213.18</v>
      </c>
      <c r="AD181" s="2">
        <v>384.6</v>
      </c>
      <c r="AE181" s="2">
        <v>716.46</v>
      </c>
      <c r="AF181" s="2">
        <v>620.44000000000005</v>
      </c>
      <c r="AG181" s="2">
        <v>875.7</v>
      </c>
      <c r="AH181" s="2">
        <v>460.06</v>
      </c>
      <c r="AI181" s="2">
        <v>214.9</v>
      </c>
      <c r="AJ181" s="2">
        <v>711.28</v>
      </c>
      <c r="AK181" s="2">
        <v>119.8</v>
      </c>
      <c r="AL181" s="2">
        <v>87.34</v>
      </c>
      <c r="AM181" s="2">
        <v>319.22000000000003</v>
      </c>
      <c r="AN181" s="2">
        <v>395.07</v>
      </c>
      <c r="AO181" s="2">
        <v>742.54</v>
      </c>
      <c r="AP181" s="2">
        <v>618.11</v>
      </c>
      <c r="AQ181" s="2">
        <v>791.4</v>
      </c>
      <c r="AR181" s="2">
        <v>504.18</v>
      </c>
      <c r="AU181" s="1" t="s">
        <v>25</v>
      </c>
      <c r="AV181" s="2">
        <v>289.22000000000003</v>
      </c>
      <c r="AW181" s="2">
        <v>900.09</v>
      </c>
      <c r="AX181" s="2">
        <v>88.32</v>
      </c>
      <c r="AY181" s="2">
        <v>92.77</v>
      </c>
      <c r="AZ181" s="2">
        <v>213.18</v>
      </c>
      <c r="BA181" s="2">
        <v>384.6</v>
      </c>
      <c r="BB181" s="2">
        <v>716.46</v>
      </c>
      <c r="BC181" s="2">
        <v>620.44000000000005</v>
      </c>
      <c r="BD181" s="2">
        <v>875.7</v>
      </c>
      <c r="BE181" s="2">
        <v>460.06</v>
      </c>
      <c r="BF181" s="2">
        <v>214.9</v>
      </c>
      <c r="BG181" s="2">
        <v>711.28</v>
      </c>
      <c r="BH181" s="2">
        <v>119.8</v>
      </c>
      <c r="BI181" s="2">
        <v>87.34</v>
      </c>
      <c r="BJ181" s="2">
        <v>319.22000000000003</v>
      </c>
      <c r="BK181" s="2">
        <v>395.07</v>
      </c>
      <c r="BL181" s="2">
        <v>742.54</v>
      </c>
      <c r="BM181" s="2">
        <v>618.11</v>
      </c>
      <c r="BN181" s="2">
        <v>791.4</v>
      </c>
      <c r="BO181" s="2">
        <v>504.18</v>
      </c>
    </row>
    <row r="182" spans="24:67" x14ac:dyDescent="0.3">
      <c r="X182" s="1" t="s">
        <v>26</v>
      </c>
      <c r="Y182" s="2">
        <v>61.39</v>
      </c>
      <c r="Z182" s="2">
        <v>144.19</v>
      </c>
      <c r="AA182" s="2">
        <v>17.34</v>
      </c>
      <c r="AB182" s="2">
        <v>17.600000000000001</v>
      </c>
      <c r="AC182" s="2">
        <v>41.72</v>
      </c>
      <c r="AD182" s="2">
        <v>47.99</v>
      </c>
      <c r="AE182" s="2">
        <v>116.3</v>
      </c>
      <c r="AF182" s="2">
        <v>96.5</v>
      </c>
      <c r="AG182" s="2">
        <v>129.88999999999999</v>
      </c>
      <c r="AH182" s="2">
        <v>112.43</v>
      </c>
      <c r="AI182" s="2">
        <v>35.9</v>
      </c>
      <c r="AJ182" s="2">
        <v>73.75</v>
      </c>
      <c r="AK182" s="2">
        <v>11.23</v>
      </c>
      <c r="AL182" s="2">
        <v>15.73</v>
      </c>
      <c r="AM182" s="2">
        <v>46.67</v>
      </c>
      <c r="AN182" s="2">
        <v>64.2</v>
      </c>
      <c r="AO182" s="2">
        <v>95.76</v>
      </c>
      <c r="AP182" s="2">
        <v>73.260000000000005</v>
      </c>
      <c r="AQ182" s="2">
        <v>110.02</v>
      </c>
      <c r="AR182" s="2">
        <v>87.17</v>
      </c>
      <c r="AU182" s="1" t="s">
        <v>26</v>
      </c>
      <c r="AV182" s="2">
        <v>61.39</v>
      </c>
      <c r="AW182" s="2">
        <v>144.19</v>
      </c>
      <c r="AX182" s="2">
        <v>17.34</v>
      </c>
      <c r="AY182" s="2">
        <v>17.600000000000001</v>
      </c>
      <c r="AZ182" s="2">
        <v>41.72</v>
      </c>
      <c r="BA182" s="2">
        <v>47.99</v>
      </c>
      <c r="BB182" s="2">
        <v>116.3</v>
      </c>
      <c r="BC182" s="2">
        <v>96.5</v>
      </c>
      <c r="BD182" s="2">
        <v>129.88999999999999</v>
      </c>
      <c r="BE182" s="2">
        <v>112.43</v>
      </c>
      <c r="BF182" s="2">
        <v>35.9</v>
      </c>
      <c r="BG182" s="2">
        <v>73.75</v>
      </c>
      <c r="BH182" s="2">
        <v>11.23</v>
      </c>
      <c r="BI182" s="2">
        <v>15.73</v>
      </c>
      <c r="BJ182" s="2">
        <v>46.67</v>
      </c>
      <c r="BK182" s="2">
        <v>64.2</v>
      </c>
      <c r="BL182" s="2">
        <v>95.76</v>
      </c>
      <c r="BM182" s="2">
        <v>73.260000000000005</v>
      </c>
      <c r="BN182" s="2">
        <v>110.02</v>
      </c>
      <c r="BO182" s="2">
        <v>87.17</v>
      </c>
    </row>
    <row r="183" spans="24:67" x14ac:dyDescent="0.3">
      <c r="X183" s="1" t="s">
        <v>27</v>
      </c>
      <c r="Y183" s="2">
        <v>158.57</v>
      </c>
      <c r="Z183" s="2">
        <v>582.80999999999995</v>
      </c>
      <c r="AA183" s="2">
        <v>50.41</v>
      </c>
      <c r="AB183" s="2">
        <v>53.45</v>
      </c>
      <c r="AC183" s="2">
        <v>163.62</v>
      </c>
      <c r="AD183" s="2">
        <v>132.93</v>
      </c>
      <c r="AE183" s="2">
        <v>401.02</v>
      </c>
      <c r="AF183" s="2">
        <v>336.84</v>
      </c>
      <c r="AG183" s="2">
        <v>485.62</v>
      </c>
      <c r="AH183" s="2">
        <v>457.09</v>
      </c>
      <c r="AI183" s="2">
        <v>175.77</v>
      </c>
      <c r="AJ183" s="2">
        <v>499.34</v>
      </c>
      <c r="AK183" s="2">
        <v>66.08</v>
      </c>
      <c r="AL183" s="2">
        <v>53.68</v>
      </c>
      <c r="AM183" s="2">
        <v>557.28</v>
      </c>
      <c r="AN183" s="2">
        <v>203.45</v>
      </c>
      <c r="AO183" s="2">
        <v>346.01</v>
      </c>
      <c r="AP183" s="2">
        <v>287.52999999999997</v>
      </c>
      <c r="AQ183" s="2">
        <v>410.24</v>
      </c>
      <c r="AR183" s="2">
        <v>275.95999999999998</v>
      </c>
      <c r="AU183" s="1" t="s">
        <v>27</v>
      </c>
      <c r="AV183" s="2">
        <v>158.57</v>
      </c>
      <c r="AW183" s="2">
        <v>582.80999999999995</v>
      </c>
      <c r="AX183" s="2">
        <v>50.41</v>
      </c>
      <c r="AY183" s="2">
        <v>53.45</v>
      </c>
      <c r="AZ183" s="2">
        <v>163.62</v>
      </c>
      <c r="BA183" s="2">
        <v>132.93</v>
      </c>
      <c r="BB183" s="2">
        <v>401.02</v>
      </c>
      <c r="BC183" s="2">
        <v>336.84</v>
      </c>
      <c r="BD183" s="2">
        <v>485.62</v>
      </c>
      <c r="BE183" s="2">
        <v>457.09</v>
      </c>
      <c r="BF183" s="2">
        <v>175.77</v>
      </c>
      <c r="BG183" s="2">
        <v>499.34</v>
      </c>
      <c r="BH183" s="2">
        <v>66.08</v>
      </c>
      <c r="BI183" s="2">
        <v>53.68</v>
      </c>
      <c r="BJ183" s="2">
        <v>557.28</v>
      </c>
      <c r="BK183" s="2">
        <v>203.45</v>
      </c>
      <c r="BL183" s="2">
        <v>346.01</v>
      </c>
      <c r="BM183" s="2">
        <v>287.52999999999997</v>
      </c>
      <c r="BN183" s="2">
        <v>410.24</v>
      </c>
      <c r="BO183" s="2">
        <v>275.95999999999998</v>
      </c>
    </row>
    <row r="184" spans="24:67" x14ac:dyDescent="0.3">
      <c r="X184" s="1" t="s">
        <v>28</v>
      </c>
      <c r="Y184" s="2">
        <v>98.42</v>
      </c>
      <c r="Z184" s="2">
        <v>407.61</v>
      </c>
      <c r="AA184" s="2">
        <v>37.659999999999997</v>
      </c>
      <c r="AB184" s="2">
        <v>22.76</v>
      </c>
      <c r="AC184" s="2">
        <v>85.93</v>
      </c>
      <c r="AD184" s="2">
        <v>138.33000000000001</v>
      </c>
      <c r="AE184" s="2">
        <v>280.63</v>
      </c>
      <c r="AF184" s="2">
        <v>224.32</v>
      </c>
      <c r="AG184" s="2">
        <v>307.18</v>
      </c>
      <c r="AH184" s="2">
        <v>284.08999999999997</v>
      </c>
      <c r="AI184" s="2">
        <v>118.85</v>
      </c>
      <c r="AJ184" s="2">
        <v>318.42</v>
      </c>
      <c r="AK184" s="2">
        <v>40.42</v>
      </c>
      <c r="AL184" s="2">
        <v>25.44</v>
      </c>
      <c r="AM184" s="2">
        <v>96.08</v>
      </c>
      <c r="AN184" s="2">
        <v>114.68</v>
      </c>
      <c r="AO184" s="2">
        <v>215.17</v>
      </c>
      <c r="AP184" s="2">
        <v>198.64</v>
      </c>
      <c r="AQ184" s="2">
        <v>301.45999999999998</v>
      </c>
      <c r="AR184" s="2">
        <v>247.73</v>
      </c>
      <c r="AU184" s="1" t="s">
        <v>28</v>
      </c>
      <c r="AV184" s="2">
        <v>98.42</v>
      </c>
      <c r="AW184" s="2">
        <v>407.61</v>
      </c>
      <c r="AX184" s="2">
        <v>37.659999999999997</v>
      </c>
      <c r="AY184" s="2">
        <v>22.76</v>
      </c>
      <c r="AZ184" s="2">
        <v>85.93</v>
      </c>
      <c r="BA184" s="2">
        <v>138.33000000000001</v>
      </c>
      <c r="BB184" s="2">
        <v>280.63</v>
      </c>
      <c r="BC184" s="2">
        <v>224.32</v>
      </c>
      <c r="BD184" s="2">
        <v>307.18</v>
      </c>
      <c r="BE184" s="2">
        <v>284.08999999999997</v>
      </c>
      <c r="BF184" s="2">
        <v>118.85</v>
      </c>
      <c r="BG184" s="2">
        <v>318.42</v>
      </c>
      <c r="BH184" s="2">
        <v>40.42</v>
      </c>
      <c r="BI184" s="2">
        <v>25.44</v>
      </c>
      <c r="BJ184" s="2">
        <v>96.08</v>
      </c>
      <c r="BK184" s="2">
        <v>114.68</v>
      </c>
      <c r="BL184" s="2">
        <v>215.17</v>
      </c>
      <c r="BM184" s="2">
        <v>198.64</v>
      </c>
      <c r="BN184" s="2">
        <v>301.45999999999998</v>
      </c>
      <c r="BO184" s="2">
        <v>247.73</v>
      </c>
    </row>
    <row r="187" spans="24:67" x14ac:dyDescent="0.3">
      <c r="X187" t="s">
        <v>68</v>
      </c>
      <c r="AU187" t="s">
        <v>69</v>
      </c>
    </row>
    <row r="188" spans="24:67" x14ac:dyDescent="0.3">
      <c r="X188" s="1" t="s">
        <v>16</v>
      </c>
      <c r="Y188" s="1" t="s">
        <v>17</v>
      </c>
      <c r="Z188" s="1" t="s">
        <v>18</v>
      </c>
      <c r="AA188" s="1" t="s">
        <v>17</v>
      </c>
      <c r="AB188" s="1" t="s">
        <v>18</v>
      </c>
      <c r="AC188" s="1" t="s">
        <v>17</v>
      </c>
      <c r="AD188" s="1" t="s">
        <v>18</v>
      </c>
      <c r="AE188" s="1" t="s">
        <v>17</v>
      </c>
      <c r="AF188" s="1" t="s">
        <v>18</v>
      </c>
      <c r="AG188" s="1" t="s">
        <v>17</v>
      </c>
      <c r="AH188" s="1" t="s">
        <v>18</v>
      </c>
      <c r="AI188" s="1" t="s">
        <v>17</v>
      </c>
      <c r="AJ188" s="1" t="s">
        <v>18</v>
      </c>
      <c r="AK188" s="1" t="s">
        <v>17</v>
      </c>
      <c r="AL188" s="1" t="s">
        <v>18</v>
      </c>
      <c r="AM188" s="1" t="s">
        <v>17</v>
      </c>
      <c r="AN188" s="1" t="s">
        <v>18</v>
      </c>
      <c r="AO188" s="1" t="s">
        <v>17</v>
      </c>
      <c r="AP188" s="1" t="s">
        <v>18</v>
      </c>
      <c r="AQ188" s="1" t="s">
        <v>17</v>
      </c>
      <c r="AR188" s="1" t="s">
        <v>18</v>
      </c>
      <c r="AU188" s="1" t="s">
        <v>16</v>
      </c>
      <c r="AV188" s="1" t="s">
        <v>17</v>
      </c>
      <c r="AW188" s="1" t="s">
        <v>18</v>
      </c>
      <c r="AX188" s="1" t="s">
        <v>17</v>
      </c>
      <c r="AY188" s="1" t="s">
        <v>18</v>
      </c>
      <c r="AZ188" s="1" t="s">
        <v>17</v>
      </c>
      <c r="BA188" s="1" t="s">
        <v>18</v>
      </c>
      <c r="BB188" s="1" t="s">
        <v>17</v>
      </c>
      <c r="BC188" s="1" t="s">
        <v>18</v>
      </c>
      <c r="BD188" s="1" t="s">
        <v>17</v>
      </c>
      <c r="BE188" s="1" t="s">
        <v>18</v>
      </c>
      <c r="BF188" s="1" t="s">
        <v>17</v>
      </c>
      <c r="BG188" s="1" t="s">
        <v>18</v>
      </c>
      <c r="BH188" s="1" t="s">
        <v>17</v>
      </c>
      <c r="BI188" s="1" t="s">
        <v>18</v>
      </c>
      <c r="BJ188" s="1" t="s">
        <v>17</v>
      </c>
      <c r="BK188" s="1" t="s">
        <v>18</v>
      </c>
      <c r="BL188" s="1" t="s">
        <v>17</v>
      </c>
      <c r="BM188" s="1" t="s">
        <v>18</v>
      </c>
      <c r="BN188" s="1" t="s">
        <v>17</v>
      </c>
      <c r="BO188" s="1" t="s">
        <v>18</v>
      </c>
    </row>
    <row r="189" spans="24:67" x14ac:dyDescent="0.3">
      <c r="X189" s="1" t="s">
        <v>19</v>
      </c>
      <c r="Y189" s="1" t="s">
        <v>1</v>
      </c>
      <c r="Z189" s="1" t="s">
        <v>1</v>
      </c>
      <c r="AA189" s="1" t="s">
        <v>2</v>
      </c>
      <c r="AB189" s="1" t="s">
        <v>2</v>
      </c>
      <c r="AC189" s="1" t="s">
        <v>3</v>
      </c>
      <c r="AD189" s="1" t="s">
        <v>3</v>
      </c>
      <c r="AE189" s="1" t="s">
        <v>4</v>
      </c>
      <c r="AF189" s="1" t="s">
        <v>4</v>
      </c>
      <c r="AG189" s="1" t="s">
        <v>5</v>
      </c>
      <c r="AH189" s="1" t="s">
        <v>5</v>
      </c>
      <c r="AI189" s="1" t="s">
        <v>6</v>
      </c>
      <c r="AJ189" s="1" t="s">
        <v>6</v>
      </c>
      <c r="AK189" s="1" t="s">
        <v>7</v>
      </c>
      <c r="AL189" s="1" t="s">
        <v>7</v>
      </c>
      <c r="AM189" s="1" t="s">
        <v>8</v>
      </c>
      <c r="AN189" s="1" t="s">
        <v>8</v>
      </c>
      <c r="AO189" s="1" t="s">
        <v>9</v>
      </c>
      <c r="AP189" s="1" t="s">
        <v>9</v>
      </c>
      <c r="AQ189" s="1" t="s">
        <v>10</v>
      </c>
      <c r="AR189" s="1" t="s">
        <v>10</v>
      </c>
      <c r="AU189" s="1" t="s">
        <v>19</v>
      </c>
      <c r="AV189" s="1" t="s">
        <v>1</v>
      </c>
      <c r="AW189" s="1" t="s">
        <v>1</v>
      </c>
      <c r="AX189" s="1" t="s">
        <v>2</v>
      </c>
      <c r="AY189" s="1" t="s">
        <v>2</v>
      </c>
      <c r="AZ189" s="1" t="s">
        <v>3</v>
      </c>
      <c r="BA189" s="1" t="s">
        <v>3</v>
      </c>
      <c r="BB189" s="1" t="s">
        <v>4</v>
      </c>
      <c r="BC189" s="1" t="s">
        <v>4</v>
      </c>
      <c r="BD189" s="1" t="s">
        <v>5</v>
      </c>
      <c r="BE189" s="1" t="s">
        <v>5</v>
      </c>
      <c r="BF189" s="1" t="s">
        <v>6</v>
      </c>
      <c r="BG189" s="1" t="s">
        <v>6</v>
      </c>
      <c r="BH189" s="1" t="s">
        <v>7</v>
      </c>
      <c r="BI189" s="1" t="s">
        <v>7</v>
      </c>
      <c r="BJ189" s="1" t="s">
        <v>8</v>
      </c>
      <c r="BK189" s="1" t="s">
        <v>8</v>
      </c>
      <c r="BL189" s="1" t="s">
        <v>9</v>
      </c>
      <c r="BM189" s="1" t="s">
        <v>9</v>
      </c>
      <c r="BN189" s="1" t="s">
        <v>10</v>
      </c>
      <c r="BO189" s="1" t="s">
        <v>10</v>
      </c>
    </row>
    <row r="190" spans="24:67" x14ac:dyDescent="0.3">
      <c r="X190" s="1" t="s">
        <v>20</v>
      </c>
      <c r="AU190" s="1" t="s">
        <v>20</v>
      </c>
    </row>
    <row r="191" spans="24:67" x14ac:dyDescent="0.3">
      <c r="X191" s="1" t="s">
        <v>21</v>
      </c>
      <c r="Y191" s="2">
        <v>276.17</v>
      </c>
      <c r="Z191" s="2">
        <v>278.44</v>
      </c>
      <c r="AA191" s="2">
        <v>143.63999999999999</v>
      </c>
      <c r="AB191" s="2">
        <v>147.56</v>
      </c>
      <c r="AC191" s="2">
        <v>216.02</v>
      </c>
      <c r="AD191" s="2">
        <v>221.98</v>
      </c>
      <c r="AE191" s="2">
        <v>240.06</v>
      </c>
      <c r="AF191" s="2">
        <v>219.95</v>
      </c>
      <c r="AG191" s="2">
        <v>243.39</v>
      </c>
      <c r="AH191" s="2">
        <v>217.96</v>
      </c>
      <c r="AI191" s="2">
        <v>206.79</v>
      </c>
      <c r="AJ191" s="2">
        <v>221.13</v>
      </c>
      <c r="AK191" s="2">
        <v>200.78</v>
      </c>
      <c r="AL191" s="2">
        <v>240.68</v>
      </c>
      <c r="AM191" s="2">
        <v>222.18</v>
      </c>
      <c r="AN191" s="2">
        <v>230.8</v>
      </c>
      <c r="AO191" s="2">
        <v>207.83</v>
      </c>
      <c r="AP191" s="2">
        <v>224.7</v>
      </c>
      <c r="AQ191" s="2">
        <v>245.3</v>
      </c>
      <c r="AR191" s="2">
        <v>268.17</v>
      </c>
      <c r="AU191" s="1" t="s">
        <v>21</v>
      </c>
      <c r="AV191" s="2">
        <v>276.17</v>
      </c>
      <c r="AW191" s="2">
        <v>278.44</v>
      </c>
      <c r="AX191" s="2">
        <v>143.63999999999999</v>
      </c>
      <c r="AY191" s="2">
        <v>147.56</v>
      </c>
      <c r="AZ191" s="2">
        <v>216.02</v>
      </c>
      <c r="BA191" s="2">
        <v>221.98</v>
      </c>
      <c r="BB191" s="2">
        <v>240.06</v>
      </c>
      <c r="BC191" s="2">
        <v>219.95</v>
      </c>
      <c r="BD191" s="2">
        <v>243.39</v>
      </c>
      <c r="BE191" s="2">
        <v>217.96</v>
      </c>
      <c r="BF191" s="2">
        <v>206.79</v>
      </c>
      <c r="BG191" s="2">
        <v>221.13</v>
      </c>
      <c r="BH191" s="2">
        <v>200.78</v>
      </c>
      <c r="BI191" s="2">
        <v>240.68</v>
      </c>
      <c r="BJ191" s="2">
        <v>222.18</v>
      </c>
      <c r="BK191" s="2">
        <v>230.8</v>
      </c>
      <c r="BL191" s="2">
        <v>207.83</v>
      </c>
      <c r="BM191" s="2">
        <v>224.7</v>
      </c>
      <c r="BN191" s="2">
        <v>245.3</v>
      </c>
      <c r="BO191" s="2">
        <v>268.17</v>
      </c>
    </row>
    <row r="192" spans="24:67" x14ac:dyDescent="0.3">
      <c r="X192" s="1" t="s">
        <v>22</v>
      </c>
      <c r="Y192" s="2">
        <v>19.22</v>
      </c>
      <c r="Z192" s="2">
        <v>20.04</v>
      </c>
      <c r="AA192" s="2">
        <v>11.25</v>
      </c>
      <c r="AB192" s="2">
        <v>13.64</v>
      </c>
      <c r="AC192" s="2">
        <v>16.829999999999998</v>
      </c>
      <c r="AD192" s="2">
        <v>16.54</v>
      </c>
      <c r="AE192" s="2">
        <v>14.96</v>
      </c>
      <c r="AF192" s="2">
        <v>30.61</v>
      </c>
      <c r="AG192" s="2">
        <v>19.12</v>
      </c>
      <c r="AH192" s="2">
        <v>21.15</v>
      </c>
      <c r="AI192" s="2">
        <v>13.3</v>
      </c>
      <c r="AJ192" s="2">
        <v>24.39</v>
      </c>
      <c r="AK192" s="2">
        <v>23.4</v>
      </c>
      <c r="AL192" s="2">
        <v>28.99</v>
      </c>
      <c r="AM192" s="2">
        <v>25.3</v>
      </c>
      <c r="AN192" s="2">
        <v>20.010000000000002</v>
      </c>
      <c r="AO192" s="2">
        <v>25.41</v>
      </c>
      <c r="AP192" s="2">
        <v>19.21</v>
      </c>
      <c r="AQ192" s="2">
        <v>24.82</v>
      </c>
      <c r="AR192" s="2">
        <v>21.69</v>
      </c>
      <c r="AU192" s="1" t="s">
        <v>22</v>
      </c>
      <c r="AV192" s="2">
        <v>19.22</v>
      </c>
      <c r="AW192" s="2">
        <v>20.04</v>
      </c>
      <c r="AX192" s="2">
        <v>11.25</v>
      </c>
      <c r="AY192" s="2">
        <v>13.64</v>
      </c>
      <c r="AZ192" s="2">
        <v>16.829999999999998</v>
      </c>
      <c r="BA192" s="2">
        <v>16.54</v>
      </c>
      <c r="BB192" s="2">
        <v>14.96</v>
      </c>
      <c r="BC192" s="2">
        <v>30.61</v>
      </c>
      <c r="BD192" s="2">
        <v>19.12</v>
      </c>
      <c r="BE192" s="2">
        <v>21.15</v>
      </c>
      <c r="BF192" s="2">
        <v>13.3</v>
      </c>
      <c r="BG192" s="2">
        <v>24.39</v>
      </c>
      <c r="BH192" s="2">
        <v>23.4</v>
      </c>
      <c r="BI192" s="2">
        <v>28.99</v>
      </c>
      <c r="BJ192" s="2">
        <v>25.3</v>
      </c>
      <c r="BK192" s="2">
        <v>20.010000000000002</v>
      </c>
      <c r="BL192" s="2">
        <v>25.41</v>
      </c>
      <c r="BM192" s="2">
        <v>19.21</v>
      </c>
      <c r="BN192" s="2">
        <v>24.82</v>
      </c>
      <c r="BO192" s="2">
        <v>21.69</v>
      </c>
    </row>
    <row r="193" spans="24:67" x14ac:dyDescent="0.3">
      <c r="X193" s="1" t="s">
        <v>23</v>
      </c>
      <c r="Y193" s="2">
        <v>156.79</v>
      </c>
      <c r="Z193" s="2">
        <v>58.99</v>
      </c>
      <c r="AA193" s="2">
        <v>67.8</v>
      </c>
      <c r="AB193" s="2">
        <v>31.09</v>
      </c>
      <c r="AC193" s="2">
        <v>144.13</v>
      </c>
      <c r="AD193" s="2">
        <v>76.069999999999993</v>
      </c>
      <c r="AE193" s="2">
        <v>127.93</v>
      </c>
      <c r="AF193" s="2">
        <v>175.47</v>
      </c>
      <c r="AG193" s="2">
        <v>125.59</v>
      </c>
      <c r="AH193" s="2">
        <v>154.80000000000001</v>
      </c>
      <c r="AI193" s="2">
        <v>127.93</v>
      </c>
      <c r="AJ193" s="2">
        <v>165.82</v>
      </c>
      <c r="AK193" s="2">
        <v>144.44</v>
      </c>
      <c r="AL193" s="2">
        <v>189.2</v>
      </c>
      <c r="AM193" s="2">
        <v>140.56</v>
      </c>
      <c r="AN193" s="2">
        <v>154.16</v>
      </c>
      <c r="AO193" s="2">
        <v>171.08</v>
      </c>
      <c r="AP193" s="2">
        <v>133.47999999999999</v>
      </c>
      <c r="AQ193" s="2">
        <v>122.24</v>
      </c>
      <c r="AR193" s="2">
        <v>103.98</v>
      </c>
      <c r="AU193" s="1" t="s">
        <v>23</v>
      </c>
      <c r="AV193" s="2">
        <v>156.79</v>
      </c>
      <c r="AW193" s="2">
        <v>58.99</v>
      </c>
      <c r="AX193" s="2">
        <v>67.8</v>
      </c>
      <c r="AY193" s="2">
        <v>31.09</v>
      </c>
      <c r="AZ193" s="2">
        <v>144.13</v>
      </c>
      <c r="BA193" s="2">
        <v>76.069999999999993</v>
      </c>
      <c r="BB193" s="2">
        <v>127.93</v>
      </c>
      <c r="BC193" s="2">
        <v>175.47</v>
      </c>
      <c r="BD193" s="2">
        <v>125.59</v>
      </c>
      <c r="BE193" s="2">
        <v>154.80000000000001</v>
      </c>
      <c r="BF193" s="2">
        <v>127.93</v>
      </c>
      <c r="BG193" s="2">
        <v>165.82</v>
      </c>
      <c r="BH193" s="2">
        <v>144.44</v>
      </c>
      <c r="BI193" s="2">
        <v>189.2</v>
      </c>
      <c r="BJ193" s="2">
        <v>140.56</v>
      </c>
      <c r="BK193" s="2">
        <v>154.16</v>
      </c>
      <c r="BL193" s="2">
        <v>171.08</v>
      </c>
      <c r="BM193" s="2">
        <v>133.47999999999999</v>
      </c>
      <c r="BN193" s="2">
        <v>122.24</v>
      </c>
      <c r="BO193" s="2">
        <v>103.98</v>
      </c>
    </row>
    <row r="194" spans="24:67" x14ac:dyDescent="0.3">
      <c r="X194" s="1" t="s">
        <v>24</v>
      </c>
      <c r="Y194" s="2">
        <v>51.32</v>
      </c>
      <c r="Z194" s="2">
        <v>28.91</v>
      </c>
      <c r="AA194" s="2">
        <v>31.97</v>
      </c>
      <c r="AB194" s="2">
        <v>16.739999999999998</v>
      </c>
      <c r="AC194" s="2">
        <v>64.099999999999994</v>
      </c>
      <c r="AD194" s="2">
        <v>43.38</v>
      </c>
      <c r="AE194" s="2">
        <v>56.27</v>
      </c>
      <c r="AF194" s="2">
        <v>71.400000000000006</v>
      </c>
      <c r="AG194" s="2">
        <v>57.15</v>
      </c>
      <c r="AH194" s="2">
        <v>61.52</v>
      </c>
      <c r="AI194" s="2">
        <v>57.55</v>
      </c>
      <c r="AJ194" s="2">
        <v>62.3</v>
      </c>
      <c r="AK194" s="2">
        <v>40.35</v>
      </c>
      <c r="AL194" s="2">
        <v>69.510000000000005</v>
      </c>
      <c r="AM194" s="2">
        <v>62.73</v>
      </c>
      <c r="AN194" s="2">
        <v>32.47</v>
      </c>
      <c r="AO194" s="2">
        <v>29.22</v>
      </c>
      <c r="AP194" s="2">
        <v>49.99</v>
      </c>
      <c r="AQ194" s="2">
        <v>46.83</v>
      </c>
      <c r="AR194" s="2">
        <v>42.09</v>
      </c>
      <c r="AU194" s="1" t="s">
        <v>24</v>
      </c>
      <c r="AV194" s="2">
        <v>51.32</v>
      </c>
      <c r="AW194" s="2">
        <v>28.91</v>
      </c>
      <c r="AX194" s="2">
        <v>31.97</v>
      </c>
      <c r="AY194" s="2">
        <v>16.739999999999998</v>
      </c>
      <c r="AZ194" s="2">
        <v>64.099999999999994</v>
      </c>
      <c r="BA194" s="2">
        <v>43.38</v>
      </c>
      <c r="BB194" s="2">
        <v>56.27</v>
      </c>
      <c r="BC194" s="2">
        <v>71.400000000000006</v>
      </c>
      <c r="BD194" s="2">
        <v>57.15</v>
      </c>
      <c r="BE194" s="2">
        <v>61.52</v>
      </c>
      <c r="BF194" s="2">
        <v>57.55</v>
      </c>
      <c r="BG194" s="2">
        <v>62.3</v>
      </c>
      <c r="BH194" s="2">
        <v>40.35</v>
      </c>
      <c r="BI194" s="2">
        <v>69.510000000000005</v>
      </c>
      <c r="BJ194" s="2">
        <v>62.73</v>
      </c>
      <c r="BK194" s="2">
        <v>32.47</v>
      </c>
      <c r="BL194" s="2">
        <v>29.22</v>
      </c>
      <c r="BM194" s="2">
        <v>49.99</v>
      </c>
      <c r="BN194" s="2">
        <v>46.83</v>
      </c>
      <c r="BO194" s="2">
        <v>42.09</v>
      </c>
    </row>
    <row r="195" spans="24:67" x14ac:dyDescent="0.3">
      <c r="X195" s="1" t="s">
        <v>25</v>
      </c>
      <c r="Y195" s="2">
        <v>222.48</v>
      </c>
      <c r="Z195" s="2">
        <v>165.31</v>
      </c>
      <c r="AA195" s="2">
        <v>67.94</v>
      </c>
      <c r="AB195" s="2">
        <v>92.15</v>
      </c>
      <c r="AC195" s="2">
        <v>185.55</v>
      </c>
      <c r="AD195" s="2">
        <v>174.68</v>
      </c>
      <c r="AE195" s="2">
        <v>133.24</v>
      </c>
      <c r="AF195" s="2">
        <v>199.51</v>
      </c>
      <c r="AG195" s="2">
        <v>192.3</v>
      </c>
      <c r="AH195" s="2">
        <v>197.54</v>
      </c>
      <c r="AI195" s="2">
        <v>199.02</v>
      </c>
      <c r="AJ195" s="2">
        <v>206.26</v>
      </c>
      <c r="AK195" s="2">
        <v>213.94</v>
      </c>
      <c r="AL195" s="2">
        <v>213.14</v>
      </c>
      <c r="AM195" s="2">
        <v>230.45</v>
      </c>
      <c r="AN195" s="2">
        <v>208.26</v>
      </c>
      <c r="AO195" s="2">
        <v>135.31</v>
      </c>
      <c r="AP195" s="2">
        <v>148.29</v>
      </c>
      <c r="AQ195" s="2">
        <v>200.02</v>
      </c>
      <c r="AR195" s="2">
        <v>158.06</v>
      </c>
      <c r="AU195" s="1" t="s">
        <v>25</v>
      </c>
      <c r="AV195" s="2">
        <v>222.48</v>
      </c>
      <c r="AW195" s="2">
        <v>165.31</v>
      </c>
      <c r="AX195" s="2">
        <v>67.94</v>
      </c>
      <c r="AY195" s="2">
        <v>92.15</v>
      </c>
      <c r="AZ195" s="2">
        <v>185.55</v>
      </c>
      <c r="BA195" s="2">
        <v>174.68</v>
      </c>
      <c r="BB195" s="2">
        <v>133.24</v>
      </c>
      <c r="BC195" s="2">
        <v>199.51</v>
      </c>
      <c r="BD195" s="2">
        <v>192.3</v>
      </c>
      <c r="BE195" s="2">
        <v>197.54</v>
      </c>
      <c r="BF195" s="2">
        <v>199.02</v>
      </c>
      <c r="BG195" s="2">
        <v>206.26</v>
      </c>
      <c r="BH195" s="2">
        <v>213.94</v>
      </c>
      <c r="BI195" s="2">
        <v>213.14</v>
      </c>
      <c r="BJ195" s="2">
        <v>230.45</v>
      </c>
      <c r="BK195" s="2">
        <v>208.26</v>
      </c>
      <c r="BL195" s="2">
        <v>135.31</v>
      </c>
      <c r="BM195" s="2">
        <v>148.29</v>
      </c>
      <c r="BN195" s="2">
        <v>200.02</v>
      </c>
      <c r="BO195" s="2">
        <v>158.06</v>
      </c>
    </row>
    <row r="196" spans="24:67" x14ac:dyDescent="0.3">
      <c r="X196" s="1" t="s">
        <v>26</v>
      </c>
      <c r="Y196" s="2">
        <v>47.22</v>
      </c>
      <c r="Z196" s="2">
        <v>27.62</v>
      </c>
      <c r="AA196" s="2">
        <v>13.34</v>
      </c>
      <c r="AB196" s="2">
        <v>8.64</v>
      </c>
      <c r="AC196" s="2">
        <v>35.21</v>
      </c>
      <c r="AD196" s="2">
        <v>31.45</v>
      </c>
      <c r="AE196" s="2">
        <v>26.08</v>
      </c>
      <c r="AF196" s="2">
        <v>29.17</v>
      </c>
      <c r="AG196" s="2">
        <v>24</v>
      </c>
      <c r="AH196" s="2">
        <v>32.1</v>
      </c>
      <c r="AI196" s="2">
        <v>32.31</v>
      </c>
      <c r="AJ196" s="2">
        <v>26.6</v>
      </c>
      <c r="AK196" s="2">
        <v>33.270000000000003</v>
      </c>
      <c r="AL196" s="2">
        <v>25.26</v>
      </c>
      <c r="AM196" s="2">
        <v>34.18</v>
      </c>
      <c r="AN196" s="2">
        <v>28.95</v>
      </c>
      <c r="AO196" s="2">
        <v>33.07</v>
      </c>
      <c r="AP196" s="2">
        <v>25.64</v>
      </c>
      <c r="AQ196" s="2">
        <v>32.04</v>
      </c>
      <c r="AR196" s="2">
        <v>16.39</v>
      </c>
      <c r="AU196" s="1" t="s">
        <v>26</v>
      </c>
      <c r="AV196" s="2">
        <v>47.22</v>
      </c>
      <c r="AW196" s="2">
        <v>27.62</v>
      </c>
      <c r="AX196" s="2">
        <v>13.34</v>
      </c>
      <c r="AY196" s="2">
        <v>8.64</v>
      </c>
      <c r="AZ196" s="2">
        <v>35.21</v>
      </c>
      <c r="BA196" s="2">
        <v>31.45</v>
      </c>
      <c r="BB196" s="2">
        <v>26.08</v>
      </c>
      <c r="BC196" s="2">
        <v>29.17</v>
      </c>
      <c r="BD196" s="2">
        <v>24</v>
      </c>
      <c r="BE196" s="2">
        <v>32.1</v>
      </c>
      <c r="BF196" s="2">
        <v>32.31</v>
      </c>
      <c r="BG196" s="2">
        <v>26.6</v>
      </c>
      <c r="BH196" s="2">
        <v>33.270000000000003</v>
      </c>
      <c r="BI196" s="2">
        <v>25.26</v>
      </c>
      <c r="BJ196" s="2">
        <v>34.18</v>
      </c>
      <c r="BK196" s="2">
        <v>28.95</v>
      </c>
      <c r="BL196" s="2">
        <v>33.07</v>
      </c>
      <c r="BM196" s="2">
        <v>25.64</v>
      </c>
      <c r="BN196" s="2">
        <v>32.04</v>
      </c>
      <c r="BO196" s="2">
        <v>16.39</v>
      </c>
    </row>
    <row r="197" spans="24:67" x14ac:dyDescent="0.3">
      <c r="X197" s="1" t="s">
        <v>27</v>
      </c>
      <c r="Y197" s="2">
        <v>121.98</v>
      </c>
      <c r="Z197" s="2">
        <v>135.21</v>
      </c>
      <c r="AA197" s="2">
        <v>38.78</v>
      </c>
      <c r="AB197" s="2">
        <v>50.83</v>
      </c>
      <c r="AC197" s="2">
        <v>106.91</v>
      </c>
      <c r="AD197" s="2">
        <v>107.37</v>
      </c>
      <c r="AE197" s="2">
        <v>102.26</v>
      </c>
      <c r="AF197" s="2">
        <v>348.3</v>
      </c>
      <c r="AG197" s="2">
        <v>66.459999999999994</v>
      </c>
      <c r="AH197" s="2">
        <v>101.73</v>
      </c>
      <c r="AI197" s="2">
        <v>111.39</v>
      </c>
      <c r="AJ197" s="2">
        <v>96.11</v>
      </c>
      <c r="AK197" s="2">
        <v>116.15</v>
      </c>
      <c r="AL197" s="2">
        <v>99.15</v>
      </c>
      <c r="AM197" s="2">
        <v>127.79</v>
      </c>
      <c r="AN197" s="2">
        <v>107.96</v>
      </c>
      <c r="AO197" s="2">
        <v>134.44</v>
      </c>
      <c r="AP197" s="2">
        <v>81.16</v>
      </c>
      <c r="AQ197" s="2">
        <v>129.51</v>
      </c>
      <c r="AR197" s="2">
        <v>110.96</v>
      </c>
      <c r="AU197" s="1" t="s">
        <v>27</v>
      </c>
      <c r="AV197" s="2">
        <v>121.98</v>
      </c>
      <c r="AW197" s="2">
        <v>135.21</v>
      </c>
      <c r="AX197" s="2">
        <v>38.78</v>
      </c>
      <c r="AY197" s="2">
        <v>50.83</v>
      </c>
      <c r="AZ197" s="2">
        <v>106.91</v>
      </c>
      <c r="BA197" s="2">
        <v>107.37</v>
      </c>
      <c r="BB197" s="2">
        <v>102.26</v>
      </c>
      <c r="BC197" s="2">
        <v>348.3</v>
      </c>
      <c r="BD197" s="2">
        <v>66.459999999999994</v>
      </c>
      <c r="BE197" s="2">
        <v>101.73</v>
      </c>
      <c r="BF197" s="2">
        <v>111.39</v>
      </c>
      <c r="BG197" s="2">
        <v>96.11</v>
      </c>
      <c r="BH197" s="2">
        <v>116.15</v>
      </c>
      <c r="BI197" s="2">
        <v>99.15</v>
      </c>
      <c r="BJ197" s="2">
        <v>127.79</v>
      </c>
      <c r="BK197" s="2">
        <v>107.96</v>
      </c>
      <c r="BL197" s="2">
        <v>134.44</v>
      </c>
      <c r="BM197" s="2">
        <v>81.16</v>
      </c>
      <c r="BN197" s="2">
        <v>129.51</v>
      </c>
      <c r="BO197" s="2">
        <v>110.96</v>
      </c>
    </row>
    <row r="198" spans="24:67" x14ac:dyDescent="0.3">
      <c r="X198" s="1" t="s">
        <v>28</v>
      </c>
      <c r="Y198" s="2">
        <v>75.709999999999994</v>
      </c>
      <c r="Z198" s="2">
        <v>91.43</v>
      </c>
      <c r="AA198" s="2">
        <v>28.97</v>
      </c>
      <c r="AB198" s="2">
        <v>31.09</v>
      </c>
      <c r="AC198" s="2">
        <v>45.52</v>
      </c>
      <c r="AD198" s="2">
        <v>50.89</v>
      </c>
      <c r="AE198" s="2">
        <v>53.71</v>
      </c>
      <c r="AF198" s="2">
        <v>60.05</v>
      </c>
      <c r="AG198" s="2">
        <v>69.17</v>
      </c>
      <c r="AH198" s="2">
        <v>57.34</v>
      </c>
      <c r="AI198" s="2">
        <v>77.95</v>
      </c>
      <c r="AJ198" s="2">
        <v>59.77</v>
      </c>
      <c r="AK198" s="2">
        <v>77.349999999999994</v>
      </c>
      <c r="AL198" s="2">
        <v>68.5</v>
      </c>
      <c r="AM198" s="2">
        <v>80.84</v>
      </c>
      <c r="AN198" s="2">
        <v>79.33</v>
      </c>
      <c r="AO198" s="2">
        <v>83.56</v>
      </c>
      <c r="AP198" s="2">
        <v>72.86</v>
      </c>
      <c r="AQ198" s="2">
        <v>90.58</v>
      </c>
      <c r="AR198" s="2">
        <v>70.760000000000005</v>
      </c>
      <c r="AU198" s="1" t="s">
        <v>28</v>
      </c>
      <c r="AV198" s="2">
        <v>75.709999999999994</v>
      </c>
      <c r="AW198" s="2">
        <v>91.43</v>
      </c>
      <c r="AX198" s="2">
        <v>28.97</v>
      </c>
      <c r="AY198" s="2">
        <v>31.09</v>
      </c>
      <c r="AZ198" s="2">
        <v>45.52</v>
      </c>
      <c r="BA198" s="2">
        <v>50.89</v>
      </c>
      <c r="BB198" s="2">
        <v>53.71</v>
      </c>
      <c r="BC198" s="2">
        <v>60.05</v>
      </c>
      <c r="BD198" s="2">
        <v>69.17</v>
      </c>
      <c r="BE198" s="2">
        <v>57.34</v>
      </c>
      <c r="BF198" s="2">
        <v>77.95</v>
      </c>
      <c r="BG198" s="2">
        <v>59.77</v>
      </c>
      <c r="BH198" s="2">
        <v>77.349999999999994</v>
      </c>
      <c r="BI198" s="2">
        <v>68.5</v>
      </c>
      <c r="BJ198" s="2">
        <v>80.84</v>
      </c>
      <c r="BK198" s="2">
        <v>79.33</v>
      </c>
      <c r="BL198" s="2">
        <v>83.56</v>
      </c>
      <c r="BM198" s="2">
        <v>72.86</v>
      </c>
      <c r="BN198" s="2">
        <v>90.58</v>
      </c>
      <c r="BO198" s="2">
        <v>70.760000000000005</v>
      </c>
    </row>
    <row r="201" spans="24:67" x14ac:dyDescent="0.3">
      <c r="X201" t="s">
        <v>70</v>
      </c>
      <c r="AU201" t="s">
        <v>71</v>
      </c>
    </row>
    <row r="202" spans="24:67" x14ac:dyDescent="0.3">
      <c r="X202" s="1" t="s">
        <v>16</v>
      </c>
      <c r="Y202" s="1" t="s">
        <v>17</v>
      </c>
      <c r="Z202" s="1" t="s">
        <v>18</v>
      </c>
      <c r="AA202" s="1" t="s">
        <v>17</v>
      </c>
      <c r="AB202" s="1" t="s">
        <v>18</v>
      </c>
      <c r="AC202" s="1" t="s">
        <v>17</v>
      </c>
      <c r="AD202" s="1" t="s">
        <v>18</v>
      </c>
      <c r="AE202" s="1" t="s">
        <v>17</v>
      </c>
      <c r="AF202" s="1" t="s">
        <v>18</v>
      </c>
      <c r="AG202" s="1" t="s">
        <v>17</v>
      </c>
      <c r="AH202" s="1" t="s">
        <v>18</v>
      </c>
      <c r="AI202" s="1" t="s">
        <v>17</v>
      </c>
      <c r="AJ202" s="1" t="s">
        <v>18</v>
      </c>
      <c r="AK202" s="1" t="s">
        <v>17</v>
      </c>
      <c r="AL202" s="1" t="s">
        <v>18</v>
      </c>
      <c r="AM202" s="1" t="s">
        <v>17</v>
      </c>
      <c r="AN202" s="1" t="s">
        <v>18</v>
      </c>
      <c r="AO202" s="1" t="s">
        <v>17</v>
      </c>
      <c r="AP202" s="1" t="s">
        <v>18</v>
      </c>
      <c r="AQ202" s="1" t="s">
        <v>17</v>
      </c>
      <c r="AR202" s="1" t="s">
        <v>18</v>
      </c>
      <c r="AU202" s="1" t="s">
        <v>16</v>
      </c>
      <c r="AV202" s="13" t="s">
        <v>17</v>
      </c>
      <c r="AW202" s="13"/>
      <c r="AX202" s="13"/>
      <c r="AY202" s="13"/>
      <c r="AZ202" s="13"/>
      <c r="BA202" s="13"/>
      <c r="BB202" s="13"/>
      <c r="BC202" s="13"/>
      <c r="BD202" s="13"/>
      <c r="BE202" s="13"/>
      <c r="BF202" s="13" t="s">
        <v>18</v>
      </c>
      <c r="BG202" s="13"/>
      <c r="BH202" s="13"/>
      <c r="BI202" s="13"/>
      <c r="BJ202" s="13"/>
      <c r="BK202" s="13"/>
      <c r="BL202" s="13"/>
      <c r="BM202" s="13"/>
      <c r="BN202" s="13"/>
      <c r="BO202" s="13"/>
    </row>
    <row r="203" spans="24:67" x14ac:dyDescent="0.3">
      <c r="X203" s="1" t="s">
        <v>19</v>
      </c>
      <c r="Y203" s="1" t="s">
        <v>1</v>
      </c>
      <c r="Z203" s="1" t="s">
        <v>1</v>
      </c>
      <c r="AA203" s="1" t="s">
        <v>2</v>
      </c>
      <c r="AB203" s="1" t="s">
        <v>2</v>
      </c>
      <c r="AC203" s="1" t="s">
        <v>3</v>
      </c>
      <c r="AD203" s="1" t="s">
        <v>3</v>
      </c>
      <c r="AE203" s="1" t="s">
        <v>4</v>
      </c>
      <c r="AF203" s="1" t="s">
        <v>4</v>
      </c>
      <c r="AG203" s="1" t="s">
        <v>5</v>
      </c>
      <c r="AH203" s="1" t="s">
        <v>5</v>
      </c>
      <c r="AI203" s="1" t="s">
        <v>6</v>
      </c>
      <c r="AJ203" s="1" t="s">
        <v>6</v>
      </c>
      <c r="AK203" s="1" t="s">
        <v>7</v>
      </c>
      <c r="AL203" s="1" t="s">
        <v>7</v>
      </c>
      <c r="AM203" s="1" t="s">
        <v>8</v>
      </c>
      <c r="AN203" s="1" t="s">
        <v>8</v>
      </c>
      <c r="AO203" s="1" t="s">
        <v>9</v>
      </c>
      <c r="AP203" s="1" t="s">
        <v>9</v>
      </c>
      <c r="AQ203" s="1" t="s">
        <v>10</v>
      </c>
      <c r="AR203" s="1" t="s">
        <v>10</v>
      </c>
      <c r="AU203" s="1" t="s">
        <v>19</v>
      </c>
      <c r="AV203" s="1" t="s">
        <v>1</v>
      </c>
      <c r="AW203" s="1" t="s">
        <v>10</v>
      </c>
      <c r="AX203" s="1" t="s">
        <v>2</v>
      </c>
      <c r="AY203" s="1" t="s">
        <v>3</v>
      </c>
      <c r="AZ203" s="1" t="s">
        <v>4</v>
      </c>
      <c r="BA203" s="1" t="s">
        <v>5</v>
      </c>
      <c r="BB203" s="1" t="s">
        <v>6</v>
      </c>
      <c r="BC203" s="1" t="s">
        <v>7</v>
      </c>
      <c r="BD203" s="1" t="s">
        <v>8</v>
      </c>
      <c r="BE203" s="1" t="s">
        <v>9</v>
      </c>
      <c r="BF203" s="1" t="s">
        <v>1</v>
      </c>
      <c r="BG203" s="1" t="s">
        <v>10</v>
      </c>
      <c r="BH203" s="1" t="s">
        <v>2</v>
      </c>
      <c r="BI203" s="1" t="s">
        <v>3</v>
      </c>
      <c r="BJ203" s="1" t="s">
        <v>4</v>
      </c>
      <c r="BK203" s="1" t="s">
        <v>5</v>
      </c>
      <c r="BL203" s="1" t="s">
        <v>6</v>
      </c>
      <c r="BM203" s="1" t="s">
        <v>7</v>
      </c>
      <c r="BN203" s="1" t="s">
        <v>8</v>
      </c>
      <c r="BO203" s="1" t="s">
        <v>9</v>
      </c>
    </row>
    <row r="204" spans="24:67" x14ac:dyDescent="0.3">
      <c r="X204" s="1" t="s">
        <v>20</v>
      </c>
      <c r="AU204" s="1" t="s">
        <v>20</v>
      </c>
    </row>
    <row r="205" spans="24:67" x14ac:dyDescent="0.3">
      <c r="X205" s="1" t="s">
        <v>21</v>
      </c>
      <c r="Y205" s="2">
        <v>0.18</v>
      </c>
      <c r="Z205" s="2">
        <v>0.18</v>
      </c>
      <c r="AA205" s="2">
        <v>0.16</v>
      </c>
      <c r="AB205" s="2">
        <v>0.16</v>
      </c>
      <c r="AC205" s="2">
        <v>0.16</v>
      </c>
      <c r="AD205" s="2">
        <v>0.17</v>
      </c>
      <c r="AE205" s="2">
        <v>0.13</v>
      </c>
      <c r="AF205" s="2">
        <v>0.24</v>
      </c>
      <c r="AG205" s="2">
        <v>0.21</v>
      </c>
      <c r="AH205" s="2">
        <v>0.21</v>
      </c>
      <c r="AI205" s="2">
        <v>0.21</v>
      </c>
      <c r="AJ205" s="2">
        <v>0.21</v>
      </c>
      <c r="AK205" s="2">
        <v>0.21</v>
      </c>
      <c r="AL205" s="2">
        <v>0.21</v>
      </c>
      <c r="AM205" s="2">
        <v>0.21</v>
      </c>
      <c r="AN205" s="2">
        <v>0.21</v>
      </c>
      <c r="AO205" s="2">
        <v>0.21</v>
      </c>
      <c r="AP205" s="2">
        <v>0.09</v>
      </c>
      <c r="AQ205" s="2">
        <v>0.21</v>
      </c>
      <c r="AR205" s="2">
        <v>0.12</v>
      </c>
      <c r="AU205" s="1" t="s">
        <v>21</v>
      </c>
      <c r="AV205" s="2">
        <v>359.03</v>
      </c>
      <c r="AW205" s="2">
        <v>1103.8399999999999</v>
      </c>
      <c r="AX205" s="2">
        <v>186.73</v>
      </c>
      <c r="AY205" s="2">
        <v>108.01</v>
      </c>
      <c r="AZ205" s="2">
        <v>384.1</v>
      </c>
      <c r="BA205" s="2">
        <v>486.78</v>
      </c>
      <c r="BB205" s="2">
        <v>744.43</v>
      </c>
      <c r="BC205" s="2">
        <v>582.25</v>
      </c>
      <c r="BD205" s="2">
        <v>844.27</v>
      </c>
      <c r="BE205" s="2">
        <v>706.64</v>
      </c>
      <c r="BF205" s="2">
        <v>361.97</v>
      </c>
      <c r="BG205" s="2">
        <v>1206.76</v>
      </c>
      <c r="BH205" s="2">
        <v>191.83</v>
      </c>
      <c r="BI205" s="2">
        <v>110.99</v>
      </c>
      <c r="BJ205" s="2">
        <v>351.91</v>
      </c>
      <c r="BK205" s="2">
        <v>435.92</v>
      </c>
      <c r="BL205" s="2">
        <v>796.07</v>
      </c>
      <c r="BM205" s="2">
        <v>697.98</v>
      </c>
      <c r="BN205" s="2">
        <v>877.03</v>
      </c>
      <c r="BO205" s="2">
        <v>763.98</v>
      </c>
    </row>
    <row r="206" spans="24:67" x14ac:dyDescent="0.3">
      <c r="X206" s="1" t="s">
        <v>22</v>
      </c>
      <c r="Y206" s="2">
        <v>0.36</v>
      </c>
      <c r="Z206" s="2">
        <v>0.2</v>
      </c>
      <c r="AA206" s="2">
        <v>0.36</v>
      </c>
      <c r="AB206" s="2">
        <v>0.22</v>
      </c>
      <c r="AC206" s="2">
        <v>0.28000000000000003</v>
      </c>
      <c r="AD206" s="2">
        <v>0.27</v>
      </c>
      <c r="AE206" s="2">
        <v>0.36</v>
      </c>
      <c r="AF206" s="2">
        <v>0.33</v>
      </c>
      <c r="AG206" s="2">
        <v>0.32</v>
      </c>
      <c r="AH206" s="2">
        <v>0.22</v>
      </c>
      <c r="AI206" s="2">
        <v>0.31</v>
      </c>
      <c r="AJ206" s="2">
        <v>0.24</v>
      </c>
      <c r="AK206" s="2">
        <v>0.28999999999999998</v>
      </c>
      <c r="AL206" s="2">
        <v>0.28999999999999998</v>
      </c>
      <c r="AM206" s="2">
        <v>0.28999999999999998</v>
      </c>
      <c r="AN206" s="2">
        <v>0.22</v>
      </c>
      <c r="AO206" s="2">
        <v>0.28999999999999998</v>
      </c>
      <c r="AP206" s="2">
        <v>0.14000000000000001</v>
      </c>
      <c r="AQ206" s="2">
        <v>0.28999999999999998</v>
      </c>
      <c r="AR206" s="2">
        <v>0.06</v>
      </c>
      <c r="AU206" s="1" t="s">
        <v>22</v>
      </c>
      <c r="AV206" s="2">
        <v>24.98</v>
      </c>
      <c r="AW206" s="2">
        <v>111.67</v>
      </c>
      <c r="AX206" s="2">
        <v>14.63</v>
      </c>
      <c r="AY206" s="2">
        <v>8.42</v>
      </c>
      <c r="AZ206" s="2">
        <v>23.94</v>
      </c>
      <c r="BA206" s="2">
        <v>38.25</v>
      </c>
      <c r="BB206" s="2">
        <v>47.87</v>
      </c>
      <c r="BC206" s="2">
        <v>67.849999999999994</v>
      </c>
      <c r="BD206" s="2">
        <v>96.13</v>
      </c>
      <c r="BE206" s="2">
        <v>86.39</v>
      </c>
      <c r="BF206" s="2">
        <v>26.05</v>
      </c>
      <c r="BG206" s="2">
        <v>97.59</v>
      </c>
      <c r="BH206" s="2">
        <v>17.73</v>
      </c>
      <c r="BI206" s="2">
        <v>8.27</v>
      </c>
      <c r="BJ206" s="2">
        <v>48.98</v>
      </c>
      <c r="BK206" s="2">
        <v>42.29</v>
      </c>
      <c r="BL206" s="2">
        <v>87.8</v>
      </c>
      <c r="BM206" s="2">
        <v>84.06</v>
      </c>
      <c r="BN206" s="2">
        <v>76.05</v>
      </c>
      <c r="BO206" s="2">
        <v>65.3</v>
      </c>
    </row>
    <row r="207" spans="24:67" x14ac:dyDescent="0.3">
      <c r="X207" s="1" t="s">
        <v>23</v>
      </c>
      <c r="Y207" s="2">
        <v>0.43</v>
      </c>
      <c r="Z207" s="2">
        <v>0.14000000000000001</v>
      </c>
      <c r="AA207" s="2">
        <v>0.43</v>
      </c>
      <c r="AB207" s="2">
        <v>0.16</v>
      </c>
      <c r="AC207" s="2">
        <v>0.41</v>
      </c>
      <c r="AD207" s="2">
        <v>0.35</v>
      </c>
      <c r="AE207" s="2">
        <v>0.42</v>
      </c>
      <c r="AF207" s="2">
        <v>0.33</v>
      </c>
      <c r="AG207" s="2">
        <v>0.4</v>
      </c>
      <c r="AH207" s="2">
        <v>0.25</v>
      </c>
      <c r="AI207" s="2">
        <v>0.4</v>
      </c>
      <c r="AJ207" s="2">
        <v>0.25</v>
      </c>
      <c r="AK207" s="2">
        <v>0.39</v>
      </c>
      <c r="AL207" s="2">
        <v>0.27</v>
      </c>
      <c r="AM207" s="2">
        <v>0.39</v>
      </c>
      <c r="AN207" s="2">
        <v>0.25</v>
      </c>
      <c r="AO207" s="2">
        <v>0.28999999999999998</v>
      </c>
      <c r="AP207" s="2">
        <v>0.16</v>
      </c>
      <c r="AQ207" s="2">
        <v>0.16</v>
      </c>
      <c r="AR207" s="2">
        <v>0.11</v>
      </c>
      <c r="AU207" s="1" t="s">
        <v>23</v>
      </c>
      <c r="AV207" s="2">
        <v>203.83</v>
      </c>
      <c r="AW207" s="2">
        <v>550.09</v>
      </c>
      <c r="AX207" s="2">
        <v>88.13</v>
      </c>
      <c r="AY207" s="2">
        <v>72.069999999999993</v>
      </c>
      <c r="AZ207" s="2">
        <v>204.7</v>
      </c>
      <c r="BA207" s="2">
        <v>251.17</v>
      </c>
      <c r="BB207" s="2">
        <v>460.57</v>
      </c>
      <c r="BC207" s="2">
        <v>418.87</v>
      </c>
      <c r="BD207" s="2">
        <v>534.14</v>
      </c>
      <c r="BE207" s="2">
        <v>581.69000000000005</v>
      </c>
      <c r="BF207" s="2">
        <v>76.69</v>
      </c>
      <c r="BG207" s="2">
        <v>467.9</v>
      </c>
      <c r="BH207" s="2">
        <v>40.42</v>
      </c>
      <c r="BI207" s="2">
        <v>38.04</v>
      </c>
      <c r="BJ207" s="2">
        <v>280.75</v>
      </c>
      <c r="BK207" s="2">
        <v>309.60000000000002</v>
      </c>
      <c r="BL207" s="2">
        <v>596.95000000000005</v>
      </c>
      <c r="BM207" s="2">
        <v>548.67999999999995</v>
      </c>
      <c r="BN207" s="2">
        <v>585.80999999999995</v>
      </c>
      <c r="BO207" s="2">
        <v>453.82</v>
      </c>
    </row>
    <row r="208" spans="24:67" x14ac:dyDescent="0.3">
      <c r="X208" s="1" t="s">
        <v>24</v>
      </c>
      <c r="Y208" s="2">
        <v>0.42</v>
      </c>
      <c r="Z208" s="2">
        <v>0.22</v>
      </c>
      <c r="AA208" s="2">
        <v>0.41</v>
      </c>
      <c r="AB208" s="2">
        <v>0.22</v>
      </c>
      <c r="AC208" s="2">
        <v>0.39</v>
      </c>
      <c r="AD208" s="2">
        <v>0.42</v>
      </c>
      <c r="AE208" s="2">
        <v>0.39</v>
      </c>
      <c r="AF208" s="2">
        <v>0.39</v>
      </c>
      <c r="AG208" s="2">
        <v>0.36</v>
      </c>
      <c r="AH208" s="2">
        <v>0.34</v>
      </c>
      <c r="AI208" s="2">
        <v>0.36</v>
      </c>
      <c r="AJ208" s="2">
        <v>0.32</v>
      </c>
      <c r="AK208" s="2">
        <v>0.37</v>
      </c>
      <c r="AL208" s="2">
        <v>0.34</v>
      </c>
      <c r="AM208" s="2">
        <v>0.36</v>
      </c>
      <c r="AN208" s="2">
        <v>0.31</v>
      </c>
      <c r="AO208" s="2">
        <v>0.28999999999999998</v>
      </c>
      <c r="AP208" s="2">
        <v>0.24</v>
      </c>
      <c r="AQ208" s="2">
        <v>0.25</v>
      </c>
      <c r="AR208" s="2">
        <v>0.21</v>
      </c>
      <c r="AU208" s="1" t="s">
        <v>24</v>
      </c>
      <c r="AV208" s="2">
        <v>66.72</v>
      </c>
      <c r="AW208" s="2">
        <v>210.72</v>
      </c>
      <c r="AX208" s="2">
        <v>41.56</v>
      </c>
      <c r="AY208" s="2">
        <v>32.049999999999997</v>
      </c>
      <c r="AZ208" s="2">
        <v>90.03</v>
      </c>
      <c r="BA208" s="2">
        <v>114.31</v>
      </c>
      <c r="BB208" s="2">
        <v>207.18</v>
      </c>
      <c r="BC208" s="2">
        <v>117</v>
      </c>
      <c r="BD208" s="2">
        <v>238.39</v>
      </c>
      <c r="BE208" s="2">
        <v>99.34</v>
      </c>
      <c r="BF208" s="2">
        <v>37.590000000000003</v>
      </c>
      <c r="BG208" s="2">
        <v>189.41</v>
      </c>
      <c r="BH208" s="2">
        <v>21.77</v>
      </c>
      <c r="BI208" s="2">
        <v>21.69</v>
      </c>
      <c r="BJ208" s="2">
        <v>114.24</v>
      </c>
      <c r="BK208" s="2">
        <v>123.04</v>
      </c>
      <c r="BL208" s="2">
        <v>224.3</v>
      </c>
      <c r="BM208" s="2">
        <v>201.57</v>
      </c>
      <c r="BN208" s="2">
        <v>123.38</v>
      </c>
      <c r="BO208" s="2">
        <v>169.96</v>
      </c>
    </row>
    <row r="209" spans="24:67" x14ac:dyDescent="0.3">
      <c r="X209" s="1" t="s">
        <v>25</v>
      </c>
      <c r="Y209" s="2">
        <v>0.34</v>
      </c>
      <c r="Z209" s="2">
        <v>0.37</v>
      </c>
      <c r="AA209" s="2">
        <v>0.37</v>
      </c>
      <c r="AB209" s="2">
        <v>0.39</v>
      </c>
      <c r="AC209" s="2">
        <v>0.33</v>
      </c>
      <c r="AD209" s="2">
        <v>0.35</v>
      </c>
      <c r="AE209" s="2">
        <v>0.32</v>
      </c>
      <c r="AF209" s="2">
        <v>0.34</v>
      </c>
      <c r="AG209" s="2">
        <v>0.32</v>
      </c>
      <c r="AH209" s="2">
        <v>0.31</v>
      </c>
      <c r="AI209" s="2">
        <v>0.32</v>
      </c>
      <c r="AJ209" s="2">
        <v>0.32</v>
      </c>
      <c r="AK209" s="2">
        <v>0.32</v>
      </c>
      <c r="AL209" s="2">
        <v>0.33</v>
      </c>
      <c r="AM209" s="2">
        <v>0.32</v>
      </c>
      <c r="AN209" s="2">
        <v>0.3</v>
      </c>
      <c r="AO209" s="2">
        <v>0.28999999999999998</v>
      </c>
      <c r="AP209" s="2">
        <v>0.22</v>
      </c>
      <c r="AQ209" s="2">
        <v>0.25</v>
      </c>
      <c r="AR209" s="2">
        <v>0.18</v>
      </c>
      <c r="AU209" s="1" t="s">
        <v>25</v>
      </c>
      <c r="AV209" s="2">
        <v>289.22000000000003</v>
      </c>
      <c r="AW209" s="2">
        <v>900.09</v>
      </c>
      <c r="AX209" s="2">
        <v>88.32</v>
      </c>
      <c r="AY209" s="2">
        <v>92.77</v>
      </c>
      <c r="AZ209" s="2">
        <v>213.18</v>
      </c>
      <c r="BA209" s="2">
        <v>384.6</v>
      </c>
      <c r="BB209" s="2">
        <v>716.46</v>
      </c>
      <c r="BC209" s="2">
        <v>620.44000000000005</v>
      </c>
      <c r="BD209" s="2">
        <v>875.7</v>
      </c>
      <c r="BE209" s="2">
        <v>460.06</v>
      </c>
      <c r="BF209" s="2">
        <v>214.9</v>
      </c>
      <c r="BG209" s="2">
        <v>711.28</v>
      </c>
      <c r="BH209" s="2">
        <v>119.8</v>
      </c>
      <c r="BI209" s="2">
        <v>87.34</v>
      </c>
      <c r="BJ209" s="2">
        <v>319.22000000000003</v>
      </c>
      <c r="BK209" s="2">
        <v>395.07</v>
      </c>
      <c r="BL209" s="2">
        <v>742.54</v>
      </c>
      <c r="BM209" s="2">
        <v>618.11</v>
      </c>
      <c r="BN209" s="2">
        <v>791.4</v>
      </c>
      <c r="BO209" s="2">
        <v>504.18</v>
      </c>
    </row>
    <row r="210" spans="24:67" x14ac:dyDescent="0.3">
      <c r="X210" s="1" t="s">
        <v>26</v>
      </c>
      <c r="Y210" s="2">
        <v>0.39</v>
      </c>
      <c r="Z210" s="2">
        <v>0.4</v>
      </c>
      <c r="AA210" s="2">
        <v>0.42</v>
      </c>
      <c r="AB210" s="2">
        <v>0.42</v>
      </c>
      <c r="AC210" s="2">
        <v>0.37</v>
      </c>
      <c r="AD210" s="2">
        <v>0.39</v>
      </c>
      <c r="AE210" s="2">
        <v>0.38</v>
      </c>
      <c r="AF210" s="2">
        <v>0.33</v>
      </c>
      <c r="AG210" s="2">
        <v>0.31</v>
      </c>
      <c r="AH210" s="2">
        <v>0.35</v>
      </c>
      <c r="AI210" s="2">
        <v>0.35</v>
      </c>
      <c r="AJ210" s="2">
        <v>0.35</v>
      </c>
      <c r="AK210" s="2">
        <v>0.35</v>
      </c>
      <c r="AL210" s="2">
        <v>0.35</v>
      </c>
      <c r="AM210" s="2">
        <v>0.35</v>
      </c>
      <c r="AN210" s="2">
        <v>0.35</v>
      </c>
      <c r="AO210" s="2">
        <v>0.32</v>
      </c>
      <c r="AP210" s="2">
        <v>0.35</v>
      </c>
      <c r="AQ210" s="2">
        <v>0.28000000000000003</v>
      </c>
      <c r="AR210" s="2">
        <v>0.24</v>
      </c>
      <c r="AU210" s="1" t="s">
        <v>26</v>
      </c>
      <c r="AV210" s="2">
        <v>61.39</v>
      </c>
      <c r="AW210" s="2">
        <v>144.19</v>
      </c>
      <c r="AX210" s="2">
        <v>17.34</v>
      </c>
      <c r="AY210" s="2">
        <v>17.600000000000001</v>
      </c>
      <c r="AZ210" s="2">
        <v>41.72</v>
      </c>
      <c r="BA210" s="2">
        <v>47.99</v>
      </c>
      <c r="BB210" s="2">
        <v>116.3</v>
      </c>
      <c r="BC210" s="2">
        <v>96.5</v>
      </c>
      <c r="BD210" s="2">
        <v>129.88999999999999</v>
      </c>
      <c r="BE210" s="2">
        <v>112.43</v>
      </c>
      <c r="BF210" s="2">
        <v>35.9</v>
      </c>
      <c r="BG210" s="2">
        <v>73.75</v>
      </c>
      <c r="BH210" s="2">
        <v>11.23</v>
      </c>
      <c r="BI210" s="2">
        <v>15.73</v>
      </c>
      <c r="BJ210" s="2">
        <v>46.67</v>
      </c>
      <c r="BK210" s="2">
        <v>64.2</v>
      </c>
      <c r="BL210" s="2">
        <v>95.76</v>
      </c>
      <c r="BM210" s="2">
        <v>73.260000000000005</v>
      </c>
      <c r="BN210" s="2">
        <v>110.02</v>
      </c>
      <c r="BO210" s="2">
        <v>87.17</v>
      </c>
    </row>
    <row r="211" spans="24:67" x14ac:dyDescent="0.3">
      <c r="X211" s="1" t="s">
        <v>27</v>
      </c>
      <c r="Y211" s="2">
        <v>0.42</v>
      </c>
      <c r="Z211" s="2">
        <v>0.43</v>
      </c>
      <c r="AA211" s="2">
        <v>0.36</v>
      </c>
      <c r="AB211" s="2">
        <v>0.43</v>
      </c>
      <c r="AC211" s="2">
        <v>0.31</v>
      </c>
      <c r="AD211" s="2">
        <v>0.42</v>
      </c>
      <c r="AE211" s="2">
        <v>0.32</v>
      </c>
      <c r="AF211" s="2">
        <v>0.35</v>
      </c>
      <c r="AG211" s="2">
        <v>0.3</v>
      </c>
      <c r="AH211" s="2">
        <v>0.4</v>
      </c>
      <c r="AI211" s="2">
        <v>0.28000000000000003</v>
      </c>
      <c r="AJ211" s="2">
        <v>0.4</v>
      </c>
      <c r="AK211" s="2">
        <v>0.28000000000000003</v>
      </c>
      <c r="AL211" s="2">
        <v>0.4</v>
      </c>
      <c r="AM211" s="2">
        <v>0.28000000000000003</v>
      </c>
      <c r="AN211" s="2">
        <v>0.4</v>
      </c>
      <c r="AO211" s="2">
        <v>0.27</v>
      </c>
      <c r="AP211" s="2">
        <v>0.28999999999999998</v>
      </c>
      <c r="AQ211" s="2">
        <v>0.24</v>
      </c>
      <c r="AR211" s="2">
        <v>0.23</v>
      </c>
      <c r="AU211" s="1" t="s">
        <v>27</v>
      </c>
      <c r="AV211" s="2">
        <v>158.57</v>
      </c>
      <c r="AW211" s="2">
        <v>582.80999999999995</v>
      </c>
      <c r="AX211" s="2">
        <v>50.41</v>
      </c>
      <c r="AY211" s="2">
        <v>53.45</v>
      </c>
      <c r="AZ211" s="2">
        <v>163.62</v>
      </c>
      <c r="BA211" s="2">
        <v>132.93</v>
      </c>
      <c r="BB211" s="2">
        <v>401.02</v>
      </c>
      <c r="BC211" s="2">
        <v>336.84</v>
      </c>
      <c r="BD211" s="2">
        <v>485.62</v>
      </c>
      <c r="BE211" s="2">
        <v>457.09</v>
      </c>
      <c r="BF211" s="2">
        <v>175.77</v>
      </c>
      <c r="BG211" s="2">
        <v>499.34</v>
      </c>
      <c r="BH211" s="2">
        <v>66.08</v>
      </c>
      <c r="BI211" s="2">
        <v>53.68</v>
      </c>
      <c r="BJ211" s="2">
        <v>557.28</v>
      </c>
      <c r="BK211" s="2">
        <v>203.45</v>
      </c>
      <c r="BL211" s="2">
        <v>346.01</v>
      </c>
      <c r="BM211" s="2">
        <v>287.52999999999997</v>
      </c>
      <c r="BN211" s="2">
        <v>410.24</v>
      </c>
      <c r="BO211" s="2">
        <v>275.95999999999998</v>
      </c>
    </row>
    <row r="212" spans="24:67" x14ac:dyDescent="0.3">
      <c r="X212" s="1" t="s">
        <v>28</v>
      </c>
      <c r="Y212" s="2">
        <v>0.27</v>
      </c>
      <c r="Z212" s="2">
        <v>0.33</v>
      </c>
      <c r="AA212" s="2">
        <v>0.31</v>
      </c>
      <c r="AB212" s="2">
        <v>0.3</v>
      </c>
      <c r="AC212" s="2">
        <v>0.28000000000000003</v>
      </c>
      <c r="AD212" s="2">
        <v>0.27</v>
      </c>
      <c r="AE212" s="2">
        <v>0.22</v>
      </c>
      <c r="AF212" s="2">
        <v>0.25</v>
      </c>
      <c r="AG212" s="2">
        <v>0.18</v>
      </c>
      <c r="AH212" s="2">
        <v>0.21</v>
      </c>
      <c r="AI212" s="2">
        <v>0.2</v>
      </c>
      <c r="AJ212" s="2">
        <v>0.21</v>
      </c>
      <c r="AK212" s="2">
        <v>0.19</v>
      </c>
      <c r="AL212" s="2">
        <v>0.21</v>
      </c>
      <c r="AM212" s="2">
        <v>0.19</v>
      </c>
      <c r="AN212" s="2">
        <v>0.2</v>
      </c>
      <c r="AO212" s="2">
        <v>0.19</v>
      </c>
      <c r="AP212" s="2">
        <v>0.18</v>
      </c>
      <c r="AQ212" s="2">
        <v>0.2</v>
      </c>
      <c r="AR212" s="2">
        <v>0.15</v>
      </c>
      <c r="AU212" s="1" t="s">
        <v>28</v>
      </c>
      <c r="AV212" s="2">
        <v>98.42</v>
      </c>
      <c r="AW212" s="2">
        <v>407.61</v>
      </c>
      <c r="AX212" s="2">
        <v>37.659999999999997</v>
      </c>
      <c r="AY212" s="2">
        <v>22.76</v>
      </c>
      <c r="AZ212" s="2">
        <v>85.93</v>
      </c>
      <c r="BA212" s="2">
        <v>138.33000000000001</v>
      </c>
      <c r="BB212" s="2">
        <v>280.63</v>
      </c>
      <c r="BC212" s="2">
        <v>224.32</v>
      </c>
      <c r="BD212" s="2">
        <v>307.18</v>
      </c>
      <c r="BE212" s="2">
        <v>284.08999999999997</v>
      </c>
      <c r="BF212" s="2">
        <v>118.85</v>
      </c>
      <c r="BG212" s="2">
        <v>318.42</v>
      </c>
      <c r="BH212" s="2">
        <v>40.42</v>
      </c>
      <c r="BI212" s="2">
        <v>25.44</v>
      </c>
      <c r="BJ212" s="2">
        <v>96.08</v>
      </c>
      <c r="BK212" s="2">
        <v>114.68</v>
      </c>
      <c r="BL212" s="2">
        <v>215.17</v>
      </c>
      <c r="BM212" s="2">
        <v>198.64</v>
      </c>
      <c r="BN212" s="2">
        <v>301.45999999999998</v>
      </c>
      <c r="BO212" s="2">
        <v>247.73</v>
      </c>
    </row>
    <row r="215" spans="24:67" x14ac:dyDescent="0.3">
      <c r="X215" t="s">
        <v>72</v>
      </c>
      <c r="AU215" t="s">
        <v>73</v>
      </c>
    </row>
    <row r="216" spans="24:67" x14ac:dyDescent="0.3">
      <c r="X216" s="1" t="s">
        <v>16</v>
      </c>
      <c r="Y216" s="1" t="s">
        <v>17</v>
      </c>
      <c r="Z216" s="1" t="s">
        <v>18</v>
      </c>
      <c r="AA216" s="1" t="s">
        <v>17</v>
      </c>
      <c r="AB216" s="1" t="s">
        <v>18</v>
      </c>
      <c r="AC216" s="1" t="s">
        <v>17</v>
      </c>
      <c r="AD216" s="1" t="s">
        <v>18</v>
      </c>
      <c r="AE216" s="1" t="s">
        <v>17</v>
      </c>
      <c r="AF216" s="1" t="s">
        <v>18</v>
      </c>
      <c r="AG216" s="1" t="s">
        <v>17</v>
      </c>
      <c r="AH216" s="1" t="s">
        <v>18</v>
      </c>
      <c r="AI216" s="1" t="s">
        <v>17</v>
      </c>
      <c r="AJ216" s="1" t="s">
        <v>18</v>
      </c>
      <c r="AK216" s="1" t="s">
        <v>17</v>
      </c>
      <c r="AL216" s="1" t="s">
        <v>18</v>
      </c>
      <c r="AM216" s="1" t="s">
        <v>17</v>
      </c>
      <c r="AN216" s="1" t="s">
        <v>18</v>
      </c>
      <c r="AO216" s="1" t="s">
        <v>17</v>
      </c>
      <c r="AP216" s="1" t="s">
        <v>18</v>
      </c>
      <c r="AQ216" s="1" t="s">
        <v>17</v>
      </c>
      <c r="AR216" s="1" t="s">
        <v>18</v>
      </c>
      <c r="AU216" s="1" t="s">
        <v>16</v>
      </c>
      <c r="AV216" s="1" t="s">
        <v>17</v>
      </c>
      <c r="AW216" s="1" t="s">
        <v>18</v>
      </c>
      <c r="AX216" s="1" t="s">
        <v>17</v>
      </c>
      <c r="AY216" s="1" t="s">
        <v>18</v>
      </c>
      <c r="AZ216" s="1" t="s">
        <v>17</v>
      </c>
      <c r="BA216" s="1" t="s">
        <v>18</v>
      </c>
      <c r="BB216" s="1" t="s">
        <v>17</v>
      </c>
      <c r="BC216" s="1" t="s">
        <v>18</v>
      </c>
      <c r="BD216" s="1" t="s">
        <v>17</v>
      </c>
      <c r="BE216" s="1" t="s">
        <v>18</v>
      </c>
      <c r="BF216" s="1" t="s">
        <v>17</v>
      </c>
      <c r="BG216" s="1" t="s">
        <v>18</v>
      </c>
      <c r="BH216" s="1" t="s">
        <v>17</v>
      </c>
      <c r="BI216" s="1" t="s">
        <v>18</v>
      </c>
      <c r="BJ216" s="1" t="s">
        <v>17</v>
      </c>
      <c r="BK216" s="1" t="s">
        <v>18</v>
      </c>
      <c r="BL216" s="1" t="s">
        <v>17</v>
      </c>
      <c r="BM216" s="1" t="s">
        <v>18</v>
      </c>
      <c r="BN216" s="1" t="s">
        <v>17</v>
      </c>
      <c r="BO216" s="1" t="s">
        <v>18</v>
      </c>
    </row>
    <row r="217" spans="24:67" x14ac:dyDescent="0.3">
      <c r="X217" s="1" t="s">
        <v>19</v>
      </c>
      <c r="Y217" s="1" t="s">
        <v>1</v>
      </c>
      <c r="Z217" s="1" t="s">
        <v>1</v>
      </c>
      <c r="AA217" s="1" t="s">
        <v>2</v>
      </c>
      <c r="AB217" s="1" t="s">
        <v>2</v>
      </c>
      <c r="AC217" s="1" t="s">
        <v>3</v>
      </c>
      <c r="AD217" s="1" t="s">
        <v>3</v>
      </c>
      <c r="AE217" s="1" t="s">
        <v>4</v>
      </c>
      <c r="AF217" s="1" t="s">
        <v>4</v>
      </c>
      <c r="AG217" s="1" t="s">
        <v>5</v>
      </c>
      <c r="AH217" s="1" t="s">
        <v>5</v>
      </c>
      <c r="AI217" s="1" t="s">
        <v>6</v>
      </c>
      <c r="AJ217" s="1" t="s">
        <v>6</v>
      </c>
      <c r="AK217" s="1" t="s">
        <v>7</v>
      </c>
      <c r="AL217" s="1" t="s">
        <v>7</v>
      </c>
      <c r="AM217" s="1" t="s">
        <v>8</v>
      </c>
      <c r="AN217" s="1" t="s">
        <v>8</v>
      </c>
      <c r="AO217" s="1" t="s">
        <v>9</v>
      </c>
      <c r="AP217" s="1" t="s">
        <v>9</v>
      </c>
      <c r="AQ217" s="1" t="s">
        <v>10</v>
      </c>
      <c r="AR217" s="1" t="s">
        <v>10</v>
      </c>
      <c r="AU217" s="1" t="s">
        <v>19</v>
      </c>
      <c r="AV217" s="1" t="s">
        <v>1</v>
      </c>
      <c r="AW217" s="1" t="s">
        <v>1</v>
      </c>
      <c r="AX217" s="1" t="s">
        <v>2</v>
      </c>
      <c r="AY217" s="1" t="s">
        <v>2</v>
      </c>
      <c r="AZ217" s="1" t="s">
        <v>3</v>
      </c>
      <c r="BA217" s="1" t="s">
        <v>3</v>
      </c>
      <c r="BB217" s="1" t="s">
        <v>4</v>
      </c>
      <c r="BC217" s="1" t="s">
        <v>4</v>
      </c>
      <c r="BD217" s="1" t="s">
        <v>5</v>
      </c>
      <c r="BE217" s="1" t="s">
        <v>5</v>
      </c>
      <c r="BF217" s="1" t="s">
        <v>6</v>
      </c>
      <c r="BG217" s="1" t="s">
        <v>6</v>
      </c>
      <c r="BH217" s="1" t="s">
        <v>7</v>
      </c>
      <c r="BI217" s="1" t="s">
        <v>7</v>
      </c>
      <c r="BJ217" s="1" t="s">
        <v>8</v>
      </c>
      <c r="BK217" s="1" t="s">
        <v>8</v>
      </c>
      <c r="BL217" s="1" t="s">
        <v>9</v>
      </c>
      <c r="BM217" s="1" t="s">
        <v>9</v>
      </c>
      <c r="BN217" s="1" t="s">
        <v>10</v>
      </c>
      <c r="BO217" s="1" t="s">
        <v>10</v>
      </c>
    </row>
    <row r="218" spans="24:67" x14ac:dyDescent="0.3">
      <c r="X218" s="1" t="s">
        <v>20</v>
      </c>
      <c r="AU218" s="1" t="s">
        <v>20</v>
      </c>
    </row>
    <row r="219" spans="24:67" x14ac:dyDescent="0.3">
      <c r="X219" s="1" t="s">
        <v>21</v>
      </c>
      <c r="Y219" s="2">
        <v>0</v>
      </c>
      <c r="Z219" s="2">
        <v>0</v>
      </c>
      <c r="AA219" s="2">
        <v>0.01</v>
      </c>
      <c r="AB219" s="2">
        <v>0.01</v>
      </c>
      <c r="AC219" s="2">
        <v>0</v>
      </c>
      <c r="AD219" s="2">
        <v>0</v>
      </c>
      <c r="AE219" s="2">
        <v>0</v>
      </c>
      <c r="AF219" s="2">
        <v>0.15</v>
      </c>
      <c r="AG219" s="2">
        <v>0.15</v>
      </c>
      <c r="AH219" s="2">
        <v>0.15</v>
      </c>
      <c r="AI219" s="2">
        <v>0.15</v>
      </c>
      <c r="AJ219" s="2">
        <v>0.15</v>
      </c>
      <c r="AK219" s="2">
        <v>0.15</v>
      </c>
      <c r="AL219" s="2">
        <v>0.15</v>
      </c>
      <c r="AM219" s="2">
        <v>0.15</v>
      </c>
      <c r="AN219" s="2">
        <v>0.15</v>
      </c>
      <c r="AO219" s="2">
        <v>0.15</v>
      </c>
      <c r="AP219" s="2">
        <v>0.06</v>
      </c>
      <c r="AQ219" s="2">
        <v>0.15</v>
      </c>
      <c r="AR219" s="2">
        <v>0.08</v>
      </c>
      <c r="AU219" s="1" t="s">
        <v>21</v>
      </c>
      <c r="AV219" s="2">
        <v>276.17</v>
      </c>
      <c r="AW219" s="2">
        <v>278.44</v>
      </c>
      <c r="AX219" s="2">
        <v>143.63999999999999</v>
      </c>
      <c r="AY219" s="2">
        <v>147.56</v>
      </c>
      <c r="AZ219" s="2">
        <v>216.02</v>
      </c>
      <c r="BA219" s="2">
        <v>221.98</v>
      </c>
      <c r="BB219" s="2">
        <v>240.06</v>
      </c>
      <c r="BC219" s="2">
        <v>219.95</v>
      </c>
      <c r="BD219" s="2">
        <v>243.39</v>
      </c>
      <c r="BE219" s="2">
        <v>217.96</v>
      </c>
      <c r="BF219" s="2">
        <v>206.79</v>
      </c>
      <c r="BG219" s="2">
        <v>221.13</v>
      </c>
      <c r="BH219" s="2">
        <v>200.78</v>
      </c>
      <c r="BI219" s="2">
        <v>240.68</v>
      </c>
      <c r="BJ219" s="2">
        <v>222.18</v>
      </c>
      <c r="BK219" s="2">
        <v>230.8</v>
      </c>
      <c r="BL219" s="2">
        <v>207.83</v>
      </c>
      <c r="BM219" s="2">
        <v>224.7</v>
      </c>
      <c r="BN219" s="2">
        <v>245.3</v>
      </c>
      <c r="BO219" s="2">
        <v>268.17</v>
      </c>
    </row>
    <row r="220" spans="24:67" x14ac:dyDescent="0.3">
      <c r="X220" s="1" t="s">
        <v>22</v>
      </c>
      <c r="Y220" s="2">
        <v>0.22</v>
      </c>
      <c r="Z220" s="2">
        <v>0.04</v>
      </c>
      <c r="AA220" s="2">
        <v>0.22</v>
      </c>
      <c r="AB220" s="2">
        <v>0.05</v>
      </c>
      <c r="AC220" s="2">
        <v>0.14000000000000001</v>
      </c>
      <c r="AD220" s="2">
        <v>0.12</v>
      </c>
      <c r="AE220" s="2">
        <v>0.23</v>
      </c>
      <c r="AF220" s="2">
        <v>0.2</v>
      </c>
      <c r="AG220" s="2">
        <v>0.24</v>
      </c>
      <c r="AH220" s="2">
        <v>0.16</v>
      </c>
      <c r="AI220" s="2">
        <v>0.22</v>
      </c>
      <c r="AJ220" s="2">
        <v>0.17</v>
      </c>
      <c r="AK220" s="2">
        <v>0.21</v>
      </c>
      <c r="AL220" s="2">
        <v>0.21</v>
      </c>
      <c r="AM220" s="2">
        <v>0.21</v>
      </c>
      <c r="AN220" s="2">
        <v>0.16</v>
      </c>
      <c r="AO220" s="2">
        <v>0.21</v>
      </c>
      <c r="AP220" s="2">
        <v>0.1</v>
      </c>
      <c r="AQ220" s="2">
        <v>0.2</v>
      </c>
      <c r="AR220" s="2">
        <v>0.04</v>
      </c>
      <c r="AU220" s="1" t="s">
        <v>22</v>
      </c>
      <c r="AV220" s="2">
        <v>19.22</v>
      </c>
      <c r="AW220" s="2">
        <v>20.04</v>
      </c>
      <c r="AX220" s="2">
        <v>11.25</v>
      </c>
      <c r="AY220" s="2">
        <v>13.64</v>
      </c>
      <c r="AZ220" s="2">
        <v>16.829999999999998</v>
      </c>
      <c r="BA220" s="2">
        <v>16.54</v>
      </c>
      <c r="BB220" s="2">
        <v>14.96</v>
      </c>
      <c r="BC220" s="2">
        <v>30.61</v>
      </c>
      <c r="BD220" s="2">
        <v>19.12</v>
      </c>
      <c r="BE220" s="2">
        <v>21.15</v>
      </c>
      <c r="BF220" s="2">
        <v>13.3</v>
      </c>
      <c r="BG220" s="2">
        <v>24.39</v>
      </c>
      <c r="BH220" s="2">
        <v>23.4</v>
      </c>
      <c r="BI220" s="2">
        <v>28.99</v>
      </c>
      <c r="BJ220" s="2">
        <v>25.3</v>
      </c>
      <c r="BK220" s="2">
        <v>20.010000000000002</v>
      </c>
      <c r="BL220" s="2">
        <v>25.41</v>
      </c>
      <c r="BM220" s="2">
        <v>19.21</v>
      </c>
      <c r="BN220" s="2">
        <v>24.82</v>
      </c>
      <c r="BO220" s="2">
        <v>21.69</v>
      </c>
    </row>
    <row r="221" spans="24:67" x14ac:dyDescent="0.3">
      <c r="X221" s="1" t="s">
        <v>23</v>
      </c>
      <c r="Y221" s="2">
        <v>0.31</v>
      </c>
      <c r="Z221" s="2">
        <v>0.01</v>
      </c>
      <c r="AA221" s="2">
        <v>0.3</v>
      </c>
      <c r="AB221" s="2">
        <v>0.01</v>
      </c>
      <c r="AC221" s="2">
        <v>0.27</v>
      </c>
      <c r="AD221" s="2">
        <v>0.23</v>
      </c>
      <c r="AE221" s="2">
        <v>0.3</v>
      </c>
      <c r="AF221" s="2">
        <v>0.25</v>
      </c>
      <c r="AG221" s="2">
        <v>0.28999999999999998</v>
      </c>
      <c r="AH221" s="2">
        <v>0.2</v>
      </c>
      <c r="AI221" s="2">
        <v>0.28999999999999998</v>
      </c>
      <c r="AJ221" s="2">
        <v>0.2</v>
      </c>
      <c r="AK221" s="2">
        <v>0.28000000000000003</v>
      </c>
      <c r="AL221" s="2">
        <v>0.22</v>
      </c>
      <c r="AM221" s="2">
        <v>0.28000000000000003</v>
      </c>
      <c r="AN221" s="2">
        <v>0.19</v>
      </c>
      <c r="AO221" s="2">
        <v>0.25</v>
      </c>
      <c r="AP221" s="2">
        <v>0.11</v>
      </c>
      <c r="AQ221" s="2">
        <v>0.12</v>
      </c>
      <c r="AR221" s="2">
        <v>0.08</v>
      </c>
      <c r="AU221" s="1" t="s">
        <v>23</v>
      </c>
      <c r="AV221" s="2">
        <v>156.79</v>
      </c>
      <c r="AW221" s="2">
        <v>58.99</v>
      </c>
      <c r="AX221" s="2">
        <v>67.8</v>
      </c>
      <c r="AY221" s="2">
        <v>31.09</v>
      </c>
      <c r="AZ221" s="2">
        <v>144.13</v>
      </c>
      <c r="BA221" s="2">
        <v>76.069999999999993</v>
      </c>
      <c r="BB221" s="2">
        <v>127.93</v>
      </c>
      <c r="BC221" s="2">
        <v>175.47</v>
      </c>
      <c r="BD221" s="2">
        <v>125.59</v>
      </c>
      <c r="BE221" s="2">
        <v>154.80000000000001</v>
      </c>
      <c r="BF221" s="2">
        <v>127.93</v>
      </c>
      <c r="BG221" s="2">
        <v>165.82</v>
      </c>
      <c r="BH221" s="2">
        <v>144.44</v>
      </c>
      <c r="BI221" s="2">
        <v>189.2</v>
      </c>
      <c r="BJ221" s="2">
        <v>140.56</v>
      </c>
      <c r="BK221" s="2">
        <v>154.16</v>
      </c>
      <c r="BL221" s="2">
        <v>171.08</v>
      </c>
      <c r="BM221" s="2">
        <v>133.47999999999999</v>
      </c>
      <c r="BN221" s="2">
        <v>122.24</v>
      </c>
      <c r="BO221" s="2">
        <v>103.98</v>
      </c>
    </row>
    <row r="222" spans="24:67" x14ac:dyDescent="0.3">
      <c r="X222" s="1" t="s">
        <v>24</v>
      </c>
      <c r="Y222" s="2">
        <v>0.27</v>
      </c>
      <c r="Z222" s="2">
        <v>0.1</v>
      </c>
      <c r="AA222" s="2">
        <v>0.28999999999999998</v>
      </c>
      <c r="AB222" s="2">
        <v>0.04</v>
      </c>
      <c r="AC222" s="2">
        <v>0.25</v>
      </c>
      <c r="AD222" s="2">
        <v>0.27</v>
      </c>
      <c r="AE222" s="2">
        <v>0.28000000000000003</v>
      </c>
      <c r="AF222" s="2">
        <v>0.28000000000000003</v>
      </c>
      <c r="AG222" s="2">
        <v>0.28000000000000003</v>
      </c>
      <c r="AH222" s="2">
        <v>0.25</v>
      </c>
      <c r="AI222" s="2">
        <v>0.28000000000000003</v>
      </c>
      <c r="AJ222" s="2">
        <v>0.24</v>
      </c>
      <c r="AK222" s="2">
        <v>0.26</v>
      </c>
      <c r="AL222" s="2">
        <v>0.25</v>
      </c>
      <c r="AM222" s="2">
        <v>0.28000000000000003</v>
      </c>
      <c r="AN222" s="2">
        <v>0.22</v>
      </c>
      <c r="AO222" s="2">
        <v>0.21</v>
      </c>
      <c r="AP222" s="2">
        <v>0.17</v>
      </c>
      <c r="AQ222" s="2">
        <v>0.18</v>
      </c>
      <c r="AR222" s="2">
        <v>0.15</v>
      </c>
      <c r="AU222" s="1" t="s">
        <v>24</v>
      </c>
      <c r="AV222" s="2">
        <v>51.32</v>
      </c>
      <c r="AW222" s="2">
        <v>28.91</v>
      </c>
      <c r="AX222" s="2">
        <v>31.97</v>
      </c>
      <c r="AY222" s="2">
        <v>16.739999999999998</v>
      </c>
      <c r="AZ222" s="2">
        <v>64.099999999999994</v>
      </c>
      <c r="BA222" s="2">
        <v>43.38</v>
      </c>
      <c r="BB222" s="2">
        <v>56.27</v>
      </c>
      <c r="BC222" s="2">
        <v>71.400000000000006</v>
      </c>
      <c r="BD222" s="2">
        <v>57.15</v>
      </c>
      <c r="BE222" s="2">
        <v>61.52</v>
      </c>
      <c r="BF222" s="2">
        <v>57.55</v>
      </c>
      <c r="BG222" s="2">
        <v>62.3</v>
      </c>
      <c r="BH222" s="2">
        <v>40.35</v>
      </c>
      <c r="BI222" s="2">
        <v>69.510000000000005</v>
      </c>
      <c r="BJ222" s="2">
        <v>62.73</v>
      </c>
      <c r="BK222" s="2">
        <v>32.47</v>
      </c>
      <c r="BL222" s="2">
        <v>29.22</v>
      </c>
      <c r="BM222" s="2">
        <v>49.99</v>
      </c>
      <c r="BN222" s="2">
        <v>46.83</v>
      </c>
      <c r="BO222" s="2">
        <v>42.09</v>
      </c>
    </row>
    <row r="223" spans="24:67" x14ac:dyDescent="0.3">
      <c r="X223" s="1" t="s">
        <v>25</v>
      </c>
      <c r="Y223" s="2">
        <v>0.2</v>
      </c>
      <c r="Z223" s="2">
        <v>0.24</v>
      </c>
      <c r="AA223" s="2">
        <v>0.23</v>
      </c>
      <c r="AB223" s="2">
        <v>0.25</v>
      </c>
      <c r="AC223" s="2">
        <v>0.19</v>
      </c>
      <c r="AD223" s="2">
        <v>0.2</v>
      </c>
      <c r="AE223" s="2">
        <v>0.2</v>
      </c>
      <c r="AF223" s="2">
        <v>0.21</v>
      </c>
      <c r="AG223" s="2">
        <v>0.23</v>
      </c>
      <c r="AH223" s="2">
        <v>0.23</v>
      </c>
      <c r="AI223" s="2">
        <v>0.23</v>
      </c>
      <c r="AJ223" s="2">
        <v>0.24</v>
      </c>
      <c r="AK223" s="2">
        <v>0.23</v>
      </c>
      <c r="AL223" s="2">
        <v>0.24</v>
      </c>
      <c r="AM223" s="2">
        <v>0.23</v>
      </c>
      <c r="AN223" s="2">
        <v>0.22</v>
      </c>
      <c r="AO223" s="2">
        <v>0.2</v>
      </c>
      <c r="AP223" s="2">
        <v>0.15</v>
      </c>
      <c r="AQ223" s="2">
        <v>0.18</v>
      </c>
      <c r="AR223" s="2">
        <v>0.13</v>
      </c>
      <c r="AU223" s="1" t="s">
        <v>25</v>
      </c>
      <c r="AV223" s="2">
        <v>222.48</v>
      </c>
      <c r="AW223" s="2">
        <v>165.31</v>
      </c>
      <c r="AX223" s="2">
        <v>67.94</v>
      </c>
      <c r="AY223" s="2">
        <v>92.15</v>
      </c>
      <c r="AZ223" s="2">
        <v>185.55</v>
      </c>
      <c r="BA223" s="2">
        <v>174.68</v>
      </c>
      <c r="BB223" s="2">
        <v>133.24</v>
      </c>
      <c r="BC223" s="2">
        <v>199.51</v>
      </c>
      <c r="BD223" s="2">
        <v>192.3</v>
      </c>
      <c r="BE223" s="2">
        <v>197.54</v>
      </c>
      <c r="BF223" s="2">
        <v>199.02</v>
      </c>
      <c r="BG223" s="2">
        <v>206.26</v>
      </c>
      <c r="BH223" s="2">
        <v>213.94</v>
      </c>
      <c r="BI223" s="2">
        <v>213.14</v>
      </c>
      <c r="BJ223" s="2">
        <v>230.45</v>
      </c>
      <c r="BK223" s="2">
        <v>208.26</v>
      </c>
      <c r="BL223" s="2">
        <v>135.31</v>
      </c>
      <c r="BM223" s="2">
        <v>148.29</v>
      </c>
      <c r="BN223" s="2">
        <v>200.02</v>
      </c>
      <c r="BO223" s="2">
        <v>158.06</v>
      </c>
    </row>
    <row r="224" spans="24:67" x14ac:dyDescent="0.3">
      <c r="X224" s="1" t="s">
        <v>26</v>
      </c>
      <c r="Y224" s="2">
        <v>0.25</v>
      </c>
      <c r="Z224" s="2">
        <v>0.25</v>
      </c>
      <c r="AA224" s="2">
        <v>0.28000000000000003</v>
      </c>
      <c r="AB224" s="2">
        <v>0.28000000000000003</v>
      </c>
      <c r="AC224" s="2">
        <v>0.22</v>
      </c>
      <c r="AD224" s="2">
        <v>0.25</v>
      </c>
      <c r="AE224" s="2">
        <v>0.26</v>
      </c>
      <c r="AF224" s="2">
        <v>0.2</v>
      </c>
      <c r="AG224" s="2">
        <v>0.23</v>
      </c>
      <c r="AH224" s="2">
        <v>0.28999999999999998</v>
      </c>
      <c r="AI224" s="2">
        <v>0.28999999999999998</v>
      </c>
      <c r="AJ224" s="2">
        <v>0.28999999999999998</v>
      </c>
      <c r="AK224" s="2">
        <v>0.28999999999999998</v>
      </c>
      <c r="AL224" s="2">
        <v>0.28999999999999998</v>
      </c>
      <c r="AM224" s="2">
        <v>0.28999999999999998</v>
      </c>
      <c r="AN224" s="2">
        <v>0.28999999999999998</v>
      </c>
      <c r="AO224" s="2">
        <v>0.24</v>
      </c>
      <c r="AP224" s="2">
        <v>0.28999999999999998</v>
      </c>
      <c r="AQ224" s="2">
        <v>0.21</v>
      </c>
      <c r="AR224" s="2">
        <v>0.17</v>
      </c>
      <c r="AU224" s="1" t="s">
        <v>26</v>
      </c>
      <c r="AV224" s="2">
        <v>47.22</v>
      </c>
      <c r="AW224" s="2">
        <v>27.62</v>
      </c>
      <c r="AX224" s="2">
        <v>13.34</v>
      </c>
      <c r="AY224" s="2">
        <v>8.64</v>
      </c>
      <c r="AZ224" s="2">
        <v>35.21</v>
      </c>
      <c r="BA224" s="2">
        <v>31.45</v>
      </c>
      <c r="BB224" s="2">
        <v>26.08</v>
      </c>
      <c r="BC224" s="2">
        <v>29.17</v>
      </c>
      <c r="BD224" s="2">
        <v>24</v>
      </c>
      <c r="BE224" s="2">
        <v>32.1</v>
      </c>
      <c r="BF224" s="2">
        <v>32.31</v>
      </c>
      <c r="BG224" s="2">
        <v>26.6</v>
      </c>
      <c r="BH224" s="2">
        <v>33.270000000000003</v>
      </c>
      <c r="BI224" s="2">
        <v>25.26</v>
      </c>
      <c r="BJ224" s="2">
        <v>34.18</v>
      </c>
      <c r="BK224" s="2">
        <v>28.95</v>
      </c>
      <c r="BL224" s="2">
        <v>33.07</v>
      </c>
      <c r="BM224" s="2">
        <v>25.64</v>
      </c>
      <c r="BN224" s="2">
        <v>32.04</v>
      </c>
      <c r="BO224" s="2">
        <v>16.39</v>
      </c>
    </row>
    <row r="225" spans="24:67" x14ac:dyDescent="0.3">
      <c r="X225" s="1" t="s">
        <v>27</v>
      </c>
      <c r="Y225" s="2">
        <v>0.3</v>
      </c>
      <c r="Z225" s="2">
        <v>0.31</v>
      </c>
      <c r="AA225" s="2">
        <v>0.23</v>
      </c>
      <c r="AB225" s="2">
        <v>0.33</v>
      </c>
      <c r="AC225" s="2">
        <v>0.19</v>
      </c>
      <c r="AD225" s="2">
        <v>0.3</v>
      </c>
      <c r="AE225" s="2">
        <v>0.26</v>
      </c>
      <c r="AF225" s="2">
        <v>0.28999999999999998</v>
      </c>
      <c r="AG225" s="2">
        <v>0.22</v>
      </c>
      <c r="AH225" s="2">
        <v>0.3</v>
      </c>
      <c r="AI225" s="2">
        <v>0.26</v>
      </c>
      <c r="AJ225" s="2">
        <v>0.3</v>
      </c>
      <c r="AK225" s="2">
        <v>0.26</v>
      </c>
      <c r="AL225" s="2">
        <v>0.3</v>
      </c>
      <c r="AM225" s="2">
        <v>0.26</v>
      </c>
      <c r="AN225" s="2">
        <v>0.3</v>
      </c>
      <c r="AO225" s="2">
        <v>0.22</v>
      </c>
      <c r="AP225" s="2">
        <v>0.21</v>
      </c>
      <c r="AQ225" s="2">
        <v>0.19</v>
      </c>
      <c r="AR225" s="2">
        <v>0.18</v>
      </c>
      <c r="AU225" s="1" t="s">
        <v>27</v>
      </c>
      <c r="AV225" s="2">
        <v>121.98</v>
      </c>
      <c r="AW225" s="2">
        <v>135.21</v>
      </c>
      <c r="AX225" s="2">
        <v>38.78</v>
      </c>
      <c r="AY225" s="2">
        <v>50.83</v>
      </c>
      <c r="AZ225" s="2">
        <v>106.91</v>
      </c>
      <c r="BA225" s="2">
        <v>107.37</v>
      </c>
      <c r="BB225" s="2">
        <v>102.26</v>
      </c>
      <c r="BC225" s="2">
        <v>348.3</v>
      </c>
      <c r="BD225" s="2">
        <v>66.459999999999994</v>
      </c>
      <c r="BE225" s="2">
        <v>101.73</v>
      </c>
      <c r="BF225" s="2">
        <v>111.39</v>
      </c>
      <c r="BG225" s="2">
        <v>96.11</v>
      </c>
      <c r="BH225" s="2">
        <v>116.15</v>
      </c>
      <c r="BI225" s="2">
        <v>99.15</v>
      </c>
      <c r="BJ225" s="2">
        <v>127.79</v>
      </c>
      <c r="BK225" s="2">
        <v>107.96</v>
      </c>
      <c r="BL225" s="2">
        <v>134.44</v>
      </c>
      <c r="BM225" s="2">
        <v>81.16</v>
      </c>
      <c r="BN225" s="2">
        <v>129.51</v>
      </c>
      <c r="BO225" s="2">
        <v>110.96</v>
      </c>
    </row>
    <row r="226" spans="24:67" x14ac:dyDescent="0.3">
      <c r="X226" s="1" t="s">
        <v>28</v>
      </c>
      <c r="Y226" s="2">
        <v>0.13</v>
      </c>
      <c r="Z226" s="2">
        <v>0.18</v>
      </c>
      <c r="AA226" s="2">
        <v>0.02</v>
      </c>
      <c r="AB226" s="2">
        <v>0.02</v>
      </c>
      <c r="AC226" s="2">
        <v>0</v>
      </c>
      <c r="AD226" s="2">
        <v>0.03</v>
      </c>
      <c r="AE226" s="2">
        <v>0.01</v>
      </c>
      <c r="AF226" s="2">
        <v>0.14000000000000001</v>
      </c>
      <c r="AG226" s="2">
        <v>0.13</v>
      </c>
      <c r="AH226" s="2">
        <v>0.15</v>
      </c>
      <c r="AI226" s="2">
        <v>0.14000000000000001</v>
      </c>
      <c r="AJ226" s="2">
        <v>0.15</v>
      </c>
      <c r="AK226" s="2">
        <v>0.13</v>
      </c>
      <c r="AL226" s="2">
        <v>0.15</v>
      </c>
      <c r="AM226" s="2">
        <v>0.14000000000000001</v>
      </c>
      <c r="AN226" s="2">
        <v>0.14000000000000001</v>
      </c>
      <c r="AO226" s="2">
        <v>0.13</v>
      </c>
      <c r="AP226" s="2">
        <v>0.12</v>
      </c>
      <c r="AQ226" s="2">
        <v>0.14000000000000001</v>
      </c>
      <c r="AR226" s="2">
        <v>0.1</v>
      </c>
      <c r="AU226" s="1" t="s">
        <v>28</v>
      </c>
      <c r="AV226" s="2">
        <v>75.709999999999994</v>
      </c>
      <c r="AW226" s="2">
        <v>91.43</v>
      </c>
      <c r="AX226" s="2">
        <v>28.97</v>
      </c>
      <c r="AY226" s="2">
        <v>31.09</v>
      </c>
      <c r="AZ226" s="2">
        <v>45.52</v>
      </c>
      <c r="BA226" s="2">
        <v>50.89</v>
      </c>
      <c r="BB226" s="2">
        <v>53.71</v>
      </c>
      <c r="BC226" s="2">
        <v>60.05</v>
      </c>
      <c r="BD226" s="2">
        <v>69.17</v>
      </c>
      <c r="BE226" s="2">
        <v>57.34</v>
      </c>
      <c r="BF226" s="2">
        <v>77.95</v>
      </c>
      <c r="BG226" s="2">
        <v>59.77</v>
      </c>
      <c r="BH226" s="2">
        <v>77.349999999999994</v>
      </c>
      <c r="BI226" s="2">
        <v>68.5</v>
      </c>
      <c r="BJ226" s="2">
        <v>80.84</v>
      </c>
      <c r="BK226" s="2">
        <v>79.33</v>
      </c>
      <c r="BL226" s="2">
        <v>83.56</v>
      </c>
      <c r="BM226" s="2">
        <v>72.86</v>
      </c>
      <c r="BN226" s="2">
        <v>90.58</v>
      </c>
      <c r="BO226" s="2">
        <v>70.760000000000005</v>
      </c>
    </row>
    <row r="229" spans="24:67" x14ac:dyDescent="0.3">
      <c r="X229" t="s">
        <v>74</v>
      </c>
      <c r="AU229" t="s">
        <v>81</v>
      </c>
    </row>
    <row r="230" spans="24:67" x14ac:dyDescent="0.3">
      <c r="X230" s="1" t="s">
        <v>16</v>
      </c>
      <c r="Y230" s="1" t="s">
        <v>17</v>
      </c>
      <c r="Z230" s="1" t="s">
        <v>18</v>
      </c>
      <c r="AA230" s="1" t="s">
        <v>17</v>
      </c>
      <c r="AB230" s="1" t="s">
        <v>18</v>
      </c>
      <c r="AC230" s="1" t="s">
        <v>17</v>
      </c>
      <c r="AD230" s="1" t="s">
        <v>18</v>
      </c>
      <c r="AE230" s="1" t="s">
        <v>17</v>
      </c>
      <c r="AF230" s="1" t="s">
        <v>18</v>
      </c>
      <c r="AG230" s="1" t="s">
        <v>17</v>
      </c>
      <c r="AH230" s="1" t="s">
        <v>18</v>
      </c>
      <c r="AI230" s="1" t="s">
        <v>17</v>
      </c>
      <c r="AJ230" s="1" t="s">
        <v>18</v>
      </c>
      <c r="AK230" s="1" t="s">
        <v>17</v>
      </c>
      <c r="AL230" s="1" t="s">
        <v>18</v>
      </c>
      <c r="AM230" s="1" t="s">
        <v>17</v>
      </c>
      <c r="AN230" s="1" t="s">
        <v>18</v>
      </c>
      <c r="AO230" s="1" t="s">
        <v>17</v>
      </c>
      <c r="AP230" s="1" t="s">
        <v>18</v>
      </c>
      <c r="AQ230" s="1" t="s">
        <v>17</v>
      </c>
      <c r="AR230" s="1" t="s">
        <v>18</v>
      </c>
      <c r="AU230" s="1" t="s">
        <v>16</v>
      </c>
      <c r="AV230" s="1" t="s">
        <v>17</v>
      </c>
      <c r="AW230" s="1" t="s">
        <v>18</v>
      </c>
      <c r="AX230" s="1" t="s">
        <v>17</v>
      </c>
      <c r="AY230" s="1" t="s">
        <v>18</v>
      </c>
      <c r="AZ230" s="1" t="s">
        <v>17</v>
      </c>
      <c r="BA230" s="1" t="s">
        <v>18</v>
      </c>
      <c r="BB230" s="1" t="s">
        <v>17</v>
      </c>
      <c r="BC230" s="1" t="s">
        <v>18</v>
      </c>
      <c r="BD230" s="1" t="s">
        <v>17</v>
      </c>
      <c r="BE230" s="1" t="s">
        <v>18</v>
      </c>
      <c r="BF230" s="1" t="s">
        <v>17</v>
      </c>
      <c r="BG230" s="1" t="s">
        <v>18</v>
      </c>
      <c r="BH230" s="1" t="s">
        <v>17</v>
      </c>
      <c r="BI230" s="1" t="s">
        <v>18</v>
      </c>
      <c r="BJ230" s="1" t="s">
        <v>17</v>
      </c>
      <c r="BK230" s="1" t="s">
        <v>18</v>
      </c>
      <c r="BL230" s="1" t="s">
        <v>17</v>
      </c>
      <c r="BM230" s="1" t="s">
        <v>18</v>
      </c>
      <c r="BN230" s="1" t="s">
        <v>17</v>
      </c>
      <c r="BO230" s="1" t="s">
        <v>18</v>
      </c>
    </row>
    <row r="231" spans="24:67" x14ac:dyDescent="0.3">
      <c r="X231" s="1" t="s">
        <v>19</v>
      </c>
      <c r="Y231" s="1" t="s">
        <v>1</v>
      </c>
      <c r="Z231" s="1" t="s">
        <v>1</v>
      </c>
      <c r="AA231" s="1" t="s">
        <v>2</v>
      </c>
      <c r="AB231" s="1" t="s">
        <v>2</v>
      </c>
      <c r="AC231" s="1" t="s">
        <v>3</v>
      </c>
      <c r="AD231" s="1" t="s">
        <v>3</v>
      </c>
      <c r="AE231" s="1" t="s">
        <v>4</v>
      </c>
      <c r="AF231" s="1" t="s">
        <v>4</v>
      </c>
      <c r="AG231" s="1" t="s">
        <v>5</v>
      </c>
      <c r="AH231" s="1" t="s">
        <v>5</v>
      </c>
      <c r="AI231" s="1" t="s">
        <v>6</v>
      </c>
      <c r="AJ231" s="1" t="s">
        <v>6</v>
      </c>
      <c r="AK231" s="1" t="s">
        <v>7</v>
      </c>
      <c r="AL231" s="1" t="s">
        <v>7</v>
      </c>
      <c r="AM231" s="1" t="s">
        <v>8</v>
      </c>
      <c r="AN231" s="1" t="s">
        <v>8</v>
      </c>
      <c r="AO231" s="1" t="s">
        <v>9</v>
      </c>
      <c r="AP231" s="1" t="s">
        <v>9</v>
      </c>
      <c r="AQ231" s="1" t="s">
        <v>10</v>
      </c>
      <c r="AR231" s="1" t="s">
        <v>10</v>
      </c>
      <c r="AU231" s="1" t="s">
        <v>19</v>
      </c>
      <c r="AV231" s="1" t="s">
        <v>1</v>
      </c>
      <c r="AW231" s="1" t="s">
        <v>1</v>
      </c>
      <c r="AX231" s="1" t="s">
        <v>2</v>
      </c>
      <c r="AY231" s="1" t="s">
        <v>2</v>
      </c>
      <c r="AZ231" s="1" t="s">
        <v>3</v>
      </c>
      <c r="BA231" s="1" t="s">
        <v>3</v>
      </c>
      <c r="BB231" s="1" t="s">
        <v>4</v>
      </c>
      <c r="BC231" s="1" t="s">
        <v>4</v>
      </c>
      <c r="BD231" s="1" t="s">
        <v>5</v>
      </c>
      <c r="BE231" s="1" t="s">
        <v>5</v>
      </c>
      <c r="BF231" s="1" t="s">
        <v>6</v>
      </c>
      <c r="BG231" s="1" t="s">
        <v>6</v>
      </c>
      <c r="BH231" s="1" t="s">
        <v>7</v>
      </c>
      <c r="BI231" s="1" t="s">
        <v>7</v>
      </c>
      <c r="BJ231" s="1" t="s">
        <v>8</v>
      </c>
      <c r="BK231" s="1" t="s">
        <v>8</v>
      </c>
      <c r="BL231" s="1" t="s">
        <v>9</v>
      </c>
      <c r="BM231" s="1" t="s">
        <v>9</v>
      </c>
      <c r="BN231" s="1" t="s">
        <v>10</v>
      </c>
      <c r="BO231" s="1" t="s">
        <v>10</v>
      </c>
    </row>
    <row r="232" spans="24:67" x14ac:dyDescent="0.3">
      <c r="X232" s="1" t="s">
        <v>20</v>
      </c>
      <c r="AU232" s="1" t="s">
        <v>20</v>
      </c>
    </row>
    <row r="233" spans="24:67" x14ac:dyDescent="0.3">
      <c r="X233" s="1" t="s">
        <v>21</v>
      </c>
      <c r="Y233" s="2">
        <v>0.81</v>
      </c>
      <c r="Z233" s="2">
        <v>0.81</v>
      </c>
      <c r="AA233" s="2">
        <v>0.84</v>
      </c>
      <c r="AB233" s="2">
        <v>0.84</v>
      </c>
      <c r="AC233" s="2">
        <v>0.84</v>
      </c>
      <c r="AD233" s="2">
        <v>0.83</v>
      </c>
      <c r="AE233" s="2">
        <v>0.86</v>
      </c>
      <c r="AF233" s="2">
        <v>0.61</v>
      </c>
      <c r="AG233" s="2">
        <v>0.64</v>
      </c>
      <c r="AH233" s="2">
        <v>0.64</v>
      </c>
      <c r="AI233" s="2">
        <v>0.65</v>
      </c>
      <c r="AJ233" s="2">
        <v>0.64</v>
      </c>
      <c r="AK233" s="2">
        <v>0.64</v>
      </c>
      <c r="AL233" s="2">
        <v>0.65</v>
      </c>
      <c r="AM233" s="2">
        <v>0.64</v>
      </c>
      <c r="AN233" s="2">
        <v>0.65</v>
      </c>
      <c r="AO233" s="2">
        <v>0.65</v>
      </c>
      <c r="AP233" s="2">
        <v>0.85</v>
      </c>
      <c r="AQ233" s="2">
        <v>0.65</v>
      </c>
      <c r="AR233" s="2">
        <v>0.8</v>
      </c>
      <c r="AU233" s="1" t="s">
        <v>21</v>
      </c>
      <c r="AV233" s="2">
        <f>AV107+Y107</f>
        <v>15557.01</v>
      </c>
      <c r="AW233" s="2">
        <f t="shared" ref="AW233:BO240" si="2">AW107+Z107</f>
        <v>15111.46</v>
      </c>
      <c r="AX233" s="2">
        <f t="shared" si="2"/>
        <v>16255.400000000001</v>
      </c>
      <c r="AY233" s="2">
        <f t="shared" si="2"/>
        <v>14741.3</v>
      </c>
      <c r="AZ233" s="2">
        <f t="shared" si="2"/>
        <v>11732</v>
      </c>
      <c r="BA233" s="2">
        <f t="shared" si="2"/>
        <v>14915.95</v>
      </c>
      <c r="BB233" s="2">
        <f t="shared" si="2"/>
        <v>15416.03</v>
      </c>
      <c r="BC233" s="2">
        <f t="shared" si="2"/>
        <v>12581.310000000001</v>
      </c>
      <c r="BD233" s="2">
        <f t="shared" si="2"/>
        <v>16466.66</v>
      </c>
      <c r="BE233" s="2">
        <f t="shared" si="2"/>
        <v>12570.68</v>
      </c>
      <c r="BF233" s="2">
        <f t="shared" si="2"/>
        <v>14104.17</v>
      </c>
      <c r="BG233" s="2">
        <f t="shared" si="2"/>
        <v>12741.83</v>
      </c>
      <c r="BH233" s="2">
        <f t="shared" si="2"/>
        <v>13372.919999999998</v>
      </c>
      <c r="BI233" s="2">
        <f t="shared" si="2"/>
        <v>12425.63</v>
      </c>
      <c r="BJ233" s="2">
        <f t="shared" si="2"/>
        <v>14036.47</v>
      </c>
      <c r="BK233" s="2">
        <f t="shared" si="2"/>
        <v>13147.27</v>
      </c>
      <c r="BL233" s="2">
        <f t="shared" si="2"/>
        <v>13592.43</v>
      </c>
      <c r="BM233" s="2">
        <f t="shared" si="2"/>
        <v>8662.5</v>
      </c>
      <c r="BN233" s="2">
        <f t="shared" si="2"/>
        <v>12523.1</v>
      </c>
      <c r="BO233" s="2">
        <f t="shared" si="2"/>
        <v>8703.1</v>
      </c>
    </row>
    <row r="234" spans="24:67" x14ac:dyDescent="0.3">
      <c r="X234" s="1" t="s">
        <v>22</v>
      </c>
      <c r="Y234" s="2">
        <v>0.43</v>
      </c>
      <c r="Z234" s="2">
        <v>0.75</v>
      </c>
      <c r="AA234" s="2">
        <v>0.42</v>
      </c>
      <c r="AB234" s="2">
        <v>0.73</v>
      </c>
      <c r="AC234" s="2">
        <v>0.57999999999999996</v>
      </c>
      <c r="AD234" s="2">
        <v>0.61</v>
      </c>
      <c r="AE234" s="2">
        <v>0.41</v>
      </c>
      <c r="AF234" s="2">
        <v>0.48</v>
      </c>
      <c r="AG234" s="2">
        <v>0.44</v>
      </c>
      <c r="AH234" s="2">
        <v>0.62</v>
      </c>
      <c r="AI234" s="2">
        <v>0.47</v>
      </c>
      <c r="AJ234" s="2">
        <v>0.59</v>
      </c>
      <c r="AK234" s="2">
        <v>0.5</v>
      </c>
      <c r="AL234" s="2">
        <v>0.5</v>
      </c>
      <c r="AM234" s="2">
        <v>0.5</v>
      </c>
      <c r="AN234" s="2">
        <v>0.62</v>
      </c>
      <c r="AO234" s="2">
        <v>0.5</v>
      </c>
      <c r="AP234" s="2">
        <v>0.76</v>
      </c>
      <c r="AQ234" s="2">
        <v>0.51</v>
      </c>
      <c r="AR234" s="2">
        <v>0.89</v>
      </c>
      <c r="AU234" s="1" t="s">
        <v>22</v>
      </c>
      <c r="AV234" s="2">
        <f t="shared" ref="AV234:AV240" si="3">AV108+Y108</f>
        <v>8396.58</v>
      </c>
      <c r="AW234" s="2">
        <f t="shared" si="2"/>
        <v>4836.26</v>
      </c>
      <c r="AX234" s="2">
        <f t="shared" si="2"/>
        <v>9391.51</v>
      </c>
      <c r="AY234" s="2">
        <f t="shared" si="2"/>
        <v>5663.24</v>
      </c>
      <c r="AZ234" s="2">
        <f t="shared" si="2"/>
        <v>5655.9</v>
      </c>
      <c r="BA234" s="2">
        <f t="shared" si="2"/>
        <v>6663.59</v>
      </c>
      <c r="BB234" s="2">
        <f t="shared" si="2"/>
        <v>9491.2900000000009</v>
      </c>
      <c r="BC234" s="2">
        <f t="shared" si="2"/>
        <v>5524.8099999999995</v>
      </c>
      <c r="BD234" s="2">
        <f t="shared" si="2"/>
        <v>8973.74</v>
      </c>
      <c r="BE234" s="2">
        <f t="shared" si="2"/>
        <v>5520.3</v>
      </c>
      <c r="BF234" s="2">
        <f t="shared" si="2"/>
        <v>8145.33</v>
      </c>
      <c r="BG234" s="2">
        <f t="shared" si="2"/>
        <v>5596.1</v>
      </c>
      <c r="BH234" s="2">
        <f t="shared" si="2"/>
        <v>6853.74</v>
      </c>
      <c r="BI234" s="2">
        <f t="shared" si="2"/>
        <v>6370.76</v>
      </c>
      <c r="BJ234" s="2">
        <f t="shared" si="2"/>
        <v>6776.4500000000007</v>
      </c>
      <c r="BK234" s="2">
        <f t="shared" si="2"/>
        <v>6296.22</v>
      </c>
      <c r="BL234" s="2">
        <f t="shared" si="2"/>
        <v>6864.06</v>
      </c>
      <c r="BM234" s="2">
        <f t="shared" si="2"/>
        <v>4785.93</v>
      </c>
      <c r="BN234" s="2">
        <f t="shared" si="2"/>
        <v>8186.82</v>
      </c>
      <c r="BO234" s="2">
        <f t="shared" si="2"/>
        <v>4630.3900000000003</v>
      </c>
    </row>
    <row r="235" spans="24:67" x14ac:dyDescent="0.3">
      <c r="X235" s="1" t="s">
        <v>23</v>
      </c>
      <c r="Y235" s="2">
        <v>0.26</v>
      </c>
      <c r="Z235" s="2">
        <v>0.85</v>
      </c>
      <c r="AA235" s="2">
        <v>0.27</v>
      </c>
      <c r="AB235" s="2">
        <v>0.83</v>
      </c>
      <c r="AC235" s="2">
        <v>0.32</v>
      </c>
      <c r="AD235" s="2">
        <v>0.42</v>
      </c>
      <c r="AE235" s="2">
        <v>0.28000000000000003</v>
      </c>
      <c r="AF235" s="2">
        <v>0.41</v>
      </c>
      <c r="AG235" s="2">
        <v>0.31</v>
      </c>
      <c r="AH235" s="2">
        <v>0.55000000000000004</v>
      </c>
      <c r="AI235" s="2">
        <v>0.31</v>
      </c>
      <c r="AJ235" s="2">
        <v>0.55000000000000004</v>
      </c>
      <c r="AK235" s="2">
        <v>0.32</v>
      </c>
      <c r="AL235" s="2">
        <v>0.5</v>
      </c>
      <c r="AM235" s="2">
        <v>0.34</v>
      </c>
      <c r="AN235" s="2">
        <v>0.56000000000000005</v>
      </c>
      <c r="AO235" s="2">
        <v>0.46</v>
      </c>
      <c r="AP235" s="2">
        <v>0.73</v>
      </c>
      <c r="AQ235" s="2">
        <v>0.72</v>
      </c>
      <c r="AR235" s="2">
        <v>0.81</v>
      </c>
      <c r="AU235" s="1" t="s">
        <v>23</v>
      </c>
      <c r="AV235" s="2">
        <f t="shared" si="3"/>
        <v>22969.25</v>
      </c>
      <c r="AW235" s="2">
        <f t="shared" si="2"/>
        <v>11793.02</v>
      </c>
      <c r="AX235" s="2">
        <f t="shared" si="2"/>
        <v>25336.260000000002</v>
      </c>
      <c r="AY235" s="2">
        <f t="shared" si="2"/>
        <v>12662.550000000001</v>
      </c>
      <c r="AZ235" s="2">
        <f t="shared" si="2"/>
        <v>17026.91</v>
      </c>
      <c r="BA235" s="2">
        <f t="shared" si="2"/>
        <v>18902.87</v>
      </c>
      <c r="BB235" s="2">
        <f t="shared" si="2"/>
        <v>24661.29</v>
      </c>
      <c r="BC235" s="2">
        <f t="shared" si="2"/>
        <v>19009.349999999999</v>
      </c>
      <c r="BD235" s="2">
        <f t="shared" si="2"/>
        <v>24113.17</v>
      </c>
      <c r="BE235" s="2">
        <f t="shared" si="2"/>
        <v>17239.599999999999</v>
      </c>
      <c r="BF235" s="2">
        <f t="shared" si="2"/>
        <v>24300.629999999997</v>
      </c>
      <c r="BG235" s="2">
        <f t="shared" si="2"/>
        <v>17017.16</v>
      </c>
      <c r="BH235" s="2">
        <f t="shared" si="2"/>
        <v>21282.239999999998</v>
      </c>
      <c r="BI235" s="2">
        <f t="shared" si="2"/>
        <v>17752.88</v>
      </c>
      <c r="BJ235" s="2">
        <f t="shared" si="2"/>
        <v>20313.099999999999</v>
      </c>
      <c r="BK235" s="2">
        <f t="shared" si="2"/>
        <v>17844.25</v>
      </c>
      <c r="BL235" s="2">
        <f t="shared" si="2"/>
        <v>20036.66</v>
      </c>
      <c r="BM235" s="2">
        <f t="shared" si="2"/>
        <v>14073.419999999998</v>
      </c>
      <c r="BN235" s="2">
        <f t="shared" si="2"/>
        <v>15295.21</v>
      </c>
      <c r="BO235" s="2">
        <f t="shared" si="2"/>
        <v>13320.849999999999</v>
      </c>
    </row>
    <row r="236" spans="24:67" x14ac:dyDescent="0.3">
      <c r="X236" s="1" t="s">
        <v>24</v>
      </c>
      <c r="Y236" s="2">
        <v>0.31</v>
      </c>
      <c r="Z236" s="2">
        <v>0.68</v>
      </c>
      <c r="AA236" s="2">
        <v>0.3</v>
      </c>
      <c r="AB236" s="2">
        <v>0.75</v>
      </c>
      <c r="AC236" s="2">
        <v>0.35</v>
      </c>
      <c r="AD236" s="2">
        <v>0.3</v>
      </c>
      <c r="AE236" s="2">
        <v>0.32</v>
      </c>
      <c r="AF236" s="2">
        <v>0.32</v>
      </c>
      <c r="AG236" s="2">
        <v>0.36</v>
      </c>
      <c r="AH236" s="2">
        <v>0.41</v>
      </c>
      <c r="AI236" s="2">
        <v>0.36</v>
      </c>
      <c r="AJ236" s="2">
        <v>0.44</v>
      </c>
      <c r="AK236" s="2">
        <v>0.37</v>
      </c>
      <c r="AL236" s="2">
        <v>0.41</v>
      </c>
      <c r="AM236" s="2">
        <v>0.36</v>
      </c>
      <c r="AN236" s="2">
        <v>0.47</v>
      </c>
      <c r="AO236" s="2">
        <v>0.5</v>
      </c>
      <c r="AP236" s="2">
        <v>0.59</v>
      </c>
      <c r="AQ236" s="2">
        <v>0.57999999999999996</v>
      </c>
      <c r="AR236" s="2">
        <v>0.64</v>
      </c>
      <c r="AU236" s="1" t="s">
        <v>24</v>
      </c>
      <c r="AV236" s="2">
        <f t="shared" si="3"/>
        <v>6094.57</v>
      </c>
      <c r="AW236" s="2">
        <f t="shared" si="2"/>
        <v>4147.38</v>
      </c>
      <c r="AX236" s="2">
        <f t="shared" si="2"/>
        <v>7074.2</v>
      </c>
      <c r="AY236" s="2">
        <f t="shared" si="2"/>
        <v>4966.88</v>
      </c>
      <c r="AZ236" s="2">
        <f t="shared" si="2"/>
        <v>5008.9699999999993</v>
      </c>
      <c r="BA236" s="2">
        <f t="shared" si="2"/>
        <v>6690.4</v>
      </c>
      <c r="BB236" s="2">
        <f t="shared" si="2"/>
        <v>6476.36</v>
      </c>
      <c r="BC236" s="2">
        <f t="shared" si="2"/>
        <v>6252.1600000000008</v>
      </c>
      <c r="BD236" s="2">
        <f t="shared" si="2"/>
        <v>6395.58</v>
      </c>
      <c r="BE236" s="2">
        <f t="shared" si="2"/>
        <v>5838.9</v>
      </c>
      <c r="BF236" s="2">
        <f t="shared" si="2"/>
        <v>6376.51</v>
      </c>
      <c r="BG236" s="2">
        <f t="shared" si="2"/>
        <v>5540.55</v>
      </c>
      <c r="BH236" s="2">
        <f t="shared" si="2"/>
        <v>6167.84</v>
      </c>
      <c r="BI236" s="2">
        <f t="shared" si="2"/>
        <v>5765.73</v>
      </c>
      <c r="BJ236" s="2">
        <f t="shared" si="2"/>
        <v>6125.93</v>
      </c>
      <c r="BK236" s="2">
        <f t="shared" si="2"/>
        <v>5426.05</v>
      </c>
      <c r="BL236" s="2">
        <f t="shared" si="2"/>
        <v>5465.9800000000005</v>
      </c>
      <c r="BM236" s="2">
        <f t="shared" si="2"/>
        <v>4772.78</v>
      </c>
      <c r="BN236" s="2">
        <f t="shared" si="2"/>
        <v>4920.6100000000006</v>
      </c>
      <c r="BO236" s="2">
        <f t="shared" si="2"/>
        <v>4617.04</v>
      </c>
    </row>
    <row r="237" spans="24:67" x14ac:dyDescent="0.3">
      <c r="X237" s="1" t="s">
        <v>25</v>
      </c>
      <c r="Y237" s="2">
        <v>0.47</v>
      </c>
      <c r="Z237" s="2">
        <v>0.39</v>
      </c>
      <c r="AA237" s="2">
        <v>0.4</v>
      </c>
      <c r="AB237" s="2">
        <v>0.36</v>
      </c>
      <c r="AC237" s="2">
        <v>0.48</v>
      </c>
      <c r="AD237" s="2">
        <v>0.45</v>
      </c>
      <c r="AE237" s="2">
        <v>0.48</v>
      </c>
      <c r="AF237" s="2">
        <v>0.45</v>
      </c>
      <c r="AG237" s="2">
        <v>0.45</v>
      </c>
      <c r="AH237" s="2">
        <v>0.46</v>
      </c>
      <c r="AI237" s="2">
        <v>0.45</v>
      </c>
      <c r="AJ237" s="2">
        <v>0.43</v>
      </c>
      <c r="AK237" s="2">
        <v>0.45</v>
      </c>
      <c r="AL237" s="2">
        <v>0.43</v>
      </c>
      <c r="AM237" s="2">
        <v>0.45</v>
      </c>
      <c r="AN237" s="2">
        <v>0.48</v>
      </c>
      <c r="AO237" s="2">
        <v>0.51</v>
      </c>
      <c r="AP237" s="2">
        <v>0.63</v>
      </c>
      <c r="AQ237" s="2">
        <v>0.57999999999999996</v>
      </c>
      <c r="AR237" s="2">
        <v>0.69</v>
      </c>
      <c r="AU237" s="1" t="s">
        <v>25</v>
      </c>
      <c r="AV237" s="2">
        <f t="shared" si="3"/>
        <v>21218.22</v>
      </c>
      <c r="AW237" s="2">
        <f t="shared" si="2"/>
        <v>28735.52</v>
      </c>
      <c r="AX237" s="2">
        <f t="shared" si="2"/>
        <v>32295.94</v>
      </c>
      <c r="AY237" s="2">
        <f t="shared" si="2"/>
        <v>46531.950000000004</v>
      </c>
      <c r="AZ237" s="2">
        <f t="shared" si="2"/>
        <v>21113.510000000002</v>
      </c>
      <c r="BA237" s="2">
        <f t="shared" si="2"/>
        <v>24222.190000000002</v>
      </c>
      <c r="BB237" s="2">
        <f t="shared" si="2"/>
        <v>35438.800000000003</v>
      </c>
      <c r="BC237" s="2">
        <f t="shared" si="2"/>
        <v>27570.809999999998</v>
      </c>
      <c r="BD237" s="2">
        <f t="shared" si="2"/>
        <v>31697.949999999997</v>
      </c>
      <c r="BE237" s="2">
        <f t="shared" si="2"/>
        <v>31149.55</v>
      </c>
      <c r="BF237" s="2">
        <f t="shared" si="2"/>
        <v>31743.7</v>
      </c>
      <c r="BG237" s="2">
        <f t="shared" si="2"/>
        <v>34178.75</v>
      </c>
      <c r="BH237" s="2">
        <f t="shared" si="2"/>
        <v>31078.639999999999</v>
      </c>
      <c r="BI237" s="2">
        <f t="shared" si="2"/>
        <v>34640.769999999997</v>
      </c>
      <c r="BJ237" s="2">
        <f t="shared" si="2"/>
        <v>30538.55</v>
      </c>
      <c r="BK237" s="2">
        <f t="shared" si="2"/>
        <v>30629.739999999998</v>
      </c>
      <c r="BL237" s="2">
        <f t="shared" si="2"/>
        <v>27646.5</v>
      </c>
      <c r="BM237" s="2">
        <f t="shared" si="2"/>
        <v>28456.780000000002</v>
      </c>
      <c r="BN237" s="2">
        <f t="shared" si="2"/>
        <v>27229.85</v>
      </c>
      <c r="BO237" s="2">
        <f t="shared" si="2"/>
        <v>31470.18</v>
      </c>
    </row>
    <row r="238" spans="24:67" x14ac:dyDescent="0.3">
      <c r="X238" s="1" t="s">
        <v>26</v>
      </c>
      <c r="Y238" s="2">
        <v>0.35</v>
      </c>
      <c r="Z238" s="2">
        <v>0.35</v>
      </c>
      <c r="AA238" s="2">
        <v>0.3</v>
      </c>
      <c r="AB238" s="2">
        <v>0.3</v>
      </c>
      <c r="AC238" s="2">
        <v>0.41</v>
      </c>
      <c r="AD238" s="2">
        <v>0.37</v>
      </c>
      <c r="AE238" s="2">
        <v>0.36</v>
      </c>
      <c r="AF238" s="2">
        <v>0.46</v>
      </c>
      <c r="AG238" s="2">
        <v>0.46</v>
      </c>
      <c r="AH238" s="2">
        <v>0.36</v>
      </c>
      <c r="AI238" s="2">
        <v>0.36</v>
      </c>
      <c r="AJ238" s="2">
        <v>0.36</v>
      </c>
      <c r="AK238" s="2">
        <v>0.36</v>
      </c>
      <c r="AL238" s="2">
        <v>0.36</v>
      </c>
      <c r="AM238" s="2">
        <v>0.36</v>
      </c>
      <c r="AN238" s="2">
        <v>0.36</v>
      </c>
      <c r="AO238" s="2">
        <v>0.44</v>
      </c>
      <c r="AP238" s="2">
        <v>0.36</v>
      </c>
      <c r="AQ238" s="2">
        <v>0.51</v>
      </c>
      <c r="AR238" s="2">
        <v>0.59</v>
      </c>
      <c r="AU238" s="1" t="s">
        <v>26</v>
      </c>
      <c r="AV238" s="2">
        <f t="shared" si="3"/>
        <v>5476.01</v>
      </c>
      <c r="AW238" s="2">
        <f t="shared" si="2"/>
        <v>5837.75</v>
      </c>
      <c r="AX238" s="2">
        <f t="shared" si="2"/>
        <v>8282.51</v>
      </c>
      <c r="AY238" s="2">
        <f t="shared" si="2"/>
        <v>8586.11</v>
      </c>
      <c r="AZ238" s="2">
        <f t="shared" si="2"/>
        <v>4728.2</v>
      </c>
      <c r="BA238" s="2">
        <f t="shared" si="2"/>
        <v>5693.07</v>
      </c>
      <c r="BB238" s="2">
        <f t="shared" si="2"/>
        <v>7290.13</v>
      </c>
      <c r="BC238" s="2">
        <f t="shared" si="2"/>
        <v>4705.74</v>
      </c>
      <c r="BD238" s="2">
        <f t="shared" si="2"/>
        <v>6947.41</v>
      </c>
      <c r="BE238" s="2">
        <f t="shared" si="2"/>
        <v>7326.75</v>
      </c>
      <c r="BF238" s="2">
        <f t="shared" si="2"/>
        <v>7332.31</v>
      </c>
      <c r="BG238" s="2">
        <f t="shared" si="2"/>
        <v>7763.17</v>
      </c>
      <c r="BH238" s="2">
        <f t="shared" si="2"/>
        <v>7358.57</v>
      </c>
      <c r="BI238" s="2">
        <f t="shared" si="2"/>
        <v>7888.66</v>
      </c>
      <c r="BJ238" s="2">
        <f t="shared" si="2"/>
        <v>7239.6399999999994</v>
      </c>
      <c r="BK238" s="2">
        <f t="shared" si="2"/>
        <v>7608.43</v>
      </c>
      <c r="BL238" s="2">
        <f t="shared" si="2"/>
        <v>6593</v>
      </c>
      <c r="BM238" s="2">
        <f t="shared" si="2"/>
        <v>7954.69</v>
      </c>
      <c r="BN238" s="2">
        <f t="shared" si="2"/>
        <v>6153.6299999999992</v>
      </c>
      <c r="BO238" s="2">
        <f t="shared" si="2"/>
        <v>6323.7300000000005</v>
      </c>
    </row>
    <row r="239" spans="24:67" x14ac:dyDescent="0.3">
      <c r="X239" s="1" t="s">
        <v>27</v>
      </c>
      <c r="Y239" s="2">
        <v>0.28000000000000003</v>
      </c>
      <c r="Z239" s="2">
        <v>0.27</v>
      </c>
      <c r="AA239" s="2">
        <v>0.41</v>
      </c>
      <c r="AB239" s="2">
        <v>0.24</v>
      </c>
      <c r="AC239" s="2">
        <v>0.5</v>
      </c>
      <c r="AD239" s="2">
        <v>0.28000000000000003</v>
      </c>
      <c r="AE239" s="2">
        <v>0.42</v>
      </c>
      <c r="AF239" s="2">
        <v>0.36</v>
      </c>
      <c r="AG239" s="2">
        <v>0.48</v>
      </c>
      <c r="AH239" s="2">
        <v>0.3</v>
      </c>
      <c r="AI239" s="2">
        <v>0.46</v>
      </c>
      <c r="AJ239" s="2">
        <v>0.3</v>
      </c>
      <c r="AK239" s="2">
        <v>0.46</v>
      </c>
      <c r="AL239" s="2">
        <v>0.3</v>
      </c>
      <c r="AM239" s="2">
        <v>0.46</v>
      </c>
      <c r="AN239" s="2">
        <v>0.3</v>
      </c>
      <c r="AO239" s="2">
        <v>0.51</v>
      </c>
      <c r="AP239" s="2">
        <v>0.5</v>
      </c>
      <c r="AQ239" s="2">
        <v>0.56999999999999995</v>
      </c>
      <c r="AR239" s="2">
        <v>0.59</v>
      </c>
      <c r="AU239" s="1" t="s">
        <v>27</v>
      </c>
      <c r="AV239" s="2">
        <f t="shared" si="3"/>
        <v>22407.1</v>
      </c>
      <c r="AW239" s="2">
        <f t="shared" si="2"/>
        <v>23257.68</v>
      </c>
      <c r="AX239" s="2">
        <f t="shared" si="2"/>
        <v>24504.690000000002</v>
      </c>
      <c r="AY239" s="2">
        <f t="shared" si="2"/>
        <v>29558.47</v>
      </c>
      <c r="AZ239" s="2">
        <f t="shared" si="2"/>
        <v>15637.71</v>
      </c>
      <c r="BA239" s="2">
        <f t="shared" si="2"/>
        <v>22521.379999999997</v>
      </c>
      <c r="BB239" s="2">
        <f t="shared" si="2"/>
        <v>22238.05</v>
      </c>
      <c r="BC239" s="2">
        <f t="shared" si="2"/>
        <v>18011.47</v>
      </c>
      <c r="BD239" s="2">
        <f t="shared" si="2"/>
        <v>22621.55</v>
      </c>
      <c r="BE239" s="2">
        <f t="shared" si="2"/>
        <v>26315.190000000002</v>
      </c>
      <c r="BF239" s="2">
        <f t="shared" si="2"/>
        <v>22595.86</v>
      </c>
      <c r="BG239" s="2">
        <f t="shared" si="2"/>
        <v>26713.809999999998</v>
      </c>
      <c r="BH239" s="2">
        <f t="shared" si="2"/>
        <v>22596.799999999999</v>
      </c>
      <c r="BI239" s="2">
        <f t="shared" si="2"/>
        <v>26709.9</v>
      </c>
      <c r="BJ239" s="2">
        <f t="shared" si="2"/>
        <v>22153.34</v>
      </c>
      <c r="BK239" s="2">
        <f t="shared" si="2"/>
        <v>26011.920000000002</v>
      </c>
      <c r="BL239" s="2">
        <f t="shared" si="2"/>
        <v>20608.45</v>
      </c>
      <c r="BM239" s="2">
        <f t="shared" si="2"/>
        <v>22123.010000000002</v>
      </c>
      <c r="BN239" s="2">
        <f t="shared" si="2"/>
        <v>19727.04</v>
      </c>
      <c r="BO239" s="2">
        <f t="shared" si="2"/>
        <v>19887.129999999997</v>
      </c>
    </row>
    <row r="240" spans="24:67" x14ac:dyDescent="0.3">
      <c r="X240" s="1" t="s">
        <v>28</v>
      </c>
      <c r="Y240" s="2">
        <v>0.6</v>
      </c>
      <c r="Z240" s="2">
        <v>0.49</v>
      </c>
      <c r="AA240" s="2">
        <v>0.67</v>
      </c>
      <c r="AB240" s="2">
        <v>0.68</v>
      </c>
      <c r="AC240" s="2">
        <v>0.72</v>
      </c>
      <c r="AD240" s="2">
        <v>0.7</v>
      </c>
      <c r="AE240" s="2">
        <v>0.78</v>
      </c>
      <c r="AF240" s="2">
        <v>0.6</v>
      </c>
      <c r="AG240" s="2">
        <v>0.69</v>
      </c>
      <c r="AH240" s="2">
        <v>0.64</v>
      </c>
      <c r="AI240" s="2">
        <v>0.67</v>
      </c>
      <c r="AJ240" s="2">
        <v>0.64</v>
      </c>
      <c r="AK240" s="2">
        <v>0.67</v>
      </c>
      <c r="AL240" s="2">
        <v>0.64</v>
      </c>
      <c r="AM240" s="2">
        <v>0.67</v>
      </c>
      <c r="AN240" s="2">
        <v>0.65</v>
      </c>
      <c r="AO240" s="2">
        <v>0.67</v>
      </c>
      <c r="AP240" s="2">
        <v>0.7</v>
      </c>
      <c r="AQ240" s="2">
        <v>0.66</v>
      </c>
      <c r="AR240" s="2">
        <v>0.75</v>
      </c>
      <c r="AU240" s="1" t="s">
        <v>28</v>
      </c>
      <c r="AV240" s="2">
        <f t="shared" si="3"/>
        <v>13699.8</v>
      </c>
      <c r="AW240" s="2">
        <f t="shared" si="2"/>
        <v>16503.59</v>
      </c>
      <c r="AX240" s="2">
        <f t="shared" si="2"/>
        <v>14725.099999999999</v>
      </c>
      <c r="AY240" s="2">
        <f t="shared" si="2"/>
        <v>15623.41</v>
      </c>
      <c r="AZ240" s="2">
        <f t="shared" si="2"/>
        <v>9051.89</v>
      </c>
      <c r="BA240" s="2">
        <f t="shared" si="2"/>
        <v>15546.75</v>
      </c>
      <c r="BB240" s="2">
        <f t="shared" si="2"/>
        <v>9965.880000000001</v>
      </c>
      <c r="BC240" s="2">
        <f t="shared" si="2"/>
        <v>12449.849999999999</v>
      </c>
      <c r="BD240" s="2">
        <f t="shared" si="2"/>
        <v>11199.9</v>
      </c>
      <c r="BE240" s="2">
        <f t="shared" si="2"/>
        <v>12754.919999999998</v>
      </c>
      <c r="BF240" s="2">
        <f t="shared" si="2"/>
        <v>9805.4599999999991</v>
      </c>
      <c r="BG240" s="2">
        <f t="shared" si="2"/>
        <v>13166.04</v>
      </c>
      <c r="BH240" s="2">
        <f t="shared" si="2"/>
        <v>9224.869999999999</v>
      </c>
      <c r="BI240" s="2">
        <f t="shared" si="2"/>
        <v>12862.24</v>
      </c>
      <c r="BJ240" s="2">
        <f t="shared" si="2"/>
        <v>9425.99</v>
      </c>
      <c r="BK240" s="2">
        <f t="shared" si="2"/>
        <v>10970.86</v>
      </c>
      <c r="BL240" s="2">
        <f t="shared" si="2"/>
        <v>9127.83</v>
      </c>
      <c r="BM240" s="2">
        <f t="shared" si="2"/>
        <v>10016.1</v>
      </c>
      <c r="BN240" s="2">
        <f t="shared" si="2"/>
        <v>10240.799999999999</v>
      </c>
      <c r="BO240" s="2">
        <f t="shared" si="2"/>
        <v>10538.1</v>
      </c>
    </row>
    <row r="242" spans="47:67" x14ac:dyDescent="0.3">
      <c r="AU242" s="5" t="s">
        <v>83</v>
      </c>
    </row>
    <row r="243" spans="47:67" x14ac:dyDescent="0.3">
      <c r="AU243" s="1" t="s">
        <v>16</v>
      </c>
      <c r="AV243" s="1" t="s">
        <v>17</v>
      </c>
      <c r="AW243" s="1" t="s">
        <v>18</v>
      </c>
      <c r="AX243" s="1" t="s">
        <v>17</v>
      </c>
      <c r="AY243" s="1" t="s">
        <v>18</v>
      </c>
      <c r="AZ243" s="1" t="s">
        <v>17</v>
      </c>
      <c r="BA243" s="1" t="s">
        <v>18</v>
      </c>
      <c r="BB243" s="1" t="s">
        <v>17</v>
      </c>
      <c r="BC243" s="1" t="s">
        <v>18</v>
      </c>
      <c r="BD243" s="1" t="s">
        <v>17</v>
      </c>
      <c r="BE243" s="1" t="s">
        <v>18</v>
      </c>
      <c r="BF243" s="1" t="s">
        <v>17</v>
      </c>
      <c r="BG243" s="1" t="s">
        <v>18</v>
      </c>
      <c r="BH243" s="1" t="s">
        <v>17</v>
      </c>
      <c r="BI243" s="1" t="s">
        <v>18</v>
      </c>
      <c r="BJ243" s="1" t="s">
        <v>17</v>
      </c>
      <c r="BK243" s="1" t="s">
        <v>18</v>
      </c>
      <c r="BL243" s="1" t="s">
        <v>17</v>
      </c>
      <c r="BM243" s="1" t="s">
        <v>18</v>
      </c>
      <c r="BN243" s="1" t="s">
        <v>17</v>
      </c>
      <c r="BO243" s="1" t="s">
        <v>18</v>
      </c>
    </row>
    <row r="244" spans="47:67" x14ac:dyDescent="0.3">
      <c r="AU244" s="1" t="s">
        <v>19</v>
      </c>
      <c r="AV244" s="1" t="s">
        <v>1</v>
      </c>
      <c r="AW244" s="1" t="s">
        <v>1</v>
      </c>
      <c r="AX244" s="1" t="s">
        <v>2</v>
      </c>
      <c r="AY244" s="1" t="s">
        <v>2</v>
      </c>
      <c r="AZ244" s="1" t="s">
        <v>3</v>
      </c>
      <c r="BA244" s="1" t="s">
        <v>3</v>
      </c>
      <c r="BB244" s="1" t="s">
        <v>4</v>
      </c>
      <c r="BC244" s="1" t="s">
        <v>4</v>
      </c>
      <c r="BD244" s="1" t="s">
        <v>5</v>
      </c>
      <c r="BE244" s="1" t="s">
        <v>5</v>
      </c>
      <c r="BF244" s="1" t="s">
        <v>6</v>
      </c>
      <c r="BG244" s="1" t="s">
        <v>6</v>
      </c>
      <c r="BH244" s="1" t="s">
        <v>7</v>
      </c>
      <c r="BI244" s="1" t="s">
        <v>7</v>
      </c>
      <c r="BJ244" s="1" t="s">
        <v>8</v>
      </c>
      <c r="BK244" s="1" t="s">
        <v>8</v>
      </c>
      <c r="BL244" s="1" t="s">
        <v>9</v>
      </c>
      <c r="BM244" s="1" t="s">
        <v>9</v>
      </c>
      <c r="BN244" s="1" t="s">
        <v>10</v>
      </c>
      <c r="BO244" s="1" t="s">
        <v>10</v>
      </c>
    </row>
    <row r="245" spans="47:67" x14ac:dyDescent="0.3">
      <c r="AU245" s="1" t="s">
        <v>20</v>
      </c>
    </row>
    <row r="246" spans="47:67" x14ac:dyDescent="0.3">
      <c r="AU246" s="1" t="s">
        <v>21</v>
      </c>
      <c r="AV246" s="2">
        <f>AV135+Y135</f>
        <v>412.3</v>
      </c>
      <c r="AW246" s="2">
        <f t="shared" ref="AW246:BO253" si="4">AW135+Z135</f>
        <v>434.24</v>
      </c>
      <c r="AX246" s="2">
        <f t="shared" si="4"/>
        <v>313.60000000000002</v>
      </c>
      <c r="AY246" s="2">
        <f t="shared" si="4"/>
        <v>313.60000000000002</v>
      </c>
      <c r="AZ246" s="2">
        <f t="shared" si="4"/>
        <v>326.89999999999998</v>
      </c>
      <c r="BA246" s="2">
        <f t="shared" si="4"/>
        <v>489.44</v>
      </c>
      <c r="BB246" s="2">
        <f t="shared" si="4"/>
        <v>365.09</v>
      </c>
      <c r="BC246" s="2">
        <f t="shared" si="4"/>
        <v>477.97</v>
      </c>
      <c r="BD246" s="2">
        <f t="shared" si="4"/>
        <v>420.51</v>
      </c>
      <c r="BE246" s="2">
        <f t="shared" si="4"/>
        <v>358.18</v>
      </c>
      <c r="BF246" s="2">
        <f t="shared" si="4"/>
        <v>332.10999999999996</v>
      </c>
      <c r="BG246" s="2">
        <f t="shared" si="4"/>
        <v>375.86</v>
      </c>
      <c r="BH246" s="2">
        <f t="shared" si="4"/>
        <v>388.04</v>
      </c>
      <c r="BI246" s="2">
        <f t="shared" si="4"/>
        <v>356.3</v>
      </c>
      <c r="BJ246" s="2">
        <f t="shared" si="4"/>
        <v>327.90000000000003</v>
      </c>
      <c r="BK246" s="2">
        <f t="shared" si="4"/>
        <v>339.37</v>
      </c>
      <c r="BL246" s="2">
        <f t="shared" si="4"/>
        <v>404.66999999999996</v>
      </c>
      <c r="BM246" s="2">
        <f t="shared" si="4"/>
        <v>336</v>
      </c>
      <c r="BN246" s="2">
        <f t="shared" si="4"/>
        <v>401.66</v>
      </c>
      <c r="BO246" s="2">
        <f t="shared" si="4"/>
        <v>382.90000000000003</v>
      </c>
    </row>
    <row r="247" spans="47:67" x14ac:dyDescent="0.3">
      <c r="AU247" s="1" t="s">
        <v>22</v>
      </c>
      <c r="AV247" s="2">
        <f t="shared" ref="AV247:AV253" si="5">AV136+Y136</f>
        <v>240.26</v>
      </c>
      <c r="AW247" s="2">
        <f t="shared" si="4"/>
        <v>189.34</v>
      </c>
      <c r="AX247" s="2">
        <f t="shared" si="4"/>
        <v>134.71</v>
      </c>
      <c r="AY247" s="2">
        <f t="shared" si="4"/>
        <v>148.87</v>
      </c>
      <c r="AZ247" s="2">
        <f t="shared" si="4"/>
        <v>141.79999999999998</v>
      </c>
      <c r="BA247" s="2">
        <f t="shared" si="4"/>
        <v>245.48</v>
      </c>
      <c r="BB247" s="2">
        <f t="shared" si="4"/>
        <v>197.88</v>
      </c>
      <c r="BC247" s="2">
        <f t="shared" si="4"/>
        <v>267.43</v>
      </c>
      <c r="BD247" s="2">
        <f t="shared" si="4"/>
        <v>203.96</v>
      </c>
      <c r="BE247" s="2">
        <f t="shared" si="4"/>
        <v>266.89999999999998</v>
      </c>
      <c r="BF247" s="2">
        <f t="shared" si="4"/>
        <v>191.44</v>
      </c>
      <c r="BG247" s="2">
        <f t="shared" si="4"/>
        <v>296.39999999999998</v>
      </c>
      <c r="BH247" s="2">
        <f t="shared" si="4"/>
        <v>201.73</v>
      </c>
      <c r="BI247" s="2">
        <f t="shared" si="4"/>
        <v>248.52</v>
      </c>
      <c r="BJ247" s="2">
        <f t="shared" si="4"/>
        <v>197.63</v>
      </c>
      <c r="BK247" s="2">
        <f t="shared" si="4"/>
        <v>203.3</v>
      </c>
      <c r="BL247" s="2">
        <f t="shared" si="4"/>
        <v>172.66000000000003</v>
      </c>
      <c r="BM247" s="2">
        <f t="shared" si="4"/>
        <v>195.18</v>
      </c>
      <c r="BN247" s="2">
        <f t="shared" si="4"/>
        <v>240.45</v>
      </c>
      <c r="BO247" s="2">
        <f t="shared" si="4"/>
        <v>190.1</v>
      </c>
    </row>
    <row r="248" spans="47:67" x14ac:dyDescent="0.3">
      <c r="AU248" s="1" t="s">
        <v>23</v>
      </c>
      <c r="AV248" s="2">
        <f t="shared" si="5"/>
        <v>897.38000000000011</v>
      </c>
      <c r="AW248" s="2">
        <f t="shared" si="4"/>
        <v>534.66</v>
      </c>
      <c r="AX248" s="2">
        <f t="shared" si="4"/>
        <v>732.63</v>
      </c>
      <c r="AY248" s="2">
        <f t="shared" si="4"/>
        <v>425.22</v>
      </c>
      <c r="AZ248" s="2">
        <f t="shared" si="4"/>
        <v>775.3</v>
      </c>
      <c r="BA248" s="2">
        <f t="shared" si="4"/>
        <v>1122.8599999999999</v>
      </c>
      <c r="BB248" s="2">
        <f t="shared" si="4"/>
        <v>965.33999999999992</v>
      </c>
      <c r="BC248" s="2">
        <f t="shared" si="4"/>
        <v>1104.07</v>
      </c>
      <c r="BD248" s="2">
        <f t="shared" si="4"/>
        <v>1121.1399999999999</v>
      </c>
      <c r="BE248" s="2">
        <f t="shared" si="4"/>
        <v>1137.0999999999999</v>
      </c>
      <c r="BF248" s="2">
        <f t="shared" si="4"/>
        <v>1059.03</v>
      </c>
      <c r="BG248" s="2">
        <f t="shared" si="4"/>
        <v>1191.99</v>
      </c>
      <c r="BH248" s="2">
        <f t="shared" si="4"/>
        <v>1079.54</v>
      </c>
      <c r="BI248" s="2">
        <f t="shared" si="4"/>
        <v>1073.3600000000001</v>
      </c>
      <c r="BJ248" s="2">
        <f t="shared" si="4"/>
        <v>996.07</v>
      </c>
      <c r="BK248" s="2">
        <f t="shared" si="4"/>
        <v>936.12000000000012</v>
      </c>
      <c r="BL248" s="2">
        <f t="shared" si="4"/>
        <v>924.90000000000009</v>
      </c>
      <c r="BM248" s="2">
        <f t="shared" si="4"/>
        <v>988.79</v>
      </c>
      <c r="BN248" s="2">
        <f t="shared" si="4"/>
        <v>794.52</v>
      </c>
      <c r="BO248" s="2">
        <f t="shared" si="4"/>
        <v>737.31999999999994</v>
      </c>
    </row>
    <row r="249" spans="47:67" x14ac:dyDescent="0.3">
      <c r="AU249" s="1" t="s">
        <v>24</v>
      </c>
      <c r="AV249" s="2">
        <f t="shared" si="5"/>
        <v>269.98</v>
      </c>
      <c r="AW249" s="2">
        <f t="shared" si="4"/>
        <v>167.47</v>
      </c>
      <c r="AX249" s="2">
        <f t="shared" si="4"/>
        <v>191.09</v>
      </c>
      <c r="AY249" s="2">
        <f t="shared" si="4"/>
        <v>184.3</v>
      </c>
      <c r="AZ249" s="2">
        <f t="shared" si="4"/>
        <v>213.5</v>
      </c>
      <c r="BA249" s="2">
        <f t="shared" si="4"/>
        <v>268.52</v>
      </c>
      <c r="BB249" s="2">
        <f t="shared" si="4"/>
        <v>313.64</v>
      </c>
      <c r="BC249" s="2">
        <f t="shared" si="4"/>
        <v>269.45999999999998</v>
      </c>
      <c r="BD249" s="2">
        <f t="shared" si="4"/>
        <v>300.05</v>
      </c>
      <c r="BE249" s="2">
        <f t="shared" si="4"/>
        <v>331.71</v>
      </c>
      <c r="BF249" s="2">
        <f t="shared" si="4"/>
        <v>317.28000000000003</v>
      </c>
      <c r="BG249" s="2">
        <f t="shared" si="4"/>
        <v>339.77</v>
      </c>
      <c r="BH249" s="2">
        <f t="shared" si="4"/>
        <v>329.16999999999996</v>
      </c>
      <c r="BI249" s="2">
        <f t="shared" si="4"/>
        <v>292.51</v>
      </c>
      <c r="BJ249" s="2">
        <f t="shared" si="4"/>
        <v>332.39</v>
      </c>
      <c r="BK249" s="2">
        <f t="shared" si="4"/>
        <v>298.67</v>
      </c>
      <c r="BL249" s="2">
        <f t="shared" si="4"/>
        <v>281.11</v>
      </c>
      <c r="BM249" s="2">
        <f t="shared" si="4"/>
        <v>243.01</v>
      </c>
      <c r="BN249" s="2">
        <f t="shared" si="4"/>
        <v>263.23</v>
      </c>
      <c r="BO249" s="2">
        <f t="shared" si="4"/>
        <v>224.06</v>
      </c>
    </row>
    <row r="250" spans="47:67" x14ac:dyDescent="0.3">
      <c r="AU250" s="1" t="s">
        <v>25</v>
      </c>
      <c r="AV250" s="2">
        <f t="shared" si="5"/>
        <v>749.92</v>
      </c>
      <c r="AW250" s="2">
        <f t="shared" si="4"/>
        <v>953.04</v>
      </c>
      <c r="AX250" s="2">
        <f t="shared" si="4"/>
        <v>902.85</v>
      </c>
      <c r="AY250" s="2">
        <f t="shared" si="4"/>
        <v>1355.65</v>
      </c>
      <c r="AZ250" s="2">
        <f t="shared" si="4"/>
        <v>724.26</v>
      </c>
      <c r="BA250" s="2">
        <f t="shared" si="4"/>
        <v>744.48</v>
      </c>
      <c r="BB250" s="2">
        <f t="shared" si="4"/>
        <v>1504.8</v>
      </c>
      <c r="BC250" s="2">
        <f t="shared" si="4"/>
        <v>1146.3600000000001</v>
      </c>
      <c r="BD250" s="2">
        <f t="shared" si="4"/>
        <v>1429.21</v>
      </c>
      <c r="BE250" s="2">
        <f t="shared" si="4"/>
        <v>1226.01</v>
      </c>
      <c r="BF250" s="2">
        <f t="shared" si="4"/>
        <v>1421.15</v>
      </c>
      <c r="BG250" s="2">
        <f t="shared" si="4"/>
        <v>1306.95</v>
      </c>
      <c r="BH250" s="2">
        <f t="shared" si="4"/>
        <v>1418.18</v>
      </c>
      <c r="BI250" s="2">
        <f t="shared" si="4"/>
        <v>1267.8499999999999</v>
      </c>
      <c r="BJ250" s="2">
        <f t="shared" si="4"/>
        <v>1384.54</v>
      </c>
      <c r="BK250" s="2">
        <f t="shared" si="4"/>
        <v>1254.1299999999999</v>
      </c>
      <c r="BL250" s="2">
        <f t="shared" si="4"/>
        <v>1340</v>
      </c>
      <c r="BM250" s="2">
        <f t="shared" si="4"/>
        <v>942.87</v>
      </c>
      <c r="BN250" s="2">
        <f t="shared" si="4"/>
        <v>1178</v>
      </c>
      <c r="BO250" s="2">
        <f t="shared" si="4"/>
        <v>1145.22</v>
      </c>
    </row>
    <row r="251" spans="47:67" x14ac:dyDescent="0.3">
      <c r="AU251" s="1" t="s">
        <v>26</v>
      </c>
      <c r="AV251" s="2">
        <f t="shared" si="5"/>
        <v>134.59</v>
      </c>
      <c r="AW251" s="2">
        <f t="shared" si="4"/>
        <v>130.60999999999999</v>
      </c>
      <c r="AX251" s="2">
        <f t="shared" si="4"/>
        <v>147.88999999999999</v>
      </c>
      <c r="AY251" s="2">
        <f t="shared" si="4"/>
        <v>172.79000000000002</v>
      </c>
      <c r="AZ251" s="2">
        <f t="shared" si="4"/>
        <v>124.73</v>
      </c>
      <c r="BA251" s="2">
        <f t="shared" si="4"/>
        <v>106.09</v>
      </c>
      <c r="BB251" s="2">
        <f t="shared" si="4"/>
        <v>226.42000000000002</v>
      </c>
      <c r="BC251" s="2">
        <f t="shared" si="4"/>
        <v>109.02000000000001</v>
      </c>
      <c r="BD251" s="2">
        <f t="shared" si="4"/>
        <v>212.09</v>
      </c>
      <c r="BE251" s="2">
        <f t="shared" si="4"/>
        <v>196.27</v>
      </c>
      <c r="BF251" s="2">
        <f t="shared" si="4"/>
        <v>251.27</v>
      </c>
      <c r="BG251" s="2">
        <f t="shared" si="4"/>
        <v>204.38</v>
      </c>
      <c r="BH251" s="2">
        <f t="shared" si="4"/>
        <v>234.2</v>
      </c>
      <c r="BI251" s="2">
        <f t="shared" si="4"/>
        <v>179.15</v>
      </c>
      <c r="BJ251" s="2">
        <f t="shared" si="4"/>
        <v>237.87</v>
      </c>
      <c r="BK251" s="2">
        <f t="shared" si="4"/>
        <v>215</v>
      </c>
      <c r="BL251" s="2">
        <f t="shared" si="4"/>
        <v>236.66</v>
      </c>
      <c r="BM251" s="2">
        <f t="shared" si="4"/>
        <v>166.9</v>
      </c>
      <c r="BN251" s="2">
        <f t="shared" si="4"/>
        <v>205.21</v>
      </c>
      <c r="BO251" s="2">
        <f t="shared" si="4"/>
        <v>170.89000000000001</v>
      </c>
    </row>
    <row r="252" spans="47:67" x14ac:dyDescent="0.3">
      <c r="AU252" s="1" t="s">
        <v>27</v>
      </c>
      <c r="AV252" s="2">
        <f t="shared" si="5"/>
        <v>416.92999999999995</v>
      </c>
      <c r="AW252" s="2">
        <f t="shared" si="4"/>
        <v>497.78</v>
      </c>
      <c r="AX252" s="2">
        <f t="shared" si="4"/>
        <v>362.71999999999997</v>
      </c>
      <c r="AY252" s="2">
        <f t="shared" si="4"/>
        <v>418.81</v>
      </c>
      <c r="AZ252" s="2">
        <f t="shared" si="4"/>
        <v>327.32</v>
      </c>
      <c r="BA252" s="2">
        <f t="shared" si="4"/>
        <v>377.35999999999996</v>
      </c>
      <c r="BB252" s="2">
        <f t="shared" si="4"/>
        <v>501.81000000000006</v>
      </c>
      <c r="BC252" s="2">
        <f t="shared" si="4"/>
        <v>403.71000000000004</v>
      </c>
      <c r="BD252" s="2">
        <f t="shared" si="4"/>
        <v>543.52</v>
      </c>
      <c r="BE252" s="2">
        <f t="shared" si="4"/>
        <v>575.81999999999994</v>
      </c>
      <c r="BF252" s="2">
        <f t="shared" si="4"/>
        <v>543.13</v>
      </c>
      <c r="BG252" s="2">
        <f t="shared" si="4"/>
        <v>543.49</v>
      </c>
      <c r="BH252" s="2">
        <f t="shared" si="4"/>
        <v>487.76</v>
      </c>
      <c r="BI252" s="2">
        <f t="shared" si="4"/>
        <v>480.97</v>
      </c>
      <c r="BJ252" s="2">
        <f t="shared" si="4"/>
        <v>500.97</v>
      </c>
      <c r="BK252" s="2">
        <f t="shared" si="4"/>
        <v>589.75</v>
      </c>
      <c r="BL252" s="2">
        <f t="shared" si="4"/>
        <v>520.27</v>
      </c>
      <c r="BM252" s="2">
        <f t="shared" si="4"/>
        <v>402.28999999999996</v>
      </c>
      <c r="BN252" s="2">
        <f t="shared" si="4"/>
        <v>448.97</v>
      </c>
      <c r="BO252" s="2">
        <f t="shared" si="4"/>
        <v>434.71000000000004</v>
      </c>
    </row>
    <row r="253" spans="47:67" x14ac:dyDescent="0.3">
      <c r="AU253" s="1" t="s">
        <v>28</v>
      </c>
      <c r="AV253" s="2">
        <f t="shared" si="5"/>
        <v>256.2</v>
      </c>
      <c r="AW253" s="2">
        <f t="shared" si="4"/>
        <v>180.76999999999998</v>
      </c>
      <c r="AX253" s="2">
        <f t="shared" si="4"/>
        <v>116.85</v>
      </c>
      <c r="AY253" s="2">
        <f t="shared" si="4"/>
        <v>138.22</v>
      </c>
      <c r="AZ253" s="2">
        <f t="shared" si="4"/>
        <v>133.09</v>
      </c>
      <c r="BA253" s="2">
        <f t="shared" si="4"/>
        <v>143.07</v>
      </c>
      <c r="BB253" s="2">
        <f t="shared" si="4"/>
        <v>146.21</v>
      </c>
      <c r="BC253" s="2">
        <f t="shared" si="4"/>
        <v>117.92000000000002</v>
      </c>
      <c r="BD253" s="2">
        <f t="shared" si="4"/>
        <v>194.1</v>
      </c>
      <c r="BE253" s="2">
        <f t="shared" si="4"/>
        <v>90.81</v>
      </c>
      <c r="BF253" s="2">
        <f t="shared" si="4"/>
        <v>123.44999999999999</v>
      </c>
      <c r="BG253" s="2">
        <f t="shared" si="4"/>
        <v>104.74</v>
      </c>
      <c r="BH253" s="2">
        <f t="shared" si="4"/>
        <v>127.52000000000001</v>
      </c>
      <c r="BI253" s="2">
        <f t="shared" si="4"/>
        <v>143.84</v>
      </c>
      <c r="BJ253" s="2">
        <f t="shared" si="4"/>
        <v>108.23</v>
      </c>
      <c r="BK253" s="2">
        <f t="shared" si="4"/>
        <v>131.62</v>
      </c>
      <c r="BL253" s="2">
        <f t="shared" si="4"/>
        <v>159.44999999999999</v>
      </c>
      <c r="BM253" s="2">
        <f t="shared" si="4"/>
        <v>119.1</v>
      </c>
      <c r="BN253" s="2">
        <f t="shared" si="4"/>
        <v>169.2</v>
      </c>
      <c r="BO253" s="2">
        <f t="shared" si="4"/>
        <v>133.5</v>
      </c>
    </row>
    <row r="255" spans="47:67" x14ac:dyDescent="0.3">
      <c r="AU255" s="5" t="s">
        <v>84</v>
      </c>
    </row>
    <row r="256" spans="47:67" x14ac:dyDescent="0.3">
      <c r="AU256" s="1" t="s">
        <v>16</v>
      </c>
      <c r="AV256" s="1" t="s">
        <v>17</v>
      </c>
      <c r="AW256" s="1" t="s">
        <v>18</v>
      </c>
      <c r="AX256" s="1" t="s">
        <v>17</v>
      </c>
      <c r="AY256" s="1" t="s">
        <v>18</v>
      </c>
      <c r="AZ256" s="1" t="s">
        <v>17</v>
      </c>
      <c r="BA256" s="1" t="s">
        <v>18</v>
      </c>
      <c r="BB256" s="1" t="s">
        <v>17</v>
      </c>
      <c r="BC256" s="1" t="s">
        <v>18</v>
      </c>
      <c r="BD256" s="1" t="s">
        <v>17</v>
      </c>
      <c r="BE256" s="1" t="s">
        <v>18</v>
      </c>
      <c r="BF256" s="1" t="s">
        <v>17</v>
      </c>
      <c r="BG256" s="1" t="s">
        <v>18</v>
      </c>
      <c r="BH256" s="1" t="s">
        <v>17</v>
      </c>
      <c r="BI256" s="1" t="s">
        <v>18</v>
      </c>
      <c r="BJ256" s="1" t="s">
        <v>17</v>
      </c>
      <c r="BK256" s="1" t="s">
        <v>18</v>
      </c>
      <c r="BL256" s="1" t="s">
        <v>17</v>
      </c>
      <c r="BM256" s="1" t="s">
        <v>18</v>
      </c>
      <c r="BN256" s="1" t="s">
        <v>17</v>
      </c>
      <c r="BO256" s="1" t="s">
        <v>18</v>
      </c>
    </row>
    <row r="257" spans="47:67" x14ac:dyDescent="0.3">
      <c r="AU257" s="1" t="s">
        <v>19</v>
      </c>
      <c r="AV257" s="1" t="s">
        <v>1</v>
      </c>
      <c r="AW257" s="1" t="s">
        <v>1</v>
      </c>
      <c r="AX257" s="1" t="s">
        <v>2</v>
      </c>
      <c r="AY257" s="1" t="s">
        <v>2</v>
      </c>
      <c r="AZ257" s="1" t="s">
        <v>3</v>
      </c>
      <c r="BA257" s="1" t="s">
        <v>3</v>
      </c>
      <c r="BB257" s="1" t="s">
        <v>4</v>
      </c>
      <c r="BC257" s="1" t="s">
        <v>4</v>
      </c>
      <c r="BD257" s="1" t="s">
        <v>5</v>
      </c>
      <c r="BE257" s="1" t="s">
        <v>5</v>
      </c>
      <c r="BF257" s="1" t="s">
        <v>6</v>
      </c>
      <c r="BG257" s="1" t="s">
        <v>6</v>
      </c>
      <c r="BH257" s="1" t="s">
        <v>7</v>
      </c>
      <c r="BI257" s="1" t="s">
        <v>7</v>
      </c>
      <c r="BJ257" s="1" t="s">
        <v>8</v>
      </c>
      <c r="BK257" s="1" t="s">
        <v>8</v>
      </c>
      <c r="BL257" s="1" t="s">
        <v>9</v>
      </c>
      <c r="BM257" s="1" t="s">
        <v>9</v>
      </c>
      <c r="BN257" s="1" t="s">
        <v>10</v>
      </c>
      <c r="BO257" s="1" t="s">
        <v>10</v>
      </c>
    </row>
    <row r="258" spans="47:67" x14ac:dyDescent="0.3">
      <c r="AU258" s="1" t="s">
        <v>20</v>
      </c>
    </row>
    <row r="259" spans="47:67" x14ac:dyDescent="0.3">
      <c r="AU259" s="1" t="s">
        <v>21</v>
      </c>
      <c r="AV259" s="2">
        <f>AV191+Y191</f>
        <v>552.34</v>
      </c>
      <c r="AW259" s="2">
        <f t="shared" ref="AW259:BO266" si="6">AW191+Z191</f>
        <v>556.88</v>
      </c>
      <c r="AX259" s="2">
        <f t="shared" si="6"/>
        <v>287.27999999999997</v>
      </c>
      <c r="AY259" s="2">
        <f t="shared" si="6"/>
        <v>295.12</v>
      </c>
      <c r="AZ259" s="2">
        <f t="shared" si="6"/>
        <v>432.04</v>
      </c>
      <c r="BA259" s="2">
        <f t="shared" si="6"/>
        <v>443.96</v>
      </c>
      <c r="BB259" s="2">
        <f t="shared" si="6"/>
        <v>480.12</v>
      </c>
      <c r="BC259" s="2">
        <f t="shared" si="6"/>
        <v>439.9</v>
      </c>
      <c r="BD259" s="2">
        <f t="shared" si="6"/>
        <v>486.78</v>
      </c>
      <c r="BE259" s="2">
        <f t="shared" si="6"/>
        <v>435.92</v>
      </c>
      <c r="BF259" s="2">
        <f t="shared" si="6"/>
        <v>413.58</v>
      </c>
      <c r="BG259" s="2">
        <f t="shared" si="6"/>
        <v>442.26</v>
      </c>
      <c r="BH259" s="2">
        <f t="shared" si="6"/>
        <v>401.56</v>
      </c>
      <c r="BI259" s="2">
        <f t="shared" si="6"/>
        <v>481.36</v>
      </c>
      <c r="BJ259" s="2">
        <f t="shared" si="6"/>
        <v>444.36</v>
      </c>
      <c r="BK259" s="2">
        <f t="shared" si="6"/>
        <v>461.6</v>
      </c>
      <c r="BL259" s="2">
        <f t="shared" si="6"/>
        <v>415.66</v>
      </c>
      <c r="BM259" s="2">
        <f t="shared" si="6"/>
        <v>449.4</v>
      </c>
      <c r="BN259" s="2">
        <f t="shared" si="6"/>
        <v>490.6</v>
      </c>
      <c r="BO259" s="2">
        <f t="shared" si="6"/>
        <v>536.34</v>
      </c>
    </row>
    <row r="260" spans="47:67" x14ac:dyDescent="0.3">
      <c r="AU260" s="1" t="s">
        <v>22</v>
      </c>
      <c r="AV260" s="2">
        <f t="shared" ref="AV260:AV266" si="7">AV192+Y192</f>
        <v>38.44</v>
      </c>
      <c r="AW260" s="2">
        <f t="shared" si="6"/>
        <v>40.08</v>
      </c>
      <c r="AX260" s="2">
        <f t="shared" si="6"/>
        <v>22.5</v>
      </c>
      <c r="AY260" s="2">
        <f t="shared" si="6"/>
        <v>27.28</v>
      </c>
      <c r="AZ260" s="2">
        <f t="shared" si="6"/>
        <v>33.659999999999997</v>
      </c>
      <c r="BA260" s="2">
        <f t="shared" si="6"/>
        <v>33.08</v>
      </c>
      <c r="BB260" s="2">
        <f t="shared" si="6"/>
        <v>29.92</v>
      </c>
      <c r="BC260" s="2">
        <f t="shared" si="6"/>
        <v>61.22</v>
      </c>
      <c r="BD260" s="2">
        <f t="shared" si="6"/>
        <v>38.24</v>
      </c>
      <c r="BE260" s="2">
        <f t="shared" si="6"/>
        <v>42.3</v>
      </c>
      <c r="BF260" s="2">
        <f t="shared" si="6"/>
        <v>26.6</v>
      </c>
      <c r="BG260" s="2">
        <f t="shared" si="6"/>
        <v>48.78</v>
      </c>
      <c r="BH260" s="2">
        <f t="shared" si="6"/>
        <v>46.8</v>
      </c>
      <c r="BI260" s="2">
        <f t="shared" si="6"/>
        <v>57.98</v>
      </c>
      <c r="BJ260" s="2">
        <f t="shared" si="6"/>
        <v>50.6</v>
      </c>
      <c r="BK260" s="2">
        <f t="shared" si="6"/>
        <v>40.020000000000003</v>
      </c>
      <c r="BL260" s="2">
        <f t="shared" si="6"/>
        <v>50.82</v>
      </c>
      <c r="BM260" s="2">
        <f t="shared" si="6"/>
        <v>38.42</v>
      </c>
      <c r="BN260" s="2">
        <f t="shared" si="6"/>
        <v>49.64</v>
      </c>
      <c r="BO260" s="2">
        <f t="shared" si="6"/>
        <v>43.38</v>
      </c>
    </row>
    <row r="261" spans="47:67" x14ac:dyDescent="0.3">
      <c r="AU261" s="1" t="s">
        <v>23</v>
      </c>
      <c r="AV261" s="2">
        <f t="shared" si="7"/>
        <v>313.58</v>
      </c>
      <c r="AW261" s="2">
        <f t="shared" si="6"/>
        <v>117.98</v>
      </c>
      <c r="AX261" s="2">
        <f t="shared" si="6"/>
        <v>135.6</v>
      </c>
      <c r="AY261" s="2">
        <f t="shared" si="6"/>
        <v>62.18</v>
      </c>
      <c r="AZ261" s="2">
        <f t="shared" si="6"/>
        <v>288.26</v>
      </c>
      <c r="BA261" s="2">
        <f t="shared" si="6"/>
        <v>152.13999999999999</v>
      </c>
      <c r="BB261" s="2">
        <f t="shared" si="6"/>
        <v>255.86</v>
      </c>
      <c r="BC261" s="2">
        <f t="shared" si="6"/>
        <v>350.94</v>
      </c>
      <c r="BD261" s="2">
        <f t="shared" si="6"/>
        <v>251.18</v>
      </c>
      <c r="BE261" s="2">
        <f t="shared" si="6"/>
        <v>309.60000000000002</v>
      </c>
      <c r="BF261" s="2">
        <f t="shared" si="6"/>
        <v>255.86</v>
      </c>
      <c r="BG261" s="2">
        <f t="shared" si="6"/>
        <v>331.64</v>
      </c>
      <c r="BH261" s="2">
        <f t="shared" si="6"/>
        <v>288.88</v>
      </c>
      <c r="BI261" s="2">
        <f t="shared" si="6"/>
        <v>378.4</v>
      </c>
      <c r="BJ261" s="2">
        <f t="shared" si="6"/>
        <v>281.12</v>
      </c>
      <c r="BK261" s="2">
        <f t="shared" si="6"/>
        <v>308.32</v>
      </c>
      <c r="BL261" s="2">
        <f t="shared" si="6"/>
        <v>342.16</v>
      </c>
      <c r="BM261" s="2">
        <f t="shared" si="6"/>
        <v>266.95999999999998</v>
      </c>
      <c r="BN261" s="2">
        <f t="shared" si="6"/>
        <v>244.48</v>
      </c>
      <c r="BO261" s="2">
        <f t="shared" si="6"/>
        <v>207.96</v>
      </c>
    </row>
    <row r="262" spans="47:67" x14ac:dyDescent="0.3">
      <c r="AU262" s="1" t="s">
        <v>24</v>
      </c>
      <c r="AV262" s="2">
        <f t="shared" si="7"/>
        <v>102.64</v>
      </c>
      <c r="AW262" s="2">
        <f t="shared" si="6"/>
        <v>57.82</v>
      </c>
      <c r="AX262" s="2">
        <f t="shared" si="6"/>
        <v>63.94</v>
      </c>
      <c r="AY262" s="2">
        <f t="shared" si="6"/>
        <v>33.479999999999997</v>
      </c>
      <c r="AZ262" s="2">
        <f t="shared" si="6"/>
        <v>128.19999999999999</v>
      </c>
      <c r="BA262" s="2">
        <f t="shared" si="6"/>
        <v>86.76</v>
      </c>
      <c r="BB262" s="2">
        <f t="shared" si="6"/>
        <v>112.54</v>
      </c>
      <c r="BC262" s="2">
        <f t="shared" si="6"/>
        <v>142.80000000000001</v>
      </c>
      <c r="BD262" s="2">
        <f t="shared" si="6"/>
        <v>114.3</v>
      </c>
      <c r="BE262" s="2">
        <f t="shared" si="6"/>
        <v>123.04</v>
      </c>
      <c r="BF262" s="2">
        <f t="shared" si="6"/>
        <v>115.1</v>
      </c>
      <c r="BG262" s="2">
        <f t="shared" si="6"/>
        <v>124.6</v>
      </c>
      <c r="BH262" s="2">
        <f t="shared" si="6"/>
        <v>80.7</v>
      </c>
      <c r="BI262" s="2">
        <f t="shared" si="6"/>
        <v>139.02000000000001</v>
      </c>
      <c r="BJ262" s="2">
        <f t="shared" si="6"/>
        <v>125.46</v>
      </c>
      <c r="BK262" s="2">
        <f t="shared" si="6"/>
        <v>64.94</v>
      </c>
      <c r="BL262" s="2">
        <f t="shared" si="6"/>
        <v>58.44</v>
      </c>
      <c r="BM262" s="2">
        <f t="shared" si="6"/>
        <v>99.98</v>
      </c>
      <c r="BN262" s="2">
        <f t="shared" si="6"/>
        <v>93.66</v>
      </c>
      <c r="BO262" s="2">
        <f t="shared" si="6"/>
        <v>84.18</v>
      </c>
    </row>
    <row r="263" spans="47:67" x14ac:dyDescent="0.3">
      <c r="AU263" s="1" t="s">
        <v>25</v>
      </c>
      <c r="AV263" s="2">
        <f t="shared" si="7"/>
        <v>444.96</v>
      </c>
      <c r="AW263" s="2">
        <f t="shared" si="6"/>
        <v>330.62</v>
      </c>
      <c r="AX263" s="2">
        <f t="shared" si="6"/>
        <v>135.88</v>
      </c>
      <c r="AY263" s="2">
        <f t="shared" si="6"/>
        <v>184.3</v>
      </c>
      <c r="AZ263" s="2">
        <f t="shared" si="6"/>
        <v>371.1</v>
      </c>
      <c r="BA263" s="2">
        <f t="shared" si="6"/>
        <v>349.36</v>
      </c>
      <c r="BB263" s="2">
        <f t="shared" si="6"/>
        <v>266.48</v>
      </c>
      <c r="BC263" s="2">
        <f t="shared" si="6"/>
        <v>399.02</v>
      </c>
      <c r="BD263" s="2">
        <f t="shared" si="6"/>
        <v>384.6</v>
      </c>
      <c r="BE263" s="2">
        <f t="shared" si="6"/>
        <v>395.08</v>
      </c>
      <c r="BF263" s="2">
        <f t="shared" si="6"/>
        <v>398.04</v>
      </c>
      <c r="BG263" s="2">
        <f t="shared" si="6"/>
        <v>412.52</v>
      </c>
      <c r="BH263" s="2">
        <f t="shared" si="6"/>
        <v>427.88</v>
      </c>
      <c r="BI263" s="2">
        <f t="shared" si="6"/>
        <v>426.28</v>
      </c>
      <c r="BJ263" s="2">
        <f t="shared" si="6"/>
        <v>460.9</v>
      </c>
      <c r="BK263" s="2">
        <f t="shared" si="6"/>
        <v>416.52</v>
      </c>
      <c r="BL263" s="2">
        <f t="shared" si="6"/>
        <v>270.62</v>
      </c>
      <c r="BM263" s="2">
        <f t="shared" si="6"/>
        <v>296.58</v>
      </c>
      <c r="BN263" s="2">
        <f t="shared" si="6"/>
        <v>400.04</v>
      </c>
      <c r="BO263" s="2">
        <f t="shared" si="6"/>
        <v>316.12</v>
      </c>
    </row>
    <row r="264" spans="47:67" x14ac:dyDescent="0.3">
      <c r="AU264" s="1" t="s">
        <v>26</v>
      </c>
      <c r="AV264" s="2">
        <f t="shared" si="7"/>
        <v>94.44</v>
      </c>
      <c r="AW264" s="2">
        <f t="shared" si="6"/>
        <v>55.24</v>
      </c>
      <c r="AX264" s="2">
        <f t="shared" si="6"/>
        <v>26.68</v>
      </c>
      <c r="AY264" s="2">
        <f t="shared" si="6"/>
        <v>17.28</v>
      </c>
      <c r="AZ264" s="2">
        <f t="shared" si="6"/>
        <v>70.42</v>
      </c>
      <c r="BA264" s="2">
        <f t="shared" si="6"/>
        <v>62.9</v>
      </c>
      <c r="BB264" s="2">
        <f t="shared" si="6"/>
        <v>52.16</v>
      </c>
      <c r="BC264" s="2">
        <f t="shared" si="6"/>
        <v>58.34</v>
      </c>
      <c r="BD264" s="2">
        <f t="shared" si="6"/>
        <v>48</v>
      </c>
      <c r="BE264" s="2">
        <f t="shared" si="6"/>
        <v>64.2</v>
      </c>
      <c r="BF264" s="2">
        <f t="shared" si="6"/>
        <v>64.62</v>
      </c>
      <c r="BG264" s="2">
        <f t="shared" si="6"/>
        <v>53.2</v>
      </c>
      <c r="BH264" s="2">
        <f t="shared" si="6"/>
        <v>66.540000000000006</v>
      </c>
      <c r="BI264" s="2">
        <f t="shared" si="6"/>
        <v>50.52</v>
      </c>
      <c r="BJ264" s="2">
        <f t="shared" si="6"/>
        <v>68.36</v>
      </c>
      <c r="BK264" s="2">
        <f t="shared" si="6"/>
        <v>57.9</v>
      </c>
      <c r="BL264" s="2">
        <f t="shared" si="6"/>
        <v>66.14</v>
      </c>
      <c r="BM264" s="2">
        <f t="shared" si="6"/>
        <v>51.28</v>
      </c>
      <c r="BN264" s="2">
        <f t="shared" si="6"/>
        <v>64.08</v>
      </c>
      <c r="BO264" s="2">
        <f t="shared" si="6"/>
        <v>32.78</v>
      </c>
    </row>
    <row r="265" spans="47:67" x14ac:dyDescent="0.3">
      <c r="AU265" s="1" t="s">
        <v>27</v>
      </c>
      <c r="AV265" s="2">
        <f t="shared" si="7"/>
        <v>243.96</v>
      </c>
      <c r="AW265" s="2">
        <f t="shared" si="6"/>
        <v>270.42</v>
      </c>
      <c r="AX265" s="2">
        <f t="shared" si="6"/>
        <v>77.56</v>
      </c>
      <c r="AY265" s="2">
        <f t="shared" si="6"/>
        <v>101.66</v>
      </c>
      <c r="AZ265" s="2">
        <f t="shared" si="6"/>
        <v>213.82</v>
      </c>
      <c r="BA265" s="2">
        <f t="shared" si="6"/>
        <v>214.74</v>
      </c>
      <c r="BB265" s="2">
        <f t="shared" si="6"/>
        <v>204.52</v>
      </c>
      <c r="BC265" s="2">
        <f t="shared" si="6"/>
        <v>696.6</v>
      </c>
      <c r="BD265" s="2">
        <f t="shared" si="6"/>
        <v>132.91999999999999</v>
      </c>
      <c r="BE265" s="2">
        <f t="shared" si="6"/>
        <v>203.46</v>
      </c>
      <c r="BF265" s="2">
        <f t="shared" si="6"/>
        <v>222.78</v>
      </c>
      <c r="BG265" s="2">
        <f t="shared" si="6"/>
        <v>192.22</v>
      </c>
      <c r="BH265" s="2">
        <f t="shared" si="6"/>
        <v>232.3</v>
      </c>
      <c r="BI265" s="2">
        <f t="shared" si="6"/>
        <v>198.3</v>
      </c>
      <c r="BJ265" s="2">
        <f t="shared" si="6"/>
        <v>255.58</v>
      </c>
      <c r="BK265" s="2">
        <f t="shared" si="6"/>
        <v>215.92</v>
      </c>
      <c r="BL265" s="2">
        <f t="shared" si="6"/>
        <v>268.88</v>
      </c>
      <c r="BM265" s="2">
        <f t="shared" si="6"/>
        <v>162.32</v>
      </c>
      <c r="BN265" s="2">
        <f t="shared" si="6"/>
        <v>259.02</v>
      </c>
      <c r="BO265" s="2">
        <f t="shared" si="6"/>
        <v>221.92</v>
      </c>
    </row>
    <row r="266" spans="47:67" x14ac:dyDescent="0.3">
      <c r="AU266" s="1" t="s">
        <v>28</v>
      </c>
      <c r="AV266" s="2">
        <f t="shared" si="7"/>
        <v>151.41999999999999</v>
      </c>
      <c r="AW266" s="2">
        <f t="shared" si="6"/>
        <v>182.86</v>
      </c>
      <c r="AX266" s="2">
        <f t="shared" si="6"/>
        <v>57.94</v>
      </c>
      <c r="AY266" s="2">
        <f t="shared" si="6"/>
        <v>62.18</v>
      </c>
      <c r="AZ266" s="2">
        <f t="shared" si="6"/>
        <v>91.04</v>
      </c>
      <c r="BA266" s="2">
        <f t="shared" si="6"/>
        <v>101.78</v>
      </c>
      <c r="BB266" s="2">
        <f t="shared" si="6"/>
        <v>107.42</v>
      </c>
      <c r="BC266" s="2">
        <f t="shared" si="6"/>
        <v>120.1</v>
      </c>
      <c r="BD266" s="2">
        <f t="shared" si="6"/>
        <v>138.34</v>
      </c>
      <c r="BE266" s="2">
        <f t="shared" si="6"/>
        <v>114.68</v>
      </c>
      <c r="BF266" s="2">
        <f t="shared" si="6"/>
        <v>155.9</v>
      </c>
      <c r="BG266" s="2">
        <f t="shared" si="6"/>
        <v>119.54</v>
      </c>
      <c r="BH266" s="2">
        <f t="shared" si="6"/>
        <v>154.69999999999999</v>
      </c>
      <c r="BI266" s="2">
        <f t="shared" si="6"/>
        <v>137</v>
      </c>
      <c r="BJ266" s="2">
        <f t="shared" si="6"/>
        <v>161.68</v>
      </c>
      <c r="BK266" s="2">
        <f t="shared" si="6"/>
        <v>158.66</v>
      </c>
      <c r="BL266" s="2">
        <f t="shared" si="6"/>
        <v>167.12</v>
      </c>
      <c r="BM266" s="2">
        <f t="shared" si="6"/>
        <v>145.72</v>
      </c>
      <c r="BN266" s="2">
        <f t="shared" si="6"/>
        <v>181.16</v>
      </c>
      <c r="BO266" s="2">
        <f t="shared" si="6"/>
        <v>141.52000000000001</v>
      </c>
    </row>
  </sheetData>
  <mergeCells count="18">
    <mergeCell ref="BF202:BO202"/>
    <mergeCell ref="AV118:BE118"/>
    <mergeCell ref="AV202:BE202"/>
    <mergeCell ref="AI174:AR174"/>
    <mergeCell ref="BF174:BO174"/>
    <mergeCell ref="AI146:AR146"/>
    <mergeCell ref="AV146:BE146"/>
    <mergeCell ref="AI118:AR118"/>
    <mergeCell ref="BF146:BO146"/>
    <mergeCell ref="BF118:BO118"/>
    <mergeCell ref="Y174:AH174"/>
    <mergeCell ref="AV90:BE90"/>
    <mergeCell ref="AV174:BE174"/>
    <mergeCell ref="Y90:AH90"/>
    <mergeCell ref="AI90:AR90"/>
    <mergeCell ref="Y146:AH146"/>
    <mergeCell ref="BF90:BO90"/>
    <mergeCell ref="Y118:AH118"/>
  </mergeCells>
  <conditionalFormatting sqref="C45:O4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V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5:BO7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7720-FBA4-4C3F-80DE-BEFD409F12DF}">
  <dimension ref="A1:V39"/>
  <sheetViews>
    <sheetView topLeftCell="N1" zoomScale="74" workbookViewId="0">
      <selection activeCell="Z26" sqref="Z26"/>
    </sheetView>
  </sheetViews>
  <sheetFormatPr defaultRowHeight="14.4" x14ac:dyDescent="0.3"/>
  <sheetData>
    <row r="1" spans="1:22" x14ac:dyDescent="0.3">
      <c r="B1">
        <v>2050</v>
      </c>
    </row>
    <row r="2" spans="1:22" x14ac:dyDescent="0.3">
      <c r="A2" s="1" t="s">
        <v>21</v>
      </c>
      <c r="B2" s="2">
        <v>54.88</v>
      </c>
      <c r="C2" s="2">
        <v>54.88</v>
      </c>
      <c r="D2" s="2">
        <v>54.77</v>
      </c>
      <c r="E2" s="2">
        <v>54.77</v>
      </c>
      <c r="F2" s="2">
        <v>54.82</v>
      </c>
      <c r="G2" s="2">
        <v>54.82</v>
      </c>
      <c r="H2" s="2">
        <v>64.83</v>
      </c>
      <c r="I2" s="2">
        <v>43.74</v>
      </c>
      <c r="J2" s="2">
        <v>47.1</v>
      </c>
      <c r="K2" s="2">
        <v>47.08</v>
      </c>
      <c r="L2" s="2">
        <v>47.19</v>
      </c>
      <c r="M2" s="2">
        <v>47.12</v>
      </c>
      <c r="N2" s="2">
        <v>47.08</v>
      </c>
      <c r="O2" s="2">
        <v>47.19</v>
      </c>
      <c r="P2" s="2">
        <v>47.2</v>
      </c>
      <c r="Q2" s="2">
        <v>47.2</v>
      </c>
      <c r="R2" s="2">
        <v>47.23</v>
      </c>
      <c r="S2" s="2">
        <v>62.35</v>
      </c>
      <c r="T2" s="2">
        <v>47.18</v>
      </c>
      <c r="U2" s="2">
        <v>58.8</v>
      </c>
      <c r="V2">
        <f>AVERAGE(B2:U2)</f>
        <v>51.511500000000012</v>
      </c>
    </row>
    <row r="3" spans="1:22" x14ac:dyDescent="0.3">
      <c r="A3" s="1" t="s">
        <v>22</v>
      </c>
      <c r="B3" s="2">
        <v>36.83</v>
      </c>
      <c r="C3" s="2">
        <v>53.01</v>
      </c>
      <c r="D3" s="2">
        <v>37.89</v>
      </c>
      <c r="E3" s="2">
        <v>53</v>
      </c>
      <c r="F3" s="2">
        <v>45.38</v>
      </c>
      <c r="G3" s="2">
        <v>48.64</v>
      </c>
      <c r="H3" s="2">
        <v>39.479999999999997</v>
      </c>
      <c r="I3" s="2">
        <v>46.62</v>
      </c>
      <c r="J3" s="2">
        <v>47.03</v>
      </c>
      <c r="K3" s="2">
        <v>53.43</v>
      </c>
      <c r="L3" s="2">
        <v>40.89</v>
      </c>
      <c r="M3" s="2">
        <v>52.39</v>
      </c>
      <c r="N3" s="2">
        <v>48.51</v>
      </c>
      <c r="O3" s="2">
        <v>48.37</v>
      </c>
      <c r="P3" s="2">
        <v>48.47</v>
      </c>
      <c r="Q3" s="2">
        <v>54.03</v>
      </c>
      <c r="R3" s="2">
        <v>48.45</v>
      </c>
      <c r="S3" s="2">
        <v>60.16</v>
      </c>
      <c r="T3" s="2">
        <v>45.05</v>
      </c>
      <c r="U3" s="2">
        <v>67.069999999999993</v>
      </c>
      <c r="V3">
        <f t="shared" ref="V3:V9" si="0">AVERAGE(B3:U3)</f>
        <v>48.734999999999999</v>
      </c>
    </row>
    <row r="4" spans="1:22" x14ac:dyDescent="0.3">
      <c r="A4" s="1" t="s">
        <v>23</v>
      </c>
      <c r="B4" s="2">
        <v>20.73</v>
      </c>
      <c r="C4" s="2">
        <v>54.22</v>
      </c>
      <c r="D4" s="2">
        <v>21.55</v>
      </c>
      <c r="E4" s="2">
        <v>54.61</v>
      </c>
      <c r="F4" s="2">
        <v>22.16</v>
      </c>
      <c r="G4" s="2">
        <v>27.58</v>
      </c>
      <c r="H4" s="2">
        <v>23.37</v>
      </c>
      <c r="I4" s="2">
        <v>41.71</v>
      </c>
      <c r="J4" s="2">
        <v>24.06</v>
      </c>
      <c r="K4" s="2">
        <v>48.11</v>
      </c>
      <c r="L4" s="2">
        <v>23.99</v>
      </c>
      <c r="M4" s="2">
        <v>47.75</v>
      </c>
      <c r="N4" s="2">
        <v>24.3</v>
      </c>
      <c r="O4" s="2">
        <v>45.69</v>
      </c>
      <c r="P4" s="2">
        <v>24.53</v>
      </c>
      <c r="Q4" s="2">
        <v>48.66</v>
      </c>
      <c r="R4" s="2">
        <v>43.94</v>
      </c>
      <c r="S4" s="2">
        <v>56.1</v>
      </c>
      <c r="T4" s="2">
        <v>56.05</v>
      </c>
      <c r="U4" s="2">
        <v>60.47</v>
      </c>
      <c r="V4">
        <f t="shared" si="0"/>
        <v>38.478999999999999</v>
      </c>
    </row>
    <row r="5" spans="1:22" x14ac:dyDescent="0.3">
      <c r="A5" s="1" t="s">
        <v>24</v>
      </c>
      <c r="B5" s="2">
        <v>28.86</v>
      </c>
      <c r="C5" s="2">
        <v>48.18</v>
      </c>
      <c r="D5" s="2">
        <v>36.08</v>
      </c>
      <c r="E5" s="2">
        <v>53.56</v>
      </c>
      <c r="F5" s="2">
        <v>36.840000000000003</v>
      </c>
      <c r="G5" s="2">
        <v>29.22</v>
      </c>
      <c r="H5" s="2">
        <v>40.380000000000003</v>
      </c>
      <c r="I5" s="2">
        <v>40.229999999999997</v>
      </c>
      <c r="J5" s="2">
        <v>42.17</v>
      </c>
      <c r="K5" s="2">
        <v>44.23</v>
      </c>
      <c r="L5" s="2">
        <v>42.15</v>
      </c>
      <c r="M5" s="2">
        <v>45.5</v>
      </c>
      <c r="N5" s="2">
        <v>34.24</v>
      </c>
      <c r="O5" s="2">
        <v>44.07</v>
      </c>
      <c r="P5" s="2">
        <v>42.09</v>
      </c>
      <c r="Q5" s="2">
        <v>39.340000000000003</v>
      </c>
      <c r="R5" s="2">
        <v>41.39</v>
      </c>
      <c r="S5" s="2">
        <v>51.8</v>
      </c>
      <c r="T5" s="2">
        <v>51.34</v>
      </c>
      <c r="U5" s="2">
        <v>53.95</v>
      </c>
      <c r="V5">
        <f t="shared" si="0"/>
        <v>42.281000000000006</v>
      </c>
    </row>
    <row r="6" spans="1:22" x14ac:dyDescent="0.3">
      <c r="A6" s="1" t="s">
        <v>25</v>
      </c>
      <c r="B6" s="2">
        <v>39.86</v>
      </c>
      <c r="C6" s="2">
        <v>31.91</v>
      </c>
      <c r="D6" s="2">
        <v>32.78</v>
      </c>
      <c r="E6" s="2">
        <v>32.979999999999997</v>
      </c>
      <c r="F6" s="2">
        <v>40.5</v>
      </c>
      <c r="G6" s="2">
        <v>40.06</v>
      </c>
      <c r="H6" s="2">
        <v>43.6</v>
      </c>
      <c r="I6" s="2">
        <v>45.1</v>
      </c>
      <c r="J6" s="2">
        <v>46.29</v>
      </c>
      <c r="K6" s="2">
        <v>46.46</v>
      </c>
      <c r="L6" s="2">
        <v>46.25</v>
      </c>
      <c r="M6" s="2">
        <v>45.82</v>
      </c>
      <c r="N6" s="2">
        <v>46.21</v>
      </c>
      <c r="O6" s="2">
        <v>45.68</v>
      </c>
      <c r="P6" s="2">
        <v>46.15</v>
      </c>
      <c r="Q6" s="2">
        <v>47.26</v>
      </c>
      <c r="R6" s="2">
        <v>42.44</v>
      </c>
      <c r="S6" s="2">
        <v>53.86</v>
      </c>
      <c r="T6" s="2">
        <v>51.48</v>
      </c>
      <c r="U6" s="2">
        <v>57.31</v>
      </c>
      <c r="V6">
        <f t="shared" si="0"/>
        <v>44.1</v>
      </c>
    </row>
    <row r="7" spans="1:22" x14ac:dyDescent="0.3">
      <c r="A7" s="1" t="s">
        <v>26</v>
      </c>
      <c r="B7" s="2">
        <v>37.840000000000003</v>
      </c>
      <c r="C7" s="2">
        <v>30.93</v>
      </c>
      <c r="D7" s="2">
        <v>30.17</v>
      </c>
      <c r="E7" s="2">
        <v>30.58</v>
      </c>
      <c r="F7" s="2">
        <v>39.49</v>
      </c>
      <c r="G7" s="2">
        <v>38.700000000000003</v>
      </c>
      <c r="H7" s="2">
        <v>43.7</v>
      </c>
      <c r="I7" s="2">
        <v>45.86</v>
      </c>
      <c r="J7" s="2">
        <v>48.08</v>
      </c>
      <c r="K7" s="2">
        <v>43.82</v>
      </c>
      <c r="L7" s="2">
        <v>43.7</v>
      </c>
      <c r="M7" s="2">
        <v>43.61</v>
      </c>
      <c r="N7" s="2">
        <v>43.53</v>
      </c>
      <c r="O7" s="2">
        <v>43.63</v>
      </c>
      <c r="P7" s="2">
        <v>43.81</v>
      </c>
      <c r="Q7" s="2">
        <v>43.58</v>
      </c>
      <c r="R7" s="2">
        <v>47.07</v>
      </c>
      <c r="S7" s="2">
        <v>43.63</v>
      </c>
      <c r="T7" s="2">
        <v>49.91</v>
      </c>
      <c r="U7" s="2">
        <v>51.3</v>
      </c>
      <c r="V7">
        <f t="shared" si="0"/>
        <v>42.147000000000006</v>
      </c>
    </row>
    <row r="8" spans="1:22" x14ac:dyDescent="0.3">
      <c r="A8" s="1" t="s">
        <v>27</v>
      </c>
      <c r="B8" s="2">
        <v>22.32</v>
      </c>
      <c r="C8" s="2">
        <v>21.94</v>
      </c>
      <c r="D8" s="2">
        <v>29.95</v>
      </c>
      <c r="E8" s="2">
        <v>21.95</v>
      </c>
      <c r="F8" s="2">
        <v>40.799999999999997</v>
      </c>
      <c r="G8" s="2">
        <v>22.74</v>
      </c>
      <c r="H8" s="2">
        <v>43.17</v>
      </c>
      <c r="I8" s="2">
        <v>38.799999999999997</v>
      </c>
      <c r="J8" s="2">
        <v>36.020000000000003</v>
      </c>
      <c r="K8" s="2">
        <v>25.23</v>
      </c>
      <c r="L8" s="2">
        <v>44.99</v>
      </c>
      <c r="M8" s="2">
        <v>25.2</v>
      </c>
      <c r="N8" s="2">
        <v>44.98</v>
      </c>
      <c r="O8" s="2">
        <v>25.21</v>
      </c>
      <c r="P8" s="2">
        <v>44.94</v>
      </c>
      <c r="Q8" s="2">
        <v>25.14</v>
      </c>
      <c r="R8" s="2">
        <v>47.43</v>
      </c>
      <c r="S8" s="2">
        <v>38.799999999999997</v>
      </c>
      <c r="T8" s="2">
        <v>50</v>
      </c>
      <c r="U8" s="2">
        <v>51.03</v>
      </c>
      <c r="V8">
        <f t="shared" si="0"/>
        <v>35.031999999999996</v>
      </c>
    </row>
    <row r="9" spans="1:22" x14ac:dyDescent="0.3">
      <c r="A9" s="1" t="s">
        <v>28</v>
      </c>
      <c r="B9" s="2">
        <v>45.82</v>
      </c>
      <c r="C9" s="2">
        <v>42.47</v>
      </c>
      <c r="D9" s="2">
        <v>54.61</v>
      </c>
      <c r="E9" s="2">
        <v>54.43</v>
      </c>
      <c r="F9" s="2">
        <v>54.89</v>
      </c>
      <c r="G9" s="2">
        <v>54.09</v>
      </c>
      <c r="H9" s="2">
        <v>64.81</v>
      </c>
      <c r="I9" s="2">
        <v>51.36</v>
      </c>
      <c r="J9" s="2">
        <v>55.99</v>
      </c>
      <c r="K9" s="2">
        <v>53.99</v>
      </c>
      <c r="L9" s="2">
        <v>54.31</v>
      </c>
      <c r="M9" s="2">
        <v>53.82</v>
      </c>
      <c r="N9" s="2">
        <v>54.47</v>
      </c>
      <c r="O9" s="2">
        <v>53.64</v>
      </c>
      <c r="P9" s="2">
        <v>54.41</v>
      </c>
      <c r="Q9" s="2">
        <v>54</v>
      </c>
      <c r="R9" s="2">
        <v>54.49</v>
      </c>
      <c r="S9" s="2">
        <v>56.12</v>
      </c>
      <c r="T9" s="2">
        <v>54.15</v>
      </c>
      <c r="U9" s="2">
        <v>58.83</v>
      </c>
      <c r="V9">
        <f t="shared" si="0"/>
        <v>54.035000000000004</v>
      </c>
    </row>
    <row r="11" spans="1:22" x14ac:dyDescent="0.3">
      <c r="B11">
        <v>2040</v>
      </c>
    </row>
    <row r="12" spans="1:22" x14ac:dyDescent="0.3">
      <c r="A12" s="1" t="s">
        <v>21</v>
      </c>
      <c r="B12" s="2">
        <v>54.96</v>
      </c>
      <c r="C12" s="2">
        <v>54.96</v>
      </c>
      <c r="D12" s="2">
        <v>54.93</v>
      </c>
      <c r="E12" s="2">
        <v>54.93</v>
      </c>
      <c r="F12" s="2">
        <v>54.94</v>
      </c>
      <c r="G12" s="2">
        <v>54.94</v>
      </c>
      <c r="H12" s="2">
        <v>64.94</v>
      </c>
      <c r="I12" s="2">
        <v>46.32</v>
      </c>
      <c r="J12" s="2">
        <v>57.85</v>
      </c>
      <c r="K12" s="2">
        <v>52.48</v>
      </c>
      <c r="L12" s="2">
        <v>49.96</v>
      </c>
      <c r="M12" s="2">
        <v>53.73</v>
      </c>
      <c r="N12" s="2">
        <v>49.86</v>
      </c>
      <c r="O12" s="2">
        <v>55.15</v>
      </c>
      <c r="P12" s="2">
        <v>49.97</v>
      </c>
      <c r="Q12" s="2">
        <v>54.13</v>
      </c>
      <c r="R12" s="2">
        <v>57.25</v>
      </c>
      <c r="S12" s="2">
        <v>66.84</v>
      </c>
      <c r="T12" s="2">
        <v>55.38</v>
      </c>
      <c r="U12" s="2">
        <v>65.55</v>
      </c>
      <c r="V12">
        <f>AVERAGE(B12:U12)</f>
        <v>55.453500000000005</v>
      </c>
    </row>
    <row r="13" spans="1:22" x14ac:dyDescent="0.3">
      <c r="A13" s="1" t="s">
        <v>22</v>
      </c>
      <c r="B13" s="2">
        <v>46.81</v>
      </c>
      <c r="C13" s="2">
        <v>54.25</v>
      </c>
      <c r="D13" s="2">
        <v>48.72</v>
      </c>
      <c r="E13" s="2">
        <v>54.38</v>
      </c>
      <c r="F13" s="2">
        <v>50.91</v>
      </c>
      <c r="G13" s="2">
        <v>52.74</v>
      </c>
      <c r="H13" s="2">
        <v>52.45</v>
      </c>
      <c r="I13" s="2">
        <v>50.52</v>
      </c>
      <c r="J13" s="2">
        <v>54.33</v>
      </c>
      <c r="K13" s="2">
        <v>61.35</v>
      </c>
      <c r="L13" s="2">
        <v>49.38</v>
      </c>
      <c r="M13" s="2">
        <v>60.31</v>
      </c>
      <c r="N13" s="2">
        <v>49.71</v>
      </c>
      <c r="O13" s="2">
        <v>56.1</v>
      </c>
      <c r="P13" s="2">
        <v>52.18</v>
      </c>
      <c r="Q13" s="2">
        <v>62.37</v>
      </c>
      <c r="R13" s="2">
        <v>54.87</v>
      </c>
      <c r="S13" s="2">
        <v>65.92</v>
      </c>
      <c r="T13" s="2">
        <v>59.26</v>
      </c>
      <c r="U13" s="2">
        <v>68.94</v>
      </c>
      <c r="V13">
        <f t="shared" ref="V13:V19" si="1">AVERAGE(B13:U13)</f>
        <v>55.274999999999999</v>
      </c>
    </row>
    <row r="14" spans="1:22" x14ac:dyDescent="0.3">
      <c r="A14" s="1" t="s">
        <v>23</v>
      </c>
      <c r="B14" s="2">
        <v>21.3</v>
      </c>
      <c r="C14" s="2">
        <v>54.71</v>
      </c>
      <c r="D14" s="2">
        <v>22.06</v>
      </c>
      <c r="E14" s="2">
        <v>54.88</v>
      </c>
      <c r="F14" s="2">
        <v>22.29</v>
      </c>
      <c r="G14" s="2">
        <v>37.520000000000003</v>
      </c>
      <c r="H14" s="2">
        <v>24.16</v>
      </c>
      <c r="I14" s="2">
        <v>48.97</v>
      </c>
      <c r="J14" s="2">
        <v>36.380000000000003</v>
      </c>
      <c r="K14" s="2">
        <v>55.54</v>
      </c>
      <c r="L14" s="2">
        <v>36.36</v>
      </c>
      <c r="M14" s="2">
        <v>55.29</v>
      </c>
      <c r="N14" s="2">
        <v>37.31</v>
      </c>
      <c r="O14" s="2">
        <v>54.07</v>
      </c>
      <c r="P14" s="2">
        <v>37.979999999999997</v>
      </c>
      <c r="Q14" s="2">
        <v>56.31</v>
      </c>
      <c r="R14" s="2">
        <v>52.08</v>
      </c>
      <c r="S14" s="2">
        <v>61.57</v>
      </c>
      <c r="T14" s="2">
        <v>61.98</v>
      </c>
      <c r="U14" s="2">
        <v>65.239999999999995</v>
      </c>
      <c r="V14">
        <f t="shared" si="1"/>
        <v>44.800000000000011</v>
      </c>
    </row>
    <row r="15" spans="1:22" x14ac:dyDescent="0.3">
      <c r="A15" s="1" t="s">
        <v>24</v>
      </c>
      <c r="B15" s="2">
        <v>35.35</v>
      </c>
      <c r="C15" s="2">
        <v>52.21</v>
      </c>
      <c r="D15" s="2">
        <v>36.39</v>
      </c>
      <c r="E15" s="2">
        <v>54.56</v>
      </c>
      <c r="F15" s="2">
        <v>36.770000000000003</v>
      </c>
      <c r="G15" s="2">
        <v>29.13</v>
      </c>
      <c r="H15" s="2">
        <v>40.92</v>
      </c>
      <c r="I15" s="2">
        <v>44.63</v>
      </c>
      <c r="J15" s="2">
        <v>42.71</v>
      </c>
      <c r="K15" s="2">
        <v>51.19</v>
      </c>
      <c r="L15" s="2">
        <v>42.69</v>
      </c>
      <c r="M15" s="2">
        <v>52.41</v>
      </c>
      <c r="N15" s="2">
        <v>34.32</v>
      </c>
      <c r="O15" s="2">
        <v>51.55</v>
      </c>
      <c r="P15" s="2">
        <v>42.63</v>
      </c>
      <c r="Q15" s="2">
        <v>54.61</v>
      </c>
      <c r="R15" s="2">
        <v>55.69</v>
      </c>
      <c r="S15" s="2">
        <v>59.33</v>
      </c>
      <c r="T15" s="2">
        <v>59.59</v>
      </c>
      <c r="U15" s="2">
        <v>62.01</v>
      </c>
      <c r="V15">
        <f t="shared" si="1"/>
        <v>46.9345</v>
      </c>
    </row>
    <row r="16" spans="1:22" x14ac:dyDescent="0.3">
      <c r="A16" s="1" t="s">
        <v>25</v>
      </c>
      <c r="B16" s="2">
        <v>39.35</v>
      </c>
      <c r="C16" s="2">
        <v>32.64</v>
      </c>
      <c r="D16" s="2">
        <v>34.57</v>
      </c>
      <c r="E16" s="2">
        <v>46.27</v>
      </c>
      <c r="F16" s="2">
        <v>39.950000000000003</v>
      </c>
      <c r="G16" s="2">
        <v>39.630000000000003</v>
      </c>
      <c r="H16" s="2">
        <v>56.05</v>
      </c>
      <c r="I16" s="2">
        <v>44.88</v>
      </c>
      <c r="J16" s="2">
        <v>46.35</v>
      </c>
      <c r="K16" s="2">
        <v>46.47</v>
      </c>
      <c r="L16" s="2">
        <v>47.08</v>
      </c>
      <c r="M16" s="2">
        <v>49.48</v>
      </c>
      <c r="N16" s="2">
        <v>49.47</v>
      </c>
      <c r="O16" s="2">
        <v>50.9</v>
      </c>
      <c r="P16" s="2">
        <v>52.33</v>
      </c>
      <c r="Q16" s="2">
        <v>54.81</v>
      </c>
      <c r="R16" s="2">
        <v>56.4</v>
      </c>
      <c r="S16" s="2">
        <v>61.8</v>
      </c>
      <c r="T16" s="2">
        <v>60</v>
      </c>
      <c r="U16" s="2">
        <v>65.05</v>
      </c>
      <c r="V16">
        <f t="shared" si="1"/>
        <v>48.673999999999992</v>
      </c>
    </row>
    <row r="17" spans="1:22" x14ac:dyDescent="0.3">
      <c r="A17" s="1" t="s">
        <v>26</v>
      </c>
      <c r="B17" s="2">
        <v>37.590000000000003</v>
      </c>
      <c r="C17" s="2">
        <v>30.63</v>
      </c>
      <c r="D17" s="2">
        <v>36.67</v>
      </c>
      <c r="E17" s="2">
        <v>36.75</v>
      </c>
      <c r="F17" s="2">
        <v>38.909999999999997</v>
      </c>
      <c r="G17" s="2">
        <v>38.369999999999997</v>
      </c>
      <c r="H17" s="2">
        <v>52.34</v>
      </c>
      <c r="I17" s="2">
        <v>45.08</v>
      </c>
      <c r="J17" s="2">
        <v>56.69</v>
      </c>
      <c r="K17" s="2">
        <v>44.15</v>
      </c>
      <c r="L17" s="2">
        <v>50.5</v>
      </c>
      <c r="M17" s="2">
        <v>44.04</v>
      </c>
      <c r="N17" s="2">
        <v>50.38</v>
      </c>
      <c r="O17" s="2">
        <v>44.07</v>
      </c>
      <c r="P17" s="2">
        <v>50.95</v>
      </c>
      <c r="Q17" s="2">
        <v>44.01</v>
      </c>
      <c r="R17" s="2">
        <v>54.86</v>
      </c>
      <c r="S17" s="2">
        <v>44.75</v>
      </c>
      <c r="T17" s="2">
        <v>58.91</v>
      </c>
      <c r="U17" s="2">
        <v>62.6</v>
      </c>
      <c r="V17">
        <f t="shared" si="1"/>
        <v>46.112500000000004</v>
      </c>
    </row>
    <row r="18" spans="1:22" x14ac:dyDescent="0.3">
      <c r="A18" s="1" t="s">
        <v>27</v>
      </c>
      <c r="B18" s="2">
        <v>22.43</v>
      </c>
      <c r="C18" s="2">
        <v>22.18</v>
      </c>
      <c r="D18" s="2">
        <v>32.159999999999997</v>
      </c>
      <c r="E18" s="2">
        <v>22.7</v>
      </c>
      <c r="F18" s="2">
        <v>40.770000000000003</v>
      </c>
      <c r="G18" s="2">
        <v>22.82</v>
      </c>
      <c r="H18" s="2">
        <v>45.38</v>
      </c>
      <c r="I18" s="2">
        <v>40.56</v>
      </c>
      <c r="J18" s="2">
        <v>50.06</v>
      </c>
      <c r="K18" s="2">
        <v>26.48</v>
      </c>
      <c r="L18" s="2">
        <v>50.55</v>
      </c>
      <c r="M18" s="2">
        <v>26.36</v>
      </c>
      <c r="N18" s="2">
        <v>49.84</v>
      </c>
      <c r="O18" s="2">
        <v>26.4</v>
      </c>
      <c r="P18" s="2">
        <v>47.31</v>
      </c>
      <c r="Q18" s="2">
        <v>35.03</v>
      </c>
      <c r="R18" s="2">
        <v>54.8</v>
      </c>
      <c r="S18" s="2">
        <v>50.99</v>
      </c>
      <c r="T18" s="2">
        <v>57.4</v>
      </c>
      <c r="U18" s="2">
        <v>58.17</v>
      </c>
      <c r="V18">
        <f t="shared" si="1"/>
        <v>39.119499999999995</v>
      </c>
    </row>
    <row r="19" spans="1:22" x14ac:dyDescent="0.3">
      <c r="A19" s="1" t="s">
        <v>28</v>
      </c>
      <c r="B19" s="2">
        <v>50.57</v>
      </c>
      <c r="C19" s="2">
        <v>43.74</v>
      </c>
      <c r="D19" s="2">
        <v>54.88</v>
      </c>
      <c r="E19" s="2">
        <v>54.83</v>
      </c>
      <c r="F19" s="2">
        <v>54.96</v>
      </c>
      <c r="G19" s="2">
        <v>54.7</v>
      </c>
      <c r="H19" s="2">
        <v>64.94</v>
      </c>
      <c r="I19" s="2">
        <v>50.19</v>
      </c>
      <c r="J19" s="2">
        <v>62.46</v>
      </c>
      <c r="K19" s="2">
        <v>52.77</v>
      </c>
      <c r="L19" s="2">
        <v>53.24</v>
      </c>
      <c r="M19" s="2">
        <v>52.64</v>
      </c>
      <c r="N19" s="2">
        <v>53.02</v>
      </c>
      <c r="O19" s="2">
        <v>52.48</v>
      </c>
      <c r="P19" s="2">
        <v>53.6</v>
      </c>
      <c r="Q19" s="2">
        <v>55.11</v>
      </c>
      <c r="R19" s="2">
        <v>56.03</v>
      </c>
      <c r="S19" s="2">
        <v>62.02</v>
      </c>
      <c r="T19" s="2">
        <v>60.34</v>
      </c>
      <c r="U19" s="2">
        <v>65.349999999999994</v>
      </c>
      <c r="V19">
        <f t="shared" si="1"/>
        <v>55.393499999999996</v>
      </c>
    </row>
    <row r="21" spans="1:22" x14ac:dyDescent="0.3">
      <c r="B21" s="3">
        <v>2032</v>
      </c>
    </row>
    <row r="22" spans="1:22" x14ac:dyDescent="0.3">
      <c r="A22" s="1" t="s">
        <v>21</v>
      </c>
      <c r="B22" s="2">
        <v>54.97</v>
      </c>
      <c r="C22" s="2">
        <v>54.97</v>
      </c>
      <c r="D22" s="2">
        <v>54.97</v>
      </c>
      <c r="E22" s="2">
        <v>54.97</v>
      </c>
      <c r="F22" s="2">
        <v>54.97</v>
      </c>
      <c r="G22" s="2">
        <v>54.97</v>
      </c>
      <c r="H22" s="2">
        <v>64.97</v>
      </c>
      <c r="I22" s="2">
        <v>56.18</v>
      </c>
      <c r="J22" s="2">
        <v>64.09</v>
      </c>
      <c r="K22" s="2">
        <v>61.05</v>
      </c>
      <c r="L22" s="2">
        <v>54.92</v>
      </c>
      <c r="M22" s="2">
        <v>61.87</v>
      </c>
      <c r="N22" s="2">
        <v>54.09</v>
      </c>
      <c r="O22" s="2">
        <v>63.06</v>
      </c>
      <c r="P22" s="2">
        <v>59.31</v>
      </c>
      <c r="Q22" s="2">
        <v>62.43</v>
      </c>
      <c r="R22" s="2">
        <v>63.75</v>
      </c>
      <c r="S22" s="2">
        <v>68.58</v>
      </c>
      <c r="T22" s="2">
        <v>63.08</v>
      </c>
      <c r="U22" s="2">
        <v>68.08</v>
      </c>
      <c r="V22">
        <f>AVERAGE(B22:U22)</f>
        <v>59.763999999999989</v>
      </c>
    </row>
    <row r="23" spans="1:22" x14ac:dyDescent="0.3">
      <c r="A23" s="1" t="s">
        <v>22</v>
      </c>
      <c r="B23" s="2">
        <v>51.15</v>
      </c>
      <c r="C23" s="2">
        <v>54.67</v>
      </c>
      <c r="D23" s="2">
        <v>52.73</v>
      </c>
      <c r="E23" s="2">
        <v>54.79</v>
      </c>
      <c r="F23" s="2">
        <v>53.43</v>
      </c>
      <c r="G23" s="2">
        <v>54.15</v>
      </c>
      <c r="H23" s="2">
        <v>59.73</v>
      </c>
      <c r="I23" s="2">
        <v>58.52</v>
      </c>
      <c r="J23" s="2">
        <v>62.3</v>
      </c>
      <c r="K23" s="2">
        <v>65.94</v>
      </c>
      <c r="L23" s="2">
        <v>58.65</v>
      </c>
      <c r="M23" s="2">
        <v>65.489999999999995</v>
      </c>
      <c r="N23" s="2">
        <v>59.01</v>
      </c>
      <c r="O23" s="2">
        <v>63.65</v>
      </c>
      <c r="P23" s="2">
        <v>61.23</v>
      </c>
      <c r="Q23" s="2">
        <v>66.67</v>
      </c>
      <c r="R23" s="2">
        <v>62.56</v>
      </c>
      <c r="S23" s="2">
        <v>68.150000000000006</v>
      </c>
      <c r="T23" s="2">
        <v>65.239999999999995</v>
      </c>
      <c r="U23" s="2">
        <v>69.56</v>
      </c>
      <c r="V23">
        <f t="shared" ref="V23:V29" si="2">AVERAGE(B23:U23)</f>
        <v>60.380999999999993</v>
      </c>
    </row>
    <row r="24" spans="1:22" x14ac:dyDescent="0.3">
      <c r="A24" s="1" t="s">
        <v>23</v>
      </c>
      <c r="B24" s="2">
        <v>25.51</v>
      </c>
      <c r="C24" s="2">
        <v>54.87</v>
      </c>
      <c r="D24" s="2">
        <v>25.08</v>
      </c>
      <c r="E24" s="2">
        <v>54.96</v>
      </c>
      <c r="F24" s="2">
        <v>35.380000000000003</v>
      </c>
      <c r="G24" s="2">
        <v>38.51</v>
      </c>
      <c r="H24" s="2">
        <v>39.5</v>
      </c>
      <c r="I24" s="2">
        <v>55.25</v>
      </c>
      <c r="J24" s="2">
        <v>38.57</v>
      </c>
      <c r="K24" s="2">
        <v>61.19</v>
      </c>
      <c r="L24" s="2">
        <v>37.86</v>
      </c>
      <c r="M24" s="2">
        <v>60.97</v>
      </c>
      <c r="N24" s="2">
        <v>38.58</v>
      </c>
      <c r="O24" s="2">
        <v>60.3</v>
      </c>
      <c r="P24" s="2">
        <v>39.1</v>
      </c>
      <c r="Q24" s="2">
        <v>62.25</v>
      </c>
      <c r="R24" s="2">
        <v>57.96</v>
      </c>
      <c r="S24" s="2">
        <v>65.87</v>
      </c>
      <c r="T24" s="2">
        <v>66.36</v>
      </c>
      <c r="U24" s="2">
        <v>67.959999999999994</v>
      </c>
      <c r="V24">
        <f t="shared" si="2"/>
        <v>49.301500000000004</v>
      </c>
    </row>
    <row r="25" spans="1:22" x14ac:dyDescent="0.3">
      <c r="A25" s="1" t="s">
        <v>24</v>
      </c>
      <c r="B25" s="2">
        <v>36.04</v>
      </c>
      <c r="C25" s="2">
        <v>53.75</v>
      </c>
      <c r="D25" s="2">
        <v>37.020000000000003</v>
      </c>
      <c r="E25" s="2">
        <v>54.85</v>
      </c>
      <c r="F25" s="2">
        <v>37.17</v>
      </c>
      <c r="G25" s="2">
        <v>32.200000000000003</v>
      </c>
      <c r="H25" s="2">
        <v>41.84</v>
      </c>
      <c r="I25" s="2">
        <v>52.87</v>
      </c>
      <c r="J25" s="2">
        <v>43.74</v>
      </c>
      <c r="K25" s="2">
        <v>59.58</v>
      </c>
      <c r="L25" s="2">
        <v>43.72</v>
      </c>
      <c r="M25" s="2">
        <v>60.77</v>
      </c>
      <c r="N25" s="2">
        <v>43.65</v>
      </c>
      <c r="O25" s="2">
        <v>60.46</v>
      </c>
      <c r="P25" s="2">
        <v>48.64</v>
      </c>
      <c r="Q25" s="2">
        <v>62.76</v>
      </c>
      <c r="R25" s="2">
        <v>62.96</v>
      </c>
      <c r="S25" s="2">
        <v>64.89</v>
      </c>
      <c r="T25" s="2">
        <v>65.3</v>
      </c>
      <c r="U25" s="2">
        <v>66.459999999999994</v>
      </c>
      <c r="V25">
        <f t="shared" si="2"/>
        <v>51.433499999999995</v>
      </c>
    </row>
    <row r="26" spans="1:22" x14ac:dyDescent="0.3">
      <c r="A26" s="1" t="s">
        <v>25</v>
      </c>
      <c r="B26" s="2">
        <v>38.729999999999997</v>
      </c>
      <c r="C26" s="2">
        <v>40.08</v>
      </c>
      <c r="D26" s="2">
        <v>38.64</v>
      </c>
      <c r="E26" s="2">
        <v>51.75</v>
      </c>
      <c r="F26" s="2">
        <v>39.29</v>
      </c>
      <c r="G26" s="2">
        <v>39.04</v>
      </c>
      <c r="H26" s="2">
        <v>61.33</v>
      </c>
      <c r="I26" s="2">
        <v>45.38</v>
      </c>
      <c r="J26" s="2">
        <v>50.84</v>
      </c>
      <c r="K26" s="2">
        <v>47.7</v>
      </c>
      <c r="L26" s="2">
        <v>55.27</v>
      </c>
      <c r="M26" s="2">
        <v>58.37</v>
      </c>
      <c r="N26" s="2">
        <v>58.69</v>
      </c>
      <c r="O26" s="2">
        <v>60.4</v>
      </c>
      <c r="P26" s="2">
        <v>61.29</v>
      </c>
      <c r="Q26" s="2">
        <v>62.9</v>
      </c>
      <c r="R26" s="2">
        <v>63.35</v>
      </c>
      <c r="S26" s="2">
        <v>66.17</v>
      </c>
      <c r="T26" s="2">
        <v>65.510000000000005</v>
      </c>
      <c r="U26" s="2">
        <v>67.88</v>
      </c>
      <c r="V26">
        <f t="shared" si="2"/>
        <v>53.630499999999984</v>
      </c>
    </row>
    <row r="27" spans="1:22" x14ac:dyDescent="0.3">
      <c r="A27" s="1" t="s">
        <v>26</v>
      </c>
      <c r="B27" s="2">
        <v>37.770000000000003</v>
      </c>
      <c r="C27" s="2">
        <v>34.36</v>
      </c>
      <c r="D27" s="2">
        <v>36.35</v>
      </c>
      <c r="E27" s="2">
        <v>36.72</v>
      </c>
      <c r="F27" s="2">
        <v>38.869999999999997</v>
      </c>
      <c r="G27" s="2">
        <v>38.49</v>
      </c>
      <c r="H27" s="2">
        <v>59.68</v>
      </c>
      <c r="I27" s="2">
        <v>45.03</v>
      </c>
      <c r="J27" s="2">
        <v>63.59</v>
      </c>
      <c r="K27" s="2">
        <v>43.83</v>
      </c>
      <c r="L27" s="2">
        <v>60.33</v>
      </c>
      <c r="M27" s="2">
        <v>43.41</v>
      </c>
      <c r="N27" s="2">
        <v>60.74</v>
      </c>
      <c r="O27" s="2">
        <v>48.48</v>
      </c>
      <c r="P27" s="2">
        <v>61.02</v>
      </c>
      <c r="Q27" s="2">
        <v>48.38</v>
      </c>
      <c r="R27" s="2">
        <v>62.64</v>
      </c>
      <c r="S27" s="2">
        <v>53.38</v>
      </c>
      <c r="T27" s="2">
        <v>65.06</v>
      </c>
      <c r="U27" s="2">
        <v>66.819999999999993</v>
      </c>
      <c r="V27">
        <f t="shared" si="2"/>
        <v>50.247499999999988</v>
      </c>
    </row>
    <row r="28" spans="1:22" x14ac:dyDescent="0.3">
      <c r="A28" s="1" t="s">
        <v>27</v>
      </c>
      <c r="B28" s="2">
        <v>26.68</v>
      </c>
      <c r="C28" s="2">
        <v>26.37</v>
      </c>
      <c r="D28" s="2">
        <v>38.630000000000003</v>
      </c>
      <c r="E28" s="2">
        <v>27.47</v>
      </c>
      <c r="F28" s="2">
        <v>41.1</v>
      </c>
      <c r="G28" s="2">
        <v>27.11</v>
      </c>
      <c r="H28" s="2">
        <v>52.77</v>
      </c>
      <c r="I28" s="2">
        <v>40.97</v>
      </c>
      <c r="J28" s="2">
        <v>59.9</v>
      </c>
      <c r="K28" s="2">
        <v>30.98</v>
      </c>
      <c r="L28" s="2">
        <v>57.4</v>
      </c>
      <c r="M28" s="2">
        <v>38.75</v>
      </c>
      <c r="N28" s="2">
        <v>57.33</v>
      </c>
      <c r="O28" s="2">
        <v>42.16</v>
      </c>
      <c r="P28" s="2">
        <v>54.27</v>
      </c>
      <c r="Q28" s="2">
        <v>47.87</v>
      </c>
      <c r="R28" s="2">
        <v>61.4</v>
      </c>
      <c r="S28" s="2">
        <v>60.54</v>
      </c>
      <c r="T28" s="2">
        <v>63.85</v>
      </c>
      <c r="U28" s="2">
        <v>64.459999999999994</v>
      </c>
      <c r="V28">
        <f t="shared" si="2"/>
        <v>46.000500000000002</v>
      </c>
    </row>
    <row r="29" spans="1:22" x14ac:dyDescent="0.3">
      <c r="A29" s="1" t="s">
        <v>28</v>
      </c>
      <c r="B29" s="2">
        <v>52.98</v>
      </c>
      <c r="C29" s="2">
        <v>49.41</v>
      </c>
      <c r="D29" s="2">
        <v>54.96</v>
      </c>
      <c r="E29" s="2">
        <v>54.94</v>
      </c>
      <c r="F29" s="2">
        <v>54.97</v>
      </c>
      <c r="G29" s="2">
        <v>54.89</v>
      </c>
      <c r="H29" s="2">
        <v>64.95</v>
      </c>
      <c r="I29" s="2">
        <v>51.6</v>
      </c>
      <c r="J29" s="2">
        <v>66.489999999999995</v>
      </c>
      <c r="K29" s="2">
        <v>54.66</v>
      </c>
      <c r="L29" s="2">
        <v>60.34</v>
      </c>
      <c r="M29" s="2">
        <v>54.57</v>
      </c>
      <c r="N29" s="2">
        <v>57.74</v>
      </c>
      <c r="O29" s="2">
        <v>58.04</v>
      </c>
      <c r="P29" s="2">
        <v>60.98</v>
      </c>
      <c r="Q29" s="2">
        <v>62.94</v>
      </c>
      <c r="R29" s="2">
        <v>63.02</v>
      </c>
      <c r="S29" s="2">
        <v>66.260000000000005</v>
      </c>
      <c r="T29" s="2">
        <v>65.650000000000006</v>
      </c>
      <c r="U29" s="2">
        <v>67.989999999999995</v>
      </c>
      <c r="V29">
        <f t="shared" si="2"/>
        <v>58.869000000000007</v>
      </c>
    </row>
    <row r="31" spans="1:22" x14ac:dyDescent="0.3">
      <c r="B31">
        <v>2025</v>
      </c>
    </row>
    <row r="32" spans="1:22" x14ac:dyDescent="0.3">
      <c r="A32" s="1" t="s">
        <v>21</v>
      </c>
      <c r="B32" s="2">
        <v>54.99</v>
      </c>
      <c r="C32" s="2">
        <v>54.99</v>
      </c>
      <c r="D32" s="2">
        <v>54.99</v>
      </c>
      <c r="E32" s="2">
        <v>54.99</v>
      </c>
      <c r="F32" s="2">
        <v>54.99</v>
      </c>
      <c r="G32" s="2">
        <v>54.99</v>
      </c>
      <c r="H32" s="2">
        <v>64.989999999999995</v>
      </c>
      <c r="I32" s="2">
        <v>62.52</v>
      </c>
      <c r="J32" s="2">
        <v>68.2</v>
      </c>
      <c r="K32" s="2">
        <v>67.180000000000007</v>
      </c>
      <c r="L32" s="2">
        <v>64.930000000000007</v>
      </c>
      <c r="M32" s="2">
        <v>67.48</v>
      </c>
      <c r="N32" s="2">
        <v>64.849999999999994</v>
      </c>
      <c r="O32" s="2">
        <v>67.98</v>
      </c>
      <c r="P32" s="2">
        <v>66.709999999999994</v>
      </c>
      <c r="Q32" s="2">
        <v>67.75</v>
      </c>
      <c r="R32" s="2">
        <v>68.08</v>
      </c>
      <c r="S32" s="2">
        <v>69.58</v>
      </c>
      <c r="T32" s="2">
        <v>67.989999999999995</v>
      </c>
      <c r="U32" s="2">
        <v>69.47</v>
      </c>
      <c r="V32">
        <f>AVERAGE(B32:U32)</f>
        <v>63.382500000000007</v>
      </c>
    </row>
    <row r="33" spans="1:22" x14ac:dyDescent="0.3">
      <c r="A33" s="1" t="s">
        <v>22</v>
      </c>
      <c r="B33" s="2">
        <v>53.86</v>
      </c>
      <c r="C33" s="2">
        <v>54.91</v>
      </c>
      <c r="D33" s="2">
        <v>54.47</v>
      </c>
      <c r="E33" s="2">
        <v>54.95</v>
      </c>
      <c r="F33" s="2">
        <v>54.6</v>
      </c>
      <c r="G33" s="2">
        <v>54.79</v>
      </c>
      <c r="H33" s="2">
        <v>63.6</v>
      </c>
      <c r="I33" s="2">
        <v>63.24</v>
      </c>
      <c r="J33" s="2">
        <v>67.63</v>
      </c>
      <c r="K33" s="2">
        <v>68.790000000000006</v>
      </c>
      <c r="L33" s="2">
        <v>66.430000000000007</v>
      </c>
      <c r="M33" s="2">
        <v>68.66</v>
      </c>
      <c r="N33" s="2">
        <v>66.69</v>
      </c>
      <c r="O33" s="2">
        <v>68.180000000000007</v>
      </c>
      <c r="P33" s="2">
        <v>67.39</v>
      </c>
      <c r="Q33" s="2">
        <v>69.06</v>
      </c>
      <c r="R33" s="2">
        <v>67.709999999999994</v>
      </c>
      <c r="S33" s="2">
        <v>69.459999999999994</v>
      </c>
      <c r="T33" s="2">
        <v>68.67</v>
      </c>
      <c r="U33" s="2">
        <v>69.88</v>
      </c>
      <c r="V33">
        <f t="shared" ref="V33:V39" si="3">AVERAGE(B33:U33)</f>
        <v>63.648500000000013</v>
      </c>
    </row>
    <row r="34" spans="1:22" x14ac:dyDescent="0.3">
      <c r="A34" s="1" t="s">
        <v>23</v>
      </c>
      <c r="B34" s="2">
        <v>38.799999999999997</v>
      </c>
      <c r="C34" s="2">
        <v>54.96</v>
      </c>
      <c r="D34" s="2">
        <v>30.41</v>
      </c>
      <c r="E34" s="2">
        <v>54.98</v>
      </c>
      <c r="F34" s="2">
        <v>42.91</v>
      </c>
      <c r="G34" s="2">
        <v>34.08</v>
      </c>
      <c r="H34" s="2">
        <v>50.71</v>
      </c>
      <c r="I34" s="2">
        <v>62.24</v>
      </c>
      <c r="J34" s="2">
        <v>49.52</v>
      </c>
      <c r="K34" s="2">
        <v>67.239999999999995</v>
      </c>
      <c r="L34" s="2">
        <v>45.85</v>
      </c>
      <c r="M34" s="2">
        <v>67.2</v>
      </c>
      <c r="N34" s="2">
        <v>39.86</v>
      </c>
      <c r="O34" s="2">
        <v>67.11</v>
      </c>
      <c r="P34" s="2">
        <v>43.96</v>
      </c>
      <c r="Q34" s="2">
        <v>67.72</v>
      </c>
      <c r="R34" s="2">
        <v>65.98</v>
      </c>
      <c r="S34" s="2">
        <v>68.760000000000005</v>
      </c>
      <c r="T34" s="2">
        <v>68.989999999999995</v>
      </c>
      <c r="U34" s="2">
        <v>69.44</v>
      </c>
      <c r="V34">
        <f t="shared" si="3"/>
        <v>54.536000000000001</v>
      </c>
    </row>
    <row r="35" spans="1:22" x14ac:dyDescent="0.3">
      <c r="A35" s="1" t="s">
        <v>24</v>
      </c>
      <c r="B35" s="2">
        <v>36.53</v>
      </c>
      <c r="C35" s="2">
        <v>54.64</v>
      </c>
      <c r="D35" s="2">
        <v>37.4</v>
      </c>
      <c r="E35" s="2">
        <v>54.96</v>
      </c>
      <c r="F35" s="2">
        <v>37.36</v>
      </c>
      <c r="G35" s="2">
        <v>36.840000000000003</v>
      </c>
      <c r="H35" s="2">
        <v>54.46</v>
      </c>
      <c r="I35" s="2">
        <v>61.45</v>
      </c>
      <c r="J35" s="2">
        <v>53.81</v>
      </c>
      <c r="K35" s="2">
        <v>66.67</v>
      </c>
      <c r="L35" s="2">
        <v>52.01</v>
      </c>
      <c r="M35" s="2">
        <v>67.12</v>
      </c>
      <c r="N35" s="2">
        <v>52.09</v>
      </c>
      <c r="O35" s="2">
        <v>67.150000000000006</v>
      </c>
      <c r="P35" s="2">
        <v>62.29</v>
      </c>
      <c r="Q35" s="2">
        <v>67.87</v>
      </c>
      <c r="R35" s="2">
        <v>67.83</v>
      </c>
      <c r="S35" s="2">
        <v>68.45</v>
      </c>
      <c r="T35" s="2">
        <v>68.67</v>
      </c>
      <c r="U35" s="2">
        <v>69.010000000000005</v>
      </c>
      <c r="V35">
        <f t="shared" si="3"/>
        <v>56.830500000000008</v>
      </c>
    </row>
    <row r="36" spans="1:22" x14ac:dyDescent="0.3">
      <c r="A36" s="1" t="s">
        <v>25</v>
      </c>
      <c r="B36" s="2">
        <v>39.58</v>
      </c>
      <c r="C36" s="2">
        <v>49.08</v>
      </c>
      <c r="D36" s="2">
        <v>48.92</v>
      </c>
      <c r="E36" s="2">
        <v>54.23</v>
      </c>
      <c r="F36" s="2">
        <v>47.94</v>
      </c>
      <c r="G36" s="2">
        <v>39.06</v>
      </c>
      <c r="H36" s="2">
        <v>64.040000000000006</v>
      </c>
      <c r="I36" s="2">
        <v>57.9</v>
      </c>
      <c r="J36" s="2">
        <v>63.24</v>
      </c>
      <c r="K36" s="2">
        <v>61.35</v>
      </c>
      <c r="L36" s="2">
        <v>65.14</v>
      </c>
      <c r="M36" s="2">
        <v>66.290000000000006</v>
      </c>
      <c r="N36" s="2">
        <v>66.569999999999993</v>
      </c>
      <c r="O36" s="2">
        <v>67.150000000000006</v>
      </c>
      <c r="P36" s="2">
        <v>67.400000000000006</v>
      </c>
      <c r="Q36" s="2">
        <v>67.92</v>
      </c>
      <c r="R36" s="2">
        <v>67.959999999999994</v>
      </c>
      <c r="S36" s="2">
        <v>68.86</v>
      </c>
      <c r="T36" s="2">
        <v>68.739999999999995</v>
      </c>
      <c r="U36" s="2">
        <v>69.42</v>
      </c>
      <c r="V36">
        <f t="shared" si="3"/>
        <v>60.039499999999997</v>
      </c>
    </row>
    <row r="37" spans="1:22" x14ac:dyDescent="0.3">
      <c r="A37" s="1" t="s">
        <v>26</v>
      </c>
      <c r="B37" s="2">
        <v>38.32</v>
      </c>
      <c r="C37" s="2">
        <v>38.57</v>
      </c>
      <c r="D37" s="2">
        <v>49.21</v>
      </c>
      <c r="E37" s="2">
        <v>42.94</v>
      </c>
      <c r="F37" s="2">
        <v>39.659999999999997</v>
      </c>
      <c r="G37" s="2">
        <v>40.01</v>
      </c>
      <c r="H37" s="2">
        <v>63.58</v>
      </c>
      <c r="I37" s="2">
        <v>47.04</v>
      </c>
      <c r="J37" s="2">
        <v>68.05</v>
      </c>
      <c r="K37" s="2">
        <v>49.36</v>
      </c>
      <c r="L37" s="2">
        <v>67.02</v>
      </c>
      <c r="M37" s="2">
        <v>58.06</v>
      </c>
      <c r="N37" s="2">
        <v>67.290000000000006</v>
      </c>
      <c r="O37" s="2">
        <v>62.84</v>
      </c>
      <c r="P37" s="2">
        <v>67.349999999999994</v>
      </c>
      <c r="Q37" s="2">
        <v>62.76</v>
      </c>
      <c r="R37" s="2">
        <v>67.75</v>
      </c>
      <c r="S37" s="2">
        <v>64.47</v>
      </c>
      <c r="T37" s="2">
        <v>68.62</v>
      </c>
      <c r="U37" s="2">
        <v>69.13</v>
      </c>
      <c r="V37">
        <f t="shared" si="3"/>
        <v>56.601500000000009</v>
      </c>
    </row>
    <row r="38" spans="1:22" x14ac:dyDescent="0.3">
      <c r="A38" s="1" t="s">
        <v>27</v>
      </c>
      <c r="B38" s="2">
        <v>34.4</v>
      </c>
      <c r="C38" s="2">
        <v>36.81</v>
      </c>
      <c r="D38" s="2">
        <v>50.34</v>
      </c>
      <c r="E38" s="2">
        <v>44.92</v>
      </c>
      <c r="F38" s="2">
        <v>41.96</v>
      </c>
      <c r="G38" s="2">
        <v>37.35</v>
      </c>
      <c r="H38" s="2">
        <v>61.49</v>
      </c>
      <c r="I38" s="2">
        <v>41.09</v>
      </c>
      <c r="J38" s="2">
        <v>66.83</v>
      </c>
      <c r="K38" s="2">
        <v>38.82</v>
      </c>
      <c r="L38" s="2">
        <v>66.03</v>
      </c>
      <c r="M38" s="2">
        <v>47.02</v>
      </c>
      <c r="N38" s="2">
        <v>66.17</v>
      </c>
      <c r="O38" s="2">
        <v>55.4</v>
      </c>
      <c r="P38" s="2">
        <v>64.959999999999994</v>
      </c>
      <c r="Q38" s="2">
        <v>62.55</v>
      </c>
      <c r="R38" s="2">
        <v>67.349999999999994</v>
      </c>
      <c r="S38" s="2">
        <v>67.06</v>
      </c>
      <c r="T38" s="2">
        <v>68.27</v>
      </c>
      <c r="U38" s="2">
        <v>68.45</v>
      </c>
      <c r="V38">
        <f t="shared" si="3"/>
        <v>54.363500000000002</v>
      </c>
    </row>
    <row r="39" spans="1:22" x14ac:dyDescent="0.3">
      <c r="A39" s="1" t="s">
        <v>28</v>
      </c>
      <c r="B39" s="2">
        <v>54.42</v>
      </c>
      <c r="C39" s="2">
        <v>53.31</v>
      </c>
      <c r="D39" s="2">
        <v>54.97</v>
      </c>
      <c r="E39" s="2">
        <v>54.96</v>
      </c>
      <c r="F39" s="2">
        <v>54.99</v>
      </c>
      <c r="G39" s="2">
        <v>54.96</v>
      </c>
      <c r="H39" s="2">
        <v>64.989999999999995</v>
      </c>
      <c r="I39" s="2">
        <v>58.38</v>
      </c>
      <c r="J39" s="2">
        <v>68.959999999999994</v>
      </c>
      <c r="K39" s="2">
        <v>61.77</v>
      </c>
      <c r="L39" s="2">
        <v>66.959999999999994</v>
      </c>
      <c r="M39" s="2">
        <v>62.94</v>
      </c>
      <c r="N39" s="2">
        <v>66.209999999999994</v>
      </c>
      <c r="O39" s="2">
        <v>66.34</v>
      </c>
      <c r="P39" s="2">
        <v>67.28</v>
      </c>
      <c r="Q39" s="2">
        <v>67.92</v>
      </c>
      <c r="R39" s="2">
        <v>67.900000000000006</v>
      </c>
      <c r="S39" s="2">
        <v>68.88</v>
      </c>
      <c r="T39" s="2">
        <v>68.77</v>
      </c>
      <c r="U39" s="2">
        <v>69.45</v>
      </c>
      <c r="V39">
        <f t="shared" si="3"/>
        <v>62.717999999999996</v>
      </c>
    </row>
  </sheetData>
  <conditionalFormatting sqref="B2:U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9CE9F-D287-4BA7-92D1-91E60E66AAE5}">
  <dimension ref="B3:BN71"/>
  <sheetViews>
    <sheetView topLeftCell="A32" zoomScale="55" workbookViewId="0">
      <selection activeCell="Z57" sqref="Z57"/>
    </sheetView>
  </sheetViews>
  <sheetFormatPr defaultRowHeight="14.4" x14ac:dyDescent="0.3"/>
  <sheetData>
    <row r="3" spans="2:66" x14ac:dyDescent="0.3">
      <c r="B3" t="s">
        <v>78</v>
      </c>
    </row>
    <row r="4" spans="2:66" x14ac:dyDescent="0.3">
      <c r="B4" t="s">
        <v>75</v>
      </c>
      <c r="X4" t="s">
        <v>76</v>
      </c>
      <c r="AT4" t="s">
        <v>77</v>
      </c>
    </row>
    <row r="5" spans="2:66" x14ac:dyDescent="0.3">
      <c r="B5" s="1" t="s">
        <v>16</v>
      </c>
      <c r="C5" s="1" t="s">
        <v>17</v>
      </c>
      <c r="D5" s="1" t="s">
        <v>18</v>
      </c>
      <c r="E5" s="1" t="s">
        <v>17</v>
      </c>
      <c r="F5" s="1" t="s">
        <v>18</v>
      </c>
      <c r="G5" s="1" t="s">
        <v>17</v>
      </c>
      <c r="H5" s="1" t="s">
        <v>18</v>
      </c>
      <c r="I5" s="1" t="s">
        <v>17</v>
      </c>
      <c r="J5" s="1" t="s">
        <v>18</v>
      </c>
      <c r="K5" s="1" t="s">
        <v>17</v>
      </c>
      <c r="L5" s="1" t="s">
        <v>18</v>
      </c>
      <c r="M5" s="1" t="s">
        <v>17</v>
      </c>
      <c r="N5" s="1" t="s">
        <v>18</v>
      </c>
      <c r="O5" s="1" t="s">
        <v>17</v>
      </c>
      <c r="P5" s="1" t="s">
        <v>18</v>
      </c>
      <c r="Q5" s="1" t="s">
        <v>17</v>
      </c>
      <c r="R5" s="1" t="s">
        <v>18</v>
      </c>
      <c r="S5" s="1" t="s">
        <v>17</v>
      </c>
      <c r="T5" s="1" t="s">
        <v>18</v>
      </c>
      <c r="U5" s="1" t="s">
        <v>17</v>
      </c>
      <c r="V5" s="1" t="s">
        <v>18</v>
      </c>
      <c r="X5" s="1" t="s">
        <v>16</v>
      </c>
      <c r="Y5" s="1" t="s">
        <v>17</v>
      </c>
      <c r="Z5" s="1" t="s">
        <v>18</v>
      </c>
      <c r="AA5" s="1" t="s">
        <v>17</v>
      </c>
      <c r="AB5" s="1" t="s">
        <v>18</v>
      </c>
      <c r="AC5" s="1" t="s">
        <v>17</v>
      </c>
      <c r="AD5" s="1" t="s">
        <v>18</v>
      </c>
      <c r="AE5" s="1" t="s">
        <v>17</v>
      </c>
      <c r="AF5" s="1" t="s">
        <v>18</v>
      </c>
      <c r="AG5" s="1" t="s">
        <v>17</v>
      </c>
      <c r="AH5" s="1" t="s">
        <v>18</v>
      </c>
      <c r="AI5" s="1" t="s">
        <v>17</v>
      </c>
      <c r="AJ5" s="1" t="s">
        <v>18</v>
      </c>
      <c r="AK5" s="1" t="s">
        <v>17</v>
      </c>
      <c r="AL5" s="1" t="s">
        <v>18</v>
      </c>
      <c r="AM5" s="1" t="s">
        <v>17</v>
      </c>
      <c r="AN5" s="1" t="s">
        <v>18</v>
      </c>
      <c r="AO5" s="1" t="s">
        <v>17</v>
      </c>
      <c r="AP5" s="1" t="s">
        <v>18</v>
      </c>
      <c r="AQ5" s="1" t="s">
        <v>17</v>
      </c>
      <c r="AR5" s="1" t="s">
        <v>18</v>
      </c>
      <c r="AT5" s="1" t="s">
        <v>16</v>
      </c>
      <c r="AU5" s="1" t="s">
        <v>17</v>
      </c>
      <c r="AV5" s="1" t="s">
        <v>18</v>
      </c>
      <c r="AW5" s="1" t="s">
        <v>17</v>
      </c>
      <c r="AX5" s="1" t="s">
        <v>18</v>
      </c>
      <c r="AY5" s="1" t="s">
        <v>17</v>
      </c>
      <c r="AZ5" s="1" t="s">
        <v>18</v>
      </c>
      <c r="BA5" s="1" t="s">
        <v>17</v>
      </c>
      <c r="BB5" s="1" t="s">
        <v>18</v>
      </c>
      <c r="BC5" s="1" t="s">
        <v>17</v>
      </c>
      <c r="BD5" s="1" t="s">
        <v>18</v>
      </c>
      <c r="BE5" s="1" t="s">
        <v>17</v>
      </c>
      <c r="BF5" s="1" t="s">
        <v>18</v>
      </c>
      <c r="BG5" s="1" t="s">
        <v>17</v>
      </c>
      <c r="BH5" s="1" t="s">
        <v>18</v>
      </c>
      <c r="BI5" s="1" t="s">
        <v>17</v>
      </c>
      <c r="BJ5" s="1" t="s">
        <v>18</v>
      </c>
      <c r="BK5" s="1" t="s">
        <v>17</v>
      </c>
      <c r="BL5" s="1" t="s">
        <v>18</v>
      </c>
      <c r="BM5" s="1" t="s">
        <v>17</v>
      </c>
      <c r="BN5" s="1" t="s">
        <v>18</v>
      </c>
    </row>
    <row r="6" spans="2:66" x14ac:dyDescent="0.3">
      <c r="B6" s="1" t="s">
        <v>19</v>
      </c>
      <c r="C6" s="1" t="s">
        <v>1</v>
      </c>
      <c r="D6" s="1" t="s">
        <v>1</v>
      </c>
      <c r="E6" s="1" t="s">
        <v>2</v>
      </c>
      <c r="F6" s="1" t="s">
        <v>2</v>
      </c>
      <c r="G6" s="1" t="s">
        <v>3</v>
      </c>
      <c r="H6" s="1" t="s">
        <v>3</v>
      </c>
      <c r="I6" s="1" t="s">
        <v>4</v>
      </c>
      <c r="J6" s="1" t="s">
        <v>4</v>
      </c>
      <c r="K6" s="1" t="s">
        <v>5</v>
      </c>
      <c r="L6" s="1" t="s">
        <v>5</v>
      </c>
      <c r="M6" s="1" t="s">
        <v>6</v>
      </c>
      <c r="N6" s="1" t="s">
        <v>6</v>
      </c>
      <c r="O6" s="1" t="s">
        <v>7</v>
      </c>
      <c r="P6" s="1" t="s">
        <v>7</v>
      </c>
      <c r="Q6" s="1" t="s">
        <v>8</v>
      </c>
      <c r="R6" s="1" t="s">
        <v>8</v>
      </c>
      <c r="S6" s="1" t="s">
        <v>9</v>
      </c>
      <c r="T6" s="1" t="s">
        <v>9</v>
      </c>
      <c r="U6" s="1" t="s">
        <v>10</v>
      </c>
      <c r="V6" s="1" t="s">
        <v>10</v>
      </c>
      <c r="X6" s="1" t="s">
        <v>19</v>
      </c>
      <c r="Y6" s="1" t="s">
        <v>1</v>
      </c>
      <c r="Z6" s="1" t="s">
        <v>1</v>
      </c>
      <c r="AA6" s="1" t="s">
        <v>2</v>
      </c>
      <c r="AB6" s="1" t="s">
        <v>2</v>
      </c>
      <c r="AC6" s="1" t="s">
        <v>3</v>
      </c>
      <c r="AD6" s="1" t="s">
        <v>3</v>
      </c>
      <c r="AE6" s="1" t="s">
        <v>4</v>
      </c>
      <c r="AF6" s="1" t="s">
        <v>4</v>
      </c>
      <c r="AG6" s="1" t="s">
        <v>5</v>
      </c>
      <c r="AH6" s="1" t="s">
        <v>5</v>
      </c>
      <c r="AI6" s="1" t="s">
        <v>6</v>
      </c>
      <c r="AJ6" s="1" t="s">
        <v>6</v>
      </c>
      <c r="AK6" s="1" t="s">
        <v>7</v>
      </c>
      <c r="AL6" s="1" t="s">
        <v>7</v>
      </c>
      <c r="AM6" s="1" t="s">
        <v>8</v>
      </c>
      <c r="AN6" s="1" t="s">
        <v>8</v>
      </c>
      <c r="AO6" s="1" t="s">
        <v>9</v>
      </c>
      <c r="AP6" s="1" t="s">
        <v>9</v>
      </c>
      <c r="AQ6" s="1" t="s">
        <v>10</v>
      </c>
      <c r="AR6" s="1" t="s">
        <v>10</v>
      </c>
      <c r="AT6" s="1" t="s">
        <v>19</v>
      </c>
      <c r="AU6" s="1" t="s">
        <v>1</v>
      </c>
      <c r="AV6" s="1" t="s">
        <v>1</v>
      </c>
      <c r="AW6" s="1" t="s">
        <v>2</v>
      </c>
      <c r="AX6" s="1" t="s">
        <v>2</v>
      </c>
      <c r="AY6" s="1" t="s">
        <v>3</v>
      </c>
      <c r="AZ6" s="1" t="s">
        <v>3</v>
      </c>
      <c r="BA6" s="1" t="s">
        <v>4</v>
      </c>
      <c r="BB6" s="1" t="s">
        <v>4</v>
      </c>
      <c r="BC6" s="1" t="s">
        <v>5</v>
      </c>
      <c r="BD6" s="1" t="s">
        <v>5</v>
      </c>
      <c r="BE6" s="1" t="s">
        <v>6</v>
      </c>
      <c r="BF6" s="1" t="s">
        <v>6</v>
      </c>
      <c r="BG6" s="1" t="s">
        <v>7</v>
      </c>
      <c r="BH6" s="1" t="s">
        <v>7</v>
      </c>
      <c r="BI6" s="1" t="s">
        <v>8</v>
      </c>
      <c r="BJ6" s="1" t="s">
        <v>8</v>
      </c>
      <c r="BK6" s="1" t="s">
        <v>9</v>
      </c>
      <c r="BL6" s="1" t="s">
        <v>9</v>
      </c>
      <c r="BM6" s="1" t="s">
        <v>10</v>
      </c>
      <c r="BN6" s="1" t="s">
        <v>10</v>
      </c>
    </row>
    <row r="7" spans="2:66" x14ac:dyDescent="0.3">
      <c r="B7" s="1" t="s">
        <v>20</v>
      </c>
      <c r="X7" s="1" t="s">
        <v>20</v>
      </c>
      <c r="AT7" s="1" t="s">
        <v>20</v>
      </c>
    </row>
    <row r="8" spans="2:66" x14ac:dyDescent="0.3">
      <c r="B8" s="1" t="s">
        <v>21</v>
      </c>
      <c r="C8" s="4">
        <f>Year_2032!C93/Year_2025!C93-1</f>
        <v>0.23460820895522394</v>
      </c>
      <c r="D8" s="4">
        <f>Year_2032!D93/Year_2025!D93-1</f>
        <v>0.23473164713140027</v>
      </c>
      <c r="E8" s="4">
        <f>Year_2032!E93/Year_2025!E93-1</f>
        <v>0.27805527805527808</v>
      </c>
      <c r="F8" s="4">
        <f>Year_2032!F93/Year_2025!F93-1</f>
        <v>0.27876823338735823</v>
      </c>
      <c r="G8" s="4">
        <f>Year_2032!G93/Year_2025!G93-1</f>
        <v>0.26301218161683271</v>
      </c>
      <c r="H8" s="4">
        <f>Year_2032!H93/Year_2025!H93-1</f>
        <v>0.26307277628032333</v>
      </c>
      <c r="I8" s="4">
        <f>Year_2032!I93/Year_2025!I93-1</f>
        <v>0.25737100737100715</v>
      </c>
      <c r="J8" s="4">
        <f>Year_2032!J93/Year_2025!J93-1</f>
        <v>0.41467725026209368</v>
      </c>
      <c r="K8" s="4">
        <f>Year_2032!K93/Year_2025!K93-1</f>
        <v>0.38523944184321546</v>
      </c>
      <c r="L8" s="4">
        <f>Year_2032!L93/Year_2025!L93-1</f>
        <v>0.38532505811027784</v>
      </c>
      <c r="M8" s="4">
        <f>Year_2032!M93/Year_2025!M93-1</f>
        <v>0.38715427011174586</v>
      </c>
      <c r="N8" s="4">
        <f>Year_2032!N93/Year_2025!N93-1</f>
        <v>0.38714165317779892</v>
      </c>
      <c r="O8" s="4">
        <f>Year_2032!O93/Year_2025!O93-1</f>
        <v>0.39934163815916857</v>
      </c>
      <c r="P8" s="4">
        <f>Year_2032!P93/Year_2025!P93-1</f>
        <v>0.39948686273578193</v>
      </c>
      <c r="Q8" s="4">
        <f>Year_2032!Q93/Year_2025!Q93-1</f>
        <v>0.39613811357074113</v>
      </c>
      <c r="R8" s="4">
        <f>Year_2032!R93/Year_2025!R93-1</f>
        <v>0.39639450142908395</v>
      </c>
      <c r="S8" s="4">
        <f>Year_2032!S93/Year_2025!S93-1</f>
        <v>0.38466634070943018</v>
      </c>
      <c r="T8" s="4">
        <f>Year_2032!T93/Year_2025!T93-1</f>
        <v>0.38420466851161117</v>
      </c>
      <c r="U8" s="4">
        <f>Year_2032!U93/Year_2025!U93-1</f>
        <v>0.39960117043450394</v>
      </c>
      <c r="V8" s="4">
        <f>Year_2032!V93/Year_2025!V93-1</f>
        <v>0.3992283920240931</v>
      </c>
      <c r="X8" s="1" t="s">
        <v>21</v>
      </c>
      <c r="Y8" s="4">
        <f>Year_2040!C93/Year_2032!C93-1</f>
        <v>6.2363682155899758</v>
      </c>
      <c r="Z8" s="4">
        <f>Year_2040!D93/Year_2032!D93-1</f>
        <v>6.2348238820884339</v>
      </c>
      <c r="AA8" s="4">
        <f>Year_2040!E93/Year_2032!E93-1</f>
        <v>6.5463783220427301</v>
      </c>
      <c r="AB8" s="4">
        <f>Year_2040!F93/Year_2032!F93-1</f>
        <v>6.5378960709759184</v>
      </c>
      <c r="AC8" s="4">
        <f>Year_2040!G93/Year_2032!G93-1</f>
        <v>6.4414730381411669</v>
      </c>
      <c r="AD8" s="4">
        <f>Year_2040!H93/Year_2032!H93-1</f>
        <v>6.4430217669654288</v>
      </c>
      <c r="AE8" s="4">
        <f>Year_2040!I93/Year_2032!I93-1</f>
        <v>6.4047386419149976</v>
      </c>
      <c r="AF8" s="4">
        <f>Year_2040!J93/Year_2032!J93-1</f>
        <v>0.3650723072688391</v>
      </c>
      <c r="AG8" s="4">
        <f>Year_2040!K93/Year_2032!K93-1</f>
        <v>0.33845922157892971</v>
      </c>
      <c r="AH8" s="4">
        <f>Year_2040!L93/Year_2032!L93-1</f>
        <v>0.33830931829582611</v>
      </c>
      <c r="AI8" s="4">
        <f>Year_2040!M93/Year_2032!M93-1</f>
        <v>0.24284868091310896</v>
      </c>
      <c r="AJ8" s="4">
        <f>Year_2040!N93/Year_2032!N93-1</f>
        <v>0.34120914622973575</v>
      </c>
      <c r="AK8" s="4">
        <f>Year_2040!O93/Year_2032!O93-1</f>
        <v>0.2302928966789668</v>
      </c>
      <c r="AL8" s="4">
        <f>Year_2040!P93/Year_2032!P93-1</f>
        <v>0.35423527414700406</v>
      </c>
      <c r="AM8" s="4">
        <f>Year_2040!Q93/Year_2032!Q93-1</f>
        <v>0.33303747619498991</v>
      </c>
      <c r="AN8" s="4">
        <f>Year_2040!R93/Year_2032!R93-1</f>
        <v>0.35153024154246926</v>
      </c>
      <c r="AO8" s="4">
        <f>Year_2040!S93/Year_2032!S93-1</f>
        <v>0.33779843265901222</v>
      </c>
      <c r="AP8" s="4">
        <f>Year_2040!T93/Year_2032!T93-1</f>
        <v>0.33822650570990831</v>
      </c>
      <c r="AQ8" s="4">
        <f>Year_2040!U93/Year_2032!U93-1</f>
        <v>0.35038555441794528</v>
      </c>
      <c r="AR8" s="4">
        <f>Year_2040!V93/Year_2032!V93-1</f>
        <v>0.35091791517197701</v>
      </c>
      <c r="AT8" s="1" t="s">
        <v>21</v>
      </c>
      <c r="AU8" s="4">
        <f>Year_2050!C93/Year_2040!C93-1</f>
        <v>0.44793261868300149</v>
      </c>
      <c r="AV8" s="4">
        <f>Year_2050!D93/Year_2040!D93-1</f>
        <v>0.44825800214081002</v>
      </c>
      <c r="AW8" s="4">
        <f>Year_2050!E93/Year_2040!E93-1</f>
        <v>0.49414770569347111</v>
      </c>
      <c r="AX8" s="4">
        <f>Year_2050!F93/Year_2040!F93-1</f>
        <v>0.49497259306587749</v>
      </c>
      <c r="AY8" s="4">
        <f>Year_2050!G93/Year_2040!G93-1</f>
        <v>0.47466713797572746</v>
      </c>
      <c r="AZ8" s="4">
        <f>Year_2050!H93/Year_2040!H93-1</f>
        <v>0.47496989506279053</v>
      </c>
      <c r="BA8" s="4">
        <f>Year_2050!I93/Year_2040!I93-1</f>
        <v>0.46818406729341921</v>
      </c>
      <c r="BB8" s="4">
        <f>Year_2050!J93/Year_2040!J93-1</f>
        <v>0.26500286950722018</v>
      </c>
      <c r="BC8" s="4">
        <f>Year_2050!K93/Year_2040!K93-1</f>
        <v>0.4103439222893146</v>
      </c>
      <c r="BD8" s="4">
        <f>Year_2050!L93/Year_2040!L93-1</f>
        <v>0.30572968501596232</v>
      </c>
      <c r="BE8" s="4">
        <f>Year_2050!M93/Year_2040!M93-1</f>
        <v>0.26496509854528405</v>
      </c>
      <c r="BF8" s="4">
        <f>Year_2050!N93/Year_2040!N93-1</f>
        <v>0.32655996088413364</v>
      </c>
      <c r="BG8" s="4">
        <f>Year_2050!O93/Year_2040!O93-1</f>
        <v>0.26474585485186175</v>
      </c>
      <c r="BH8" s="4">
        <f>Year_2050!P93/Year_2040!P93-1</f>
        <v>0.35172603976033479</v>
      </c>
      <c r="BI8" s="4">
        <f>Year_2050!Q93/Year_2040!Q93-1</f>
        <v>0.26481140308348672</v>
      </c>
      <c r="BJ8" s="4">
        <f>Year_2050!R93/Year_2040!R93-1</f>
        <v>0.33253568127134825</v>
      </c>
      <c r="BK8" s="4">
        <f>Year_2050!S93/Year_2040!S93-1</f>
        <v>0.39434473128533476</v>
      </c>
      <c r="BL8" s="4">
        <f>Year_2050!T93/Year_2040!T93-1</f>
        <v>0.43756546309302458</v>
      </c>
      <c r="BM8" s="4">
        <f>Year_2050!U93/Year_2040!U93-1</f>
        <v>0.35633354011250895</v>
      </c>
      <c r="BN8" s="4">
        <f>Year_2050!V93/Year_2040!V93-1</f>
        <v>0.45614912006664587</v>
      </c>
    </row>
    <row r="9" spans="2:66" x14ac:dyDescent="0.3">
      <c r="B9" s="1" t="s">
        <v>22</v>
      </c>
      <c r="C9" s="4">
        <f>Year_2032!C94/Year_2025!C94-1</f>
        <v>1.3369616658778991</v>
      </c>
      <c r="D9" s="4">
        <f>Year_2032!D94/Year_2025!D94-1</f>
        <v>1.0398713826366559</v>
      </c>
      <c r="E9" s="4">
        <f>Year_2032!E94/Year_2025!E94-1</f>
        <v>1.4090382387022014</v>
      </c>
      <c r="F9" s="4">
        <f>Year_2032!F94/Year_2025!F94-1</f>
        <v>1.1461538461538461</v>
      </c>
      <c r="G9" s="4">
        <f>Year_2032!G94/Year_2025!G94-1</f>
        <v>1.2459312839059673</v>
      </c>
      <c r="H9" s="4">
        <f>Year_2032!H94/Year_2025!H94-1</f>
        <v>1.1826086956521737</v>
      </c>
      <c r="I9" s="4">
        <f>Year_2032!I94/Year_2025!I94-1</f>
        <v>1.507025761124122</v>
      </c>
      <c r="J9" s="4">
        <f>Year_2032!J94/Year_2025!J94-1</f>
        <v>1.4524176162611639</v>
      </c>
      <c r="K9" s="4">
        <f>Year_2032!K94/Year_2025!K94-1</f>
        <v>1.518365662401981</v>
      </c>
      <c r="L9" s="4">
        <f>Year_2032!L94/Year_2025!L94-1</f>
        <v>1.2827657378740969</v>
      </c>
      <c r="M9" s="4">
        <f>Year_2032!M94/Year_2025!M94-1</f>
        <v>1.6691063174114023</v>
      </c>
      <c r="N9" s="4">
        <f>Year_2032!N94/Year_2025!N94-1</f>
        <v>1.3133640552995387</v>
      </c>
      <c r="O9" s="4">
        <f>Year_2032!O94/Year_2025!O94-1</f>
        <v>1.6335189095795739</v>
      </c>
      <c r="P9" s="4">
        <f>Year_2032!P94/Year_2025!P94-1</f>
        <v>1.4349585272101963</v>
      </c>
      <c r="Q9" s="4">
        <f>Year_2032!Q94/Year_2025!Q94-1</f>
        <v>1.5349924585218702</v>
      </c>
      <c r="R9" s="4">
        <f>Year_2032!R94/Year_2025!R94-1</f>
        <v>1.3150109934039573</v>
      </c>
      <c r="S9" s="4">
        <f>Year_2032!S94/Year_2025!S94-1</f>
        <v>1.4254261363636362</v>
      </c>
      <c r="T9" s="4">
        <f>Year_2032!T94/Year_2025!T94-1</f>
        <v>1.1887507899726146</v>
      </c>
      <c r="U9" s="4">
        <f>Year_2032!U94/Year_2025!U94-1</f>
        <v>1.463842975206612</v>
      </c>
      <c r="V9" s="4">
        <f>Year_2032!V94/Year_2025!V94-1</f>
        <v>1.1807228915662651</v>
      </c>
      <c r="X9" s="1" t="s">
        <v>22</v>
      </c>
      <c r="Y9" s="4">
        <f>Year_2040!C94/Year_2032!C94-1</f>
        <v>1.090117456460105</v>
      </c>
      <c r="Z9" s="4">
        <f>Year_2040!D94/Year_2032!D94-1</f>
        <v>0.75851197982345542</v>
      </c>
      <c r="AA9" s="4">
        <f>Year_2040!E94/Year_2032!E94-1</f>
        <v>1.3020683020683022</v>
      </c>
      <c r="AB9" s="4">
        <f>Year_2040!F94/Year_2032!F94-1</f>
        <v>0.89605734767025091</v>
      </c>
      <c r="AC9" s="4">
        <f>Year_2040!G94/Year_2032!G94-1</f>
        <v>1.0177133655394526</v>
      </c>
      <c r="AD9" s="4">
        <f>Year_2040!H94/Year_2032!H94-1</f>
        <v>0.95717131474103589</v>
      </c>
      <c r="AE9" s="4">
        <f>Year_2040!I94/Year_2032!I94-1</f>
        <v>1.3720224194301727</v>
      </c>
      <c r="AF9" s="4">
        <f>Year_2040!J94/Year_2032!J94-1</f>
        <v>1.2240361672736406</v>
      </c>
      <c r="AG9" s="4">
        <f>Year_2040!K94/Year_2032!K94-1</f>
        <v>1.2397574565716156</v>
      </c>
      <c r="AH9" s="4">
        <f>Year_2040!L94/Year_2032!L94-1</f>
        <v>0.98342374924653408</v>
      </c>
      <c r="AI9" s="4">
        <f>Year_2040!M94/Year_2032!M94-1</f>
        <v>1.1453312166257756</v>
      </c>
      <c r="AJ9" s="4">
        <f>Year_2040!N94/Year_2032!N94-1</f>
        <v>1.0276671093404159</v>
      </c>
      <c r="AK9" s="4">
        <f>Year_2040!O94/Year_2032!O94-1</f>
        <v>1.2357486514069103</v>
      </c>
      <c r="AL9" s="4">
        <f>Year_2040!P94/Year_2032!P94-1</f>
        <v>1.1831173147224989</v>
      </c>
      <c r="AM9" s="4">
        <f>Year_2040!Q94/Year_2032!Q94-1</f>
        <v>1.1767120842506098</v>
      </c>
      <c r="AN9" s="4">
        <f>Year_2040!R94/Year_2032!R94-1</f>
        <v>1.0413572785356591</v>
      </c>
      <c r="AO9" s="4">
        <f>Year_2040!S94/Year_2032!S94-1</f>
        <v>1.1472181551976575</v>
      </c>
      <c r="AP9" s="4">
        <f>Year_2040!T94/Year_2032!T94-1</f>
        <v>0.87767083734359952</v>
      </c>
      <c r="AQ9" s="4">
        <f>Year_2040!U94/Year_2032!U94-1</f>
        <v>1.2025681341719077</v>
      </c>
      <c r="AR9" s="4">
        <f>Year_2040!V94/Year_2032!V94-1</f>
        <v>0.8487192365645404</v>
      </c>
      <c r="AT9" s="1" t="s">
        <v>22</v>
      </c>
      <c r="AU9" s="4">
        <f>Year_2050!C94/Year_2040!C94-1</f>
        <v>2.0570681135548883</v>
      </c>
      <c r="AV9" s="4">
        <f>Year_2050!D94/Year_2040!D94-1</f>
        <v>1.1525636428827535</v>
      </c>
      <c r="AW9" s="4">
        <f>Year_2050!E94/Year_2040!E94-1</f>
        <v>2.5497283744254071</v>
      </c>
      <c r="AX9" s="4">
        <f>Year_2050!F94/Year_2040!F94-1</f>
        <v>1.3289224952741021</v>
      </c>
      <c r="AY9" s="4">
        <f>Year_2050!G94/Year_2040!G94-1</f>
        <v>1.5941739824421393</v>
      </c>
      <c r="AZ9" s="4">
        <f>Year_2050!H94/Year_2040!H94-1</f>
        <v>1.5440203562340971</v>
      </c>
      <c r="BA9" s="4">
        <f>Year_2050!I94/Year_2040!I94-1</f>
        <v>2.1787929506744121</v>
      </c>
      <c r="BB9" s="4">
        <f>Year_2050!J94/Year_2040!J94-1</f>
        <v>1.1364201016374933</v>
      </c>
      <c r="BC9" s="4">
        <f>Year_2050!K94/Year_2040!K94-1</f>
        <v>1.1618497109826591</v>
      </c>
      <c r="BD9" s="4">
        <f>Year_2050!L94/Year_2040!L94-1</f>
        <v>1.4823734994681659</v>
      </c>
      <c r="BE9" s="4">
        <f>Year_2050!M94/Year_2040!M94-1</f>
        <v>1.3725529767911202</v>
      </c>
      <c r="BF9" s="4">
        <f>Year_2050!N94/Year_2040!N94-1</f>
        <v>1.4678528544918681</v>
      </c>
      <c r="BG9" s="4">
        <f>Year_2050!O94/Year_2040!O94-1</f>
        <v>0.70886860123899598</v>
      </c>
      <c r="BH9" s="4">
        <f>Year_2050!P94/Year_2040!P94-1</f>
        <v>1.4712665550312072</v>
      </c>
      <c r="BI9" s="4">
        <f>Year_2050!Q94/Year_2040!Q94-1</f>
        <v>1.0298491143669364</v>
      </c>
      <c r="BJ9" s="4">
        <f>Year_2050!R94/Year_2040!R94-1</f>
        <v>1.4847523579917947</v>
      </c>
      <c r="BK9" s="4">
        <f>Year_2050!S94/Year_2040!S94-1</f>
        <v>1.275340083870308</v>
      </c>
      <c r="BL9" s="4">
        <f>Year_2050!T94/Year_2040!T94-1</f>
        <v>1.3870521297862526</v>
      </c>
      <c r="BM9" s="4">
        <f>Year_2050!U94/Year_2040!U94-1</f>
        <v>2.3022010707911957</v>
      </c>
      <c r="BN9" s="4">
        <f>Year_2050!V94/Year_2040!V94-1</f>
        <v>1.2805911758313413</v>
      </c>
    </row>
    <row r="10" spans="2:66" x14ac:dyDescent="0.3">
      <c r="B10" s="1" t="s">
        <v>23</v>
      </c>
      <c r="C10" s="4">
        <f>Year_2032!C95/Year_2025!C95-1</f>
        <v>2.054137315675777</v>
      </c>
      <c r="D10" s="4">
        <f>Year_2032!D95/Year_2025!D95-1</f>
        <v>0.72449425120069866</v>
      </c>
      <c r="E10" s="4">
        <f>Year_2032!E95/Year_2025!E95-1</f>
        <v>1.0222197686935881</v>
      </c>
      <c r="F10" s="4">
        <f>Year_2032!F95/Year_2025!F95-1</f>
        <v>2.3146153846153847</v>
      </c>
      <c r="G10" s="4">
        <f>Year_2032!G95/Year_2025!G95-1</f>
        <v>1.617591812941253</v>
      </c>
      <c r="H10" s="4">
        <f>Year_2032!H95/Year_2025!H95-1</f>
        <v>6.3151364764267859E-2</v>
      </c>
      <c r="I10" s="4">
        <f>Year_2032!I95/Year_2025!I95-1</f>
        <v>1.5485126083530343</v>
      </c>
      <c r="J10" s="4">
        <f>Year_2032!J95/Year_2025!J95-1</f>
        <v>1.4868966774531698</v>
      </c>
      <c r="K10" s="4">
        <f>Year_2032!K95/Year_2025!K95-1</f>
        <v>1.4414593191879104</v>
      </c>
      <c r="L10" s="4">
        <f>Year_2032!L95/Year_2025!L95-1</f>
        <v>1.3338748662677813</v>
      </c>
      <c r="M10" s="4">
        <f>Year_2032!M95/Year_2025!M95-1</f>
        <v>1.0585140754593625</v>
      </c>
      <c r="N10" s="4">
        <f>Year_2032!N95/Year_2025!N95-1</f>
        <v>1.3555278987761872</v>
      </c>
      <c r="O10" s="4">
        <f>Year_2032!O95/Year_2025!O95-1</f>
        <v>0.48538032451361413</v>
      </c>
      <c r="P10" s="4">
        <f>Year_2032!P95/Year_2025!P95-1</f>
        <v>1.4136476065764585</v>
      </c>
      <c r="Q10" s="4">
        <f>Year_2032!Q95/Year_2025!Q95-1</f>
        <v>0.81667847862036402</v>
      </c>
      <c r="R10" s="4">
        <f>Year_2032!R95/Year_2025!R95-1</f>
        <v>1.3622942884801552</v>
      </c>
      <c r="S10" s="4">
        <f>Year_2032!S95/Year_2025!S95-1</f>
        <v>1.3673084182710458</v>
      </c>
      <c r="T10" s="4">
        <f>Year_2032!T95/Year_2025!T95-1</f>
        <v>1.2136313195179231</v>
      </c>
      <c r="U10" s="4">
        <f>Year_2032!U95/Year_2025!U95-1</f>
        <v>1.2597863958281148</v>
      </c>
      <c r="V10" s="4">
        <f>Year_2032!V95/Year_2025!V95-1</f>
        <v>1.2093698601973686</v>
      </c>
      <c r="X10" s="1" t="s">
        <v>23</v>
      </c>
      <c r="Y10" s="4">
        <f>Year_2040!C95/Year_2032!C95-1</f>
        <v>0.67524463825521108</v>
      </c>
      <c r="Z10" s="4">
        <f>Year_2040!D95/Year_2032!D95-1</f>
        <v>0.73769938391425449</v>
      </c>
      <c r="AA10" s="4">
        <f>Year_2040!E95/Year_2032!E95-1</f>
        <v>0.61878437956403642</v>
      </c>
      <c r="AB10" s="4">
        <f>Year_2040!F95/Year_2032!F95-1</f>
        <v>0.85193780459503343</v>
      </c>
      <c r="AC10" s="4">
        <f>Year_2040!G95/Year_2032!G95-1</f>
        <v>1.3662930245218123</v>
      </c>
      <c r="AD10" s="4">
        <f>Year_2040!H95/Year_2032!H95-1</f>
        <v>0.40728206325125438</v>
      </c>
      <c r="AE10" s="4">
        <f>Year_2040!I95/Year_2032!I95-1</f>
        <v>1.6232003092086189</v>
      </c>
      <c r="AF10" s="4">
        <f>Year_2040!J95/Year_2032!J95-1</f>
        <v>1.0011729130394942</v>
      </c>
      <c r="AG10" s="4">
        <f>Year_2040!K95/Year_2032!K95-1</f>
        <v>0.3909035332694204</v>
      </c>
      <c r="AH10" s="4">
        <f>Year_2040!L95/Year_2032!L95-1</f>
        <v>0.92606112054329381</v>
      </c>
      <c r="AI10" s="4">
        <f>Year_2040!M95/Year_2032!M95-1</f>
        <v>0.35308868117542347</v>
      </c>
      <c r="AJ10" s="4">
        <f>Year_2040!N95/Year_2032!N95-1</f>
        <v>0.92237583656217015</v>
      </c>
      <c r="AK10" s="4">
        <f>Year_2040!O95/Year_2032!O95-1</f>
        <v>0.36068544212052189</v>
      </c>
      <c r="AL10" s="4">
        <f>Year_2040!P95/Year_2032!P95-1</f>
        <v>0.98740129001145349</v>
      </c>
      <c r="AM10" s="4">
        <f>Year_2040!Q95/Year_2032!Q95-1</f>
        <v>0.36510000619233374</v>
      </c>
      <c r="AN10" s="4">
        <f>Year_2040!R95/Year_2032!R95-1</f>
        <v>0.95641281165305325</v>
      </c>
      <c r="AO10" s="4">
        <f>Year_2040!S95/Year_2032!S95-1</f>
        <v>0.93797728521058144</v>
      </c>
      <c r="AP10" s="4">
        <f>Year_2040!T95/Year_2032!T95-1</f>
        <v>0.86929910464465587</v>
      </c>
      <c r="AQ10" s="4">
        <f>Year_2040!U95/Year_2032!U95-1</f>
        <v>0.89382671261865876</v>
      </c>
      <c r="AR10" s="4">
        <f>Year_2040!V95/Year_2032!V95-1</f>
        <v>0.88877644787195664</v>
      </c>
      <c r="AT10" s="1" t="s">
        <v>23</v>
      </c>
      <c r="AU10" s="4">
        <f>Year_2050!C95/Year_2040!C95-1</f>
        <v>0.73430552954955153</v>
      </c>
      <c r="AV10" s="4">
        <f>Year_2050!D95/Year_2040!D95-1</f>
        <v>1.0723652258377854</v>
      </c>
      <c r="AW10" s="4">
        <f>Year_2050!E95/Year_2040!E95-1</f>
        <v>0.72222737506007739</v>
      </c>
      <c r="AX10" s="4">
        <f>Year_2050!F95/Year_2040!F95-1</f>
        <v>1.1848370927318297</v>
      </c>
      <c r="AY10" s="4">
        <f>Year_2050!G95/Year_2040!G95-1</f>
        <v>0.74646812159491382</v>
      </c>
      <c r="AZ10" s="4">
        <f>Year_2050!H95/Year_2040!H95-1</f>
        <v>1.3484534372667718</v>
      </c>
      <c r="BA10" s="4">
        <f>Year_2050!I95/Year_2040!I95-1</f>
        <v>0.74742057279675866</v>
      </c>
      <c r="BB10" s="4">
        <f>Year_2050!J95/Year_2040!J95-1</f>
        <v>0.98619887539608397</v>
      </c>
      <c r="BC10" s="4">
        <f>Year_2050!K95/Year_2040!K95-1</f>
        <v>1.9073346152885646</v>
      </c>
      <c r="BD10" s="4">
        <f>Year_2050!L95/Year_2040!L95-1</f>
        <v>1.1081845828374983</v>
      </c>
      <c r="BE10" s="4">
        <f>Year_2050!M95/Year_2040!M95-1</f>
        <v>1.9131958470255577</v>
      </c>
      <c r="BF10" s="4">
        <f>Year_2050!N95/Year_2040!N95-1</f>
        <v>1.1123840498385285</v>
      </c>
      <c r="BG10" s="4">
        <f>Year_2050!O95/Year_2040!O95-1</f>
        <v>1.8410876875664002</v>
      </c>
      <c r="BH10" s="4">
        <f>Year_2050!P95/Year_2040!P95-1</f>
        <v>1.142704763060248</v>
      </c>
      <c r="BI10" s="4">
        <f>Year_2050!Q95/Year_2040!Q95-1</f>
        <v>1.8076139714220911</v>
      </c>
      <c r="BJ10" s="4">
        <f>Year_2050!R95/Year_2040!R95-1</f>
        <v>1.1543020632003884</v>
      </c>
      <c r="BK10" s="4">
        <f>Year_2050!S95/Year_2040!S95-1</f>
        <v>1.0541427624511437</v>
      </c>
      <c r="BL10" s="4">
        <f>Year_2050!T95/Year_2040!T95-1</f>
        <v>1.1864588595555721</v>
      </c>
      <c r="BM10" s="4">
        <f>Year_2050!U95/Year_2040!U95-1</f>
        <v>1.2611423280761125</v>
      </c>
      <c r="BN10" s="4">
        <f>Year_2050!V95/Year_2040!V95-1</f>
        <v>1.225957630250031</v>
      </c>
    </row>
    <row r="11" spans="2:66" x14ac:dyDescent="0.3">
      <c r="B11" s="1" t="s">
        <v>24</v>
      </c>
      <c r="C11" s="4">
        <f>Year_2032!C96/Year_2025!C96-1</f>
        <v>0.65585145370144149</v>
      </c>
      <c r="D11" s="4">
        <f>Year_2032!D96/Year_2025!D96-1</f>
        <v>1.1216598553913864</v>
      </c>
      <c r="E11" s="4">
        <f>Year_2032!E96/Year_2025!E96-1</f>
        <v>0.61696888291918506</v>
      </c>
      <c r="F11" s="4">
        <f>Year_2032!F96/Year_2025!F96-1</f>
        <v>0.73476394849785409</v>
      </c>
      <c r="G11" s="4">
        <f>Year_2032!G96/Year_2025!G96-1</f>
        <v>0.65762608563157121</v>
      </c>
      <c r="H11" s="4">
        <f>Year_2032!H96/Year_2025!H96-1</f>
        <v>0.80283582089552241</v>
      </c>
      <c r="I11" s="4">
        <f>Year_2032!I96/Year_2025!I96-1</f>
        <v>2.0119292070010752</v>
      </c>
      <c r="J11" s="4">
        <f>Year_2032!J96/Year_2025!J96-1</f>
        <v>1.7032657657657655</v>
      </c>
      <c r="K11" s="4">
        <f>Year_2032!K96/Year_2025!K96-1</f>
        <v>1.4885865655046113</v>
      </c>
      <c r="L11" s="4">
        <f>Year_2032!L96/Year_2025!L96-1</f>
        <v>1.4975958236021429</v>
      </c>
      <c r="M11" s="4">
        <f>Year_2032!M96/Year_2025!M96-1</f>
        <v>1.2666250082220616</v>
      </c>
      <c r="N11" s="4">
        <f>Year_2032!N96/Year_2025!N96-1</f>
        <v>1.467242674680691</v>
      </c>
      <c r="O11" s="4">
        <f>Year_2032!O96/Year_2025!O96-1</f>
        <v>1.3019208605455246</v>
      </c>
      <c r="P11" s="4">
        <f>Year_2032!P96/Year_2025!P96-1</f>
        <v>1.5276336155877268</v>
      </c>
      <c r="Q11" s="4">
        <f>Year_2032!Q96/Year_2025!Q96-1</f>
        <v>1.9022937917464922</v>
      </c>
      <c r="R11" s="4">
        <f>Year_2032!R96/Year_2025!R96-1</f>
        <v>1.4358589647411857</v>
      </c>
      <c r="S11" s="4">
        <f>Year_2032!S96/Year_2025!S96-1</f>
        <v>1.382950753362322</v>
      </c>
      <c r="T11" s="4">
        <f>Year_2032!T96/Year_2025!T96-1</f>
        <v>1.3005030447445063</v>
      </c>
      <c r="U11" s="4">
        <f>Year_2032!U96/Year_2025!U96-1</f>
        <v>1.3490041685965726</v>
      </c>
      <c r="V11" s="4">
        <f>Year_2032!V96/Year_2025!V96-1</f>
        <v>1.2999433611133586</v>
      </c>
      <c r="X11" s="1" t="s">
        <v>24</v>
      </c>
      <c r="Y11" s="4">
        <f>Year_2040!C96/Year_2032!C96-1</f>
        <v>0.47496089945996989</v>
      </c>
      <c r="Z11" s="4">
        <f>Year_2040!D96/Year_2032!D96-1</f>
        <v>0.83508667950807536</v>
      </c>
      <c r="AA11" s="4">
        <f>Year_2040!E96/Year_2032!E96-1</f>
        <v>0.4661497992523882</v>
      </c>
      <c r="AB11" s="4">
        <f>Year_2040!F96/Year_2032!F96-1</f>
        <v>0.87778327560613567</v>
      </c>
      <c r="AC11" s="4">
        <f>Year_2040!G96/Year_2032!G96-1</f>
        <v>0.47936391212427609</v>
      </c>
      <c r="AD11" s="4">
        <f>Year_2040!H96/Year_2032!H96-1</f>
        <v>0.62695587383061513</v>
      </c>
      <c r="AE11" s="4">
        <f>Year_2040!I96/Year_2032!I96-1</f>
        <v>0.47862221212219591</v>
      </c>
      <c r="AF11" s="4">
        <f>Year_2040!J96/Year_2032!J96-1</f>
        <v>1.3335242657779629</v>
      </c>
      <c r="AG11" s="4">
        <f>Year_2040!K96/Year_2032!K96-1</f>
        <v>0.49829163162321288</v>
      </c>
      <c r="AH11" s="4">
        <f>Year_2040!L96/Year_2032!L96-1</f>
        <v>1.1511001100110008</v>
      </c>
      <c r="AI11" s="4">
        <f>Year_2040!M96/Year_2032!M96-1</f>
        <v>0.49864333492940971</v>
      </c>
      <c r="AJ11" s="4">
        <f>Year_2040!N96/Year_2032!N96-1</f>
        <v>1.1234812265903349</v>
      </c>
      <c r="AK11" s="4">
        <f>Year_2040!O96/Year_2032!O96-1</f>
        <v>0.82257714581351471</v>
      </c>
      <c r="AL11" s="4">
        <f>Year_2040!P96/Year_2032!P96-1</f>
        <v>1.2220741327761968</v>
      </c>
      <c r="AM11" s="4">
        <f>Year_2040!Q96/Year_2032!Q96-1</f>
        <v>1.1197459501891105</v>
      </c>
      <c r="AN11" s="4">
        <f>Year_2040!R96/Year_2032!R96-1</f>
        <v>1.1798241111453307</v>
      </c>
      <c r="AO11" s="4">
        <f>Year_2040!S96/Year_2032!S96-1</f>
        <v>1.0945045618502016</v>
      </c>
      <c r="AP11" s="4">
        <f>Year_2040!T96/Year_2032!T96-1</f>
        <v>1.0035293666321401</v>
      </c>
      <c r="AQ11" s="4">
        <f>Year_2040!U96/Year_2032!U96-1</f>
        <v>1.0602385881888985</v>
      </c>
      <c r="AR11" s="4">
        <f>Year_2040!V96/Year_2032!V96-1</f>
        <v>1.0012664907651714</v>
      </c>
      <c r="AT11" s="1" t="s">
        <v>24</v>
      </c>
      <c r="AU11" s="4">
        <f>Year_2050!C96/Year_2040!C96-1</f>
        <v>1.062462486495138</v>
      </c>
      <c r="AV11" s="4">
        <f>Year_2050!D96/Year_2040!D96-1</f>
        <v>1.3445296729915222</v>
      </c>
      <c r="AW11" s="4">
        <f>Year_2050!E96/Year_2040!E96-1</f>
        <v>0.51581680830972609</v>
      </c>
      <c r="AX11" s="4">
        <f>Year_2050!F96/Year_2040!F96-1</f>
        <v>1.2685111989459816</v>
      </c>
      <c r="AY11" s="4">
        <f>Year_2050!G96/Year_2040!G96-1</f>
        <v>0.53839940350441173</v>
      </c>
      <c r="AZ11" s="4">
        <f>Year_2050!H96/Year_2040!H96-1</f>
        <v>0.70506818644412772</v>
      </c>
      <c r="BA11" s="4">
        <f>Year_2050!I96/Year_2040!I96-1</f>
        <v>0.52700566460281917</v>
      </c>
      <c r="BB11" s="4">
        <f>Year_2050!J96/Year_2040!J96-1</f>
        <v>0.96933925423426226</v>
      </c>
      <c r="BC11" s="4">
        <f>Year_2050!K96/Year_2040!K96-1</f>
        <v>0.54895012893153461</v>
      </c>
      <c r="BD11" s="4">
        <f>Year_2050!L96/Year_2040!L96-1</f>
        <v>1.4305111616846089</v>
      </c>
      <c r="BE11" s="4">
        <f>Year_2050!M96/Year_2040!M96-1</f>
        <v>0.54955705087863693</v>
      </c>
      <c r="BF11" s="4">
        <f>Year_2050!N96/Year_2040!N96-1</f>
        <v>1.4847346306626705</v>
      </c>
      <c r="BG11" s="4">
        <f>Year_2050!O96/Year_2040!O96-1</f>
        <v>0.65531513547666376</v>
      </c>
      <c r="BH11" s="4">
        <f>Year_2050!P96/Year_2040!P96-1</f>
        <v>1.5241785141115631</v>
      </c>
      <c r="BI11" s="4">
        <f>Year_2050!Q96/Year_2040!Q96-1</f>
        <v>0.54992593590088856</v>
      </c>
      <c r="BJ11" s="4">
        <f>Year_2050!R96/Year_2040!R96-1</f>
        <v>1.9923549080862153</v>
      </c>
      <c r="BK11" s="4">
        <f>Year_2050!S96/Year_2040!S96-1</f>
        <v>1.9290272909617685</v>
      </c>
      <c r="BL11" s="4">
        <f>Year_2050!T96/Year_2040!T96-1</f>
        <v>1.5139011220464904</v>
      </c>
      <c r="BM11" s="4">
        <f>Year_2050!U96/Year_2040!U96-1</f>
        <v>1.596497104847586</v>
      </c>
      <c r="BN11" s="4">
        <f>Year_2050!V96/Year_2040!V96-1</f>
        <v>1.5721267095594698</v>
      </c>
    </row>
    <row r="12" spans="2:66" x14ac:dyDescent="0.3">
      <c r="B12" s="1" t="s">
        <v>25</v>
      </c>
      <c r="C12" s="4">
        <f>Year_2032!C97/Year_2025!C97-1</f>
        <v>0.85325891249549879</v>
      </c>
      <c r="D12" s="4">
        <f>Year_2032!D97/Year_2025!D97-1</f>
        <v>1.8826997585490481</v>
      </c>
      <c r="E12" s="4">
        <f>Year_2032!E97/Year_2025!E97-1</f>
        <v>2.1635208711433753</v>
      </c>
      <c r="F12" s="4">
        <f>Year_2032!F97/Year_2025!F97-1</f>
        <v>1.4973213119038284</v>
      </c>
      <c r="G12" s="4">
        <f>Year_2032!G97/Year_2025!G97-1</f>
        <v>2.0248520710059172</v>
      </c>
      <c r="H12" s="4">
        <f>Year_2032!H97/Year_2025!H97-1</f>
        <v>0.63804573804573805</v>
      </c>
      <c r="I12" s="4">
        <f>Year_2032!I97/Year_2025!I97-1</f>
        <v>1.3605719461697725</v>
      </c>
      <c r="J12" s="4">
        <f>Year_2032!J97/Year_2025!J97-1</f>
        <v>2.0137697066453808</v>
      </c>
      <c r="K12" s="4">
        <f>Year_2032!K97/Year_2025!K97-1</f>
        <v>1.8362574702560446</v>
      </c>
      <c r="L12" s="4">
        <f>Year_2032!L97/Year_2025!L97-1</f>
        <v>1.8944073358624061</v>
      </c>
      <c r="M12" s="4">
        <f>Year_2032!M97/Year_2025!M97-1</f>
        <v>1.7012676768557431</v>
      </c>
      <c r="N12" s="4">
        <f>Year_2032!N97/Year_2025!N97-1</f>
        <v>1.6056592877767084</v>
      </c>
      <c r="O12" s="4">
        <f>Year_2032!O97/Year_2025!O97-1</f>
        <v>1.6207332490518334</v>
      </c>
      <c r="P12" s="4">
        <f>Year_2032!P97/Year_2025!P97-1</f>
        <v>1.5820049129775779</v>
      </c>
      <c r="Q12" s="4">
        <f>Year_2032!Q97/Year_2025!Q97-1</f>
        <v>1.507849489160229</v>
      </c>
      <c r="R12" s="4">
        <f>Year_2032!R97/Year_2025!R97-1</f>
        <v>1.4484217874048384</v>
      </c>
      <c r="S12" s="4">
        <f>Year_2032!S97/Year_2025!S97-1</f>
        <v>1.3714740214639396</v>
      </c>
      <c r="T12" s="4">
        <f>Year_2032!T97/Year_2025!T97-1</f>
        <v>1.2773039968161921</v>
      </c>
      <c r="U12" s="4">
        <f>Year_2032!U97/Year_2025!U97-1</f>
        <v>1.3534726856277164</v>
      </c>
      <c r="V12" s="4">
        <f>Year_2032!V97/Year_2025!V97-1</f>
        <v>1.292310916542474</v>
      </c>
      <c r="X12" s="1" t="s">
        <v>25</v>
      </c>
      <c r="Y12" s="4">
        <f>Year_2040!C97/Year_2032!C97-1</f>
        <v>0.38661226075973976</v>
      </c>
      <c r="Z12" s="4">
        <f>Year_2040!D97/Year_2032!D97-1</f>
        <v>0.89740543067513356</v>
      </c>
      <c r="AA12" s="4">
        <f>Year_2040!E97/Year_2032!E97-1</f>
        <v>0.56248446254756868</v>
      </c>
      <c r="AB12" s="4">
        <f>Year_2040!F97/Year_2032!F97-1</f>
        <v>1.4297823357053159</v>
      </c>
      <c r="AC12" s="4">
        <f>Year_2040!G97/Year_2032!G97-1</f>
        <v>0.38305043938846772</v>
      </c>
      <c r="AD12" s="4">
        <f>Year_2040!H97/Year_2032!H97-1</f>
        <v>0.37869653509328582</v>
      </c>
      <c r="AE12" s="4">
        <f>Year_2040!I97/Year_2032!I97-1</f>
        <v>1.167027545566671</v>
      </c>
      <c r="AF12" s="4">
        <f>Year_2040!J97/Year_2032!J97-1</f>
        <v>0.49876080746164164</v>
      </c>
      <c r="AG12" s="4">
        <f>Year_2040!K97/Year_2032!K97-1</f>
        <v>0.83513594494543875</v>
      </c>
      <c r="AH12" s="4">
        <f>Year_2040!L97/Year_2032!L97-1</f>
        <v>0.56570229326814836</v>
      </c>
      <c r="AI12" s="4">
        <f>Year_2040!M97/Year_2032!M97-1</f>
        <v>1.1712358390084887</v>
      </c>
      <c r="AJ12" s="4">
        <f>Year_2040!N97/Year_2032!N97-1</f>
        <v>1.1622292485446648</v>
      </c>
      <c r="AK12" s="4">
        <f>Year_2040!O97/Year_2032!O97-1</f>
        <v>1.2528920805686772</v>
      </c>
      <c r="AL12" s="4">
        <f>Year_2040!P97/Year_2032!P97-1</f>
        <v>1.22664291570094</v>
      </c>
      <c r="AM12" s="4">
        <f>Year_2040!Q97/Year_2032!Q97-1</f>
        <v>1.1695456768986183</v>
      </c>
      <c r="AN12" s="4">
        <f>Year_2040!R97/Year_2032!R97-1</f>
        <v>1.1987562698787451</v>
      </c>
      <c r="AO12" s="4">
        <f>Year_2040!S97/Year_2032!S97-1</f>
        <v>1.0822610207282275</v>
      </c>
      <c r="AP12" s="4">
        <f>Year_2040!T97/Year_2032!T97-1</f>
        <v>0.98001522886994286</v>
      </c>
      <c r="AQ12" s="4">
        <f>Year_2040!U97/Year_2032!U97-1</f>
        <v>1.0670457419171906</v>
      </c>
      <c r="AR12" s="4">
        <f>Year_2040!V97/Year_2032!V97-1</f>
        <v>0.99214758078442933</v>
      </c>
      <c r="AT12" s="1" t="s">
        <v>25</v>
      </c>
      <c r="AU12" s="4">
        <f>Year_2050!C97/Year_2040!C97-1</f>
        <v>0.5654199714133572</v>
      </c>
      <c r="AV12" s="4">
        <f>Year_2050!D97/Year_2040!D97-1</f>
        <v>0.70425730681969823</v>
      </c>
      <c r="AW12" s="4">
        <f>Year_2050!E97/Year_2040!E97-1</f>
        <v>0.66996707748418127</v>
      </c>
      <c r="AX12" s="4">
        <f>Year_2050!F97/Year_2040!F97-1</f>
        <v>2.8845342176665665</v>
      </c>
      <c r="AY12" s="4">
        <f>Year_2050!G97/Year_2040!G97-1</f>
        <v>0.55946992775698479</v>
      </c>
      <c r="AZ12" s="4">
        <f>Year_2050!H97/Year_2040!H97-1</f>
        <v>0.55282962417435733</v>
      </c>
      <c r="BA12" s="4">
        <f>Year_2050!I97/Year_2040!I97-1</f>
        <v>2.1077102094505715</v>
      </c>
      <c r="BB12" s="4">
        <f>Year_2050!J97/Year_2040!J97-1</f>
        <v>0.55639989901539999</v>
      </c>
      <c r="BC12" s="4">
        <f>Year_2050!K97/Year_2040!K97-1</f>
        <v>0.5648223737919047</v>
      </c>
      <c r="BD12" s="4">
        <f>Year_2050!L97/Year_2040!L97-1</f>
        <v>0.56736699928614343</v>
      </c>
      <c r="BE12" s="4">
        <f>Year_2050!M97/Year_2040!M97-1</f>
        <v>0.64547489720743134</v>
      </c>
      <c r="BF12" s="4">
        <f>Year_2050!N97/Year_2040!N97-1</f>
        <v>0.95981727983381604</v>
      </c>
      <c r="BG12" s="4">
        <f>Year_2050!O97/Year_2040!O97-1</f>
        <v>0.93633318923897968</v>
      </c>
      <c r="BH12" s="4">
        <f>Year_2050!P97/Year_2040!P97-1</f>
        <v>1.1704144109745958</v>
      </c>
      <c r="BI12" s="4">
        <f>Year_2050!Q97/Year_2040!Q97-1</f>
        <v>1.3832606413336808</v>
      </c>
      <c r="BJ12" s="4">
        <f>Year_2050!R97/Year_2040!R97-1</f>
        <v>1.4771936222370794</v>
      </c>
      <c r="BK12" s="4">
        <f>Year_2050!S97/Year_2040!S97-1</f>
        <v>1.9059569235795082</v>
      </c>
      <c r="BL12" s="4">
        <f>Year_2050!T97/Year_2040!T97-1</f>
        <v>1.4554251959072255</v>
      </c>
      <c r="BM12" s="4">
        <f>Year_2050!U97/Year_2040!U97-1</f>
        <v>1.5777781897047105</v>
      </c>
      <c r="BN12" s="4">
        <f>Year_2050!V97/Year_2040!V97-1</f>
        <v>1.6986012880591916</v>
      </c>
    </row>
    <row r="13" spans="2:66" x14ac:dyDescent="0.3">
      <c r="B13" s="1" t="s">
        <v>26</v>
      </c>
      <c r="C13" s="4">
        <f>Year_2032!C98/Year_2025!C98-1</f>
        <v>0.70933515872336783</v>
      </c>
      <c r="D13" s="4">
        <f>Year_2032!D98/Year_2025!D98-1</f>
        <v>0.80535646925688398</v>
      </c>
      <c r="E13" s="4">
        <f>Year_2032!E98/Year_2025!E98-1</f>
        <v>2.7991249005568815</v>
      </c>
      <c r="F13" s="4">
        <f>Year_2032!F98/Year_2025!F98-1</f>
        <v>1.1818181818181817</v>
      </c>
      <c r="G13" s="4">
        <f>Year_2032!G98/Year_2025!G98-1</f>
        <v>0.7144146855251281</v>
      </c>
      <c r="H13" s="4">
        <f>Year_2032!H98/Year_2025!H98-1</f>
        <v>0.7082781456953644</v>
      </c>
      <c r="I13" s="4">
        <f>Year_2032!I98/Year_2025!I98-1</f>
        <v>1.5219626168224298</v>
      </c>
      <c r="J13" s="4">
        <f>Year_2032!J98/Year_2025!J98-1</f>
        <v>0.70978575564562818</v>
      </c>
      <c r="K13" s="4">
        <f>Year_2032!K98/Year_2025!K98-1</f>
        <v>1.484981684981685</v>
      </c>
      <c r="L13" s="4">
        <f>Year_2032!L98/Year_2025!L98-1</f>
        <v>0.84274226975047672</v>
      </c>
      <c r="M13" s="4">
        <f>Year_2032!M98/Year_2025!M98-1</f>
        <v>1.6703919408153629</v>
      </c>
      <c r="N13" s="4">
        <f>Year_2032!N98/Year_2025!N98-1</f>
        <v>2.0758704313182057</v>
      </c>
      <c r="O13" s="4">
        <f>Year_2032!O98/Year_2025!O98-1</f>
        <v>1.6972000000000005</v>
      </c>
      <c r="P13" s="4">
        <f>Year_2032!P98/Year_2025!P98-1</f>
        <v>2.3454083253892599</v>
      </c>
      <c r="Q13" s="4">
        <f>Year_2032!Q98/Year_2025!Q98-1</f>
        <v>1.6781217597392977</v>
      </c>
      <c r="R13" s="4">
        <f>Year_2032!R98/Year_2025!R98-1</f>
        <v>2.3424715309995783</v>
      </c>
      <c r="S13" s="4">
        <f>Year_2032!S98/Year_2025!S98-1</f>
        <v>1.5264715042042978</v>
      </c>
      <c r="T13" s="4">
        <f>Year_2032!T98/Year_2025!T98-1</f>
        <v>2.0112515413070287</v>
      </c>
      <c r="U13" s="4">
        <f>Year_2032!U98/Year_2025!U98-1</f>
        <v>1.4755349768489552</v>
      </c>
      <c r="V13" s="4">
        <f>Year_2032!V98/Year_2025!V98-1</f>
        <v>1.4106258442143176</v>
      </c>
      <c r="X13" s="1" t="s">
        <v>26</v>
      </c>
      <c r="Y13" s="4">
        <f>Year_2040!C98/Year_2032!C98-1</f>
        <v>0.51464183811383069</v>
      </c>
      <c r="Z13" s="4">
        <f>Year_2040!D98/Year_2032!D98-1</f>
        <v>0.69180944421228574</v>
      </c>
      <c r="AA13" s="4">
        <f>Year_2040!E98/Year_2032!E98-1</f>
        <v>0.34865459114228869</v>
      </c>
      <c r="AB13" s="4">
        <f>Year_2040!F98/Year_2032!F98-1</f>
        <v>0.34866666666666668</v>
      </c>
      <c r="AC13" s="4">
        <f>Year_2040!G98/Year_2032!G98-1</f>
        <v>0.51500789889415488</v>
      </c>
      <c r="AD13" s="4">
        <f>Year_2040!H98/Year_2032!H98-1</f>
        <v>0.50746268656716409</v>
      </c>
      <c r="AE13" s="4">
        <f>Year_2040!I98/Year_2032!I98-1</f>
        <v>1.3759496016305355</v>
      </c>
      <c r="AF13" s="4">
        <f>Year_2040!J98/Year_2032!J98-1</f>
        <v>0.53108913573557315</v>
      </c>
      <c r="AG13" s="4">
        <f>Year_2040!K98/Year_2032!K98-1</f>
        <v>1.1998820754716983</v>
      </c>
      <c r="AH13" s="4">
        <f>Year_2040!L98/Year_2032!L98-1</f>
        <v>0.4220162850330651</v>
      </c>
      <c r="AI13" s="4">
        <f>Year_2040!M98/Year_2032!M98-1</f>
        <v>1.4033598585322724</v>
      </c>
      <c r="AJ13" s="4">
        <f>Year_2040!N98/Year_2032!N98-1</f>
        <v>0.33153122712169858</v>
      </c>
      <c r="AK13" s="4">
        <f>Year_2040!O98/Year_2032!O98-1</f>
        <v>1.4878392406940528</v>
      </c>
      <c r="AL13" s="4">
        <f>Year_2040!P98/Year_2032!P98-1</f>
        <v>0.71908244680851086</v>
      </c>
      <c r="AM13" s="4">
        <f>Year_2040!Q98/Year_2032!Q98-1</f>
        <v>1.4707411504424774</v>
      </c>
      <c r="AN13" s="4">
        <f>Year_2040!R98/Year_2032!R98-1</f>
        <v>0.71302839116719241</v>
      </c>
      <c r="AO13" s="4">
        <f>Year_2040!S98/Year_2032!S98-1</f>
        <v>1.2521417565485362</v>
      </c>
      <c r="AP13" s="4">
        <f>Year_2040!T98/Year_2032!T98-1</f>
        <v>1.1129651430618823</v>
      </c>
      <c r="AQ13" s="4">
        <f>Year_2040!U98/Year_2032!U98-1</f>
        <v>1.2078657365281571</v>
      </c>
      <c r="AR13" s="4">
        <f>Year_2040!V98/Year_2032!V98-1</f>
        <v>1.1304632050803138</v>
      </c>
      <c r="AT13" s="1" t="s">
        <v>26</v>
      </c>
      <c r="AU13" s="4">
        <f>Year_2050!C98/Year_2040!C98-1</f>
        <v>0.56725494084209149</v>
      </c>
      <c r="AV13" s="4">
        <f>Year_2050!D98/Year_2040!D98-1</f>
        <v>0.71276398666172658</v>
      </c>
      <c r="AW13" s="4">
        <f>Year_2050!E98/Year_2040!E98-1</f>
        <v>1.1725021349274121</v>
      </c>
      <c r="AX13" s="4">
        <f>Year_2050!F98/Year_2040!F98-1</f>
        <v>1.1700444883835885</v>
      </c>
      <c r="AY13" s="4">
        <f>Year_2050!G98/Year_2040!G98-1</f>
        <v>0.57559958289885294</v>
      </c>
      <c r="AZ13" s="4">
        <f>Year_2050!H98/Year_2040!H98-1</f>
        <v>0.56204191847756224</v>
      </c>
      <c r="BA13" s="4">
        <f>Year_2050!I98/Year_2040!I98-1</f>
        <v>1.5135303751072295</v>
      </c>
      <c r="BB13" s="4">
        <f>Year_2050!J98/Year_2040!J98-1</f>
        <v>0.5950011059500111</v>
      </c>
      <c r="BC13" s="4">
        <f>Year_2050!K98/Year_2040!K98-1</f>
        <v>1.4841865451621548</v>
      </c>
      <c r="BD13" s="4">
        <f>Year_2050!L98/Year_2040!L98-1</f>
        <v>0.56883897500790881</v>
      </c>
      <c r="BE13" s="4">
        <f>Year_2050!M98/Year_2040!M98-1</f>
        <v>1.2034925072964948</v>
      </c>
      <c r="BF13" s="4">
        <f>Year_2050!N98/Year_2040!N98-1</f>
        <v>0.5643292167145999</v>
      </c>
      <c r="BG13" s="4">
        <f>Year_2050!O98/Year_2040!O98-1</f>
        <v>1.2218115704449946</v>
      </c>
      <c r="BH13" s="4">
        <f>Year_2050!P98/Year_2040!P98-1</f>
        <v>0.56352736414619997</v>
      </c>
      <c r="BI13" s="4">
        <f>Year_2050!Q98/Year_2040!Q98-1</f>
        <v>1.2461999955228227</v>
      </c>
      <c r="BJ13" s="4">
        <f>Year_2050!R98/Year_2040!R98-1</f>
        <v>0.56514373054895684</v>
      </c>
      <c r="BK13" s="4">
        <f>Year_2050!S98/Year_2040!S98-1</f>
        <v>1.3768917106811522</v>
      </c>
      <c r="BL13" s="4">
        <f>Year_2050!T98/Year_2040!T98-1</f>
        <v>0.63121048424214532</v>
      </c>
      <c r="BM13" s="4">
        <f>Year_2050!U98/Year_2040!U98-1</f>
        <v>1.5502564337393534</v>
      </c>
      <c r="BN13" s="4">
        <f>Year_2050!V98/Year_2040!V98-1</f>
        <v>2.1323806601499147</v>
      </c>
    </row>
    <row r="14" spans="2:66" x14ac:dyDescent="0.3">
      <c r="B14" s="1" t="s">
        <v>27</v>
      </c>
      <c r="C14" s="4">
        <f>Year_2032!C99/Year_2025!C99-1</f>
        <v>1.401344544403285</v>
      </c>
      <c r="D14" s="4">
        <f>Year_2032!D99/Year_2025!D99-1</f>
        <v>1.5307755284310804</v>
      </c>
      <c r="E14" s="4">
        <f>Year_2032!E99/Year_2025!E99-1</f>
        <v>2.3438809261300992</v>
      </c>
      <c r="F14" s="4">
        <f>Year_2032!F99/Year_2025!F99-1</f>
        <v>3.0086645468998414</v>
      </c>
      <c r="G14" s="4">
        <f>Year_2032!G99/Year_2025!G99-1</f>
        <v>0.73061528437121814</v>
      </c>
      <c r="H14" s="4">
        <f>Year_2032!H99/Year_2025!H99-1</f>
        <v>1.6545674146589535</v>
      </c>
      <c r="I14" s="4">
        <f>Year_2032!I99/Year_2025!I99-1</f>
        <v>1.7249143087573091</v>
      </c>
      <c r="J14" s="4">
        <f>Year_2032!J99/Year_2025!J99-1</f>
        <v>0.52063394578364663</v>
      </c>
      <c r="K14" s="4">
        <f>Year_2032!K99/Year_2025!K99-1</f>
        <v>1.498204667863555</v>
      </c>
      <c r="L14" s="4">
        <f>Year_2032!L99/Year_2025!L99-1</f>
        <v>0.9369830444847651</v>
      </c>
      <c r="M14" s="4">
        <f>Year_2032!M99/Year_2025!M99-1</f>
        <v>1.6303885897249306</v>
      </c>
      <c r="N14" s="4">
        <f>Year_2032!N99/Year_2025!N99-1</f>
        <v>1.067866777339697</v>
      </c>
      <c r="O14" s="4">
        <f>Year_2032!O99/Year_2025!O99-1</f>
        <v>1.6672221828239135</v>
      </c>
      <c r="P14" s="4">
        <f>Year_2032!P99/Year_2025!P99-1</f>
        <v>1.6124745120885526</v>
      </c>
      <c r="Q14" s="4">
        <f>Year_2032!Q99/Year_2025!Q99-1</f>
        <v>1.7019858925664679</v>
      </c>
      <c r="R14" s="4">
        <f>Year_2032!R99/Year_2025!R99-1</f>
        <v>2.0337530807147255</v>
      </c>
      <c r="S14" s="4">
        <f>Year_2032!S99/Year_2025!S99-1</f>
        <v>1.4504664468306983</v>
      </c>
      <c r="T14" s="4">
        <f>Year_2032!T99/Year_2025!T99-1</f>
        <v>1.4916076908624039</v>
      </c>
      <c r="U14" s="4">
        <f>Year_2032!U99/Year_2025!U99-1</f>
        <v>1.4410646387832697</v>
      </c>
      <c r="V14" s="4">
        <f>Year_2032!V99/Year_2025!V99-1</f>
        <v>1.4277007549759779</v>
      </c>
      <c r="X14" s="1" t="s">
        <v>27</v>
      </c>
      <c r="Y14" s="4">
        <f>Year_2040!C99/Year_2032!C99-1</f>
        <v>0.67621348525534786</v>
      </c>
      <c r="Z14" s="4">
        <f>Year_2040!D99/Year_2032!D99-1</f>
        <v>0.68116517417324673</v>
      </c>
      <c r="AA14" s="4">
        <f>Year_2040!E99/Year_2032!E99-1</f>
        <v>1.0072537835075339</v>
      </c>
      <c r="AB14" s="4">
        <f>Year_2040!F99/Year_2032!F99-1</f>
        <v>0.81605822046838128</v>
      </c>
      <c r="AC14" s="4">
        <f>Year_2040!G99/Year_2032!G99-1</f>
        <v>0.44287865748709132</v>
      </c>
      <c r="AD14" s="4">
        <f>Year_2040!H99/Year_2032!H99-1</f>
        <v>0.67757848607485816</v>
      </c>
      <c r="AE14" s="4">
        <f>Year_2040!I99/Year_2032!I99-1</f>
        <v>0.98071231254932889</v>
      </c>
      <c r="AF14" s="4">
        <f>Year_2040!J99/Year_2032!J99-1</f>
        <v>0.447186851405172</v>
      </c>
      <c r="AG14" s="4">
        <f>Year_2040!K99/Year_2032!K99-1</f>
        <v>1.2264462809917354</v>
      </c>
      <c r="AH14" s="4">
        <f>Year_2040!L99/Year_2032!L99-1</f>
        <v>0.6696577386720417</v>
      </c>
      <c r="AI14" s="4">
        <f>Year_2040!M99/Year_2032!M99-1</f>
        <v>0.86086735202009579</v>
      </c>
      <c r="AJ14" s="4">
        <f>Year_2040!N99/Year_2032!N99-1</f>
        <v>1.2269782891204764</v>
      </c>
      <c r="AK14" s="4">
        <f>Year_2040!O99/Year_2032!O99-1</f>
        <v>0.94268887677643187</v>
      </c>
      <c r="AL14" s="4">
        <f>Year_2040!P99/Year_2032!P99-1</f>
        <v>1.5577499337969867</v>
      </c>
      <c r="AM14" s="4">
        <f>Year_2040!Q99/Year_2032!Q99-1</f>
        <v>0.89747297058492759</v>
      </c>
      <c r="AN14" s="4">
        <f>Year_2040!R99/Year_2032!R99-1</f>
        <v>1.2018710213821948</v>
      </c>
      <c r="AO14" s="4">
        <f>Year_2040!S99/Year_2032!S99-1</f>
        <v>0.91560181724078427</v>
      </c>
      <c r="AP14" s="4">
        <f>Year_2040!T99/Year_2032!T99-1</f>
        <v>1.2293036057662099</v>
      </c>
      <c r="AQ14" s="4">
        <f>Year_2040!U99/Year_2032!U99-1</f>
        <v>0.94403165573421588</v>
      </c>
      <c r="AR14" s="4">
        <f>Year_2040!V99/Year_2032!V99-1</f>
        <v>0.98922299245722556</v>
      </c>
      <c r="AT14" s="1" t="s">
        <v>27</v>
      </c>
      <c r="AU14" s="4">
        <f>Year_2050!C99/Year_2040!C99-1</f>
        <v>0.78938783062599827</v>
      </c>
      <c r="AV14" s="4">
        <f>Year_2050!D99/Year_2040!D99-1</f>
        <v>0.78146347009997297</v>
      </c>
      <c r="AW14" s="4">
        <f>Year_2050!E99/Year_2040!E99-1</f>
        <v>0.62401852886100073</v>
      </c>
      <c r="AX14" s="4">
        <f>Year_2050!F99/Year_2040!F99-1</f>
        <v>0.6721735712257868</v>
      </c>
      <c r="AY14" s="4">
        <f>Year_2050!G99/Year_2040!G99-1</f>
        <v>0.53932751807947521</v>
      </c>
      <c r="AZ14" s="4">
        <f>Year_2050!H99/Year_2040!H99-1</f>
        <v>0.77590144745482048</v>
      </c>
      <c r="BA14" s="4">
        <f>Year_2050!I99/Year_2040!I99-1</f>
        <v>0.57394217119517865</v>
      </c>
      <c r="BB14" s="4">
        <f>Year_2050!J99/Year_2040!J99-1</f>
        <v>2.337346408775534</v>
      </c>
      <c r="BC14" s="4">
        <f>Year_2050!K99/Year_2040!K99-1</f>
        <v>1.6245117975533394</v>
      </c>
      <c r="BD14" s="4">
        <f>Year_2050!L99/Year_2040!L99-1</f>
        <v>0.82431621997036197</v>
      </c>
      <c r="BE14" s="4">
        <f>Year_2050!M99/Year_2040!M99-1</f>
        <v>0.84221073851844386</v>
      </c>
      <c r="BF14" s="4">
        <f>Year_2050!N99/Year_2040!N99-1</f>
        <v>0.80667539355486984</v>
      </c>
      <c r="BG14" s="4">
        <f>Year_2050!O99/Year_2040!O99-1</f>
        <v>0.78065571302461501</v>
      </c>
      <c r="BH14" s="4">
        <f>Year_2050!P99/Year_2040!P99-1</f>
        <v>0.81553924453453641</v>
      </c>
      <c r="BI14" s="4">
        <f>Year_2050!Q99/Year_2040!Q99-1</f>
        <v>0.58807318477377413</v>
      </c>
      <c r="BJ14" s="4">
        <f>Year_2050!R99/Year_2040!R99-1</f>
        <v>1.740451216243093</v>
      </c>
      <c r="BK14" s="4">
        <f>Year_2050!S99/Year_2040!S99-1</f>
        <v>1.1200826168403863</v>
      </c>
      <c r="BL14" s="4">
        <f>Year_2050!T99/Year_2040!T99-1</f>
        <v>1.4611819888487365</v>
      </c>
      <c r="BM14" s="4">
        <f>Year_2050!U99/Year_2040!U99-1</f>
        <v>1.2405804746714173</v>
      </c>
      <c r="BN14" s="4">
        <f>Year_2050!V99/Year_2040!V99-1</f>
        <v>1.1928938915892102</v>
      </c>
    </row>
    <row r="15" spans="2:66" x14ac:dyDescent="0.3">
      <c r="B15" s="1" t="s">
        <v>28</v>
      </c>
      <c r="C15" s="4">
        <f>Year_2032!C100/Year_2025!C100-1</f>
        <v>1.2081326154718051</v>
      </c>
      <c r="D15" s="4">
        <f>Year_2032!D100/Year_2025!D100-1</f>
        <v>1.4267861092678613</v>
      </c>
      <c r="E15" s="4">
        <f>Year_2032!E100/Year_2025!E100-1</f>
        <v>0.72607260726072642</v>
      </c>
      <c r="F15" s="4">
        <f>Year_2032!F100/Year_2025!F100-1</f>
        <v>0.79538461538461536</v>
      </c>
      <c r="G15" s="4">
        <f>Year_2032!G100/Year_2025!G100-1</f>
        <v>0.26281208935611033</v>
      </c>
      <c r="H15" s="4">
        <f>Year_2032!H100/Year_2025!H100-1</f>
        <v>0.24111498257839714</v>
      </c>
      <c r="I15" s="4">
        <f>Year_2032!I100/Year_2025!I100-1</f>
        <v>3.3654770075497593</v>
      </c>
      <c r="J15" s="4">
        <f>Year_2032!J100/Year_2025!J100-1</f>
        <v>1.1576906190545881</v>
      </c>
      <c r="K15" s="4">
        <f>Year_2032!K100/Year_2025!K100-1</f>
        <v>1.2683678894205213</v>
      </c>
      <c r="L15" s="4">
        <f>Year_2032!L100/Year_2025!L100-1</f>
        <v>1.0995626290851659</v>
      </c>
      <c r="M15" s="4">
        <f>Year_2032!M100/Year_2025!M100-1</f>
        <v>1.4594305287946905</v>
      </c>
      <c r="N15" s="4">
        <f>Year_2032!N100/Year_2025!N100-1</f>
        <v>1.3032804158471478</v>
      </c>
      <c r="O15" s="4">
        <f>Year_2032!O100/Year_2025!O100-1</f>
        <v>1.5858635646687698</v>
      </c>
      <c r="P15" s="4">
        <f>Year_2032!P100/Year_2025!P100-1</f>
        <v>1.6321594117960467</v>
      </c>
      <c r="Q15" s="4">
        <f>Year_2032!Q100/Year_2025!Q100-1</f>
        <v>1.4725715704120468</v>
      </c>
      <c r="R15" s="4">
        <f>Year_2032!R100/Year_2025!R100-1</f>
        <v>1.4249335898140516</v>
      </c>
      <c r="S15" s="4">
        <f>Year_2032!S100/Year_2025!S100-1</f>
        <v>1.3328327843441192</v>
      </c>
      <c r="T15" s="4">
        <f>Year_2032!T100/Year_2025!T100-1</f>
        <v>1.265844754324017</v>
      </c>
      <c r="U15" s="4">
        <f>Year_2032!U100/Year_2025!U100-1</f>
        <v>1.3406940063091484</v>
      </c>
      <c r="V15" s="4">
        <f>Year_2032!V100/Year_2025!V100-1</f>
        <v>1.2631181745538491</v>
      </c>
      <c r="X15" s="1" t="s">
        <v>28</v>
      </c>
      <c r="Y15" s="4">
        <f>Year_2040!C100/Year_2032!C100-1</f>
        <v>0.92537696503047795</v>
      </c>
      <c r="Z15" s="4">
        <f>Year_2040!D100/Year_2032!D100-1</f>
        <v>1.1237752358383082</v>
      </c>
      <c r="AA15" s="4">
        <f>Year_2040!E100/Year_2032!E100-1</f>
        <v>0.82934990439770551</v>
      </c>
      <c r="AB15" s="4">
        <f>Year_2040!F100/Year_2032!F100-1</f>
        <v>0.85561268209083119</v>
      </c>
      <c r="AC15" s="4">
        <f>Year_2040!G100/Year_2032!G100-1</f>
        <v>2.2289281997918837</v>
      </c>
      <c r="AD15" s="4">
        <f>Year_2040!H100/Year_2032!H100-1</f>
        <v>0.82818641212801825</v>
      </c>
      <c r="AE15" s="4">
        <f>Year_2040!I100/Year_2032!I100-1</f>
        <v>-0.27945916201556475</v>
      </c>
      <c r="AF15" s="4">
        <f>Year_2040!J100/Year_2032!J100-1</f>
        <v>0.54780072574354799</v>
      </c>
      <c r="AG15" s="4">
        <f>Year_2040!K100/Year_2032!K100-1</f>
        <v>0.95453267085403581</v>
      </c>
      <c r="AH15" s="4">
        <f>Year_2040!L100/Year_2032!L100-1</f>
        <v>0.55579666116945869</v>
      </c>
      <c r="AI15" s="4">
        <f>Year_2040!M100/Year_2032!M100-1</f>
        <v>1.203064066852368</v>
      </c>
      <c r="AJ15" s="4">
        <f>Year_2040!N100/Year_2032!N100-1</f>
        <v>0.54024916512908105</v>
      </c>
      <c r="AK15" s="4">
        <f>Year_2040!O100/Year_2032!O100-1</f>
        <v>0.98154854942625125</v>
      </c>
      <c r="AL15" s="4">
        <f>Year_2040!P100/Year_2032!P100-1</f>
        <v>0.88684897678278651</v>
      </c>
      <c r="AM15" s="4">
        <f>Year_2040!Q100/Year_2032!Q100-1</f>
        <v>1.250188230963575</v>
      </c>
      <c r="AN15" s="4">
        <f>Year_2040!R100/Year_2032!R100-1</f>
        <v>1.1304347826086953</v>
      </c>
      <c r="AO15" s="4">
        <f>Year_2040!S100/Year_2032!S100-1</f>
        <v>1.0540501256255324</v>
      </c>
      <c r="AP15" s="4">
        <f>Year_2040!T100/Year_2032!T100-1</f>
        <v>0.9528262017960909</v>
      </c>
      <c r="AQ15" s="4">
        <f>Year_2040!U100/Year_2032!U100-1</f>
        <v>1.0353950915023407</v>
      </c>
      <c r="AR15" s="4">
        <f>Year_2040!V100/Year_2032!V100-1</f>
        <v>0.93862178544106389</v>
      </c>
      <c r="AT15" s="1" t="s">
        <v>28</v>
      </c>
      <c r="AU15" s="4">
        <f>Year_2050!C100/Year_2040!C100-1</f>
        <v>1.5337088012797016</v>
      </c>
      <c r="AV15" s="4">
        <f>Year_2050!D100/Year_2040!D100-1</f>
        <v>0.9701729539504742</v>
      </c>
      <c r="AW15" s="4">
        <f>Year_2050!E100/Year_2040!E100-1</f>
        <v>1.2072119153383851</v>
      </c>
      <c r="AX15" s="4">
        <f>Year_2050!F100/Year_2040!F100-1</f>
        <v>1.2442853844377741</v>
      </c>
      <c r="AY15" s="4">
        <f>Year_2050!G100/Year_2040!G100-1</f>
        <v>0.73445053174347397</v>
      </c>
      <c r="AZ15" s="4">
        <f>Year_2050!H100/Year_2040!H100-1</f>
        <v>1.1965601965601964</v>
      </c>
      <c r="BA15" s="4">
        <f>Year_2050!I100/Year_2040!I100-1</f>
        <v>1.1095352389264677</v>
      </c>
      <c r="BB15" s="4">
        <f>Year_2050!J100/Year_2040!J100-1</f>
        <v>0.62624890446976345</v>
      </c>
      <c r="BC15" s="4">
        <f>Year_2050!K100/Year_2040!K100-1</f>
        <v>1.5627847858410475</v>
      </c>
      <c r="BD15" s="4">
        <f>Year_2050!L100/Year_2040!L100-1</f>
        <v>0.6475182712513714</v>
      </c>
      <c r="BE15" s="4">
        <f>Year_2050!M100/Year_2040!M100-1</f>
        <v>0.71315905929953227</v>
      </c>
      <c r="BF15" s="4">
        <f>Year_2050!N100/Year_2040!N100-1</f>
        <v>0.64561222873435775</v>
      </c>
      <c r="BG15" s="4">
        <f>Year_2050!O100/Year_2040!O100-1</f>
        <v>0.66688791411751125</v>
      </c>
      <c r="BH15" s="4">
        <f>Year_2050!P100/Year_2040!P100-1</f>
        <v>0.64613371095090977</v>
      </c>
      <c r="BI15" s="4">
        <f>Year_2050!Q100/Year_2040!Q100-1</f>
        <v>0.7644530698134393</v>
      </c>
      <c r="BJ15" s="4">
        <f>Year_2050!R100/Year_2040!R100-1</f>
        <v>1.0645756130427846</v>
      </c>
      <c r="BK15" s="4">
        <f>Year_2050!S100/Year_2040!S100-1</f>
        <v>1.218568352523731</v>
      </c>
      <c r="BL15" s="4">
        <f>Year_2050!T100/Year_2040!T100-1</f>
        <v>1.5884166959720831</v>
      </c>
      <c r="BM15" s="4">
        <f>Year_2050!U100/Year_2040!U100-1</f>
        <v>1.7433525004356163</v>
      </c>
      <c r="BN15" s="4">
        <f>Year_2050!V100/Year_2040!V100-1</f>
        <v>1.4889151969563592</v>
      </c>
    </row>
    <row r="17" spans="2:44" x14ac:dyDescent="0.3">
      <c r="B17" s="5" t="s">
        <v>80</v>
      </c>
    </row>
    <row r="18" spans="2:44" x14ac:dyDescent="0.3">
      <c r="B18" s="5" t="s">
        <v>76</v>
      </c>
      <c r="X18" s="5" t="s">
        <v>77</v>
      </c>
    </row>
    <row r="19" spans="2:44" x14ac:dyDescent="0.3">
      <c r="B19" s="1" t="s">
        <v>16</v>
      </c>
      <c r="C19" s="1" t="s">
        <v>17</v>
      </c>
      <c r="D19" s="1" t="s">
        <v>18</v>
      </c>
      <c r="E19" s="1" t="s">
        <v>17</v>
      </c>
      <c r="F19" s="1" t="s">
        <v>18</v>
      </c>
      <c r="G19" s="1" t="s">
        <v>17</v>
      </c>
      <c r="H19" s="1" t="s">
        <v>18</v>
      </c>
      <c r="I19" s="1" t="s">
        <v>17</v>
      </c>
      <c r="J19" s="1" t="s">
        <v>18</v>
      </c>
      <c r="K19" s="1" t="s">
        <v>17</v>
      </c>
      <c r="L19" s="1" t="s">
        <v>18</v>
      </c>
      <c r="M19" s="1" t="s">
        <v>17</v>
      </c>
      <c r="N19" s="1" t="s">
        <v>18</v>
      </c>
      <c r="O19" s="1" t="s">
        <v>17</v>
      </c>
      <c r="P19" s="1" t="s">
        <v>18</v>
      </c>
      <c r="Q19" s="1" t="s">
        <v>17</v>
      </c>
      <c r="R19" s="1" t="s">
        <v>18</v>
      </c>
      <c r="S19" s="1" t="s">
        <v>17</v>
      </c>
      <c r="T19" s="1" t="s">
        <v>18</v>
      </c>
      <c r="U19" s="1" t="s">
        <v>17</v>
      </c>
      <c r="V19" s="1" t="s">
        <v>18</v>
      </c>
      <c r="X19" s="1" t="s">
        <v>16</v>
      </c>
      <c r="Y19" s="1" t="s">
        <v>17</v>
      </c>
      <c r="Z19" s="1" t="s">
        <v>18</v>
      </c>
      <c r="AA19" s="1" t="s">
        <v>17</v>
      </c>
      <c r="AB19" s="1" t="s">
        <v>18</v>
      </c>
      <c r="AC19" s="1" t="s">
        <v>17</v>
      </c>
      <c r="AD19" s="1" t="s">
        <v>18</v>
      </c>
      <c r="AE19" s="1" t="s">
        <v>17</v>
      </c>
      <c r="AF19" s="1" t="s">
        <v>18</v>
      </c>
      <c r="AG19" s="1" t="s">
        <v>17</v>
      </c>
      <c r="AH19" s="1" t="s">
        <v>18</v>
      </c>
      <c r="AI19" s="1" t="s">
        <v>17</v>
      </c>
      <c r="AJ19" s="1" t="s">
        <v>18</v>
      </c>
      <c r="AK19" s="1" t="s">
        <v>17</v>
      </c>
      <c r="AL19" s="1" t="s">
        <v>18</v>
      </c>
      <c r="AM19" s="1" t="s">
        <v>17</v>
      </c>
      <c r="AN19" s="1" t="s">
        <v>18</v>
      </c>
      <c r="AO19" s="1" t="s">
        <v>17</v>
      </c>
      <c r="AP19" s="1" t="s">
        <v>18</v>
      </c>
      <c r="AQ19" s="1" t="s">
        <v>17</v>
      </c>
      <c r="AR19" s="1" t="s">
        <v>18</v>
      </c>
    </row>
    <row r="20" spans="2:44" x14ac:dyDescent="0.3">
      <c r="B20" s="1" t="s">
        <v>19</v>
      </c>
      <c r="C20" s="1" t="s">
        <v>1</v>
      </c>
      <c r="D20" s="1" t="s">
        <v>1</v>
      </c>
      <c r="E20" s="1" t="s">
        <v>2</v>
      </c>
      <c r="F20" s="1" t="s">
        <v>2</v>
      </c>
      <c r="G20" s="1" t="s">
        <v>3</v>
      </c>
      <c r="H20" s="1" t="s">
        <v>3</v>
      </c>
      <c r="I20" s="1" t="s">
        <v>4</v>
      </c>
      <c r="J20" s="1" t="s">
        <v>4</v>
      </c>
      <c r="K20" s="1" t="s">
        <v>5</v>
      </c>
      <c r="L20" s="1" t="s">
        <v>5</v>
      </c>
      <c r="M20" s="1" t="s">
        <v>6</v>
      </c>
      <c r="N20" s="1" t="s">
        <v>6</v>
      </c>
      <c r="O20" s="1" t="s">
        <v>7</v>
      </c>
      <c r="P20" s="1" t="s">
        <v>7</v>
      </c>
      <c r="Q20" s="1" t="s">
        <v>8</v>
      </c>
      <c r="R20" s="1" t="s">
        <v>8</v>
      </c>
      <c r="S20" s="1" t="s">
        <v>9</v>
      </c>
      <c r="T20" s="1" t="s">
        <v>9</v>
      </c>
      <c r="U20" s="1" t="s">
        <v>10</v>
      </c>
      <c r="V20" s="1" t="s">
        <v>10</v>
      </c>
      <c r="X20" s="1" t="s">
        <v>19</v>
      </c>
      <c r="Y20" s="1" t="s">
        <v>1</v>
      </c>
      <c r="Z20" s="1" t="s">
        <v>1</v>
      </c>
      <c r="AA20" s="1" t="s">
        <v>2</v>
      </c>
      <c r="AB20" s="1" t="s">
        <v>2</v>
      </c>
      <c r="AC20" s="1" t="s">
        <v>3</v>
      </c>
      <c r="AD20" s="1" t="s">
        <v>3</v>
      </c>
      <c r="AE20" s="1" t="s">
        <v>4</v>
      </c>
      <c r="AF20" s="1" t="s">
        <v>4</v>
      </c>
      <c r="AG20" s="1" t="s">
        <v>5</v>
      </c>
      <c r="AH20" s="1" t="s">
        <v>5</v>
      </c>
      <c r="AI20" s="1" t="s">
        <v>6</v>
      </c>
      <c r="AJ20" s="1" t="s">
        <v>6</v>
      </c>
      <c r="AK20" s="1" t="s">
        <v>7</v>
      </c>
      <c r="AL20" s="1" t="s">
        <v>7</v>
      </c>
      <c r="AM20" s="1" t="s">
        <v>8</v>
      </c>
      <c r="AN20" s="1" t="s">
        <v>8</v>
      </c>
      <c r="AO20" s="1" t="s">
        <v>9</v>
      </c>
      <c r="AP20" s="1" t="s">
        <v>9</v>
      </c>
      <c r="AQ20" s="1" t="s">
        <v>10</v>
      </c>
      <c r="AR20" s="1" t="s">
        <v>10</v>
      </c>
    </row>
    <row r="21" spans="2:44" x14ac:dyDescent="0.3">
      <c r="B21" s="1" t="s">
        <v>20</v>
      </c>
      <c r="X21" s="1" t="s">
        <v>20</v>
      </c>
    </row>
    <row r="22" spans="2:44" x14ac:dyDescent="0.3">
      <c r="B22" s="1" t="s">
        <v>21</v>
      </c>
      <c r="C22" s="4">
        <f>Year_2040!BS37/Year_2032!BS37-1</f>
        <v>0.14856627346114304</v>
      </c>
      <c r="D22" s="4">
        <f>Year_2040!BT37/Year_2032!BT37-1</f>
        <v>0.14826780313445154</v>
      </c>
      <c r="E22" s="4">
        <f>Year_2040!BU37/Year_2032!BU37-1</f>
        <v>0.19730982876555103</v>
      </c>
      <c r="F22" s="4">
        <f>Year_2040!BV37/Year_2032!BV37-1</f>
        <v>0.19680094205387366</v>
      </c>
      <c r="G22" s="4">
        <f>Year_2040!BW37/Year_2032!BW37-1</f>
        <v>0.18159652801482418</v>
      </c>
      <c r="H22" s="4">
        <f>Year_2040!BX37/Year_2032!BX37-1</f>
        <v>0.18148036105569565</v>
      </c>
      <c r="I22" s="4">
        <f>Year_2040!BY37/Year_2032!BY37-1</f>
        <v>0.17539425411487164</v>
      </c>
      <c r="J22" s="4">
        <f>Year_2040!BZ37/Year_2032!BZ37-1</f>
        <v>0.17026600454247998</v>
      </c>
      <c r="K22" s="4">
        <f>Year_2040!CA37/Year_2032!CA37-1</f>
        <v>0.14712351364354936</v>
      </c>
      <c r="L22" s="4">
        <f>Year_2040!CB37/Year_2032!CB37-1</f>
        <v>0.14694656488549618</v>
      </c>
      <c r="M22" s="4">
        <f>Year_2040!CC37/Year_2032!CC37-1</f>
        <v>6.5221414861529992E-2</v>
      </c>
      <c r="N22" s="4">
        <f>Year_2040!CD37/Year_2032!CD37-1</f>
        <v>0.1494567372511697</v>
      </c>
      <c r="O22" s="4">
        <f>Year_2040!CE37/Year_2032!CE37-1</f>
        <v>5.4347449103457679E-2</v>
      </c>
      <c r="P22" s="4">
        <f>Year_2040!CF37/Year_2032!CF37-1</f>
        <v>0.16086512956539467</v>
      </c>
      <c r="Q22" s="4">
        <f>Year_2040!CG37/Year_2032!CG37-1</f>
        <v>0.1425583587066841</v>
      </c>
      <c r="R22" s="4">
        <f>Year_2040!CH37/Year_2032!CH37-1</f>
        <v>0.1584729907248914</v>
      </c>
      <c r="S22" s="4">
        <f>Year_2040!CI37/Year_2032!CI37-1</f>
        <v>0.14671268765334555</v>
      </c>
      <c r="T22" s="4">
        <f>Year_2040!CJ37/Year_2032!CJ37-1</f>
        <v>0.14694779982743733</v>
      </c>
      <c r="U22" s="4">
        <f>Year_2040!CK37/Year_2032!CK37-1</f>
        <v>0.15761068051779392</v>
      </c>
      <c r="V22" s="4">
        <f>Year_2040!CL37/Year_2032!CL37-1</f>
        <v>0.15787587054485863</v>
      </c>
      <c r="X22" s="1" t="s">
        <v>21</v>
      </c>
      <c r="Y22" s="4">
        <f>Year_2050!BS37/Year_2040!BS37-1</f>
        <v>0.18080742017955886</v>
      </c>
      <c r="Z22" s="4">
        <f>Year_2050!BT37/Year_2040!BT37-1</f>
        <v>0.18093227681595492</v>
      </c>
      <c r="AA22" s="4">
        <f>Year_2050!BU37/Year_2040!BU37-1</f>
        <v>0.21877995475633605</v>
      </c>
      <c r="AB22" s="4">
        <f>Year_2050!BV37/Year_2040!BV37-1</f>
        <v>0.21904722859954084</v>
      </c>
      <c r="AC22" s="4">
        <f>Year_2050!BW37/Year_2040!BW37-1</f>
        <v>0.2027567991415955</v>
      </c>
      <c r="AD22" s="4">
        <f>Year_2050!BX37/Year_2040!BX37-1</f>
        <v>0.20274801130760634</v>
      </c>
      <c r="AE22" s="4">
        <f>Year_2050!BY37/Year_2040!BY37-1</f>
        <v>0.19731792028045847</v>
      </c>
      <c r="AF22" s="4">
        <f>Year_2050!BZ37/Year_2040!BZ37-1</f>
        <v>3.1578947368421151E-2</v>
      </c>
      <c r="AG22" s="4">
        <f>Year_2050!CA37/Year_2040!CA37-1</f>
        <v>0.15007339944276343</v>
      </c>
      <c r="AH22" s="4">
        <f>Year_2050!CB37/Year_2040!CB37-1</f>
        <v>6.4891846921796947E-2</v>
      </c>
      <c r="AI22" s="4">
        <f>Year_2050!CC37/Year_2040!CC37-1</f>
        <v>3.1580911808333001E-2</v>
      </c>
      <c r="AJ22" s="4">
        <f>Year_2050!CD37/Year_2040!CD37-1</f>
        <v>8.186428398937462E-2</v>
      </c>
      <c r="AK22" s="4">
        <f>Year_2050!CE37/Year_2040!CE37-1</f>
        <v>3.1578947368421151E-2</v>
      </c>
      <c r="AL22" s="4">
        <f>Year_2050!CF37/Year_2040!CF37-1</f>
        <v>0.10240095616409461</v>
      </c>
      <c r="AM22" s="4">
        <f>Year_2050!CG37/Year_2040!CG37-1</f>
        <v>3.1579047552576123E-2</v>
      </c>
      <c r="AN22" s="4">
        <f>Year_2050!CH37/Year_2040!CH37-1</f>
        <v>8.6832520101711275E-2</v>
      </c>
      <c r="AO22" s="4">
        <f>Year_2050!CI37/Year_2040!CI37-1</f>
        <v>0.13726201269265648</v>
      </c>
      <c r="AP22" s="4">
        <f>Year_2050!CJ37/Year_2040!CJ37-1</f>
        <v>0.17241055056655208</v>
      </c>
      <c r="AQ22" s="4">
        <f>Year_2050!CK37/Year_2040!CK37-1</f>
        <v>0.10624320818873367</v>
      </c>
      <c r="AR22" s="4">
        <f>Year_2050!CL37/Year_2040!CL37-1</f>
        <v>0.18738667020476774</v>
      </c>
    </row>
    <row r="23" spans="2:44" x14ac:dyDescent="0.3">
      <c r="B23" s="1" t="s">
        <v>22</v>
      </c>
      <c r="C23" s="4">
        <f>Year_2040!BS38/Year_2032!BS38-1</f>
        <v>0.14835532606616941</v>
      </c>
      <c r="D23" s="4">
        <f>Year_2040!BT38/Year_2032!BT38-1</f>
        <v>0.14860088736024846</v>
      </c>
      <c r="E23" s="4">
        <f>Year_2040!BU38/Year_2032!BU38-1</f>
        <v>0.19706412567602372</v>
      </c>
      <c r="F23" s="4">
        <f>Year_2040!BV38/Year_2032!BV38-1</f>
        <v>0.19710578333357143</v>
      </c>
      <c r="G23" s="4">
        <f>Year_2040!BW38/Year_2032!BW38-1</f>
        <v>0.18143769587812919</v>
      </c>
      <c r="H23" s="4">
        <f>Year_2040!BX38/Year_2032!BX38-1</f>
        <v>0.18132593297729871</v>
      </c>
      <c r="I23" s="4">
        <f>Year_2040!BY38/Year_2032!BY38-1</f>
        <v>0.17541484014596875</v>
      </c>
      <c r="J23" s="4">
        <f>Year_2040!BZ38/Year_2032!BZ38-1</f>
        <v>0.17537762331239137</v>
      </c>
      <c r="K23" s="4">
        <f>Year_2040!CA38/Year_2032!CA38-1</f>
        <v>0.14708424030950606</v>
      </c>
      <c r="L23" s="4">
        <f>Year_2040!CB38/Year_2032!CB38-1</f>
        <v>0.14708883145150309</v>
      </c>
      <c r="M23" s="4">
        <f>Year_2040!CC38/Year_2032!CC38-1</f>
        <v>0.14950824892829861</v>
      </c>
      <c r="N23" s="4">
        <f>Year_2040!CD38/Year_2032!CD38-1</f>
        <v>0.1495133290965649</v>
      </c>
      <c r="O23" s="4">
        <f>Year_2040!CE38/Year_2032!CE38-1</f>
        <v>0.16088941494758213</v>
      </c>
      <c r="P23" s="4">
        <f>Year_2040!CF38/Year_2032!CF38-1</f>
        <v>0.1608894189276131</v>
      </c>
      <c r="Q23" s="4">
        <f>Year_2040!CG38/Year_2032!CG38-1</f>
        <v>0.15839850228122043</v>
      </c>
      <c r="R23" s="4">
        <f>Year_2040!CH38/Year_2032!CH38-1</f>
        <v>0.15845730716339546</v>
      </c>
      <c r="S23" s="4">
        <f>Year_2040!CI38/Year_2032!CI38-1</f>
        <v>0.14669886127781995</v>
      </c>
      <c r="T23" s="4">
        <f>Year_2040!CJ38/Year_2032!CJ38-1</f>
        <v>0.1466992569417287</v>
      </c>
      <c r="U23" s="4">
        <f>Year_2040!CK38/Year_2032!CK38-1</f>
        <v>0.15770088203935262</v>
      </c>
      <c r="V23" s="4">
        <f>Year_2040!CL38/Year_2032!CL38-1</f>
        <v>0.15768926764485203</v>
      </c>
      <c r="X23" s="1" t="s">
        <v>22</v>
      </c>
      <c r="Y23" s="4">
        <f>Year_2050!BS38/Year_2040!BS38-1</f>
        <v>0.18089845538948346</v>
      </c>
      <c r="Z23" s="4">
        <f>Year_2050!BT38/Year_2040!BT38-1</f>
        <v>0.18077542383597911</v>
      </c>
      <c r="AA23" s="4">
        <f>Year_2050!BU38/Year_2040!BU38-1</f>
        <v>0.21871850790005865</v>
      </c>
      <c r="AB23" s="4">
        <f>Year_2050!BV38/Year_2040!BV38-1</f>
        <v>0.21868673787241599</v>
      </c>
      <c r="AC23" s="4">
        <f>Year_2050!BW38/Year_2040!BW38-1</f>
        <v>0.2026493846644617</v>
      </c>
      <c r="AD23" s="4">
        <f>Year_2050!BX38/Year_2040!BX38-1</f>
        <v>0.20274961962593596</v>
      </c>
      <c r="AE23" s="4">
        <f>Year_2050!BY38/Year_2040!BY38-1</f>
        <v>0.16497750409530298</v>
      </c>
      <c r="AF23" s="4">
        <f>Year_2050!BZ38/Year_2040!BZ38-1</f>
        <v>0.13113129762310938</v>
      </c>
      <c r="AG23" s="4">
        <f>Year_2050!CA38/Year_2040!CA38-1</f>
        <v>0.14279964344342599</v>
      </c>
      <c r="AH23" s="4">
        <f>Year_2050!CB38/Year_2040!CB38-1</f>
        <v>0.17366361291470245</v>
      </c>
      <c r="AI23" s="4">
        <f>Year_2050!CC38/Year_2040!CC38-1</f>
        <v>6.1007785326704589E-2</v>
      </c>
      <c r="AJ23" s="4">
        <f>Year_2050!CD38/Year_2040!CD38-1</f>
        <v>0.17464428085081618</v>
      </c>
      <c r="AK23" s="4">
        <f>Year_2050!CE38/Year_2040!CE38-1</f>
        <v>5.8426188915592592E-2</v>
      </c>
      <c r="AL23" s="4">
        <f>Year_2050!CF38/Year_2040!CF38-1</f>
        <v>0.17867937280346058</v>
      </c>
      <c r="AM23" s="4">
        <f>Year_2050!CG38/Year_2040!CG38-1</f>
        <v>0.10967311727794127</v>
      </c>
      <c r="AN23" s="4">
        <f>Year_2050!CH38/Year_2040!CH38-1</f>
        <v>0.18135218259321206</v>
      </c>
      <c r="AO23" s="4">
        <f>Year_2050!CI38/Year_2040!CI38-1</f>
        <v>0.15627477968457026</v>
      </c>
      <c r="AP23" s="4">
        <f>Year_2050!CJ38/Year_2040!CJ38-1</f>
        <v>0.172452602392134</v>
      </c>
      <c r="AQ23" s="4">
        <f>Year_2050!CK38/Year_2040!CK38-1</f>
        <v>0.18753084570099054</v>
      </c>
      <c r="AR23" s="4">
        <f>Year_2050!CL38/Year_2040!CL38-1</f>
        <v>0.18755350229951584</v>
      </c>
    </row>
    <row r="24" spans="2:44" x14ac:dyDescent="0.3">
      <c r="B24" s="1" t="s">
        <v>23</v>
      </c>
      <c r="C24" s="4">
        <f>Year_2040!BS39/Year_2032!BS39-1</f>
        <v>3.9370438050830403E-2</v>
      </c>
      <c r="D24" s="4">
        <f>Year_2040!BT39/Year_2032!BT39-1</f>
        <v>0.1484172170348439</v>
      </c>
      <c r="E24" s="4">
        <f>Year_2040!BU39/Year_2032!BU39-1</f>
        <v>3.9370095730689725E-2</v>
      </c>
      <c r="F24" s="4">
        <f>Year_2040!BV39/Year_2032!BV39-1</f>
        <v>0.19707958429051198</v>
      </c>
      <c r="G24" s="4">
        <f>Year_2040!BW39/Year_2032!BW39-1</f>
        <v>6.8504984033621596E-2</v>
      </c>
      <c r="H24" s="4">
        <f>Year_2040!BX39/Year_2032!BX39-1</f>
        <v>4.5045185341357818E-2</v>
      </c>
      <c r="I24" s="4">
        <f>Year_2040!BY39/Year_2032!BY39-1</f>
        <v>9.632047440776903E-2</v>
      </c>
      <c r="J24" s="4">
        <f>Year_2040!BZ39/Year_2032!BZ39-1</f>
        <v>0.17539489456474699</v>
      </c>
      <c r="K24" s="4">
        <f>Year_2040!CA39/Year_2032!CA39-1</f>
        <v>5.0194524667637186E-2</v>
      </c>
      <c r="L24" s="4">
        <f>Year_2040!CB39/Year_2032!CB39-1</f>
        <v>0.14711628024440637</v>
      </c>
      <c r="M24" s="4">
        <f>Year_2040!CC39/Year_2032!CC39-1</f>
        <v>3.937007874015741E-2</v>
      </c>
      <c r="N24" s="4">
        <f>Year_2040!CD39/Year_2032!CD39-1</f>
        <v>0.14950479344527667</v>
      </c>
      <c r="O24" s="4">
        <f>Year_2040!CE39/Year_2032!CE39-1</f>
        <v>3.9370546507273563E-2</v>
      </c>
      <c r="P24" s="4">
        <f>Year_2040!CF39/Year_2032!CF39-1</f>
        <v>0.16092512412003912</v>
      </c>
      <c r="Q24" s="4">
        <f>Year_2040!CG39/Year_2032!CG39-1</f>
        <v>3.9369718553427635E-2</v>
      </c>
      <c r="R24" s="4">
        <f>Year_2040!CH39/Year_2032!CH39-1</f>
        <v>0.15840573394565305</v>
      </c>
      <c r="S24" s="4">
        <f>Year_2040!CI39/Year_2032!CI39-1</f>
        <v>0.14670462162320019</v>
      </c>
      <c r="T24" s="4">
        <f>Year_2040!CJ39/Year_2032!CJ39-1</f>
        <v>0.14665633432884961</v>
      </c>
      <c r="U24" s="4">
        <f>Year_2040!CK39/Year_2032!CK39-1</f>
        <v>0.15777429423208811</v>
      </c>
      <c r="V24" s="4">
        <f>Year_2040!CL39/Year_2032!CL39-1</f>
        <v>0.15772605372893689</v>
      </c>
      <c r="X24" s="1" t="s">
        <v>23</v>
      </c>
      <c r="Y24" s="4">
        <f>Year_2050!BS39/Year_2040!BS39-1</f>
        <v>6.0605395394876194E-2</v>
      </c>
      <c r="Z24" s="4">
        <f>Year_2050!BT39/Year_2040!BT39-1</f>
        <v>0.18081583278799052</v>
      </c>
      <c r="AA24" s="4">
        <f>Year_2050!BU39/Year_2040!BU39-1</f>
        <v>6.0606500983015676E-2</v>
      </c>
      <c r="AB24" s="4">
        <f>Year_2050!BV39/Year_2040!BV39-1</f>
        <v>0.21861839026672913</v>
      </c>
      <c r="AC24" s="4">
        <f>Year_2050!BW39/Year_2040!BW39-1</f>
        <v>6.0605313459873855E-2</v>
      </c>
      <c r="AD24" s="4">
        <f>Year_2050!BX39/Year_2040!BX39-1</f>
        <v>4.3103576738305227E-2</v>
      </c>
      <c r="AE24" s="4">
        <f>Year_2050!BY39/Year_2040!BY39-1</f>
        <v>6.0606060606060552E-2</v>
      </c>
      <c r="AF24" s="4">
        <f>Year_2050!BZ39/Year_2040!BZ39-1</f>
        <v>0.16826800647374962</v>
      </c>
      <c r="AG24" s="4">
        <f>Year_2050!CA39/Year_2040!CA39-1</f>
        <v>6.0606060606060552E-2</v>
      </c>
      <c r="AH24" s="4">
        <f>Year_2050!CB39/Year_2040!CB39-1</f>
        <v>0.17367137589989778</v>
      </c>
      <c r="AI24" s="4">
        <f>Year_2050!CC39/Year_2040!CC39-1</f>
        <v>6.0606060606060552E-2</v>
      </c>
      <c r="AJ24" s="4">
        <f>Year_2050!CD39/Year_2040!CD39-1</f>
        <v>0.17457680889533123</v>
      </c>
      <c r="AK24" s="4">
        <f>Year_2050!CE39/Year_2040!CE39-1</f>
        <v>6.0605936891440226E-2</v>
      </c>
      <c r="AL24" s="4">
        <f>Year_2050!CF39/Year_2040!CF39-1</f>
        <v>0.18472275264718796</v>
      </c>
      <c r="AM24" s="4">
        <f>Year_2050!CG39/Year_2040!CG39-1</f>
        <v>6.0606385890713099E-2</v>
      </c>
      <c r="AN24" s="4">
        <f>Year_2050!CH39/Year_2040!CH39-1</f>
        <v>0.18139356854987199</v>
      </c>
      <c r="AO24" s="4">
        <f>Year_2050!CI39/Year_2040!CI39-1</f>
        <v>0.17240869131801984</v>
      </c>
      <c r="AP24" s="4">
        <f>Year_2050!CJ39/Year_2040!CJ39-1</f>
        <v>0.17245045034269113</v>
      </c>
      <c r="AQ24" s="4">
        <f>Year_2050!CK39/Year_2040!CK39-1</f>
        <v>0.18750717787220661</v>
      </c>
      <c r="AR24" s="4">
        <f>Year_2050!CL39/Year_2040!CL39-1</f>
        <v>0.18751569116441003</v>
      </c>
    </row>
    <row r="25" spans="2:44" x14ac:dyDescent="0.3">
      <c r="B25" s="1" t="s">
        <v>24</v>
      </c>
      <c r="C25" s="4">
        <f>Year_2040!BS40/Year_2032!BS40-1</f>
        <v>4.5044855596405808E-2</v>
      </c>
      <c r="D25" s="4">
        <f>Year_2040!BT40/Year_2032!BT40-1</f>
        <v>0.14832239818545512</v>
      </c>
      <c r="E25" s="4">
        <f>Year_2040!BU40/Year_2032!BU40-1</f>
        <v>4.5045311341506356E-2</v>
      </c>
      <c r="F25" s="4">
        <f>Year_2040!BV40/Year_2032!BV40-1</f>
        <v>0.19715639810426544</v>
      </c>
      <c r="G25" s="4">
        <f>Year_2040!BW40/Year_2032!BW40-1</f>
        <v>4.504603181008493E-2</v>
      </c>
      <c r="H25" s="4">
        <f>Year_2040!BX40/Year_2032!BX40-1</f>
        <v>4.5045045045045029E-2</v>
      </c>
      <c r="I25" s="4">
        <f>Year_2040!BY40/Year_2032!BY40-1</f>
        <v>4.5045045045045029E-2</v>
      </c>
      <c r="J25" s="4">
        <f>Year_2040!BZ40/Year_2032!BZ40-1</f>
        <v>0.17541391373001125</v>
      </c>
      <c r="K25" s="4">
        <f>Year_2040!CA40/Year_2032!CA40-1</f>
        <v>4.5045045045045029E-2</v>
      </c>
      <c r="L25" s="4">
        <f>Year_2040!CB40/Year_2032!CB40-1</f>
        <v>0.14707053568336859</v>
      </c>
      <c r="M25" s="4">
        <f>Year_2040!CC40/Year_2032!CC40-1</f>
        <v>4.5045045045045029E-2</v>
      </c>
      <c r="N25" s="4">
        <f>Year_2040!CD40/Year_2032!CD40-1</f>
        <v>0.14941942901506655</v>
      </c>
      <c r="O25" s="4">
        <f>Year_2040!CE40/Year_2032!CE40-1</f>
        <v>4.5045045045045029E-2</v>
      </c>
      <c r="P25" s="4">
        <f>Year_2040!CF40/Year_2032!CF40-1</f>
        <v>0.16090843341194283</v>
      </c>
      <c r="Q25" s="4">
        <f>Year_2040!CG40/Year_2032!CG40-1</f>
        <v>0.14102335532180432</v>
      </c>
      <c r="R25" s="4">
        <f>Year_2040!CH40/Year_2032!CH40-1</f>
        <v>0.15843762637961989</v>
      </c>
      <c r="S25" s="4">
        <f>Year_2040!CI40/Year_2032!CI40-1</f>
        <v>0.14668921208127528</v>
      </c>
      <c r="T25" s="4">
        <f>Year_2040!CJ40/Year_2032!CJ40-1</f>
        <v>0.14665459919956159</v>
      </c>
      <c r="U25" s="4">
        <f>Year_2040!CK40/Year_2032!CK40-1</f>
        <v>0.15768522439322741</v>
      </c>
      <c r="V25" s="4">
        <f>Year_2040!CL40/Year_2032!CL40-1</f>
        <v>0.15774495237049524</v>
      </c>
      <c r="X25" s="1" t="s">
        <v>24</v>
      </c>
      <c r="Y25" s="4">
        <f>Year_2050!BS40/Year_2040!BS40-1</f>
        <v>4.3103274806992831E-2</v>
      </c>
      <c r="Z25" s="4">
        <f>Year_2050!BT40/Year_2040!BT40-1</f>
        <v>0.18090333295054029</v>
      </c>
      <c r="AA25" s="4">
        <f>Year_2050!BU40/Year_2040!BU40-1</f>
        <v>4.3103692110423975E-2</v>
      </c>
      <c r="AB25" s="4">
        <f>Year_2050!BV40/Year_2040!BV40-1</f>
        <v>0.21871755708593987</v>
      </c>
      <c r="AC25" s="4">
        <f>Year_2050!BW40/Year_2040!BW40-1</f>
        <v>4.3102972732939504E-2</v>
      </c>
      <c r="AD25" s="4">
        <f>Year_2050!BX40/Year_2040!BX40-1</f>
        <v>4.31034482758621E-2</v>
      </c>
      <c r="AE25" s="4">
        <f>Year_2050!BY40/Year_2040!BY40-1</f>
        <v>4.31034482758621E-2</v>
      </c>
      <c r="AF25" s="4">
        <f>Year_2050!BZ40/Year_2040!BZ40-1</f>
        <v>0.12490514423305998</v>
      </c>
      <c r="AG25" s="4">
        <f>Year_2050!CA40/Year_2040!CA40-1</f>
        <v>4.31034482758621E-2</v>
      </c>
      <c r="AH25" s="4">
        <f>Year_2050!CB40/Year_2040!CB40-1</f>
        <v>0.17376073858848096</v>
      </c>
      <c r="AI25" s="4">
        <f>Year_2050!CC40/Year_2040!CC40-1</f>
        <v>4.31034482758621E-2</v>
      </c>
      <c r="AJ25" s="4">
        <f>Year_2050!CD40/Year_2040!CD40-1</f>
        <v>0.17464307259199674</v>
      </c>
      <c r="AK25" s="4">
        <f>Year_2050!CE40/Year_2040!CE40-1</f>
        <v>4.31034482758621E-2</v>
      </c>
      <c r="AL25" s="4">
        <f>Year_2050!CF40/Year_2040!CF40-1</f>
        <v>0.1847279795868908</v>
      </c>
      <c r="AM25" s="4">
        <f>Year_2050!CG40/Year_2040!CG40-1</f>
        <v>4.31034482758621E-2</v>
      </c>
      <c r="AN25" s="4">
        <f>Year_2050!CH40/Year_2040!CH40-1</f>
        <v>0.1813814070882751</v>
      </c>
      <c r="AO25" s="4">
        <f>Year_2050!CI40/Year_2040!CI40-1</f>
        <v>0.17241687764628066</v>
      </c>
      <c r="AP25" s="4">
        <f>Year_2050!CJ40/Year_2040!CJ40-1</f>
        <v>0.17246962624605167</v>
      </c>
      <c r="AQ25" s="4">
        <f>Year_2050!CK40/Year_2040!CK40-1</f>
        <v>0.18754290906399107</v>
      </c>
      <c r="AR25" s="4">
        <f>Year_2050!CL40/Year_2040!CL40-1</f>
        <v>0.18747829811317862</v>
      </c>
    </row>
    <row r="26" spans="2:44" x14ac:dyDescent="0.3">
      <c r="B26" s="1" t="s">
        <v>25</v>
      </c>
      <c r="C26" s="4">
        <f>Year_2040!BS41/Year_2032!BS41-1</f>
        <v>1.8692038194682903E-2</v>
      </c>
      <c r="D26" s="4">
        <f>Year_2040!BT41/Year_2032!BT41-1</f>
        <v>7.8929395726761165E-2</v>
      </c>
      <c r="E26" s="4">
        <f>Year_2040!BU41/Year_2032!BU41-1</f>
        <v>1.8691551493209335E-2</v>
      </c>
      <c r="F26" s="4">
        <f>Year_2040!BV41/Year_2032!BV41-1</f>
        <v>0.197117724220645</v>
      </c>
      <c r="G26" s="4">
        <f>Year_2040!BW41/Year_2032!BW41-1</f>
        <v>1.8691471556923744E-2</v>
      </c>
      <c r="H26" s="4">
        <f>Year_2040!BX41/Year_2032!BX41-1</f>
        <v>1.8691904192540632E-2</v>
      </c>
      <c r="I26" s="4">
        <f>Year_2040!BY41/Year_2032!BY41-1</f>
        <v>0.17539063546943279</v>
      </c>
      <c r="J26" s="4">
        <f>Year_2040!BZ41/Year_2032!BZ41-1</f>
        <v>4.0735612644970276E-2</v>
      </c>
      <c r="K26" s="4">
        <f>Year_2040!CA41/Year_2032!CA41-1</f>
        <v>9.8083265437703293E-2</v>
      </c>
      <c r="L26" s="4">
        <f>Year_2040!CB41/Year_2032!CB41-1</f>
        <v>4.9575385984647058E-2</v>
      </c>
      <c r="M26" s="4">
        <f>Year_2040!CC41/Year_2032!CC41-1</f>
        <v>0.14943525625948828</v>
      </c>
      <c r="N26" s="4">
        <f>Year_2040!CD41/Year_2032!CD41-1</f>
        <v>0.14955925407331971</v>
      </c>
      <c r="O26" s="4">
        <f>Year_2040!CE41/Year_2032!CE41-1</f>
        <v>0.16096121345157122</v>
      </c>
      <c r="P26" s="4">
        <f>Year_2040!CF41/Year_2032!CF41-1</f>
        <v>0.16088756595859843</v>
      </c>
      <c r="Q26" s="4">
        <f>Year_2040!CG41/Year_2032!CG41-1</f>
        <v>0.1585361320472769</v>
      </c>
      <c r="R26" s="4">
        <f>Year_2040!CH41/Year_2032!CH41-1</f>
        <v>0.15852986699546157</v>
      </c>
      <c r="S26" s="4">
        <f>Year_2040!CI41/Year_2032!CI41-1</f>
        <v>0.14665346471405538</v>
      </c>
      <c r="T26" s="4">
        <f>Year_2040!CJ41/Year_2032!CJ41-1</f>
        <v>0.14660218801369074</v>
      </c>
      <c r="U26" s="4">
        <f>Year_2040!CK41/Year_2032!CK41-1</f>
        <v>0.15773513252916893</v>
      </c>
      <c r="V26" s="4">
        <f>Year_2040!CL41/Year_2032!CL41-1</f>
        <v>0.15771293774045891</v>
      </c>
      <c r="X26" s="1" t="s">
        <v>25</v>
      </c>
      <c r="Y26" s="4">
        <f>Year_2050!BS41/Year_2040!BS41-1</f>
        <v>3.6696427969330481E-2</v>
      </c>
      <c r="Z26" s="4">
        <f>Year_2050!BT41/Year_2040!BT41-1</f>
        <v>3.6697741215560242E-2</v>
      </c>
      <c r="AA26" s="4">
        <f>Year_2050!BU41/Year_2040!BU41-1</f>
        <v>3.6697175834649931E-2</v>
      </c>
      <c r="AB26" s="4">
        <f>Year_2050!BV41/Year_2040!BV41-1</f>
        <v>0.21869488536155202</v>
      </c>
      <c r="AC26" s="4">
        <f>Year_2050!BW41/Year_2040!BW41-1</f>
        <v>3.6697021775114136E-2</v>
      </c>
      <c r="AD26" s="4">
        <f>Year_2050!BX41/Year_2040!BX41-1</f>
        <v>3.6697855584425509E-2</v>
      </c>
      <c r="AE26" s="4">
        <f>Year_2050!BY41/Year_2040!BY41-1</f>
        <v>0.1974809329788958</v>
      </c>
      <c r="AF26" s="4">
        <f>Year_2050!BZ41/Year_2040!BZ41-1</f>
        <v>3.6696413870319855E-2</v>
      </c>
      <c r="AG26" s="4">
        <f>Year_2050!CA41/Year_2040!CA41-1</f>
        <v>3.669724770642202E-2</v>
      </c>
      <c r="AH26" s="4">
        <f>Year_2050!CB41/Year_2040!CB41-1</f>
        <v>3.6697582663486772E-2</v>
      </c>
      <c r="AI26" s="4">
        <f>Year_2050!CC41/Year_2040!CC41-1</f>
        <v>5.1007583763792885E-2</v>
      </c>
      <c r="AJ26" s="4">
        <f>Year_2050!CD41/Year_2040!CD41-1</f>
        <v>0.10303124675594311</v>
      </c>
      <c r="AK26" s="4">
        <f>Year_2050!CE41/Year_2040!CE41-1</f>
        <v>9.8484480261303187E-2</v>
      </c>
      <c r="AL26" s="4">
        <f>Year_2050!CF41/Year_2040!CF41-1</f>
        <v>0.13378134571544442</v>
      </c>
      <c r="AM26" s="4">
        <f>Year_2050!CG41/Year_2040!CG41-1</f>
        <v>0.16020894028260835</v>
      </c>
      <c r="AN26" s="4">
        <f>Year_2050!CH41/Year_2040!CH41-1</f>
        <v>0.18129906733763645</v>
      </c>
      <c r="AO26" s="4">
        <f>Year_2050!CI41/Year_2040!CI41-1</f>
        <v>0.17246518105849562</v>
      </c>
      <c r="AP26" s="4">
        <f>Year_2050!CJ41/Year_2040!CJ41-1</f>
        <v>0.17248165577792718</v>
      </c>
      <c r="AQ26" s="4">
        <f>Year_2050!CK41/Year_2040!CK41-1</f>
        <v>0.18751252456947465</v>
      </c>
      <c r="AR26" s="4">
        <f>Year_2050!CL41/Year_2040!CL41-1</f>
        <v>0.18745906610066698</v>
      </c>
    </row>
    <row r="27" spans="2:44" x14ac:dyDescent="0.3">
      <c r="B27" s="1" t="s">
        <v>26</v>
      </c>
      <c r="C27" s="4">
        <f>Year_2040!BS42/Year_2032!BS42-1</f>
        <v>4.5045397223899331E-2</v>
      </c>
      <c r="D27" s="4">
        <f>Year_2040!BT42/Year_2032!BT42-1</f>
        <v>4.5044929852601667E-2</v>
      </c>
      <c r="E27" s="4">
        <f>Year_2040!BU42/Year_2032!BU42-1</f>
        <v>4.5045045045045029E-2</v>
      </c>
      <c r="F27" s="4">
        <f>Year_2040!BV42/Year_2032!BV42-1</f>
        <v>4.5045045045045029E-2</v>
      </c>
      <c r="G27" s="4">
        <f>Year_2040!BW42/Year_2032!BW42-1</f>
        <v>4.5044436827691658E-2</v>
      </c>
      <c r="H27" s="4">
        <f>Year_2040!BX42/Year_2032!BX42-1</f>
        <v>4.5044371703391484E-2</v>
      </c>
      <c r="I27" s="4">
        <f>Year_2040!BY42/Year_2032!BY42-1</f>
        <v>0.17543523258956406</v>
      </c>
      <c r="J27" s="4">
        <f>Year_2040!BZ42/Year_2032!BZ42-1</f>
        <v>4.5045530276915935E-2</v>
      </c>
      <c r="K27" s="4">
        <f>Year_2040!CA42/Year_2032!CA42-1</f>
        <v>0.14708716627303708</v>
      </c>
      <c r="L27" s="4">
        <f>Year_2040!CB42/Year_2032!CB42-1</f>
        <v>4.5044462409054242E-2</v>
      </c>
      <c r="M27" s="4">
        <f>Year_2040!CC42/Year_2032!CC42-1</f>
        <v>0.14952842262508392</v>
      </c>
      <c r="N27" s="4">
        <f>Year_2040!CD42/Year_2032!CD42-1</f>
        <v>4.5045045045045029E-2</v>
      </c>
      <c r="O27" s="4">
        <f>Year_2040!CE42/Year_2032!CE42-1</f>
        <v>0.16092737907197274</v>
      </c>
      <c r="P27" s="4">
        <f>Year_2040!CF42/Year_2032!CF42-1</f>
        <v>9.5358771309626444E-2</v>
      </c>
      <c r="Q27" s="4">
        <f>Year_2040!CG42/Year_2032!CG42-1</f>
        <v>0.15844260303231406</v>
      </c>
      <c r="R27" s="4">
        <f>Year_2040!CH42/Year_2032!CH42-1</f>
        <v>9.9700663375464904E-2</v>
      </c>
      <c r="S27" s="4">
        <f>Year_2040!CI42/Year_2032!CI42-1</f>
        <v>0.14669408050326371</v>
      </c>
      <c r="T27" s="4">
        <f>Year_2040!CJ42/Year_2032!CJ42-1</f>
        <v>0.14675170676426519</v>
      </c>
      <c r="U27" s="4">
        <f>Year_2040!CK42/Year_2032!CK42-1</f>
        <v>0.15775549541729417</v>
      </c>
      <c r="V27" s="4">
        <f>Year_2040!CL42/Year_2032!CL42-1</f>
        <v>0.15774223933164055</v>
      </c>
      <c r="X27" s="1" t="s">
        <v>26</v>
      </c>
      <c r="Y27" s="4">
        <f>Year_2050!BS42/Year_2040!BS42-1</f>
        <v>4.3103770748677217E-2</v>
      </c>
      <c r="Z27" s="4">
        <f>Year_2050!BT42/Year_2040!BT42-1</f>
        <v>4.3104702269362472E-2</v>
      </c>
      <c r="AA27" s="4">
        <f>Year_2050!BU42/Year_2040!BU42-1</f>
        <v>4.31034482758621E-2</v>
      </c>
      <c r="AB27" s="4">
        <f>Year_2050!BV42/Year_2040!BV42-1</f>
        <v>4.31034482758621E-2</v>
      </c>
      <c r="AC27" s="4">
        <f>Year_2050!BW42/Year_2040!BW42-1</f>
        <v>4.3102891360703666E-2</v>
      </c>
      <c r="AD27" s="4">
        <f>Year_2050!BX42/Year_2040!BX42-1</f>
        <v>4.3104291308644127E-2</v>
      </c>
      <c r="AE27" s="4">
        <f>Year_2050!BY42/Year_2040!BY42-1</f>
        <v>0.19746553190177574</v>
      </c>
      <c r="AF27" s="4">
        <f>Year_2050!BZ42/Year_2040!BZ42-1</f>
        <v>4.3103892578708836E-2</v>
      </c>
      <c r="AG27" s="4">
        <f>Year_2050!CA42/Year_2040!CA42-1</f>
        <v>0.17373423362026497</v>
      </c>
      <c r="AH27" s="4">
        <f>Year_2050!CB42/Year_2040!CB42-1</f>
        <v>4.3104019873931199E-2</v>
      </c>
      <c r="AI27" s="4">
        <f>Year_2050!CC42/Year_2040!CC42-1</f>
        <v>0.17467527331796129</v>
      </c>
      <c r="AJ27" s="4">
        <f>Year_2050!CD42/Year_2040!CD42-1</f>
        <v>4.31034482758621E-2</v>
      </c>
      <c r="AK27" s="4">
        <f>Year_2050!CE42/Year_2040!CE42-1</f>
        <v>0.17488703242712478</v>
      </c>
      <c r="AL27" s="4">
        <f>Year_2050!CF42/Year_2040!CF42-1</f>
        <v>4.31034482758621E-2</v>
      </c>
      <c r="AM27" s="4">
        <f>Year_2050!CG42/Year_2040!CG42-1</f>
        <v>0.18135358895754439</v>
      </c>
      <c r="AN27" s="4">
        <f>Year_2050!CH42/Year_2040!CH42-1</f>
        <v>4.31034482758621E-2</v>
      </c>
      <c r="AO27" s="4">
        <f>Year_2050!CI42/Year_2040!CI42-1</f>
        <v>0.17239481353821717</v>
      </c>
      <c r="AP27" s="4">
        <f>Year_2050!CJ42/Year_2040!CJ42-1</f>
        <v>5.5859090804972533E-2</v>
      </c>
      <c r="AQ27" s="4">
        <f>Year_2050!CK42/Year_2040!CK42-1</f>
        <v>0.18750361784528025</v>
      </c>
      <c r="AR27" s="4">
        <f>Year_2050!CL42/Year_2040!CL42-1</f>
        <v>0.18751050150779536</v>
      </c>
    </row>
    <row r="28" spans="2:44" x14ac:dyDescent="0.3">
      <c r="B28" s="1" t="s">
        <v>27</v>
      </c>
      <c r="C28" s="4">
        <f>Year_2040!BS43/Year_2032!BS43-1</f>
        <v>3.9370869047008039E-2</v>
      </c>
      <c r="D28" s="4">
        <f>Year_2040!BT43/Year_2032!BT43-1</f>
        <v>3.9369655304443807E-2</v>
      </c>
      <c r="E28" s="4">
        <f>Year_2040!BU43/Year_2032!BU43-1</f>
        <v>7.9375059130107894E-2</v>
      </c>
      <c r="F28" s="4">
        <f>Year_2040!BV43/Year_2032!BV43-1</f>
        <v>6.0394273870921111E-2</v>
      </c>
      <c r="G28" s="4">
        <f>Year_2040!BW43/Year_2032!BW43-1</f>
        <v>4.5045532236364316E-2</v>
      </c>
      <c r="H28" s="4">
        <f>Year_2040!BX43/Year_2032!BX43-1</f>
        <v>3.9370160661976517E-2</v>
      </c>
      <c r="I28" s="4">
        <f>Year_2040!BY43/Year_2032!BY43-1</f>
        <v>0.1754159857923101</v>
      </c>
      <c r="J28" s="4">
        <f>Year_2040!BZ43/Year_2032!BZ43-1</f>
        <v>3.9369411963954271E-2</v>
      </c>
      <c r="K28" s="4">
        <f>Year_2040!CA43/Year_2032!CA43-1</f>
        <v>0.14705486755605102</v>
      </c>
      <c r="L28" s="4">
        <f>Year_2040!CB43/Year_2032!CB43-1</f>
        <v>3.937007874015741E-2</v>
      </c>
      <c r="M28" s="4">
        <f>Year_2040!CC43/Year_2032!CC43-1</f>
        <v>0.14949991390483608</v>
      </c>
      <c r="N28" s="4">
        <f>Year_2040!CD43/Year_2032!CD43-1</f>
        <v>3.937007874015741E-2</v>
      </c>
      <c r="O28" s="4">
        <f>Year_2040!CE43/Year_2032!CE43-1</f>
        <v>0.16096751289186817</v>
      </c>
      <c r="P28" s="4">
        <f>Year_2040!CF43/Year_2032!CF43-1</f>
        <v>9.4828077778411402E-2</v>
      </c>
      <c r="Q28" s="4">
        <f>Year_2040!CG43/Year_2032!CG43-1</f>
        <v>0.15850037119524885</v>
      </c>
      <c r="R28" s="4">
        <f>Year_2040!CH43/Year_2032!CH43-1</f>
        <v>0.15844782893549936</v>
      </c>
      <c r="S28" s="4">
        <f>Year_2040!CI43/Year_2032!CI43-1</f>
        <v>0.14662269909876113</v>
      </c>
      <c r="T28" s="4">
        <f>Year_2040!CJ43/Year_2032!CJ43-1</f>
        <v>0.14667049287392442</v>
      </c>
      <c r="U28" s="4">
        <f>Year_2040!CK43/Year_2032!CK43-1</f>
        <v>0.15771590024222304</v>
      </c>
      <c r="V28" s="4">
        <f>Year_2040!CL43/Year_2032!CL43-1</f>
        <v>0.15778471129081217</v>
      </c>
      <c r="X28" s="1" t="s">
        <v>27</v>
      </c>
      <c r="Y28" s="4">
        <f>Year_2050!BS43/Year_2040!BS43-1</f>
        <v>6.0605694821811662E-2</v>
      </c>
      <c r="Z28" s="4">
        <f>Year_2050!BT43/Year_2040!BT43-1</f>
        <v>6.0606468249615686E-2</v>
      </c>
      <c r="AA28" s="4">
        <f>Year_2050!BU43/Year_2040!BU43-1</f>
        <v>4.3103151770270243E-2</v>
      </c>
      <c r="AB28" s="4">
        <f>Year_2050!BV43/Year_2040!BV43-1</f>
        <v>6.0606060606060552E-2</v>
      </c>
      <c r="AC28" s="4">
        <f>Year_2050!BW43/Year_2040!BW43-1</f>
        <v>4.3103894372878093E-2</v>
      </c>
      <c r="AD28" s="4">
        <f>Year_2050!BX43/Year_2040!BX43-1</f>
        <v>6.0605959495185768E-2</v>
      </c>
      <c r="AE28" s="4">
        <f>Year_2050!BY43/Year_2040!BY43-1</f>
        <v>6.7471125118414355E-2</v>
      </c>
      <c r="AF28" s="4">
        <f>Year_2050!BZ43/Year_2040!BZ43-1</f>
        <v>6.060643093802609E-2</v>
      </c>
      <c r="AG28" s="4">
        <f>Year_2050!CA43/Year_2040!CA43-1</f>
        <v>0.17017740034452533</v>
      </c>
      <c r="AH28" s="4">
        <f>Year_2050!CB43/Year_2040!CB43-1</f>
        <v>6.0606060606060552E-2</v>
      </c>
      <c r="AI28" s="4">
        <f>Year_2050!CC43/Year_2040!CC43-1</f>
        <v>0.12404955107690463</v>
      </c>
      <c r="AJ28" s="4">
        <f>Year_2050!CD43/Year_2040!CD43-1</f>
        <v>6.0606060606060552E-2</v>
      </c>
      <c r="AK28" s="4">
        <f>Year_2050!CE43/Year_2040!CE43-1</f>
        <v>0.11072862880091794</v>
      </c>
      <c r="AL28" s="4">
        <f>Year_2050!CF43/Year_2040!CF43-1</f>
        <v>6.0606060606060552E-2</v>
      </c>
      <c r="AM28" s="4">
        <f>Year_2050!CG43/Year_2040!CG43-1</f>
        <v>6.583161842347196E-2</v>
      </c>
      <c r="AN28" s="4">
        <f>Year_2050!CH43/Year_2040!CH43-1</f>
        <v>0.14750100918615527</v>
      </c>
      <c r="AO28" s="4">
        <f>Year_2050!CI43/Year_2040!CI43-1</f>
        <v>0.17243796686112001</v>
      </c>
      <c r="AP28" s="4">
        <f>Year_2050!CJ43/Year_2040!CJ43-1</f>
        <v>0.17237230277245974</v>
      </c>
      <c r="AQ28" s="4">
        <f>Year_2050!CK43/Year_2040!CK43-1</f>
        <v>0.18755283796357824</v>
      </c>
      <c r="AR28" s="4">
        <f>Year_2050!CL43/Year_2040!CL43-1</f>
        <v>0.18749493191192612</v>
      </c>
    </row>
    <row r="29" spans="2:44" x14ac:dyDescent="0.3">
      <c r="B29" s="1" t="s">
        <v>28</v>
      </c>
      <c r="C29" s="4">
        <f>Year_2040!BS44/Year_2032!BS44-1</f>
        <v>0.14839193825042885</v>
      </c>
      <c r="D29" s="4">
        <f>Year_2040!BT44/Year_2032!BT44-1</f>
        <v>0.1483926320212916</v>
      </c>
      <c r="E29" s="4">
        <f>Year_2040!BU44/Year_2032!BU44-1</f>
        <v>0.19711491442542806</v>
      </c>
      <c r="F29" s="4">
        <f>Year_2040!BV44/Year_2032!BV44-1</f>
        <v>0.19710216311620088</v>
      </c>
      <c r="G29" s="4">
        <f>Year_2040!BW44/Year_2032!BW44-1</f>
        <v>0.18152061209414549</v>
      </c>
      <c r="H29" s="4">
        <f>Year_2040!BX44/Year_2032!BX44-1</f>
        <v>0.18134075167879615</v>
      </c>
      <c r="I29" s="4">
        <f>Year_2040!BY44/Year_2032!BY44-1</f>
        <v>0.17548700288363794</v>
      </c>
      <c r="J29" s="4">
        <f>Year_2040!BZ44/Year_2032!BZ44-1</f>
        <v>4.0817499666389701E-2</v>
      </c>
      <c r="K29" s="4">
        <f>Year_2040!CA44/Year_2032!CA44-1</f>
        <v>0.14713007114261667</v>
      </c>
      <c r="L29" s="4">
        <f>Year_2040!CB44/Year_2032!CB44-1</f>
        <v>4.0815544089545019E-2</v>
      </c>
      <c r="M29" s="4">
        <f>Year_2040!CC44/Year_2032!CC44-1</f>
        <v>0.14955077308817377</v>
      </c>
      <c r="N29" s="4">
        <f>Year_2040!CD44/Year_2032!CD44-1</f>
        <v>4.0815488252368581E-2</v>
      </c>
      <c r="O29" s="4">
        <f>Year_2040!CE44/Year_2032!CE44-1</f>
        <v>0.10711914036968273</v>
      </c>
      <c r="P29" s="4">
        <f>Year_2040!CF44/Year_2032!CF44-1</f>
        <v>0.10063880158373806</v>
      </c>
      <c r="Q29" s="4">
        <f>Year_2040!CG44/Year_2032!CG44-1</f>
        <v>0.158397939895351</v>
      </c>
      <c r="R29" s="4">
        <f>Year_2040!CH44/Year_2032!CH44-1</f>
        <v>0.1585863967323744</v>
      </c>
      <c r="S29" s="4">
        <f>Year_2040!CI44/Year_2032!CI44-1</f>
        <v>0.14682539682539697</v>
      </c>
      <c r="T29" s="4">
        <f>Year_2040!CJ44/Year_2032!CJ44-1</f>
        <v>0.14670332817780829</v>
      </c>
      <c r="U29" s="4">
        <f>Year_2040!CK44/Year_2032!CK44-1</f>
        <v>0.15777003484320562</v>
      </c>
      <c r="V29" s="4">
        <f>Year_2040!CL44/Year_2032!CL44-1</f>
        <v>0.15771368086795445</v>
      </c>
      <c r="X29" s="1" t="s">
        <v>28</v>
      </c>
      <c r="Y29" s="4">
        <f>Year_2050!BS44/Year_2040!BS44-1</f>
        <v>0.18093388846362091</v>
      </c>
      <c r="Z29" s="4">
        <f>Year_2050!BT44/Year_2040!BT44-1</f>
        <v>8.96915547288335E-2</v>
      </c>
      <c r="AA29" s="4">
        <f>Year_2050!BU44/Year_2040!BU44-1</f>
        <v>0.21865936848984924</v>
      </c>
      <c r="AB29" s="4">
        <f>Year_2050!BV44/Year_2040!BV44-1</f>
        <v>0.21873922207319407</v>
      </c>
      <c r="AC29" s="4">
        <f>Year_2050!BW44/Year_2040!BW44-1</f>
        <v>0.20272851374294509</v>
      </c>
      <c r="AD29" s="4">
        <f>Year_2050!BX44/Year_2040!BX44-1</f>
        <v>0.2027011945373447</v>
      </c>
      <c r="AE29" s="4">
        <f>Year_2050!BY44/Year_2040!BY44-1</f>
        <v>0.19731540916814994</v>
      </c>
      <c r="AF29" s="4">
        <f>Year_2050!BZ44/Year_2040!BZ44-1</f>
        <v>2.9411590663876108E-2</v>
      </c>
      <c r="AG29" s="4">
        <f>Year_2050!CA44/Year_2040!CA44-1</f>
        <v>0.17369462289105764</v>
      </c>
      <c r="AH29" s="4">
        <f>Year_2050!CB44/Year_2040!CB44-1</f>
        <v>2.9412677055746572E-2</v>
      </c>
      <c r="AI29" s="4">
        <f>Year_2050!CC44/Year_2040!CC44-1</f>
        <v>3.729040759758262E-2</v>
      </c>
      <c r="AJ29" s="4">
        <f>Year_2050!CD44/Year_2040!CD44-1</f>
        <v>2.9412593799507336E-2</v>
      </c>
      <c r="AK29" s="4">
        <f>Year_2050!CE44/Year_2040!CE44-1</f>
        <v>2.9412320349877952E-2</v>
      </c>
      <c r="AL29" s="4">
        <f>Year_2050!CF44/Year_2040!CF44-1</f>
        <v>2.9410837562651837E-2</v>
      </c>
      <c r="AM29" s="4">
        <f>Year_2050!CG44/Year_2040!CG44-1</f>
        <v>4.4680146624098471E-2</v>
      </c>
      <c r="AN29" s="4">
        <f>Year_2050!CH44/Year_2040!CH44-1</f>
        <v>8.8782079355347321E-2</v>
      </c>
      <c r="AO29" s="4">
        <f>Year_2050!CI44/Year_2040!CI44-1</f>
        <v>0.106816100142479</v>
      </c>
      <c r="AP29" s="4">
        <f>Year_2050!CJ44/Year_2040!CJ44-1</f>
        <v>0.17239484463982424</v>
      </c>
      <c r="AQ29" s="4">
        <f>Year_2050!CK44/Year_2040!CK44-1</f>
        <v>0.18740820994342111</v>
      </c>
      <c r="AR29" s="4">
        <f>Year_2050!CL44/Year_2040!CL44-1</f>
        <v>0.18758857142857144</v>
      </c>
    </row>
    <row r="31" spans="2:44" x14ac:dyDescent="0.3">
      <c r="B31" s="5" t="s">
        <v>79</v>
      </c>
    </row>
    <row r="32" spans="2:44" x14ac:dyDescent="0.3">
      <c r="B32" s="5" t="s">
        <v>76</v>
      </c>
      <c r="X32" s="5" t="s">
        <v>77</v>
      </c>
    </row>
    <row r="33" spans="2:44" x14ac:dyDescent="0.3">
      <c r="B33" s="1" t="s">
        <v>16</v>
      </c>
      <c r="C33" s="1" t="s">
        <v>17</v>
      </c>
      <c r="D33" s="1" t="s">
        <v>18</v>
      </c>
      <c r="E33" s="1" t="s">
        <v>17</v>
      </c>
      <c r="F33" s="1" t="s">
        <v>18</v>
      </c>
      <c r="G33" s="1" t="s">
        <v>17</v>
      </c>
      <c r="H33" s="1" t="s">
        <v>18</v>
      </c>
      <c r="I33" s="1" t="s">
        <v>17</v>
      </c>
      <c r="J33" s="1" t="s">
        <v>18</v>
      </c>
      <c r="K33" s="1" t="s">
        <v>17</v>
      </c>
      <c r="L33" s="1" t="s">
        <v>18</v>
      </c>
      <c r="M33" s="1" t="s">
        <v>17</v>
      </c>
      <c r="N33" s="1" t="s">
        <v>18</v>
      </c>
      <c r="O33" s="1" t="s">
        <v>17</v>
      </c>
      <c r="P33" s="1" t="s">
        <v>18</v>
      </c>
      <c r="Q33" s="1" t="s">
        <v>17</v>
      </c>
      <c r="R33" s="1" t="s">
        <v>18</v>
      </c>
      <c r="S33" s="1" t="s">
        <v>17</v>
      </c>
      <c r="T33" s="1" t="s">
        <v>18</v>
      </c>
      <c r="U33" s="1" t="s">
        <v>17</v>
      </c>
      <c r="V33" s="1" t="s">
        <v>18</v>
      </c>
      <c r="X33" s="1" t="s">
        <v>16</v>
      </c>
      <c r="Y33" s="1" t="s">
        <v>17</v>
      </c>
      <c r="Z33" s="1" t="s">
        <v>18</v>
      </c>
      <c r="AA33" s="1" t="s">
        <v>17</v>
      </c>
      <c r="AB33" s="1" t="s">
        <v>18</v>
      </c>
      <c r="AC33" s="1" t="s">
        <v>17</v>
      </c>
      <c r="AD33" s="1" t="s">
        <v>18</v>
      </c>
      <c r="AE33" s="1" t="s">
        <v>17</v>
      </c>
      <c r="AF33" s="1" t="s">
        <v>18</v>
      </c>
      <c r="AG33" s="1" t="s">
        <v>17</v>
      </c>
      <c r="AH33" s="1" t="s">
        <v>18</v>
      </c>
      <c r="AI33" s="1" t="s">
        <v>17</v>
      </c>
      <c r="AJ33" s="1" t="s">
        <v>18</v>
      </c>
      <c r="AK33" s="1" t="s">
        <v>17</v>
      </c>
      <c r="AL33" s="1" t="s">
        <v>18</v>
      </c>
      <c r="AM33" s="1" t="s">
        <v>17</v>
      </c>
      <c r="AN33" s="1" t="s">
        <v>18</v>
      </c>
      <c r="AO33" s="1" t="s">
        <v>17</v>
      </c>
      <c r="AP33" s="1" t="s">
        <v>18</v>
      </c>
      <c r="AQ33" s="1" t="s">
        <v>17</v>
      </c>
      <c r="AR33" s="1" t="s">
        <v>18</v>
      </c>
    </row>
    <row r="34" spans="2:44" x14ac:dyDescent="0.3">
      <c r="B34" s="1" t="s">
        <v>19</v>
      </c>
      <c r="C34" s="1" t="s">
        <v>1</v>
      </c>
      <c r="D34" s="1" t="s">
        <v>1</v>
      </c>
      <c r="E34" s="1" t="s">
        <v>2</v>
      </c>
      <c r="F34" s="1" t="s">
        <v>2</v>
      </c>
      <c r="G34" s="1" t="s">
        <v>3</v>
      </c>
      <c r="H34" s="1" t="s">
        <v>3</v>
      </c>
      <c r="I34" s="1" t="s">
        <v>4</v>
      </c>
      <c r="J34" s="1" t="s">
        <v>4</v>
      </c>
      <c r="K34" s="1" t="s">
        <v>5</v>
      </c>
      <c r="L34" s="1" t="s">
        <v>5</v>
      </c>
      <c r="M34" s="1" t="s">
        <v>6</v>
      </c>
      <c r="N34" s="1" t="s">
        <v>6</v>
      </c>
      <c r="O34" s="1" t="s">
        <v>7</v>
      </c>
      <c r="P34" s="1" t="s">
        <v>7</v>
      </c>
      <c r="Q34" s="1" t="s">
        <v>8</v>
      </c>
      <c r="R34" s="1" t="s">
        <v>8</v>
      </c>
      <c r="S34" s="1" t="s">
        <v>9</v>
      </c>
      <c r="T34" s="1" t="s">
        <v>9</v>
      </c>
      <c r="U34" s="1" t="s">
        <v>10</v>
      </c>
      <c r="V34" s="1" t="s">
        <v>10</v>
      </c>
      <c r="X34" s="1" t="s">
        <v>19</v>
      </c>
      <c r="Y34" s="1" t="s">
        <v>1</v>
      </c>
      <c r="Z34" s="1" t="s">
        <v>1</v>
      </c>
      <c r="AA34" s="1" t="s">
        <v>2</v>
      </c>
      <c r="AB34" s="1" t="s">
        <v>2</v>
      </c>
      <c r="AC34" s="1" t="s">
        <v>3</v>
      </c>
      <c r="AD34" s="1" t="s">
        <v>3</v>
      </c>
      <c r="AE34" s="1" t="s">
        <v>4</v>
      </c>
      <c r="AF34" s="1" t="s">
        <v>4</v>
      </c>
      <c r="AG34" s="1" t="s">
        <v>5</v>
      </c>
      <c r="AH34" s="1" t="s">
        <v>5</v>
      </c>
      <c r="AI34" s="1" t="s">
        <v>6</v>
      </c>
      <c r="AJ34" s="1" t="s">
        <v>6</v>
      </c>
      <c r="AK34" s="1" t="s">
        <v>7</v>
      </c>
      <c r="AL34" s="1" t="s">
        <v>7</v>
      </c>
      <c r="AM34" s="1" t="s">
        <v>8</v>
      </c>
      <c r="AN34" s="1" t="s">
        <v>8</v>
      </c>
      <c r="AO34" s="1" t="s">
        <v>9</v>
      </c>
      <c r="AP34" s="1" t="s">
        <v>9</v>
      </c>
      <c r="AQ34" s="1" t="s">
        <v>10</v>
      </c>
      <c r="AR34" s="1" t="s">
        <v>10</v>
      </c>
    </row>
    <row r="35" spans="2:44" x14ac:dyDescent="0.3">
      <c r="B35" s="1" t="s">
        <v>20</v>
      </c>
      <c r="X35" s="1" t="s">
        <v>20</v>
      </c>
    </row>
    <row r="36" spans="2:44" x14ac:dyDescent="0.3">
      <c r="B36" s="1" t="s">
        <v>21</v>
      </c>
      <c r="C36" s="4">
        <f>Year_2040!AV233/Year_2032!AV233-1</f>
        <v>0.14839625799343081</v>
      </c>
      <c r="D36" s="4">
        <f>Year_2040!AW233/Year_2032!AW233-1</f>
        <v>0.14841610280524797</v>
      </c>
      <c r="E36" s="4">
        <f>Year_2040!AX233/Year_2032!AX233-1</f>
        <v>0.19707249654479209</v>
      </c>
      <c r="F36" s="4">
        <f>Year_2040!AY233/Year_2032!AY233-1</f>
        <v>0.19702112919986159</v>
      </c>
      <c r="G36" s="4">
        <f>Year_2040!AZ233/Year_2032!AZ233-1</f>
        <v>0.18143281051292925</v>
      </c>
      <c r="H36" s="4">
        <f>Year_2040!BA233/Year_2032!BA233-1</f>
        <v>0.18142658051437976</v>
      </c>
      <c r="I36" s="4">
        <f>Year_2040!BB233/Year_2032!BB233-1</f>
        <v>0.1753997230035762</v>
      </c>
      <c r="J36" s="4">
        <f>Year_2040!BC233/Year_2032!BC233-1</f>
        <v>0.17034605861691698</v>
      </c>
      <c r="K36" s="4">
        <f>Year_2040!BD233/Year_2032!BD233-1</f>
        <v>0.14705552439708347</v>
      </c>
      <c r="L36" s="4">
        <f>Year_2040!BE233/Year_2032!BE233-1</f>
        <v>0.14705482247313295</v>
      </c>
      <c r="M36" s="4">
        <f>Year_2040!BF233/Year_2032!BF233-1</f>
        <v>6.5228772427332826E-2</v>
      </c>
      <c r="N36" s="4">
        <f>Year_2040!BG233/Year_2032!BG233-1</f>
        <v>0.14948418391746943</v>
      </c>
      <c r="O36" s="4">
        <f>Year_2040!BH233/Year_2032!BH233-1</f>
        <v>5.4280834451628568E-2</v>
      </c>
      <c r="P36" s="4">
        <f>Year_2040!BI233/Year_2032!BI233-1</f>
        <v>0.16092285508291271</v>
      </c>
      <c r="Q36" s="4">
        <f>Year_2040!BJ233/Year_2032!BJ233-1</f>
        <v>0.14248774262878627</v>
      </c>
      <c r="R36" s="4">
        <f>Year_2040!BK233/Year_2032!BK233-1</f>
        <v>0.1584662823434777</v>
      </c>
      <c r="S36" s="4">
        <f>Year_2040!BL233/Year_2032!BL233-1</f>
        <v>0.14666577127123759</v>
      </c>
      <c r="T36" s="4">
        <f>Year_2040!BM233/Year_2032!BM233-1</f>
        <v>0.14676806083650185</v>
      </c>
      <c r="U36" s="4">
        <f>Year_2040!BN233/Year_2032!BN233-1</f>
        <v>0.15777793686019059</v>
      </c>
      <c r="V36" s="4">
        <f>Year_2040!BO233/Year_2032!BO233-1</f>
        <v>0.15780161450845953</v>
      </c>
      <c r="X36" s="1" t="s">
        <v>21</v>
      </c>
      <c r="Y36" s="4">
        <f>Year_2050!AV233/Year_2040!AV233-1</f>
        <v>0.18085956683879467</v>
      </c>
      <c r="Z36" s="4">
        <f>Year_2050!AW233/Year_2040!AW233-1</f>
        <v>0.18083558511743902</v>
      </c>
      <c r="AA36" s="4">
        <f>Year_2050!AX233/Year_2040!AX233-1</f>
        <v>0.21868276043033341</v>
      </c>
      <c r="AB36" s="4">
        <f>Year_2050!AY233/Year_2040!AY233-1</f>
        <v>0.21876265987615007</v>
      </c>
      <c r="AC36" s="4">
        <f>Year_2050!AZ233/Year_2040!AZ233-1</f>
        <v>0.20272694653749546</v>
      </c>
      <c r="AD36" s="4">
        <f>Year_2050!BA233/Year_2040!BA233-1</f>
        <v>0.20268096514745304</v>
      </c>
      <c r="AE36" s="4">
        <f>Year_2050!BB233/Year_2040!BB233-1</f>
        <v>0.19741735537190097</v>
      </c>
      <c r="AF36" s="4">
        <f>Year_2050!BC233/Year_2040!BC233-1</f>
        <v>3.1657433556043335E-2</v>
      </c>
      <c r="AG36" s="4">
        <f>Year_2050!BD233/Year_2040!BD233-1</f>
        <v>0.15019557989438681</v>
      </c>
      <c r="AH36" s="4">
        <f>Year_2050!BE233/Year_2040!BE233-1</f>
        <v>6.4878693412849131E-2</v>
      </c>
      <c r="AI36" s="4">
        <f>Year_2050!BF233/Year_2040!BF233-1</f>
        <v>3.1521585703973454E-2</v>
      </c>
      <c r="AJ36" s="4">
        <f>Year_2050!BG233/Year_2040!BG233-1</f>
        <v>8.187900658034386E-2</v>
      </c>
      <c r="AK36" s="4">
        <f>Year_2050!BH233/Year_2040!BH233-1</f>
        <v>3.1629472086128763E-2</v>
      </c>
      <c r="AL36" s="4">
        <f>Year_2050!BI233/Year_2040!BI233-1</f>
        <v>0.10240342814557191</v>
      </c>
      <c r="AM36" s="4">
        <f>Year_2050!BJ233/Year_2040!BJ233-1</f>
        <v>3.1456306398988776E-2</v>
      </c>
      <c r="AN36" s="4">
        <f>Year_2050!BK233/Year_2040!BK233-1</f>
        <v>8.6784763668226406E-2</v>
      </c>
      <c r="AO36" s="4">
        <f>Year_2050!BL233/Year_2040!BL233-1</f>
        <v>0.13720393223175065</v>
      </c>
      <c r="AP36" s="4">
        <f>Year_2050!BM233/Year_2040!BM233-1</f>
        <v>0.1723190602500948</v>
      </c>
      <c r="AQ36" s="4">
        <f>Year_2050!BN233/Year_2040!BN233-1</f>
        <v>0.1061734283771012</v>
      </c>
      <c r="AR36" s="4">
        <f>Year_2050!BO233/Year_2040!BO233-1</f>
        <v>0.18748806112702976</v>
      </c>
    </row>
    <row r="37" spans="2:44" x14ac:dyDescent="0.3">
      <c r="B37" s="1" t="s">
        <v>22</v>
      </c>
      <c r="C37" s="4">
        <f>Year_2040!AV234/Year_2032!AV234-1</f>
        <v>0.14841673100093344</v>
      </c>
      <c r="D37" s="4">
        <f>Year_2040!AW234/Year_2032!AW234-1</f>
        <v>0.14843250518759477</v>
      </c>
      <c r="E37" s="4">
        <f>Year_2040!AX234/Year_2032!AX234-1</f>
        <v>0.19706935011836935</v>
      </c>
      <c r="F37" s="4">
        <f>Year_2040!AY234/Year_2032!AY234-1</f>
        <v>0.19707925778422375</v>
      </c>
      <c r="G37" s="4">
        <f>Year_2040!AZ234/Year_2032!AZ234-1</f>
        <v>0.18140481334472192</v>
      </c>
      <c r="H37" s="4">
        <f>Year_2040!BA234/Year_2032!BA234-1</f>
        <v>0.18142427932029337</v>
      </c>
      <c r="I37" s="4">
        <f>Year_2040!BB234/Year_2032!BB234-1</f>
        <v>0.17542333389599918</v>
      </c>
      <c r="J37" s="4">
        <f>Year_2040!BC234/Year_2032!BC234-1</f>
        <v>0.17541030947682557</v>
      </c>
      <c r="K37" s="4">
        <f>Year_2040!BD234/Year_2032!BD234-1</f>
        <v>0.14709104773702708</v>
      </c>
      <c r="L37" s="4">
        <f>Year_2040!BE234/Year_2032!BE234-1</f>
        <v>0.14708679852693685</v>
      </c>
      <c r="M37" s="4">
        <f>Year_2040!BF234/Year_2032!BF234-1</f>
        <v>0.14948664313874627</v>
      </c>
      <c r="N37" s="4">
        <f>Year_2040!BG234/Year_2032!BG234-1</f>
        <v>0.14947160160208472</v>
      </c>
      <c r="O37" s="4">
        <f>Year_2040!BH234/Year_2032!BH234-1</f>
        <v>0.1609207766363685</v>
      </c>
      <c r="P37" s="4">
        <f>Year_2040!BI234/Year_2032!BI234-1</f>
        <v>0.16092867421232349</v>
      </c>
      <c r="Q37" s="4">
        <f>Year_2040!BJ234/Year_2032!BJ234-1</f>
        <v>0.15846014925769514</v>
      </c>
      <c r="R37" s="4">
        <f>Year_2040!BK234/Year_2032!BK234-1</f>
        <v>0.15846204674981412</v>
      </c>
      <c r="S37" s="4">
        <f>Year_2040!BL234/Year_2032!BL234-1</f>
        <v>0.14667727753868998</v>
      </c>
      <c r="T37" s="4">
        <f>Year_2040!BM234/Year_2032!BM234-1</f>
        <v>0.14670281051167899</v>
      </c>
      <c r="U37" s="4">
        <f>Year_2040!BN234/Year_2032!BN234-1</f>
        <v>0.15773352208893998</v>
      </c>
      <c r="V37" s="4">
        <f>Year_2040!BO234/Year_2032!BO234-1</f>
        <v>0.15773440144420614</v>
      </c>
      <c r="X37" s="1" t="s">
        <v>22</v>
      </c>
      <c r="Y37" s="4">
        <f>Year_2050!AV234/Year_2040!AV234-1</f>
        <v>0.18086057919488763</v>
      </c>
      <c r="Z37" s="4">
        <f>Year_2050!AW234/Year_2040!AW234-1</f>
        <v>0.1808601551932103</v>
      </c>
      <c r="AA37" s="4">
        <f>Year_2050!AX234/Year_2040!AX234-1</f>
        <v>0.21870956941959041</v>
      </c>
      <c r="AB37" s="4">
        <f>Year_2050!AY234/Year_2040!AY234-1</f>
        <v>0.21870568310691141</v>
      </c>
      <c r="AC37" s="4">
        <f>Year_2050!AZ234/Year_2040!AZ234-1</f>
        <v>0.20269207051268423</v>
      </c>
      <c r="AD37" s="4">
        <f>Year_2050!BA234/Year_2040!BA234-1</f>
        <v>0.20270770274831285</v>
      </c>
      <c r="AE37" s="4">
        <f>Year_2050!BB234/Year_2040!BB234-1</f>
        <v>0.16497569717203464</v>
      </c>
      <c r="AF37" s="4">
        <f>Year_2050!BC234/Year_2040!BC234-1</f>
        <v>0.13113649857707332</v>
      </c>
      <c r="AG37" s="4">
        <f>Year_2050!BD234/Year_2040!BD234-1</f>
        <v>0.14281384355196947</v>
      </c>
      <c r="AH37" s="4">
        <f>Year_2050!BE234/Year_2040!BE234-1</f>
        <v>0.17368286771271868</v>
      </c>
      <c r="AI37" s="4">
        <f>Year_2050!BF234/Year_2040!BF234-1</f>
        <v>6.1011208878525958E-2</v>
      </c>
      <c r="AJ37" s="4">
        <f>Year_2050!BG234/Year_2040!BG234-1</f>
        <v>0.17463949119455924</v>
      </c>
      <c r="AK37" s="4">
        <f>Year_2050!BH234/Year_2040!BH234-1</f>
        <v>5.8410933518647123E-2</v>
      </c>
      <c r="AL37" s="4">
        <f>Year_2050!BI234/Year_2040!BI234-1</f>
        <v>0.17859177859177877</v>
      </c>
      <c r="AM37" s="4">
        <f>Year_2050!BJ234/Year_2040!BJ234-1</f>
        <v>0.10966916827827689</v>
      </c>
      <c r="AN37" s="4">
        <f>Year_2050!BK234/Year_2040!BK234-1</f>
        <v>0.18134825852910774</v>
      </c>
      <c r="AO37" s="4">
        <f>Year_2050!BL234/Year_2040!BL234-1</f>
        <v>0.15625863312018651</v>
      </c>
      <c r="AP37" s="4">
        <f>Year_2050!BM234/Year_2040!BM234-1</f>
        <v>0.17242148017314674</v>
      </c>
      <c r="AQ37" s="4">
        <f>Year_2050!BN234/Year_2040!BN234-1</f>
        <v>0.18751795023542006</v>
      </c>
      <c r="AR37" s="4">
        <f>Year_2050!BO234/Year_2040!BO234-1</f>
        <v>0.18752917280043513</v>
      </c>
    </row>
    <row r="38" spans="2:44" x14ac:dyDescent="0.3">
      <c r="B38" s="1" t="s">
        <v>23</v>
      </c>
      <c r="C38" s="4">
        <f>Year_2040!AV235/Year_2032!AV235-1</f>
        <v>3.9353613809639532E-2</v>
      </c>
      <c r="D38" s="4">
        <f>Year_2040!AW235/Year_2032!AW235-1</f>
        <v>0.14842919896046536</v>
      </c>
      <c r="E38" s="4">
        <f>Year_2040!AX235/Year_2032!AX235-1</f>
        <v>3.9367886229267013E-2</v>
      </c>
      <c r="F38" s="4">
        <f>Year_2040!AY235/Year_2032!AY235-1</f>
        <v>0.19707638991299214</v>
      </c>
      <c r="G38" s="4">
        <f>Year_2040!AZ235/Year_2032!AZ235-1</f>
        <v>6.8516399809116502E-2</v>
      </c>
      <c r="H38" s="4">
        <f>Year_2040!BA235/Year_2032!BA235-1</f>
        <v>4.5063296103045047E-2</v>
      </c>
      <c r="I38" s="4">
        <f>Year_2040!BB235/Year_2032!BB235-1</f>
        <v>9.6273302174971764E-2</v>
      </c>
      <c r="J38" s="4">
        <f>Year_2040!BC235/Year_2032!BC235-1</f>
        <v>0.17542525133659681</v>
      </c>
      <c r="K38" s="4">
        <f>Year_2040!BD235/Year_2032!BD235-1</f>
        <v>5.0236641947752902E-2</v>
      </c>
      <c r="L38" s="4">
        <f>Year_2040!BE235/Year_2032!BE235-1</f>
        <v>0.14708553658629908</v>
      </c>
      <c r="M38" s="4">
        <f>Year_2040!BF235/Year_2032!BF235-1</f>
        <v>3.9434526509858792E-2</v>
      </c>
      <c r="N38" s="4">
        <f>Year_2040!BG235/Year_2032!BG235-1</f>
        <v>0.14949183661648635</v>
      </c>
      <c r="O38" s="4">
        <f>Year_2040!BH235/Year_2032!BH235-1</f>
        <v>3.9359739942910643E-2</v>
      </c>
      <c r="P38" s="4">
        <f>Year_2040!BI235/Year_2032!BI235-1</f>
        <v>0.16094256843390498</v>
      </c>
      <c r="Q38" s="4">
        <f>Year_2040!BJ235/Year_2032!BJ235-1</f>
        <v>3.9417443271487107E-2</v>
      </c>
      <c r="R38" s="4">
        <f>Year_2040!BK235/Year_2032!BK235-1</f>
        <v>0.15846683984357335</v>
      </c>
      <c r="S38" s="4">
        <f>Year_2040!BL235/Year_2032!BL235-1</f>
        <v>0.14670703280688269</v>
      </c>
      <c r="T38" s="4">
        <f>Year_2040!BM235/Year_2032!BM235-1</f>
        <v>0.14667769690844357</v>
      </c>
      <c r="U38" s="4">
        <f>Year_2040!BN235/Year_2032!BN235-1</f>
        <v>0.15777353110904557</v>
      </c>
      <c r="V38" s="4">
        <f>Year_2040!BO235/Year_2032!BO235-1</f>
        <v>0.15776355334643388</v>
      </c>
      <c r="X38" s="1" t="s">
        <v>23</v>
      </c>
      <c r="Y38" s="4">
        <f>Year_2050!AV235/Year_2040!AV235-1</f>
        <v>6.0619353587499258E-2</v>
      </c>
      <c r="Z38" s="4">
        <f>Year_2050!AW235/Year_2040!AW235-1</f>
        <v>0.18084063534785844</v>
      </c>
      <c r="AA38" s="4">
        <f>Year_2050!AX235/Year_2040!AX235-1</f>
        <v>6.0568488345419835E-2</v>
      </c>
      <c r="AB38" s="4">
        <f>Year_2050!AY235/Year_2040!AY235-1</f>
        <v>0.21869658448698015</v>
      </c>
      <c r="AC38" s="4">
        <f>Year_2050!AZ235/Year_2040!AZ235-1</f>
        <v>6.0581201819821739E-2</v>
      </c>
      <c r="AD38" s="4">
        <f>Year_2050!BA235/Year_2040!BA235-1</f>
        <v>4.3080981009427699E-2</v>
      </c>
      <c r="AE38" s="4">
        <f>Year_2050!BB235/Year_2040!BB235-1</f>
        <v>6.0614883613712145E-2</v>
      </c>
      <c r="AF38" s="4">
        <f>Year_2050!BC235/Year_2040!BC235-1</f>
        <v>0.16826763523728738</v>
      </c>
      <c r="AG38" s="4">
        <f>Year_2050!BD235/Year_2040!BD235-1</f>
        <v>6.0558226272524607E-2</v>
      </c>
      <c r="AH38" s="4">
        <f>Year_2050!BE235/Year_2040!BE235-1</f>
        <v>0.17369207569264078</v>
      </c>
      <c r="AI38" s="4">
        <f>Year_2050!BF235/Year_2040!BF235-1</f>
        <v>6.0589515362437174E-2</v>
      </c>
      <c r="AJ38" s="4">
        <f>Year_2050!BG235/Year_2040!BG235-1</f>
        <v>0.17462524098676702</v>
      </c>
      <c r="AK38" s="4">
        <f>Year_2050!BH235/Year_2040!BH235-1</f>
        <v>6.0589252796835247E-2</v>
      </c>
      <c r="AL38" s="4">
        <f>Year_2050!BI235/Year_2040!BI235-1</f>
        <v>0.18470134687032669</v>
      </c>
      <c r="AM38" s="4">
        <f>Year_2050!BJ235/Year_2040!BJ235-1</f>
        <v>6.058786551020523E-2</v>
      </c>
      <c r="AN38" s="4">
        <f>Year_2050!BK235/Year_2040!BK235-1</f>
        <v>0.18135583906933439</v>
      </c>
      <c r="AO38" s="4">
        <f>Year_2050!BL235/Year_2040!BL235-1</f>
        <v>0.17241738462870759</v>
      </c>
      <c r="AP38" s="4">
        <f>Year_2050!BM235/Year_2040!BM235-1</f>
        <v>0.17242936309319479</v>
      </c>
      <c r="AQ38" s="4">
        <f>Year_2050!BN235/Year_2040!BN235-1</f>
        <v>0.18748864545080468</v>
      </c>
      <c r="AR38" s="4">
        <f>Year_2050!BO235/Year_2040!BO235-1</f>
        <v>0.18748389822878275</v>
      </c>
    </row>
    <row r="39" spans="2:44" x14ac:dyDescent="0.3">
      <c r="B39" s="1" t="s">
        <v>24</v>
      </c>
      <c r="C39" s="4">
        <f>Year_2040!AV236/Year_2032!AV236-1</f>
        <v>4.5054375044716322E-2</v>
      </c>
      <c r="D39" s="4">
        <f>Year_2040!AW236/Year_2032!AW236-1</f>
        <v>0.14842850789996875</v>
      </c>
      <c r="E39" s="4">
        <f>Year_2040!AX236/Year_2032!AX236-1</f>
        <v>4.5042074299159962E-2</v>
      </c>
      <c r="F39" s="4">
        <f>Year_2040!AY236/Year_2032!AY236-1</f>
        <v>0.19708856781152062</v>
      </c>
      <c r="G39" s="4">
        <f>Year_2040!AZ236/Year_2032!AZ236-1</f>
        <v>4.5072102305619755E-2</v>
      </c>
      <c r="H39" s="4">
        <f>Year_2040!BA236/Year_2032!BA236-1</f>
        <v>4.5055496535947315E-2</v>
      </c>
      <c r="I39" s="4">
        <f>Year_2040!BB236/Year_2032!BB236-1</f>
        <v>4.499420151787259E-2</v>
      </c>
      <c r="J39" s="4">
        <f>Year_2040!BC236/Year_2032!BC236-1</f>
        <v>0.17542583294912828</v>
      </c>
      <c r="K39" s="4">
        <f>Year_2040!BD236/Year_2032!BD236-1</f>
        <v>4.5017529447255678E-2</v>
      </c>
      <c r="L39" s="4">
        <f>Year_2040!BE236/Year_2032!BE236-1</f>
        <v>0.14708825618180632</v>
      </c>
      <c r="M39" s="4">
        <f>Year_2040!BF236/Year_2032!BF236-1</f>
        <v>4.5058783103426148E-2</v>
      </c>
      <c r="N39" s="4">
        <f>Year_2040!BG236/Year_2032!BG236-1</f>
        <v>0.14946338229990141</v>
      </c>
      <c r="O39" s="4">
        <f>Year_2040!BH236/Year_2032!BH236-1</f>
        <v>4.5038723793835889E-2</v>
      </c>
      <c r="P39" s="4">
        <f>Year_2040!BI236/Year_2032!BI236-1</f>
        <v>0.16092104823743236</v>
      </c>
      <c r="Q39" s="4">
        <f>Year_2040!BJ236/Year_2032!BJ236-1</f>
        <v>0.14104238071922115</v>
      </c>
      <c r="R39" s="4">
        <f>Year_2040!BK236/Year_2032!BK236-1</f>
        <v>0.15847577539176294</v>
      </c>
      <c r="S39" s="4">
        <f>Year_2040!BL236/Year_2032!BL236-1</f>
        <v>0.14668952439045402</v>
      </c>
      <c r="T39" s="4">
        <f>Year_2040!BM236/Year_2032!BM236-1</f>
        <v>0.14666786850058999</v>
      </c>
      <c r="U39" s="4">
        <f>Year_2040!BN236/Year_2032!BN236-1</f>
        <v>0.15773459437560255</v>
      </c>
      <c r="V39" s="4">
        <f>Year_2040!BO236/Year_2032!BO236-1</f>
        <v>0.15774052347914136</v>
      </c>
      <c r="X39" s="1" t="s">
        <v>24</v>
      </c>
      <c r="Y39" s="4">
        <f>Year_2050!AV236/Year_2040!AV236-1</f>
        <v>4.3110279682817332E-2</v>
      </c>
      <c r="Z39" s="4">
        <f>Year_2050!AW236/Year_2040!AW236-1</f>
        <v>0.18085969642699529</v>
      </c>
      <c r="AA39" s="4">
        <f>Year_2050!AX236/Year_2040!AX236-1</f>
        <v>4.3081559771277478E-2</v>
      </c>
      <c r="AB39" s="4">
        <f>Year_2050!AY236/Year_2040!AY236-1</f>
        <v>0.21871672187461666</v>
      </c>
      <c r="AC39" s="4">
        <f>Year_2050!AZ236/Year_2040!AZ236-1</f>
        <v>4.3109480295545843E-2</v>
      </c>
      <c r="AD39" s="4">
        <f>Year_2050!BA236/Year_2040!BA236-1</f>
        <v>4.3119254611901692E-2</v>
      </c>
      <c r="AE39" s="4">
        <f>Year_2050!BB236/Year_2040!BB236-1</f>
        <v>4.3139036132546771E-2</v>
      </c>
      <c r="AF39" s="4">
        <f>Year_2050!BC236/Year_2040!BC236-1</f>
        <v>0.12492218227879093</v>
      </c>
      <c r="AG39" s="4">
        <f>Year_2050!BD236/Year_2040!BD236-1</f>
        <v>4.3086407671983684E-2</v>
      </c>
      <c r="AH39" s="4">
        <f>Year_2050!BE236/Year_2040!BE236-1</f>
        <v>0.1736883471395001</v>
      </c>
      <c r="AI39" s="4">
        <f>Year_2050!BF236/Year_2040!BF236-1</f>
        <v>4.3099668904506006E-2</v>
      </c>
      <c r="AJ39" s="4">
        <f>Year_2050!BG236/Year_2040!BG236-1</f>
        <v>0.17464170624151976</v>
      </c>
      <c r="AK39" s="4">
        <f>Year_2050!BH236/Year_2040!BH236-1</f>
        <v>4.3124719889731766E-2</v>
      </c>
      <c r="AL39" s="4">
        <f>Year_2050!BI236/Year_2040!BI236-1</f>
        <v>0.18470901764818271</v>
      </c>
      <c r="AM39" s="4">
        <f>Year_2050!BJ236/Year_2040!BJ236-1</f>
        <v>4.3141174747725941E-2</v>
      </c>
      <c r="AN39" s="4">
        <f>Year_2050!BK236/Year_2040!BK236-1</f>
        <v>0.18135068113187414</v>
      </c>
      <c r="AO39" s="4">
        <f>Year_2050!BL236/Year_2040!BL236-1</f>
        <v>0.17242118945632146</v>
      </c>
      <c r="AP39" s="4">
        <f>Year_2050!BM236/Year_2040!BM236-1</f>
        <v>0.17243700286428787</v>
      </c>
      <c r="AQ39" s="4">
        <f>Year_2050!BN236/Year_2040!BN236-1</f>
        <v>0.18752337948493958</v>
      </c>
      <c r="AR39" s="4">
        <f>Year_2050!BO236/Year_2040!BO236-1</f>
        <v>0.18749807100749982</v>
      </c>
    </row>
    <row r="40" spans="2:44" x14ac:dyDescent="0.3">
      <c r="B40" s="1" t="s">
        <v>25</v>
      </c>
      <c r="C40" s="4">
        <f>Year_2040!AV237/Year_2032!AV237-1</f>
        <v>1.8676837893827347E-2</v>
      </c>
      <c r="D40" s="4">
        <f>Year_2040!AW237/Year_2032!AW237-1</f>
        <v>7.8905842512942304E-2</v>
      </c>
      <c r="E40" s="4">
        <f>Year_2040!AX237/Year_2032!AX237-1</f>
        <v>1.8683065428824364E-2</v>
      </c>
      <c r="F40" s="4">
        <f>Year_2040!AY237/Year_2032!AY237-1</f>
        <v>0.19706939196012518</v>
      </c>
      <c r="G40" s="4">
        <f>Year_2040!AZ237/Year_2032!AZ237-1</f>
        <v>1.8700840079731273E-2</v>
      </c>
      <c r="H40" s="4">
        <f>Year_2040!BA237/Year_2032!BA237-1</f>
        <v>1.8685924909247253E-2</v>
      </c>
      <c r="I40" s="4">
        <f>Year_2040!BB237/Year_2032!BB237-1</f>
        <v>0.17542989365454109</v>
      </c>
      <c r="J40" s="4">
        <f>Year_2040!BC237/Year_2032!BC237-1</f>
        <v>4.0696941830205891E-2</v>
      </c>
      <c r="K40" s="4">
        <f>Year_2040!BD237/Year_2032!BD237-1</f>
        <v>9.8057876557114065E-2</v>
      </c>
      <c r="L40" s="4">
        <f>Year_2040!BE237/Year_2032!BE237-1</f>
        <v>4.9539444958695E-2</v>
      </c>
      <c r="M40" s="4">
        <f>Year_2040!BF237/Year_2032!BF237-1</f>
        <v>0.14948160518569864</v>
      </c>
      <c r="N40" s="4">
        <f>Year_2040!BG237/Year_2032!BG237-1</f>
        <v>0.14948259705339639</v>
      </c>
      <c r="O40" s="4">
        <f>Year_2040!BH237/Year_2032!BH237-1</f>
        <v>0.16091619629424758</v>
      </c>
      <c r="P40" s="4">
        <f>Year_2040!BI237/Year_2032!BI237-1</f>
        <v>0.16094193266958956</v>
      </c>
      <c r="Q40" s="4">
        <f>Year_2040!BJ237/Year_2032!BJ237-1</f>
        <v>0.15846045035493295</v>
      </c>
      <c r="R40" s="4">
        <f>Year_2040!BK237/Year_2032!BK237-1</f>
        <v>0.1584415479969119</v>
      </c>
      <c r="S40" s="4">
        <f>Year_2040!BL237/Year_2032!BL237-1</f>
        <v>0.1466883874732543</v>
      </c>
      <c r="T40" s="4">
        <f>Year_2040!BM237/Year_2032!BM237-1</f>
        <v>0.14669751418280219</v>
      </c>
      <c r="U40" s="4">
        <f>Year_2040!BN237/Year_2032!BN237-1</f>
        <v>0.15776093630084431</v>
      </c>
      <c r="V40" s="4">
        <f>Year_2040!BO237/Year_2032!BO237-1</f>
        <v>0.15775057065781262</v>
      </c>
      <c r="X40" s="1" t="s">
        <v>25</v>
      </c>
      <c r="Y40" s="4">
        <f>Year_2050!AV237/Year_2040!AV237-1</f>
        <v>3.6760189759644124E-2</v>
      </c>
      <c r="Z40" s="4">
        <f>Year_2050!AW237/Year_2040!AW237-1</f>
        <v>3.6703361008320723E-2</v>
      </c>
      <c r="AA40" s="4">
        <f>Year_2050!AX237/Year_2040!AX237-1</f>
        <v>3.670393277975581E-2</v>
      </c>
      <c r="AB40" s="4">
        <f>Year_2050!AY237/Year_2040!AY237-1</f>
        <v>0.21870568037620353</v>
      </c>
      <c r="AC40" s="4">
        <f>Year_2050!AZ237/Year_2040!AZ237-1</f>
        <v>3.6702802020227798E-2</v>
      </c>
      <c r="AD40" s="4">
        <f>Year_2050!BA237/Year_2040!BA237-1</f>
        <v>3.67064477139738E-2</v>
      </c>
      <c r="AE40" s="4">
        <f>Year_2050!BB237/Year_2040!BB237-1</f>
        <v>0.19744486887298174</v>
      </c>
      <c r="AF40" s="4">
        <f>Year_2050!BC237/Year_2040!BC237-1</f>
        <v>3.6711363895303162E-2</v>
      </c>
      <c r="AG40" s="4">
        <f>Year_2050!BD237/Year_2040!BD237-1</f>
        <v>3.6721615375608474E-2</v>
      </c>
      <c r="AH40" s="4">
        <f>Year_2050!BE237/Year_2040!BE237-1</f>
        <v>3.6703149825904724E-2</v>
      </c>
      <c r="AI40" s="4">
        <f>Year_2050!BF237/Year_2040!BF237-1</f>
        <v>5.1010792960439089E-2</v>
      </c>
      <c r="AJ40" s="4">
        <f>Year_2050!BG237/Year_2040!BG237-1</f>
        <v>0.10306694809134687</v>
      </c>
      <c r="AK40" s="4">
        <f>Year_2050!BH237/Year_2040!BH237-1</f>
        <v>9.8479768955702207E-2</v>
      </c>
      <c r="AL40" s="4">
        <f>Year_2050!BI237/Year_2040!BI237-1</f>
        <v>0.13379460903120655</v>
      </c>
      <c r="AM40" s="4">
        <f>Year_2050!BJ237/Year_2040!BJ237-1</f>
        <v>0.16020872591331847</v>
      </c>
      <c r="AN40" s="4">
        <f>Year_2050!BK237/Year_2040!BK237-1</f>
        <v>0.18135700232840768</v>
      </c>
      <c r="AO40" s="4">
        <f>Year_2050!BL237/Year_2040!BL237-1</f>
        <v>0.17243061003795512</v>
      </c>
      <c r="AP40" s="4">
        <f>Year_2050!BM237/Year_2040!BM237-1</f>
        <v>0.17243356934353193</v>
      </c>
      <c r="AQ40" s="4">
        <f>Year_2050!BN237/Year_2040!BN237-1</f>
        <v>0.18751294692795284</v>
      </c>
      <c r="AR40" s="4">
        <f>Year_2050!BO237/Year_2040!BO237-1</f>
        <v>0.18750018867070195</v>
      </c>
    </row>
    <row r="41" spans="2:44" x14ac:dyDescent="0.3">
      <c r="B41" s="1" t="s">
        <v>26</v>
      </c>
      <c r="C41" s="4">
        <f>Year_2040!AV238/Year_2032!AV238-1</f>
        <v>4.505758109628033E-2</v>
      </c>
      <c r="D41" s="4">
        <f>Year_2040!AW238/Year_2032!AW238-1</f>
        <v>4.5044153428730027E-2</v>
      </c>
      <c r="E41" s="4">
        <f>Year_2040!AX238/Year_2032!AX238-1</f>
        <v>4.504924237937491E-2</v>
      </c>
      <c r="F41" s="4">
        <f>Year_2040!AY238/Year_2032!AY238-1</f>
        <v>4.5073777172878193E-2</v>
      </c>
      <c r="G41" s="4">
        <f>Year_2040!AZ238/Year_2032!AZ238-1</f>
        <v>4.4998397772096244E-2</v>
      </c>
      <c r="H41" s="4">
        <f>Year_2040!BA238/Year_2032!BA238-1</f>
        <v>4.506395037144828E-2</v>
      </c>
      <c r="I41" s="4">
        <f>Year_2040!BB238/Year_2032!BB238-1</f>
        <v>0.17542142342749356</v>
      </c>
      <c r="J41" s="4">
        <f>Year_2040!BC238/Year_2032!BC238-1</f>
        <v>4.5069482891618939E-2</v>
      </c>
      <c r="K41" s="4">
        <f>Year_2040!BD238/Year_2032!BD238-1</f>
        <v>0.14706395315037368</v>
      </c>
      <c r="L41" s="4">
        <f>Year_2040!BE238/Year_2032!BE238-1</f>
        <v>4.5041265136873454E-2</v>
      </c>
      <c r="M41" s="4">
        <f>Year_2040!BF238/Year_2032!BF238-1</f>
        <v>0.149490183946273</v>
      </c>
      <c r="N41" s="4">
        <f>Year_2040!BG238/Year_2032!BG238-1</f>
        <v>4.5028448183865644E-2</v>
      </c>
      <c r="O41" s="4">
        <f>Year_2040!BH238/Year_2032!BH238-1</f>
        <v>0.16092623040463283</v>
      </c>
      <c r="P41" s="4">
        <f>Year_2040!BI238/Year_2032!BI238-1</f>
        <v>9.5314649866029333E-2</v>
      </c>
      <c r="Q41" s="4">
        <f>Year_2040!BJ238/Year_2032!BJ238-1</f>
        <v>0.15846034899613026</v>
      </c>
      <c r="R41" s="4">
        <f>Year_2040!BK238/Year_2032!BK238-1</f>
        <v>9.9658217332768251E-2</v>
      </c>
      <c r="S41" s="4">
        <f>Year_2040!BL238/Year_2032!BL238-1</f>
        <v>0.14668776470252376</v>
      </c>
      <c r="T41" s="4">
        <f>Year_2040!BM238/Year_2032!BM238-1</f>
        <v>0.14670309598465714</v>
      </c>
      <c r="U41" s="4">
        <f>Year_2040!BN238/Year_2032!BN238-1</f>
        <v>0.15773858063651303</v>
      </c>
      <c r="V41" s="4">
        <f>Year_2040!BO238/Year_2032!BO238-1</f>
        <v>0.15776085850570265</v>
      </c>
      <c r="X41" s="1" t="s">
        <v>26</v>
      </c>
      <c r="Y41" s="4">
        <f>Year_2050!AV238/Year_2040!AV238-1</f>
        <v>4.3111117037387015E-2</v>
      </c>
      <c r="Z41" s="4">
        <f>Year_2050!AW238/Year_2040!AW238-1</f>
        <v>4.3124074183271022E-2</v>
      </c>
      <c r="AA41" s="4">
        <f>Year_2050!AX238/Year_2040!AX238-1</f>
        <v>4.3082103969311447E-2</v>
      </c>
      <c r="AB41" s="4">
        <f>Year_2050!AY238/Year_2040!AY238-1</f>
        <v>4.3087236255138883E-2</v>
      </c>
      <c r="AC41" s="4">
        <f>Year_2050!AZ238/Year_2040!AZ238-1</f>
        <v>4.308500077213262E-2</v>
      </c>
      <c r="AD41" s="4">
        <f>Year_2050!BA238/Year_2040!BA238-1</f>
        <v>4.3038313277734552E-2</v>
      </c>
      <c r="AE41" s="4">
        <f>Year_2050!BB238/Year_2040!BB238-1</f>
        <v>0.1974471342266666</v>
      </c>
      <c r="AF41" s="4">
        <f>Year_2050!BC238/Year_2040!BC238-1</f>
        <v>4.3065976570725528E-2</v>
      </c>
      <c r="AG41" s="4">
        <f>Year_2050!BD238/Year_2040!BD238-1</f>
        <v>0.17369966414607285</v>
      </c>
      <c r="AH41" s="4">
        <f>Year_2050!BE238/Year_2040!BE238-1</f>
        <v>4.3117071712296617E-2</v>
      </c>
      <c r="AI41" s="4">
        <f>Year_2050!BF238/Year_2040!BF238-1</f>
        <v>0.17463930870304933</v>
      </c>
      <c r="AJ41" s="4">
        <f>Year_2050!BG238/Year_2040!BG238-1</f>
        <v>4.3100343975061906E-2</v>
      </c>
      <c r="AK41" s="4">
        <f>Year_2050!BH238/Year_2040!BH238-1</f>
        <v>0.17494048312850374</v>
      </c>
      <c r="AL41" s="4">
        <f>Year_2050!BI238/Year_2040!BI238-1</f>
        <v>4.3114801787744961E-2</v>
      </c>
      <c r="AM41" s="4">
        <f>Year_2050!BJ238/Year_2040!BJ238-1</f>
        <v>0.18134748845110127</v>
      </c>
      <c r="AN41" s="4">
        <f>Year_2050!BK238/Year_2040!BK238-1</f>
        <v>4.3123765233640921E-2</v>
      </c>
      <c r="AO41" s="4">
        <f>Year_2050!BL238/Year_2040!BL238-1</f>
        <v>0.17240986865737473</v>
      </c>
      <c r="AP41" s="4">
        <f>Year_2050!BM238/Year_2040!BM238-1</f>
        <v>5.5893522494527614E-2</v>
      </c>
      <c r="AQ41" s="4">
        <f>Year_2050!BN238/Year_2040!BN238-1</f>
        <v>0.1875055480723582</v>
      </c>
      <c r="AR41" s="4">
        <f>Year_2050!BO238/Year_2040!BO238-1</f>
        <v>0.18749694850580068</v>
      </c>
    </row>
    <row r="42" spans="2:44" x14ac:dyDescent="0.3">
      <c r="B42" s="1" t="s">
        <v>27</v>
      </c>
      <c r="C42" s="4">
        <f>Year_2040!AV239/Year_2032!AV239-1</f>
        <v>3.938559359557936E-2</v>
      </c>
      <c r="D42" s="4">
        <f>Year_2040!AW239/Year_2032!AW239-1</f>
        <v>3.9350832598285868E-2</v>
      </c>
      <c r="E42" s="4">
        <f>Year_2040!AX239/Year_2032!AX239-1</f>
        <v>7.9389431528608112E-2</v>
      </c>
      <c r="F42" s="4">
        <f>Year_2040!AY239/Year_2032!AY239-1</f>
        <v>6.0397528790759658E-2</v>
      </c>
      <c r="G42" s="4">
        <f>Year_2040!AZ239/Year_2032!AZ239-1</f>
        <v>4.5068896793878599E-2</v>
      </c>
      <c r="H42" s="4">
        <f>Year_2040!BA239/Year_2032!BA239-1</f>
        <v>3.9354701346248522E-2</v>
      </c>
      <c r="I42" s="4">
        <f>Year_2040!BB239/Year_2032!BB239-1</f>
        <v>0.17542300582966019</v>
      </c>
      <c r="J42" s="4">
        <f>Year_2040!BC239/Year_2032!BC239-1</f>
        <v>3.9351520337055579E-2</v>
      </c>
      <c r="K42" s="4">
        <f>Year_2040!BD239/Year_2032!BD239-1</f>
        <v>0.14708308066933529</v>
      </c>
      <c r="L42" s="4">
        <f>Year_2040!BE239/Year_2032!BE239-1</f>
        <v>3.9369382766731409E-2</v>
      </c>
      <c r="M42" s="4">
        <f>Year_2040!BF239/Year_2032!BF239-1</f>
        <v>0.14948486326589316</v>
      </c>
      <c r="N42" s="4">
        <f>Year_2040!BG239/Year_2032!BG239-1</f>
        <v>3.9366969198531221E-2</v>
      </c>
      <c r="O42" s="4">
        <f>Year_2040!BH239/Year_2032!BH239-1</f>
        <v>0.16091820208252705</v>
      </c>
      <c r="P42" s="4">
        <f>Year_2040!BI239/Year_2032!BI239-1</f>
        <v>9.4860878218608224E-2</v>
      </c>
      <c r="Q42" s="4">
        <f>Year_2040!BJ239/Year_2032!BJ239-1</f>
        <v>0.15845417197777056</v>
      </c>
      <c r="R42" s="4">
        <f>Year_2040!BK239/Year_2032!BK239-1</f>
        <v>0.15845033894364047</v>
      </c>
      <c r="S42" s="4">
        <f>Year_2040!BL239/Year_2032!BL239-1</f>
        <v>0.14669691865494339</v>
      </c>
      <c r="T42" s="4">
        <f>Year_2040!BM239/Year_2032!BM239-1</f>
        <v>0.14668010872755599</v>
      </c>
      <c r="U42" s="4">
        <f>Year_2040!BN239/Year_2032!BN239-1</f>
        <v>0.15775446910826929</v>
      </c>
      <c r="V42" s="4">
        <f>Year_2040!BO239/Year_2032!BO239-1</f>
        <v>0.15774755966042631</v>
      </c>
      <c r="X42" s="1" t="s">
        <v>27</v>
      </c>
      <c r="Y42" s="4">
        <f>Year_2050!AV239/Year_2040!AV239-1</f>
        <v>6.0615312230936302E-2</v>
      </c>
      <c r="Z42" s="4">
        <f>Year_2050!AW239/Year_2040!AW239-1</f>
        <v>6.0607014111675683E-2</v>
      </c>
      <c r="AA42" s="4">
        <f>Year_2050!AX239/Year_2040!AX239-1</f>
        <v>4.3116303086054408E-2</v>
      </c>
      <c r="AB42" s="4">
        <f>Year_2050!AY239/Year_2040!AY239-1</f>
        <v>6.0613084753328383E-2</v>
      </c>
      <c r="AC42" s="4">
        <f>Year_2050!AZ239/Year_2040!AZ239-1</f>
        <v>4.3077261721329307E-2</v>
      </c>
      <c r="AD42" s="4">
        <f>Year_2050!BA239/Year_2040!BA239-1</f>
        <v>6.0583285063739112E-2</v>
      </c>
      <c r="AE42" s="4">
        <f>Year_2050!BB239/Year_2040!BB239-1</f>
        <v>6.7483958735055083E-2</v>
      </c>
      <c r="AF42" s="4">
        <f>Year_2050!BC239/Year_2040!BC239-1</f>
        <v>6.0614375952104949E-2</v>
      </c>
      <c r="AG42" s="4">
        <f>Year_2050!BD239/Year_2040!BD239-1</f>
        <v>0.17012213541451149</v>
      </c>
      <c r="AH42" s="4">
        <f>Year_2050!BE239/Year_2040!BE239-1</f>
        <v>6.0597291516451879E-2</v>
      </c>
      <c r="AI42" s="4">
        <f>Year_2050!BF239/Year_2040!BF239-1</f>
        <v>0.12407594971972546</v>
      </c>
      <c r="AJ42" s="4">
        <f>Year_2050!BG239/Year_2040!BG239-1</f>
        <v>6.0608442763699699E-2</v>
      </c>
      <c r="AK42" s="4">
        <f>Year_2050!BH239/Year_2040!BH239-1</f>
        <v>0.11080633347589064</v>
      </c>
      <c r="AL42" s="4">
        <f>Year_2050!BI239/Year_2040!BI239-1</f>
        <v>6.0600164550488111E-2</v>
      </c>
      <c r="AM42" s="4">
        <f>Year_2050!BJ239/Year_2040!BJ239-1</f>
        <v>6.5835616636075622E-2</v>
      </c>
      <c r="AN42" s="4">
        <f>Year_2050!BK239/Year_2040!BK239-1</f>
        <v>0.14748025143005372</v>
      </c>
      <c r="AO42" s="4">
        <f>Year_2050!BL239/Year_2040!BL239-1</f>
        <v>0.17241750077086149</v>
      </c>
      <c r="AP42" s="4">
        <f>Year_2050!BM239/Year_2040!BM239-1</f>
        <v>0.17241852614397279</v>
      </c>
      <c r="AQ42" s="4">
        <f>Year_2050!BN239/Year_2040!BN239-1</f>
        <v>0.18751459784589963</v>
      </c>
      <c r="AR42" s="4">
        <f>Year_2050!BO239/Year_2040!BO239-1</f>
        <v>0.18750048516007278</v>
      </c>
    </row>
    <row r="43" spans="2:44" x14ac:dyDescent="0.3">
      <c r="B43" s="1" t="s">
        <v>28</v>
      </c>
      <c r="C43" s="4">
        <f>Year_2040!AV240/Year_2032!AV240-1</f>
        <v>0.14842311575696376</v>
      </c>
      <c r="D43" s="4">
        <f>Year_2040!AW240/Year_2032!AW240-1</f>
        <v>0.14843039126478619</v>
      </c>
      <c r="E43" s="4">
        <f>Year_2040!AX240/Year_2032!AX240-1</f>
        <v>0.19705832233622189</v>
      </c>
      <c r="F43" s="4">
        <f>Year_2040!AY240/Year_2032!AY240-1</f>
        <v>0.19706681009528282</v>
      </c>
      <c r="G43" s="4">
        <f>Year_2040!AZ240/Year_2032!AZ240-1</f>
        <v>0.18140834458292798</v>
      </c>
      <c r="H43" s="4">
        <f>Year_2040!BA240/Year_2032!BA240-1</f>
        <v>0.18142218940102928</v>
      </c>
      <c r="I43" s="4">
        <f>Year_2040!BB240/Year_2032!BB240-1</f>
        <v>0.17541458702302348</v>
      </c>
      <c r="J43" s="4">
        <f>Year_2040!BC240/Year_2032!BC240-1</f>
        <v>4.0795179831163209E-2</v>
      </c>
      <c r="K43" s="4">
        <f>Year_2040!BD240/Year_2032!BD240-1</f>
        <v>0.14706094482509902</v>
      </c>
      <c r="L43" s="4">
        <f>Year_2040!BE240/Year_2032!BE240-1</f>
        <v>4.0872781524881274E-2</v>
      </c>
      <c r="M43" s="4">
        <f>Year_2040!BF240/Year_2032!BF240-1</f>
        <v>0.14945463831029082</v>
      </c>
      <c r="N43" s="4">
        <f>Year_2040!BG240/Year_2032!BG240-1</f>
        <v>4.078037125737799E-2</v>
      </c>
      <c r="O43" s="4">
        <f>Year_2040!BH240/Year_2032!BH240-1</f>
        <v>0.10707905563174114</v>
      </c>
      <c r="P43" s="4">
        <f>Year_2040!BI240/Year_2032!BI240-1</f>
        <v>0.10061044898390659</v>
      </c>
      <c r="Q43" s="4">
        <f>Year_2040!BJ240/Year_2032!BJ240-1</f>
        <v>0.15845016176244031</v>
      </c>
      <c r="R43" s="4">
        <f>Year_2040!BK240/Year_2032!BK240-1</f>
        <v>0.15849199779249457</v>
      </c>
      <c r="S43" s="4">
        <f>Year_2040!BL240/Year_2032!BL240-1</f>
        <v>0.14670671171734884</v>
      </c>
      <c r="T43" s="4">
        <f>Year_2040!BM240/Year_2032!BM240-1</f>
        <v>0.14669404848191991</v>
      </c>
      <c r="U43" s="4">
        <f>Year_2040!BN240/Year_2032!BN240-1</f>
        <v>0.15775907205284145</v>
      </c>
      <c r="V43" s="4">
        <f>Year_2040!BO240/Year_2032!BO240-1</f>
        <v>0.15776908023483349</v>
      </c>
      <c r="X43" s="1" t="s">
        <v>28</v>
      </c>
      <c r="Y43" s="4">
        <f>Year_2050!AV240/Year_2040!AV240-1</f>
        <v>0.18085436491518392</v>
      </c>
      <c r="Z43" s="4">
        <f>Year_2050!AW240/Year_2040!AW240-1</f>
        <v>8.9669538806906424E-2</v>
      </c>
      <c r="AA43" s="4">
        <f>Year_2050!AX240/Year_2040!AX240-1</f>
        <v>0.21870494546694497</v>
      </c>
      <c r="AB43" s="4">
        <f>Year_2050!AY240/Year_2040!AY240-1</f>
        <v>0.21871465367820164</v>
      </c>
      <c r="AC43" s="4">
        <f>Year_2050!AZ240/Year_2040!AZ240-1</f>
        <v>0.20270439048241617</v>
      </c>
      <c r="AD43" s="4">
        <f>Year_2050!BA240/Year_2040!BA240-1</f>
        <v>0.20270746979451459</v>
      </c>
      <c r="AE43" s="4">
        <f>Year_2050!BB240/Year_2040!BB240-1</f>
        <v>0.19745222929936324</v>
      </c>
      <c r="AF43" s="4">
        <f>Year_2050!BC240/Year_2040!BC240-1</f>
        <v>2.9463688435055646E-2</v>
      </c>
      <c r="AG43" s="4">
        <f>Year_2050!BD240/Year_2040!BD240-1</f>
        <v>0.17369844064386308</v>
      </c>
      <c r="AH43" s="4">
        <f>Year_2050!BE240/Year_2040!BE240-1</f>
        <v>2.9406257667127012E-2</v>
      </c>
      <c r="AI43" s="4">
        <f>Year_2050!BF240/Year_2040!BF240-1</f>
        <v>3.7285517825029091E-2</v>
      </c>
      <c r="AJ43" s="4">
        <f>Year_2050!BG240/Year_2040!BG240-1</f>
        <v>2.9430069962876226E-2</v>
      </c>
      <c r="AK43" s="4">
        <f>Year_2050!BH240/Year_2040!BH240-1</f>
        <v>2.9443043935797331E-2</v>
      </c>
      <c r="AL43" s="4">
        <f>Year_2050!BI240/Year_2040!BI240-1</f>
        <v>2.94354457895738E-2</v>
      </c>
      <c r="AM43" s="4">
        <f>Year_2050!BJ240/Year_2040!BJ240-1</f>
        <v>4.4616220050091915E-2</v>
      </c>
      <c r="AN43" s="4">
        <f>Year_2050!BK240/Year_2040!BK240-1</f>
        <v>8.8800230247814138E-2</v>
      </c>
      <c r="AO43" s="4">
        <f>Year_2050!BL240/Year_2040!BL240-1</f>
        <v>0.10680611131320483</v>
      </c>
      <c r="AP43" s="4">
        <f>Year_2050!BM240/Year_2040!BM240-1</f>
        <v>0.17241984759630569</v>
      </c>
      <c r="AQ43" s="4">
        <f>Year_2050!BN240/Year_2040!BN240-1</f>
        <v>0.1875043484310861</v>
      </c>
      <c r="AR43" s="4">
        <f>Year_2050!BO240/Year_2040!BO240-1</f>
        <v>0.18748521010107844</v>
      </c>
    </row>
    <row r="45" spans="2:44" x14ac:dyDescent="0.3">
      <c r="B45" s="5" t="s">
        <v>82</v>
      </c>
    </row>
    <row r="46" spans="2:44" x14ac:dyDescent="0.3">
      <c r="B46" s="5" t="s">
        <v>76</v>
      </c>
      <c r="X46" s="5" t="s">
        <v>77</v>
      </c>
    </row>
    <row r="47" spans="2:44" x14ac:dyDescent="0.3">
      <c r="B47" s="1" t="s">
        <v>16</v>
      </c>
      <c r="C47" s="1" t="s">
        <v>17</v>
      </c>
      <c r="D47" s="1" t="s">
        <v>18</v>
      </c>
      <c r="E47" s="1" t="s">
        <v>17</v>
      </c>
      <c r="F47" s="1" t="s">
        <v>18</v>
      </c>
      <c r="G47" s="1" t="s">
        <v>17</v>
      </c>
      <c r="H47" s="1" t="s">
        <v>18</v>
      </c>
      <c r="I47" s="1" t="s">
        <v>17</v>
      </c>
      <c r="J47" s="1" t="s">
        <v>18</v>
      </c>
      <c r="K47" s="1" t="s">
        <v>17</v>
      </c>
      <c r="L47" s="1" t="s">
        <v>18</v>
      </c>
      <c r="M47" s="1" t="s">
        <v>17</v>
      </c>
      <c r="N47" s="1" t="s">
        <v>18</v>
      </c>
      <c r="O47" s="1" t="s">
        <v>17</v>
      </c>
      <c r="P47" s="1" t="s">
        <v>18</v>
      </c>
      <c r="Q47" s="1" t="s">
        <v>17</v>
      </c>
      <c r="R47" s="1" t="s">
        <v>18</v>
      </c>
      <c r="S47" s="1" t="s">
        <v>17</v>
      </c>
      <c r="T47" s="1" t="s">
        <v>18</v>
      </c>
      <c r="U47" s="1" t="s">
        <v>17</v>
      </c>
      <c r="V47" s="1" t="s">
        <v>18</v>
      </c>
      <c r="X47" s="1" t="s">
        <v>16</v>
      </c>
      <c r="Y47" s="1" t="s">
        <v>17</v>
      </c>
      <c r="Z47" s="1" t="s">
        <v>18</v>
      </c>
      <c r="AA47" s="1" t="s">
        <v>17</v>
      </c>
      <c r="AB47" s="1" t="s">
        <v>18</v>
      </c>
      <c r="AC47" s="1" t="s">
        <v>17</v>
      </c>
      <c r="AD47" s="1" t="s">
        <v>18</v>
      </c>
      <c r="AE47" s="1" t="s">
        <v>17</v>
      </c>
      <c r="AF47" s="1" t="s">
        <v>18</v>
      </c>
      <c r="AG47" s="1" t="s">
        <v>17</v>
      </c>
      <c r="AH47" s="1" t="s">
        <v>18</v>
      </c>
      <c r="AI47" s="1" t="s">
        <v>17</v>
      </c>
      <c r="AJ47" s="1" t="s">
        <v>18</v>
      </c>
      <c r="AK47" s="1" t="s">
        <v>17</v>
      </c>
      <c r="AL47" s="1" t="s">
        <v>18</v>
      </c>
      <c r="AM47" s="1" t="s">
        <v>17</v>
      </c>
      <c r="AN47" s="1" t="s">
        <v>18</v>
      </c>
      <c r="AO47" s="1" t="s">
        <v>17</v>
      </c>
      <c r="AP47" s="1" t="s">
        <v>18</v>
      </c>
      <c r="AQ47" s="1" t="s">
        <v>17</v>
      </c>
      <c r="AR47" s="1" t="s">
        <v>18</v>
      </c>
    </row>
    <row r="48" spans="2:44" x14ac:dyDescent="0.3">
      <c r="B48" s="1" t="s">
        <v>19</v>
      </c>
      <c r="C48" s="1" t="s">
        <v>1</v>
      </c>
      <c r="D48" s="1" t="s">
        <v>1</v>
      </c>
      <c r="E48" s="1" t="s">
        <v>2</v>
      </c>
      <c r="F48" s="1" t="s">
        <v>2</v>
      </c>
      <c r="G48" s="1" t="s">
        <v>3</v>
      </c>
      <c r="H48" s="1" t="s">
        <v>3</v>
      </c>
      <c r="I48" s="1" t="s">
        <v>4</v>
      </c>
      <c r="J48" s="1" t="s">
        <v>4</v>
      </c>
      <c r="K48" s="1" t="s">
        <v>5</v>
      </c>
      <c r="L48" s="1" t="s">
        <v>5</v>
      </c>
      <c r="M48" s="1" t="s">
        <v>6</v>
      </c>
      <c r="N48" s="1" t="s">
        <v>6</v>
      </c>
      <c r="O48" s="1" t="s">
        <v>7</v>
      </c>
      <c r="P48" s="1" t="s">
        <v>7</v>
      </c>
      <c r="Q48" s="1" t="s">
        <v>8</v>
      </c>
      <c r="R48" s="1" t="s">
        <v>8</v>
      </c>
      <c r="S48" s="1" t="s">
        <v>9</v>
      </c>
      <c r="T48" s="1" t="s">
        <v>9</v>
      </c>
      <c r="U48" s="1" t="s">
        <v>10</v>
      </c>
      <c r="V48" s="1" t="s">
        <v>10</v>
      </c>
      <c r="X48" s="1" t="s">
        <v>19</v>
      </c>
      <c r="Y48" s="1" t="s">
        <v>1</v>
      </c>
      <c r="Z48" s="1" t="s">
        <v>1</v>
      </c>
      <c r="AA48" s="1" t="s">
        <v>2</v>
      </c>
      <c r="AB48" s="1" t="s">
        <v>2</v>
      </c>
      <c r="AC48" s="1" t="s">
        <v>3</v>
      </c>
      <c r="AD48" s="1" t="s">
        <v>3</v>
      </c>
      <c r="AE48" s="1" t="s">
        <v>4</v>
      </c>
      <c r="AF48" s="1" t="s">
        <v>4</v>
      </c>
      <c r="AG48" s="1" t="s">
        <v>5</v>
      </c>
      <c r="AH48" s="1" t="s">
        <v>5</v>
      </c>
      <c r="AI48" s="1" t="s">
        <v>6</v>
      </c>
      <c r="AJ48" s="1" t="s">
        <v>6</v>
      </c>
      <c r="AK48" s="1" t="s">
        <v>7</v>
      </c>
      <c r="AL48" s="1" t="s">
        <v>7</v>
      </c>
      <c r="AM48" s="1" t="s">
        <v>8</v>
      </c>
      <c r="AN48" s="1" t="s">
        <v>8</v>
      </c>
      <c r="AO48" s="1" t="s">
        <v>9</v>
      </c>
      <c r="AP48" s="1" t="s">
        <v>9</v>
      </c>
      <c r="AQ48" s="1" t="s">
        <v>10</v>
      </c>
      <c r="AR48" s="1" t="s">
        <v>10</v>
      </c>
    </row>
    <row r="49" spans="2:44" x14ac:dyDescent="0.3">
      <c r="B49" s="1" t="s">
        <v>20</v>
      </c>
      <c r="X49" s="1" t="s">
        <v>20</v>
      </c>
    </row>
    <row r="50" spans="2:44" x14ac:dyDescent="0.3">
      <c r="B50" s="1" t="s">
        <v>21</v>
      </c>
      <c r="C50" s="4">
        <f>Year_2040!AV246/Year_2032!AV246-1</f>
        <v>0.14879894702204677</v>
      </c>
      <c r="D50" s="4">
        <f>Year_2040!AW246/Year_2032!AW246-1</f>
        <v>0.14728730540043045</v>
      </c>
      <c r="E50" s="4">
        <f>Year_2040!AX246/Year_2032!AX246-1</f>
        <v>0.19543973941368109</v>
      </c>
      <c r="F50" s="4">
        <f>Year_2040!AY246/Year_2032!AY246-1</f>
        <v>0.19543973941368109</v>
      </c>
      <c r="G50" s="4">
        <f>Year_2040!AZ246/Year_2032!AZ246-1</f>
        <v>0.18292682926829285</v>
      </c>
      <c r="H50" s="4">
        <f>Year_2040!BA246/Year_2032!BA246-1</f>
        <v>0.18146718146718133</v>
      </c>
      <c r="I50" s="4">
        <f>Year_2040!BB246/Year_2032!BB246-1</f>
        <v>0.17435897435897418</v>
      </c>
      <c r="J50" s="4">
        <f>Year_2040!BC246/Year_2032!BC246-1</f>
        <v>0.16981322564361445</v>
      </c>
      <c r="K50" s="4">
        <f>Year_2040!BD246/Year_2032!BD246-1</f>
        <v>0.14692982456140369</v>
      </c>
      <c r="L50" s="4">
        <f>Year_2040!BE246/Year_2032!BE246-1</f>
        <v>0.14558472553699287</v>
      </c>
      <c r="M50" s="4">
        <f>Year_2040!BF246/Year_2032!BF246-1</f>
        <v>6.4021164021163868E-2</v>
      </c>
      <c r="N50" s="4">
        <f>Year_2040!BG246/Year_2032!BG246-1</f>
        <v>0.14814814814814814</v>
      </c>
      <c r="O50" s="4">
        <f>Year_2040!BH246/Year_2032!BH246-1</f>
        <v>5.4173669467787011E-2</v>
      </c>
      <c r="P50" s="4">
        <f>Year_2040!BI246/Year_2032!BI246-1</f>
        <v>0.16080402010050232</v>
      </c>
      <c r="Q50" s="4">
        <f>Year_2040!BJ246/Year_2032!BJ246-1</f>
        <v>0.14274919035624301</v>
      </c>
      <c r="R50" s="4">
        <f>Year_2040!BK246/Year_2032!BK246-1</f>
        <v>0.15844155844155861</v>
      </c>
      <c r="S50" s="4">
        <f>Year_2040!BL246/Year_2032!BL246-1</f>
        <v>0.14672686230248333</v>
      </c>
      <c r="T50" s="4">
        <f>Year_2040!BM246/Year_2032!BM246-1</f>
        <v>0.14565826330532206</v>
      </c>
      <c r="U50" s="4">
        <f>Year_2040!BN246/Year_2032!BN246-1</f>
        <v>0.15624999999999978</v>
      </c>
      <c r="V50" s="4">
        <f>Year_2040!BO246/Year_2032!BO246-1</f>
        <v>0.15829145728643201</v>
      </c>
      <c r="X50" s="1" t="s">
        <v>21</v>
      </c>
      <c r="Y50" s="4">
        <f>Year_2050!AV246/Year_2040!AV246-1</f>
        <v>0.18096929422548125</v>
      </c>
      <c r="Z50" s="4">
        <f>Year_2050!AW246/Year_2040!AW246-1</f>
        <v>0.18083428509272848</v>
      </c>
      <c r="AA50" s="4">
        <f>Year_2050!AX246/Year_2040!AX246-1</f>
        <v>0.22070844686648483</v>
      </c>
      <c r="AB50" s="4">
        <f>Year_2050!AY246/Year_2040!AY246-1</f>
        <v>0.22070844686648483</v>
      </c>
      <c r="AC50" s="4">
        <f>Year_2050!AZ246/Year_2040!AZ246-1</f>
        <v>0.20360824742268013</v>
      </c>
      <c r="AD50" s="4">
        <f>Year_2050!BA246/Year_2040!BA246-1</f>
        <v>0.20261437908496749</v>
      </c>
      <c r="AE50" s="4">
        <f>Year_2050!BB246/Year_2040!BB246-1</f>
        <v>0.19870637291919757</v>
      </c>
      <c r="AF50" s="4">
        <f>Year_2050!BC246/Year_2040!BC246-1</f>
        <v>3.1263484940019071E-2</v>
      </c>
      <c r="AG50" s="4">
        <f>Year_2050!BD246/Year_2040!BD246-1</f>
        <v>0.1486205954657196</v>
      </c>
      <c r="AH50" s="4">
        <f>Year_2050!BE246/Year_2040!BE246-1</f>
        <v>6.6011904761904772E-2</v>
      </c>
      <c r="AI50" s="4">
        <f>Year_2050!BF246/Year_2040!BF246-1</f>
        <v>3.2166832421680613E-2</v>
      </c>
      <c r="AJ50" s="4">
        <f>Year_2050!BG246/Year_2040!BG246-1</f>
        <v>8.2546082949308763E-2</v>
      </c>
      <c r="AK50" s="4">
        <f>Year_2050!BH246/Year_2040!BH246-1</f>
        <v>3.1088908965297479E-2</v>
      </c>
      <c r="AL50" s="4">
        <f>Year_2050!BI246/Year_2040!BI246-1</f>
        <v>0.1017316017316019</v>
      </c>
      <c r="AM50" s="4">
        <f>Year_2050!BJ246/Year_2040!BJ246-1</f>
        <v>3.2528261485656795E-2</v>
      </c>
      <c r="AN50" s="4">
        <f>Year_2050!BK246/Year_2040!BK246-1</f>
        <v>8.7027546444586656E-2</v>
      </c>
      <c r="AO50" s="4">
        <f>Year_2050!BL246/Year_2040!BL246-1</f>
        <v>0.13799212598425181</v>
      </c>
      <c r="AP50" s="4">
        <f>Year_2050!BM246/Year_2040!BM246-1</f>
        <v>0.17359413202933971</v>
      </c>
      <c r="AQ50" s="4">
        <f>Year_2050!BN246/Year_2040!BN246-1</f>
        <v>0.1077220077220078</v>
      </c>
      <c r="AR50" s="4">
        <f>Year_2050!BO246/Year_2040!BO246-1</f>
        <v>0.18655097613882887</v>
      </c>
    </row>
    <row r="51" spans="2:44" x14ac:dyDescent="0.3">
      <c r="B51" s="1" t="s">
        <v>22</v>
      </c>
      <c r="C51" s="4">
        <f>Year_2040!AV247/Year_2032!AV247-1</f>
        <v>0.14799345261613128</v>
      </c>
      <c r="D51" s="4">
        <f>Year_2040!AW247/Year_2032!AW247-1</f>
        <v>0.14903983949555744</v>
      </c>
      <c r="E51" s="4">
        <f>Year_2040!AX247/Year_2032!AX247-1</f>
        <v>0.19644790989820216</v>
      </c>
      <c r="F51" s="4">
        <f>Year_2040!AY247/Year_2032!AY247-1</f>
        <v>0.19739292364990679</v>
      </c>
      <c r="G51" s="4">
        <f>Year_2040!AZ247/Year_2032!AZ247-1</f>
        <v>0.18136272545090182</v>
      </c>
      <c r="H51" s="4">
        <f>Year_2040!BA247/Year_2032!BA247-1</f>
        <v>0.18083444245124713</v>
      </c>
      <c r="I51" s="4">
        <f>Year_2040!BB247/Year_2032!BB247-1</f>
        <v>0.17550173010380643</v>
      </c>
      <c r="J51" s="4">
        <f>Year_2040!BC247/Year_2032!BC247-1</f>
        <v>0.1754473161033796</v>
      </c>
      <c r="K51" s="4">
        <f>Year_2040!BD247/Year_2032!BD247-1</f>
        <v>0.14716277874172623</v>
      </c>
      <c r="L51" s="4">
        <f>Year_2040!BE247/Year_2032!BE247-1</f>
        <v>0.14732593340060562</v>
      </c>
      <c r="M51" s="4">
        <f>Year_2040!BF247/Year_2032!BF247-1</f>
        <v>0.14948387918949901</v>
      </c>
      <c r="N51" s="4">
        <f>Year_2040!BG247/Year_2032!BG247-1</f>
        <v>0.14943052391799561</v>
      </c>
      <c r="O51" s="4">
        <f>Year_2040!BH247/Year_2032!BH247-1</f>
        <v>0.1607795371498173</v>
      </c>
      <c r="P51" s="4">
        <f>Year_2040!BI247/Year_2032!BI247-1</f>
        <v>0.16079295154185003</v>
      </c>
      <c r="Q51" s="4">
        <f>Year_2040!BJ247/Year_2032!BJ247-1</f>
        <v>0.15854848149834155</v>
      </c>
      <c r="R51" s="4">
        <f>Year_2040!BK247/Year_2032!BK247-1</f>
        <v>0.15856777493606167</v>
      </c>
      <c r="S51" s="4">
        <f>Year_2040!BL247/Year_2032!BL247-1</f>
        <v>0.14677419354838728</v>
      </c>
      <c r="T51" s="4">
        <f>Year_2040!BM247/Year_2032!BM247-1</f>
        <v>0.14670431847923404</v>
      </c>
      <c r="U51" s="4">
        <f>Year_2040!BN247/Year_2032!BN247-1</f>
        <v>0.15758476756818585</v>
      </c>
      <c r="V51" s="4">
        <f>Year_2040!BO247/Year_2032!BO247-1</f>
        <v>0.15799754033133184</v>
      </c>
      <c r="X51" s="1" t="s">
        <v>22</v>
      </c>
      <c r="Y51" s="4">
        <f>Year_2050!AV247/Year_2040!AV247-1</f>
        <v>0.18127734893554259</v>
      </c>
      <c r="Z51" s="4">
        <f>Year_2050!AW247/Year_2040!AW247-1</f>
        <v>0.18071838363681736</v>
      </c>
      <c r="AA51" s="4">
        <f>Year_2050!AX247/Year_2040!AX247-1</f>
        <v>0.21931571325126731</v>
      </c>
      <c r="AB51" s="4">
        <f>Year_2050!AY247/Year_2040!AY247-1</f>
        <v>0.21854792502250975</v>
      </c>
      <c r="AC51" s="4">
        <f>Year_2050!AZ247/Year_2040!AZ247-1</f>
        <v>0.20271416454622537</v>
      </c>
      <c r="AD51" s="4">
        <f>Year_2050!BA247/Year_2040!BA247-1</f>
        <v>0.20297951582867779</v>
      </c>
      <c r="AE51" s="4">
        <f>Year_2050!BB247/Year_2040!BB247-1</f>
        <v>0.16495937831155061</v>
      </c>
      <c r="AF51" s="4">
        <f>Year_2050!BC247/Year_2040!BC247-1</f>
        <v>0.13078224101479918</v>
      </c>
      <c r="AG51" s="4">
        <f>Year_2050!BD247/Year_2040!BD247-1</f>
        <v>0.14256904375105028</v>
      </c>
      <c r="AH51" s="4">
        <f>Year_2050!BE247/Year_2040!BE247-1</f>
        <v>0.17370272647317497</v>
      </c>
      <c r="AI51" s="4">
        <f>Year_2050!BF247/Year_2040!BF247-1</f>
        <v>6.1197339246119808E-2</v>
      </c>
      <c r="AJ51" s="4">
        <f>Year_2050!BG247/Year_2040!BG247-1</f>
        <v>0.17479191438763353</v>
      </c>
      <c r="AK51" s="4">
        <f>Year_2050!BH247/Year_2040!BH247-1</f>
        <v>5.8394543546694599E-2</v>
      </c>
      <c r="AL51" s="4">
        <f>Year_2050!BI247/Year_2040!BI247-1</f>
        <v>0.17893738140417481</v>
      </c>
      <c r="AM51" s="4">
        <f>Year_2050!BJ247/Year_2040!BJ247-1</f>
        <v>0.10934605669379738</v>
      </c>
      <c r="AN51" s="4">
        <f>Year_2050!BK247/Year_2040!BK247-1</f>
        <v>0.18101545253863138</v>
      </c>
      <c r="AO51" s="4">
        <f>Year_2050!BL247/Year_2040!BL247-1</f>
        <v>0.15638604246199206</v>
      </c>
      <c r="AP51" s="4">
        <f>Year_2050!BM247/Year_2040!BM247-1</f>
        <v>0.17232266202174329</v>
      </c>
      <c r="AQ51" s="4">
        <f>Year_2050!BN247/Year_2040!BN247-1</f>
        <v>0.18770066683131637</v>
      </c>
      <c r="AR51" s="4">
        <f>Year_2050!BO247/Year_2040!BO247-1</f>
        <v>0.18760542262760049</v>
      </c>
    </row>
    <row r="52" spans="2:44" x14ac:dyDescent="0.3">
      <c r="B52" s="1" t="s">
        <v>23</v>
      </c>
      <c r="C52" s="4">
        <f>Year_2040!AV248/Year_2032!AV248-1</f>
        <v>3.925711197366466E-2</v>
      </c>
      <c r="D52" s="4">
        <f>Year_2040!AW248/Year_2032!AW248-1</f>
        <v>0.14824305467461651</v>
      </c>
      <c r="E52" s="4">
        <f>Year_2040!AX248/Year_2032!AX248-1</f>
        <v>3.9289744940185223E-2</v>
      </c>
      <c r="F52" s="4">
        <f>Year_2040!AY248/Year_2032!AY248-1</f>
        <v>0.1965014577259474</v>
      </c>
      <c r="G52" s="4">
        <f>Year_2040!AZ248/Year_2032!AZ248-1</f>
        <v>6.8490748048758876E-2</v>
      </c>
      <c r="H52" s="4">
        <f>Year_2040!BA248/Year_2032!BA248-1</f>
        <v>4.5079858245546056E-2</v>
      </c>
      <c r="I52" s="4">
        <f>Year_2040!BB248/Year_2032!BB248-1</f>
        <v>9.6209666734917487E-2</v>
      </c>
      <c r="J52" s="4">
        <f>Year_2040!BC248/Year_2032!BC248-1</f>
        <v>0.17550929035146634</v>
      </c>
      <c r="K52" s="4">
        <f>Year_2040!BD248/Year_2032!BD248-1</f>
        <v>5.0118217400806797E-2</v>
      </c>
      <c r="L52" s="4">
        <f>Year_2040!BE248/Year_2032!BE248-1</f>
        <v>0.14712221695878736</v>
      </c>
      <c r="M52" s="4">
        <f>Year_2040!BF248/Year_2032!BF248-1</f>
        <v>3.9406713505073965E-2</v>
      </c>
      <c r="N52" s="4">
        <f>Year_2040!BG248/Year_2032!BG248-1</f>
        <v>0.14957124570962521</v>
      </c>
      <c r="O52" s="4">
        <f>Year_2040!BH248/Year_2032!BH248-1</f>
        <v>3.9478386961716572E-2</v>
      </c>
      <c r="P52" s="4">
        <f>Year_2040!BI248/Year_2032!BI248-1</f>
        <v>0.16074677737628473</v>
      </c>
      <c r="Q52" s="4">
        <f>Year_2040!BJ248/Year_2032!BJ248-1</f>
        <v>3.9262988989099856E-2</v>
      </c>
      <c r="R52" s="4">
        <f>Year_2040!BK248/Year_2032!BK248-1</f>
        <v>0.15853569392260347</v>
      </c>
      <c r="S52" s="4">
        <f>Year_2040!BL248/Year_2032!BL248-1</f>
        <v>0.14677925701994088</v>
      </c>
      <c r="T52" s="4">
        <f>Year_2040!BM248/Year_2032!BM248-1</f>
        <v>0.14658981225954659</v>
      </c>
      <c r="U52" s="4">
        <f>Year_2040!BN248/Year_2032!BN248-1</f>
        <v>0.15761151676644625</v>
      </c>
      <c r="V52" s="4">
        <f>Year_2040!BO248/Year_2032!BO248-1</f>
        <v>0.15740792540792525</v>
      </c>
      <c r="X52" s="1" t="s">
        <v>23</v>
      </c>
      <c r="Y52" s="4">
        <f>Year_2050!AV248/Year_2040!AV248-1</f>
        <v>6.0632564296520641E-2</v>
      </c>
      <c r="Z52" s="4">
        <f>Year_2050!AW248/Year_2040!AW248-1</f>
        <v>0.18136020151133492</v>
      </c>
      <c r="AA52" s="4">
        <f>Year_2050!AX248/Year_2040!AX248-1</f>
        <v>6.0767961080705257E-2</v>
      </c>
      <c r="AB52" s="4">
        <f>Year_2050!AY248/Year_2040!AY248-1</f>
        <v>0.21895424836601318</v>
      </c>
      <c r="AC52" s="4">
        <f>Year_2050!AZ248/Year_2040!AZ248-1</f>
        <v>6.0543882687677852E-2</v>
      </c>
      <c r="AD52" s="4">
        <f>Year_2050!BA248/Year_2040!BA248-1</f>
        <v>4.3181775952730206E-2</v>
      </c>
      <c r="AE52" s="4">
        <f>Year_2050!BB248/Year_2040!BB248-1</f>
        <v>6.0638356314893116E-2</v>
      </c>
      <c r="AF52" s="4">
        <f>Year_2050!BC248/Year_2040!BC248-1</f>
        <v>0.16810554603355965</v>
      </c>
      <c r="AG52" s="4">
        <f>Year_2050!BD248/Year_2040!BD248-1</f>
        <v>6.0610933996802174E-2</v>
      </c>
      <c r="AH52" s="4">
        <f>Year_2050!BE248/Year_2040!BE248-1</f>
        <v>0.17392606051846404</v>
      </c>
      <c r="AI52" s="4">
        <f>Year_2050!BF248/Year_2040!BF248-1</f>
        <v>6.050410069997314E-2</v>
      </c>
      <c r="AJ52" s="4">
        <f>Year_2050!BG248/Year_2040!BG248-1</f>
        <v>0.17457111043228934</v>
      </c>
      <c r="AK52" s="4">
        <f>Year_2050!BH248/Year_2040!BH248-1</f>
        <v>6.0524790506223392E-2</v>
      </c>
      <c r="AL52" s="4">
        <f>Year_2050!BI248/Year_2040!BI248-1</f>
        <v>0.18489407972446381</v>
      </c>
      <c r="AM52" s="4">
        <f>Year_2050!BJ248/Year_2040!BJ248-1</f>
        <v>6.0630583625270296E-2</v>
      </c>
      <c r="AN52" s="4">
        <f>Year_2050!BK248/Year_2040!BK248-1</f>
        <v>0.18129850463751684</v>
      </c>
      <c r="AO52" s="4">
        <f>Year_2050!BL248/Year_2040!BL248-1</f>
        <v>0.17219877571195008</v>
      </c>
      <c r="AP52" s="4">
        <f>Year_2050!BM248/Year_2040!BM248-1</f>
        <v>0.17235778141376779</v>
      </c>
      <c r="AQ52" s="4">
        <f>Year_2050!BN248/Year_2040!BN248-1</f>
        <v>0.18757006412268518</v>
      </c>
      <c r="AR52" s="4">
        <f>Year_2050!BO248/Year_2040!BO248-1</f>
        <v>0.18796120259079041</v>
      </c>
    </row>
    <row r="53" spans="2:44" x14ac:dyDescent="0.3">
      <c r="B53" s="1" t="s">
        <v>24</v>
      </c>
      <c r="C53" s="4">
        <f>Year_2040!AV249/Year_2032!AV249-1</f>
        <v>4.5059958816166867E-2</v>
      </c>
      <c r="D53" s="4">
        <f>Year_2040!AW249/Year_2032!AW249-1</f>
        <v>0.14820213799805648</v>
      </c>
      <c r="E53" s="4">
        <f>Year_2040!AX249/Year_2032!AX249-1</f>
        <v>4.4891905766927254E-2</v>
      </c>
      <c r="F53" s="4">
        <f>Year_2040!AY249/Year_2032!AY249-1</f>
        <v>0.19699248120300772</v>
      </c>
      <c r="G53" s="4">
        <f>Year_2040!AZ249/Year_2032!AZ249-1</f>
        <v>4.5134279587460524E-2</v>
      </c>
      <c r="H53" s="4">
        <f>Year_2040!BA249/Year_2032!BA249-1</f>
        <v>4.5146360277698916E-2</v>
      </c>
      <c r="I53" s="4">
        <f>Year_2040!BB249/Year_2032!BB249-1</f>
        <v>4.5080115393973275E-2</v>
      </c>
      <c r="J53" s="4">
        <f>Year_2040!BC249/Year_2032!BC249-1</f>
        <v>0.17522080471050039</v>
      </c>
      <c r="K53" s="4">
        <f>Year_2040!BD249/Year_2032!BD249-1</f>
        <v>4.4898107450324964E-2</v>
      </c>
      <c r="L53" s="4">
        <f>Year_2040!BE249/Year_2032!BE249-1</f>
        <v>0.14700868576994863</v>
      </c>
      <c r="M53" s="4">
        <f>Year_2040!BF249/Year_2032!BF249-1</f>
        <v>4.5037617231784122E-2</v>
      </c>
      <c r="N53" s="4">
        <f>Year_2040!BG249/Year_2032!BG249-1</f>
        <v>0.14949928469241769</v>
      </c>
      <c r="O53" s="4">
        <f>Year_2040!BH249/Year_2032!BH249-1</f>
        <v>4.5207657150427405E-2</v>
      </c>
      <c r="P53" s="4">
        <f>Year_2040!BI249/Year_2032!BI249-1</f>
        <v>0.1607881866064711</v>
      </c>
      <c r="Q53" s="4">
        <f>Year_2040!BJ249/Year_2032!BJ249-1</f>
        <v>0.1408980234889714</v>
      </c>
      <c r="R53" s="4">
        <f>Year_2040!BK249/Year_2032!BK249-1</f>
        <v>0.15841085093708474</v>
      </c>
      <c r="S53" s="4">
        <f>Year_2040!BL249/Year_2032!BL249-1</f>
        <v>0.14675212857552844</v>
      </c>
      <c r="T53" s="4">
        <f>Year_2040!BM249/Year_2032!BM249-1</f>
        <v>0.14649258685549915</v>
      </c>
      <c r="U53" s="4">
        <f>Year_2040!BN249/Year_2032!BN249-1</f>
        <v>0.15761437225819908</v>
      </c>
      <c r="V53" s="4">
        <f>Year_2040!BO249/Year_2032!BO249-1</f>
        <v>0.15762036185219253</v>
      </c>
      <c r="X53" s="1" t="s">
        <v>24</v>
      </c>
      <c r="Y53" s="4">
        <f>Year_2050!AV249/Year_2040!AV249-1</f>
        <v>4.3078468492833144E-2</v>
      </c>
      <c r="Z53" s="4">
        <f>Year_2050!AW249/Year_2040!AW249-1</f>
        <v>0.18119621949499232</v>
      </c>
      <c r="AA53" s="4">
        <f>Year_2050!AX249/Year_2040!AX249-1</f>
        <v>4.3181570040397466E-2</v>
      </c>
      <c r="AB53" s="4">
        <f>Year_2050!AY249/Year_2040!AY249-1</f>
        <v>0.21859296482412049</v>
      </c>
      <c r="AC53" s="4">
        <f>Year_2050!AZ249/Year_2040!AZ249-1</f>
        <v>4.2989741084513922E-2</v>
      </c>
      <c r="AD53" s="4">
        <f>Year_2050!BA249/Year_2040!BA249-1</f>
        <v>4.3079672143883752E-2</v>
      </c>
      <c r="AE53" s="4">
        <f>Year_2050!BB249/Year_2040!BB249-1</f>
        <v>4.3102301450046454E-2</v>
      </c>
      <c r="AF53" s="4">
        <f>Year_2050!BC249/Year_2040!BC249-1</f>
        <v>0.12504697089891859</v>
      </c>
      <c r="AG53" s="4">
        <f>Year_2050!BD249/Year_2040!BD249-1</f>
        <v>4.310794368155757E-2</v>
      </c>
      <c r="AH53" s="4">
        <f>Year_2050!BE249/Year_2040!BE249-1</f>
        <v>0.17377919320594493</v>
      </c>
      <c r="AI53" s="4">
        <f>Year_2050!BF249/Year_2040!BF249-1</f>
        <v>4.2998027613412315E-2</v>
      </c>
      <c r="AJ53" s="4">
        <f>Year_2050!BG249/Year_2040!BG249-1</f>
        <v>0.17461799073497897</v>
      </c>
      <c r="AK53" s="4">
        <f>Year_2050!BH249/Year_2040!BH249-1</f>
        <v>4.303051427484994E-2</v>
      </c>
      <c r="AL53" s="4">
        <f>Year_2050!BI249/Year_2040!BI249-1</f>
        <v>0.18506664505935255</v>
      </c>
      <c r="AM53" s="4">
        <f>Year_2050!BJ249/Year_2040!BJ249-1</f>
        <v>4.3184885290148411E-2</v>
      </c>
      <c r="AN53" s="4">
        <f>Year_2050!BK249/Year_2040!BK249-1</f>
        <v>0.1814477848101268</v>
      </c>
      <c r="AO53" s="4">
        <f>Year_2050!BL249/Year_2040!BL249-1</f>
        <v>0.17256194210394615</v>
      </c>
      <c r="AP53" s="4">
        <f>Year_2050!BM249/Year_2040!BM249-1</f>
        <v>0.17260181432155952</v>
      </c>
      <c r="AQ53" s="4">
        <f>Year_2050!BN249/Year_2040!BN249-1</f>
        <v>0.18753947487142475</v>
      </c>
      <c r="AR53" s="4">
        <f>Year_2050!BO249/Year_2040!BO249-1</f>
        <v>0.18707284768211929</v>
      </c>
    </row>
    <row r="54" spans="2:44" x14ac:dyDescent="0.3">
      <c r="B54" s="1" t="s">
        <v>25</v>
      </c>
      <c r="C54" s="4">
        <f>Year_2040!AV250/Year_2032!AV250-1</f>
        <v>1.8712511616118865E-2</v>
      </c>
      <c r="D54" s="4">
        <f>Year_2040!AW250/Year_2032!AW250-1</f>
        <v>7.8967136150234651E-2</v>
      </c>
      <c r="E54" s="4">
        <f>Year_2040!AX250/Year_2032!AX250-1</f>
        <v>1.8610146097249869E-2</v>
      </c>
      <c r="F54" s="4">
        <f>Year_2040!AY250/Year_2032!AY250-1</f>
        <v>0.19734151329243366</v>
      </c>
      <c r="G54" s="4">
        <f>Year_2040!AZ250/Year_2032!AZ250-1</f>
        <v>1.8697313537321847E-2</v>
      </c>
      <c r="H54" s="4">
        <f>Year_2040!BA250/Year_2032!BA250-1</f>
        <v>1.9025324537135679E-2</v>
      </c>
      <c r="I54" s="4">
        <f>Year_2040!BB250/Year_2032!BB250-1</f>
        <v>0.1750341370344739</v>
      </c>
      <c r="J54" s="4">
        <f>Year_2040!BC250/Year_2032!BC250-1</f>
        <v>4.0781176470588099E-2</v>
      </c>
      <c r="K54" s="4">
        <f>Year_2040!BD250/Year_2032!BD250-1</f>
        <v>9.8164004938468219E-2</v>
      </c>
      <c r="L54" s="4">
        <f>Year_2040!BE250/Year_2032!BE250-1</f>
        <v>4.9800266311584407E-2</v>
      </c>
      <c r="M54" s="4">
        <f>Year_2040!BF250/Year_2032!BF250-1</f>
        <v>0.14947042722837089</v>
      </c>
      <c r="N54" s="4">
        <f>Year_2040!BG250/Year_2032!BG250-1</f>
        <v>0.14977443609022556</v>
      </c>
      <c r="O54" s="4">
        <f>Year_2040!BH250/Year_2032!BH250-1</f>
        <v>0.16123491429701975</v>
      </c>
      <c r="P54" s="4">
        <f>Year_2040!BI250/Year_2032!BI250-1</f>
        <v>0.16074950690335288</v>
      </c>
      <c r="Q54" s="4">
        <f>Year_2040!BJ250/Year_2032!BJ250-1</f>
        <v>0.15873493683423479</v>
      </c>
      <c r="R54" s="4">
        <f>Year_2040!BK250/Year_2032!BK250-1</f>
        <v>0.15852993169070961</v>
      </c>
      <c r="S54" s="4">
        <f>Year_2040!BL250/Year_2032!BL250-1</f>
        <v>0.14643931795386167</v>
      </c>
      <c r="T54" s="4">
        <f>Year_2040!BM250/Year_2032!BM250-1</f>
        <v>0.14624342546003977</v>
      </c>
      <c r="U54" s="4">
        <f>Year_2040!BN250/Year_2032!BN250-1</f>
        <v>0.15742793791574283</v>
      </c>
      <c r="V54" s="4">
        <f>Year_2040!BO250/Year_2032!BO250-1</f>
        <v>0.15791874212326729</v>
      </c>
      <c r="X54" s="1" t="s">
        <v>25</v>
      </c>
      <c r="Y54" s="4">
        <f>Year_2050!AV250/Year_2040!AV250-1</f>
        <v>3.65026053544526E-2</v>
      </c>
      <c r="Z54" s="4">
        <f>Year_2050!AW250/Year_2040!AW250-1</f>
        <v>3.6724393003219946E-2</v>
      </c>
      <c r="AA54" s="4">
        <f>Year_2050!AX250/Year_2040!AX250-1</f>
        <v>3.6781424404584318E-2</v>
      </c>
      <c r="AB54" s="4">
        <f>Year_2050!AY250/Year_2040!AY250-1</f>
        <v>0.21861656703672083</v>
      </c>
      <c r="AC54" s="4">
        <f>Year_2050!AZ250/Year_2040!AZ250-1</f>
        <v>3.6908716069178782E-2</v>
      </c>
      <c r="AD54" s="4">
        <f>Year_2050!BA250/Year_2040!BA250-1</f>
        <v>3.650488680979036E-2</v>
      </c>
      <c r="AE54" s="4">
        <f>Year_2050!BB250/Year_2040!BB250-1</f>
        <v>0.19773633563361104</v>
      </c>
      <c r="AF54" s="4">
        <f>Year_2050!BC250/Year_2040!BC250-1</f>
        <v>3.6651203168660773E-2</v>
      </c>
      <c r="AG54" s="4">
        <f>Year_2050!BD250/Year_2040!BD250-1</f>
        <v>3.6643480405312179E-2</v>
      </c>
      <c r="AH54" s="4">
        <f>Year_2050!BE250/Year_2040!BE250-1</f>
        <v>3.6707255200405964E-2</v>
      </c>
      <c r="AI54" s="4">
        <f>Year_2050!BF250/Year_2040!BF250-1</f>
        <v>5.0944345022406745E-2</v>
      </c>
      <c r="AJ54" s="4">
        <f>Year_2050!BG250/Year_2040!BG250-1</f>
        <v>0.1027904111785205</v>
      </c>
      <c r="AK54" s="4">
        <f>Year_2050!BH250/Year_2040!BH250-1</f>
        <v>9.828308564436572E-2</v>
      </c>
      <c r="AL54" s="4">
        <f>Year_2050!BI250/Year_2040!BI250-1</f>
        <v>0.13388185842686595</v>
      </c>
      <c r="AM54" s="4">
        <f>Year_2050!BJ250/Year_2040!BJ250-1</f>
        <v>0.16026145981731332</v>
      </c>
      <c r="AN54" s="4">
        <f>Year_2050!BK250/Year_2040!BK250-1</f>
        <v>0.18124705660732765</v>
      </c>
      <c r="AO54" s="4">
        <f>Year_2050!BL250/Year_2040!BL250-1</f>
        <v>0.17235345581802264</v>
      </c>
      <c r="AP54" s="4">
        <f>Year_2050!BM250/Year_2040!BM250-1</f>
        <v>0.1724759690115274</v>
      </c>
      <c r="AQ54" s="4">
        <f>Year_2050!BN250/Year_2040!BN250-1</f>
        <v>0.1877394636015326</v>
      </c>
      <c r="AR54" s="4">
        <f>Year_2050!BO250/Year_2040!BO250-1</f>
        <v>0.18710092047433458</v>
      </c>
    </row>
    <row r="55" spans="2:44" x14ac:dyDescent="0.3">
      <c r="B55" s="1" t="s">
        <v>26</v>
      </c>
      <c r="C55" s="4">
        <f>Year_2040!AV251/Year_2032!AV251-1</f>
        <v>4.5384553043196441E-2</v>
      </c>
      <c r="D55" s="4">
        <f>Year_2040!AW251/Year_2032!AW251-1</f>
        <v>4.4733767317643114E-2</v>
      </c>
      <c r="E55" s="4">
        <f>Year_2040!AX251/Year_2032!AX251-1</f>
        <v>4.5333923042901514E-2</v>
      </c>
      <c r="F55" s="4">
        <f>Year_2040!AY251/Year_2032!AY251-1</f>
        <v>4.4921135646687649E-2</v>
      </c>
      <c r="G55" s="4">
        <f>Year_2040!AZ251/Year_2032!AZ251-1</f>
        <v>4.5629370629370669E-2</v>
      </c>
      <c r="H55" s="4">
        <f>Year_2040!BA251/Year_2032!BA251-1</f>
        <v>4.4889573703133179E-2</v>
      </c>
      <c r="I55" s="4">
        <f>Year_2040!BB251/Year_2032!BB251-1</f>
        <v>0.1758890823178314</v>
      </c>
      <c r="J55" s="4">
        <f>Year_2040!BC251/Year_2032!BC251-1</f>
        <v>4.4986504048785347E-2</v>
      </c>
      <c r="K55" s="4">
        <f>Year_2040!BD251/Year_2032!BD251-1</f>
        <v>0.14715591670898953</v>
      </c>
      <c r="L55" s="4">
        <f>Year_2040!BE251/Year_2032!BE251-1</f>
        <v>4.5320744237711708E-2</v>
      </c>
      <c r="M55" s="4">
        <f>Year_2040!BF251/Year_2032!BF251-1</f>
        <v>0.14926656278544925</v>
      </c>
      <c r="N55" s="4">
        <f>Year_2040!BG251/Year_2032!BG251-1</f>
        <v>4.5398773006135151E-2</v>
      </c>
      <c r="O55" s="4">
        <f>Year_2040!BH251/Year_2032!BH251-1</f>
        <v>0.16071740522913869</v>
      </c>
      <c r="P55" s="4">
        <f>Year_2040!BI251/Year_2032!BI251-1</f>
        <v>9.5827485007017765E-2</v>
      </c>
      <c r="Q55" s="4">
        <f>Year_2040!BJ251/Year_2032!BJ251-1</f>
        <v>0.15817324283906586</v>
      </c>
      <c r="R55" s="4">
        <f>Year_2040!BK251/Year_2032!BK251-1</f>
        <v>9.9674510431673857E-2</v>
      </c>
      <c r="S55" s="4">
        <f>Year_2040!BL251/Year_2032!BL251-1</f>
        <v>0.14661440581685992</v>
      </c>
      <c r="T55" s="4">
        <f>Year_2040!BM251/Year_2032!BM251-1</f>
        <v>0.14729357132491661</v>
      </c>
      <c r="U55" s="4">
        <f>Year_2040!BN251/Year_2032!BN251-1</f>
        <v>0.15746818486269243</v>
      </c>
      <c r="V55" s="4">
        <f>Year_2040!BO251/Year_2032!BO251-1</f>
        <v>0.15757722007722008</v>
      </c>
      <c r="X55" s="1" t="s">
        <v>26</v>
      </c>
      <c r="Y55" s="4">
        <f>Year_2050!AV251/Year_2040!AV251-1</f>
        <v>4.3414218156446083E-2</v>
      </c>
      <c r="Z55" s="4">
        <f>Year_2050!AW251/Year_2040!AW251-1</f>
        <v>4.3377536347659174E-2</v>
      </c>
      <c r="AA55" s="4">
        <f>Year_2050!AX251/Year_2040!AX251-1</f>
        <v>4.2874268387278702E-2</v>
      </c>
      <c r="AB55" s="4">
        <f>Year_2050!AY251/Year_2040!AY251-1</f>
        <v>4.3291872962202715E-2</v>
      </c>
      <c r="AC55" s="4">
        <f>Year_2050!AZ251/Year_2040!AZ251-1</f>
        <v>4.271860892827295E-2</v>
      </c>
      <c r="AD55" s="4">
        <f>Year_2050!BA251/Year_2040!BA251-1</f>
        <v>4.2961069602831303E-2</v>
      </c>
      <c r="AE55" s="4">
        <f>Year_2050!BB251/Year_2040!BB251-1</f>
        <v>0.1971659704964841</v>
      </c>
      <c r="AF55" s="4">
        <f>Year_2050!BC251/Year_2040!BC251-1</f>
        <v>4.2954175834688746E-2</v>
      </c>
      <c r="AG55" s="4">
        <f>Year_2050!BD251/Year_2040!BD251-1</f>
        <v>0.17371333702268954</v>
      </c>
      <c r="AH55" s="4">
        <f>Year_2050!BE251/Year_2040!BE251-1</f>
        <v>4.2824504542797959E-2</v>
      </c>
      <c r="AI55" s="4">
        <f>Year_2050!BF251/Year_2040!BF251-1</f>
        <v>0.17476272850530661</v>
      </c>
      <c r="AJ55" s="4">
        <f>Year_2050!BG251/Year_2040!BG251-1</f>
        <v>4.296795264339659E-2</v>
      </c>
      <c r="AK55" s="4">
        <f>Year_2050!BH251/Year_2040!BH251-1</f>
        <v>0.17493603571966099</v>
      </c>
      <c r="AL55" s="4">
        <f>Year_2050!BI251/Year_2040!BI251-1</f>
        <v>4.3025151374010306E-2</v>
      </c>
      <c r="AM55" s="4">
        <f>Year_2050!BJ251/Year_2040!BJ251-1</f>
        <v>0.18131704410011906</v>
      </c>
      <c r="AN55" s="4">
        <f>Year_2050!BK251/Year_2040!BK251-1</f>
        <v>4.32335387452083E-2</v>
      </c>
      <c r="AO55" s="4">
        <f>Year_2050!BL251/Year_2040!BL251-1</f>
        <v>0.17245479316323986</v>
      </c>
      <c r="AP55" s="4">
        <f>Year_2050!BM251/Year_2040!BM251-1</f>
        <v>5.5527447508221695E-2</v>
      </c>
      <c r="AQ55" s="4">
        <f>Year_2050!BN251/Year_2040!BN251-1</f>
        <v>0.187489149933453</v>
      </c>
      <c r="AR55" s="4">
        <f>Year_2050!BO251/Year_2040!BO251-1</f>
        <v>0.18747828503926067</v>
      </c>
    </row>
    <row r="56" spans="2:44" x14ac:dyDescent="0.3">
      <c r="B56" s="1" t="s">
        <v>27</v>
      </c>
      <c r="C56" s="4">
        <f>Year_2040!AV252/Year_2032!AV252-1</f>
        <v>3.9060228864399305E-2</v>
      </c>
      <c r="D56" s="4">
        <f>Year_2040!AW252/Year_2032!AW252-1</f>
        <v>3.9371124889282516E-2</v>
      </c>
      <c r="E56" s="4">
        <f>Year_2040!AX252/Year_2032!AX252-1</f>
        <v>7.8854270109235181E-2</v>
      </c>
      <c r="F56" s="4">
        <f>Year_2040!AY252/Year_2032!AY252-1</f>
        <v>6.0851818035340122E-2</v>
      </c>
      <c r="G56" s="4">
        <f>Year_2040!AZ252/Year_2032!AZ252-1</f>
        <v>4.5437889336753301E-2</v>
      </c>
      <c r="H56" s="4">
        <f>Year_2040!BA252/Year_2032!BA252-1</f>
        <v>4.0128598567879648E-2</v>
      </c>
      <c r="I56" s="4">
        <f>Year_2040!BB252/Year_2032!BB252-1</f>
        <v>0.17560304961879747</v>
      </c>
      <c r="J56" s="4">
        <f>Year_2040!BC252/Year_2032!BC252-1</f>
        <v>3.9289029651067509E-2</v>
      </c>
      <c r="K56" s="4">
        <f>Year_2040!BD252/Year_2032!BD252-1</f>
        <v>0.14661301471314325</v>
      </c>
      <c r="L56" s="4">
        <f>Year_2040!BE252/Year_2032!BE252-1</f>
        <v>3.9182282793867262E-2</v>
      </c>
      <c r="M56" s="4">
        <f>Year_2040!BF252/Year_2032!BF252-1</f>
        <v>0.1499036333785424</v>
      </c>
      <c r="N56" s="4">
        <f>Year_2040!BG252/Year_2032!BG252-1</f>
        <v>3.9262609259973047E-2</v>
      </c>
      <c r="O56" s="4">
        <f>Year_2040!BH252/Year_2032!BH252-1</f>
        <v>0.16070201406142637</v>
      </c>
      <c r="P56" s="4">
        <f>Year_2040!BI252/Year_2032!BI252-1</f>
        <v>9.4694409578063299E-2</v>
      </c>
      <c r="Q56" s="4">
        <f>Year_2040!BJ252/Year_2032!BJ252-1</f>
        <v>0.15887919562324426</v>
      </c>
      <c r="R56" s="4">
        <f>Year_2040!BK252/Year_2032!BK252-1</f>
        <v>0.1583643122676579</v>
      </c>
      <c r="S56" s="4">
        <f>Year_2040!BL252/Year_2032!BL252-1</f>
        <v>0.14622556235634421</v>
      </c>
      <c r="T56" s="4">
        <f>Year_2040!BM252/Year_2032!BM252-1</f>
        <v>0.14639850327408799</v>
      </c>
      <c r="U56" s="4">
        <f>Year_2040!BN252/Year_2032!BN252-1</f>
        <v>0.15805918029773913</v>
      </c>
      <c r="V56" s="4">
        <f>Year_2040!BO252/Year_2032!BO252-1</f>
        <v>0.15787808812830173</v>
      </c>
      <c r="X56" s="1" t="s">
        <v>27</v>
      </c>
      <c r="Y56" s="4">
        <f>Year_2050!AV252/Year_2040!AV252-1</f>
        <v>6.0431874252867557E-2</v>
      </c>
      <c r="Z56" s="4">
        <f>Year_2050!AW252/Year_2040!AW252-1</f>
        <v>6.050534747965397E-2</v>
      </c>
      <c r="AA56" s="4">
        <f>Year_2050!AX252/Year_2040!AX252-1</f>
        <v>4.3348195023730662E-2</v>
      </c>
      <c r="AB56" s="4">
        <f>Year_2050!AY252/Year_2040!AY252-1</f>
        <v>6.017112191170515E-2</v>
      </c>
      <c r="AC56" s="4">
        <f>Year_2050!AZ252/Year_2040!AZ252-1</f>
        <v>4.2985055603352196E-2</v>
      </c>
      <c r="AD56" s="4">
        <f>Year_2050!BA252/Year_2040!BA252-1</f>
        <v>6.0357423850736058E-2</v>
      </c>
      <c r="AE56" s="4">
        <f>Year_2050!BB252/Year_2040!BB252-1</f>
        <v>6.6999787369764308E-2</v>
      </c>
      <c r="AF56" s="4">
        <f>Year_2050!BC252/Year_2040!BC252-1</f>
        <v>6.0580585840010581E-2</v>
      </c>
      <c r="AG56" s="4">
        <f>Year_2050!BD252/Year_2040!BD252-1</f>
        <v>0.17019398454152035</v>
      </c>
      <c r="AH56" s="4">
        <f>Year_2050!BE252/Year_2040!BE252-1</f>
        <v>6.0637318106465221E-2</v>
      </c>
      <c r="AI56" s="4">
        <f>Year_2050!BF252/Year_2040!BF252-1</f>
        <v>0.12386450638359503</v>
      </c>
      <c r="AJ56" s="4">
        <f>Year_2050!BG252/Year_2040!BG252-1</f>
        <v>6.0571763098838938E-2</v>
      </c>
      <c r="AK56" s="4">
        <f>Year_2050!BH252/Year_2040!BH252-1</f>
        <v>0.11071640023682661</v>
      </c>
      <c r="AL56" s="4">
        <f>Year_2050!BI252/Year_2040!BI252-1</f>
        <v>6.0549932746797319E-2</v>
      </c>
      <c r="AM56" s="4">
        <f>Year_2050!BJ252/Year_2040!BJ252-1</f>
        <v>6.5326953748006344E-2</v>
      </c>
      <c r="AN56" s="4">
        <f>Year_2050!BK252/Year_2040!BK252-1</f>
        <v>0.14706111175944292</v>
      </c>
      <c r="AO56" s="4">
        <f>Year_2050!BL252/Year_2040!BL252-1</f>
        <v>0.17222810535565403</v>
      </c>
      <c r="AP56" s="4">
        <f>Year_2050!BM252/Year_2040!BM252-1</f>
        <v>0.17237862097103207</v>
      </c>
      <c r="AQ56" s="4">
        <f>Year_2050!BN252/Year_2040!BN252-1</f>
        <v>0.18756282071628871</v>
      </c>
      <c r="AR56" s="4">
        <f>Year_2050!BO252/Year_2040!BO252-1</f>
        <v>0.18760244781991053</v>
      </c>
    </row>
    <row r="57" spans="2:44" x14ac:dyDescent="0.3">
      <c r="B57" s="1" t="s">
        <v>28</v>
      </c>
      <c r="C57" s="4">
        <f>Year_2040!AV253/Year_2032!AV253-1</f>
        <v>0.14761904761904754</v>
      </c>
      <c r="D57" s="4">
        <f>Year_2040!AW253/Year_2032!AW253-1</f>
        <v>0.14730290456431527</v>
      </c>
      <c r="E57" s="4">
        <f>Year_2040!AX253/Year_2032!AX253-1</f>
        <v>0.1994255744255744</v>
      </c>
      <c r="F57" s="4">
        <f>Year_2040!AY253/Year_2032!AY253-1</f>
        <v>0.1987951807228916</v>
      </c>
      <c r="G57" s="4">
        <f>Year_2040!AZ253/Year_2032!AZ253-1</f>
        <v>0.18292682926829285</v>
      </c>
      <c r="H57" s="4">
        <f>Year_2040!BA253/Year_2032!BA253-1</f>
        <v>0.18079096045197729</v>
      </c>
      <c r="I57" s="4">
        <f>Year_2040!BB253/Year_2032!BB253-1</f>
        <v>0.17533403825819494</v>
      </c>
      <c r="J57" s="4">
        <f>Year_2040!BC253/Year_2032!BC253-1</f>
        <v>4.1810579894564714E-2</v>
      </c>
      <c r="K57" s="4">
        <f>Year_2040!BD253/Year_2032!BD253-1</f>
        <v>0.14791666666666647</v>
      </c>
      <c r="L57" s="4">
        <f>Year_2040!BE253/Year_2032!BE253-1</f>
        <v>3.993873704052775E-2</v>
      </c>
      <c r="M57" s="4">
        <f>Year_2040!BF253/Year_2032!BF253-1</f>
        <v>0.15072463768115929</v>
      </c>
      <c r="N57" s="4">
        <f>Year_2040!BG253/Year_2032!BG253-1</f>
        <v>4.1849994883863761E-2</v>
      </c>
      <c r="O57" s="4">
        <f>Year_2040!BH253/Year_2032!BH253-1</f>
        <v>0.10697050938337793</v>
      </c>
      <c r="P57" s="4">
        <f>Year_2040!BI253/Year_2032!BI253-1</f>
        <v>0.10047281323877066</v>
      </c>
      <c r="Q57" s="4">
        <f>Year_2040!BJ253/Year_2032!BJ253-1</f>
        <v>0.15771812080536907</v>
      </c>
      <c r="R57" s="4">
        <f>Year_2040!BK253/Year_2032!BK253-1</f>
        <v>0.15804597701149437</v>
      </c>
      <c r="S57" s="4">
        <f>Year_2040!BL253/Year_2032!BL253-1</f>
        <v>0.14832535885167464</v>
      </c>
      <c r="T57" s="4">
        <f>Year_2040!BM253/Year_2032!BM253-1</f>
        <v>0.14915254237288145</v>
      </c>
      <c r="U57" s="4">
        <f>Year_2040!BN253/Year_2032!BN253-1</f>
        <v>0.15853658536585358</v>
      </c>
      <c r="V57" s="4">
        <f>Year_2040!BO253/Year_2032!BO253-1</f>
        <v>0.15789473684210531</v>
      </c>
      <c r="X57" s="1" t="s">
        <v>28</v>
      </c>
      <c r="Y57" s="4">
        <f>Year_2050!AV253/Year_2040!AV253-1</f>
        <v>0.18118948824343017</v>
      </c>
      <c r="Z57" s="4">
        <f>Year_2050!AW253/Year_2040!AW253-1</f>
        <v>8.9632308619650436E-2</v>
      </c>
      <c r="AA57" s="4">
        <f>Year_2050!AX253/Year_2040!AX253-1</f>
        <v>0.21655387818844352</v>
      </c>
      <c r="AB57" s="4">
        <f>Year_2050!AY253/Year_2040!AY253-1</f>
        <v>0.21854888477475076</v>
      </c>
      <c r="AC57" s="4">
        <f>Year_2050!AZ253/Year_2040!AZ253-1</f>
        <v>0.20356303128956399</v>
      </c>
      <c r="AD57" s="4">
        <f>Year_2050!BA253/Year_2040!BA253-1</f>
        <v>0.200956937799043</v>
      </c>
      <c r="AE57" s="4">
        <f>Year_2050!BB253/Year_2040!BB253-1</f>
        <v>0.19579618876257454</v>
      </c>
      <c r="AF57" s="4">
        <f>Year_2050!BC253/Year_2040!BC253-1</f>
        <v>2.8790786948176716E-2</v>
      </c>
      <c r="AG57" s="4">
        <f>Year_2050!BD253/Year_2040!BD253-1</f>
        <v>0.17422867513611617</v>
      </c>
      <c r="AH57" s="4">
        <f>Year_2050!BE253/Year_2040!BE253-1</f>
        <v>2.8775348362977349E-2</v>
      </c>
      <c r="AI57" s="4">
        <f>Year_2050!BF253/Year_2040!BF253-1</f>
        <v>3.6523929471032668E-2</v>
      </c>
      <c r="AJ57" s="4">
        <f>Year_2050!BG253/Year_2040!BG253-1</f>
        <v>2.8678059320369265E-2</v>
      </c>
      <c r="AK57" s="4">
        <f>Year_2050!BH253/Year_2040!BH253-1</f>
        <v>2.946637603939628E-2</v>
      </c>
      <c r="AL57" s="4">
        <f>Year_2050!BI253/Year_2040!BI253-1</f>
        <v>3.0003580379520223E-2</v>
      </c>
      <c r="AM57" s="4">
        <f>Year_2050!BJ253/Year_2040!BJ253-1</f>
        <v>4.5700483091787536E-2</v>
      </c>
      <c r="AN57" s="4">
        <f>Year_2050!BK253/Year_2040!BK253-1</f>
        <v>8.8668320926385435E-2</v>
      </c>
      <c r="AO57" s="4">
        <f>Year_2050!BL253/Year_2040!BL253-1</f>
        <v>0.10729166666666656</v>
      </c>
      <c r="AP57" s="4">
        <f>Year_2050!BM253/Year_2040!BM253-1</f>
        <v>0.17109144542772858</v>
      </c>
      <c r="AQ57" s="4">
        <f>Year_2050!BN253/Year_2040!BN253-1</f>
        <v>0.18736842105263141</v>
      </c>
      <c r="AR57" s="4">
        <f>Year_2050!BO253/Year_2040!BO253-1</f>
        <v>0.18983957219251324</v>
      </c>
    </row>
    <row r="59" spans="2:44" x14ac:dyDescent="0.3">
      <c r="B59" s="5" t="s">
        <v>85</v>
      </c>
    </row>
    <row r="60" spans="2:44" x14ac:dyDescent="0.3">
      <c r="B60" s="5" t="s">
        <v>76</v>
      </c>
      <c r="X60" s="5" t="s">
        <v>77</v>
      </c>
    </row>
    <row r="61" spans="2:44" x14ac:dyDescent="0.3">
      <c r="B61" s="1" t="s">
        <v>16</v>
      </c>
      <c r="C61" s="1" t="s">
        <v>17</v>
      </c>
      <c r="D61" s="1" t="s">
        <v>18</v>
      </c>
      <c r="E61" s="1" t="s">
        <v>17</v>
      </c>
      <c r="F61" s="1" t="s">
        <v>18</v>
      </c>
      <c r="G61" s="1" t="s">
        <v>17</v>
      </c>
      <c r="H61" s="1" t="s">
        <v>18</v>
      </c>
      <c r="I61" s="1" t="s">
        <v>17</v>
      </c>
      <c r="J61" s="1" t="s">
        <v>18</v>
      </c>
      <c r="K61" s="1" t="s">
        <v>17</v>
      </c>
      <c r="L61" s="1" t="s">
        <v>18</v>
      </c>
      <c r="M61" s="1" t="s">
        <v>17</v>
      </c>
      <c r="N61" s="1" t="s">
        <v>18</v>
      </c>
      <c r="O61" s="1" t="s">
        <v>17</v>
      </c>
      <c r="P61" s="1" t="s">
        <v>18</v>
      </c>
      <c r="Q61" s="1" t="s">
        <v>17</v>
      </c>
      <c r="R61" s="1" t="s">
        <v>18</v>
      </c>
      <c r="S61" s="1" t="s">
        <v>17</v>
      </c>
      <c r="T61" s="1" t="s">
        <v>18</v>
      </c>
      <c r="U61" s="1" t="s">
        <v>17</v>
      </c>
      <c r="V61" s="1" t="s">
        <v>18</v>
      </c>
      <c r="X61" s="1" t="s">
        <v>16</v>
      </c>
      <c r="Y61" s="1" t="s">
        <v>17</v>
      </c>
      <c r="Z61" s="1" t="s">
        <v>18</v>
      </c>
      <c r="AA61" s="1" t="s">
        <v>17</v>
      </c>
      <c r="AB61" s="1" t="s">
        <v>18</v>
      </c>
      <c r="AC61" s="1" t="s">
        <v>17</v>
      </c>
      <c r="AD61" s="1" t="s">
        <v>18</v>
      </c>
      <c r="AE61" s="1" t="s">
        <v>17</v>
      </c>
      <c r="AF61" s="1" t="s">
        <v>18</v>
      </c>
      <c r="AG61" s="1" t="s">
        <v>17</v>
      </c>
      <c r="AH61" s="1" t="s">
        <v>18</v>
      </c>
      <c r="AI61" s="1" t="s">
        <v>17</v>
      </c>
      <c r="AJ61" s="1" t="s">
        <v>18</v>
      </c>
      <c r="AK61" s="1" t="s">
        <v>17</v>
      </c>
      <c r="AL61" s="1" t="s">
        <v>18</v>
      </c>
      <c r="AM61" s="1" t="s">
        <v>17</v>
      </c>
      <c r="AN61" s="1" t="s">
        <v>18</v>
      </c>
      <c r="AO61" s="1" t="s">
        <v>17</v>
      </c>
      <c r="AP61" s="1" t="s">
        <v>18</v>
      </c>
      <c r="AQ61" s="1" t="s">
        <v>17</v>
      </c>
      <c r="AR61" s="1" t="s">
        <v>18</v>
      </c>
    </row>
    <row r="62" spans="2:44" x14ac:dyDescent="0.3">
      <c r="B62" s="1" t="s">
        <v>19</v>
      </c>
      <c r="C62" s="1" t="s">
        <v>1</v>
      </c>
      <c r="D62" s="1" t="s">
        <v>1</v>
      </c>
      <c r="E62" s="1" t="s">
        <v>2</v>
      </c>
      <c r="F62" s="1" t="s">
        <v>2</v>
      </c>
      <c r="G62" s="1" t="s">
        <v>3</v>
      </c>
      <c r="H62" s="1" t="s">
        <v>3</v>
      </c>
      <c r="I62" s="1" t="s">
        <v>4</v>
      </c>
      <c r="J62" s="1" t="s">
        <v>4</v>
      </c>
      <c r="K62" s="1" t="s">
        <v>5</v>
      </c>
      <c r="L62" s="1" t="s">
        <v>5</v>
      </c>
      <c r="M62" s="1" t="s">
        <v>6</v>
      </c>
      <c r="N62" s="1" t="s">
        <v>6</v>
      </c>
      <c r="O62" s="1" t="s">
        <v>7</v>
      </c>
      <c r="P62" s="1" t="s">
        <v>7</v>
      </c>
      <c r="Q62" s="1" t="s">
        <v>8</v>
      </c>
      <c r="R62" s="1" t="s">
        <v>8</v>
      </c>
      <c r="S62" s="1" t="s">
        <v>9</v>
      </c>
      <c r="T62" s="1" t="s">
        <v>9</v>
      </c>
      <c r="U62" s="1" t="s">
        <v>10</v>
      </c>
      <c r="V62" s="1" t="s">
        <v>10</v>
      </c>
      <c r="X62" s="1" t="s">
        <v>19</v>
      </c>
      <c r="Y62" s="1" t="s">
        <v>1</v>
      </c>
      <c r="Z62" s="1" t="s">
        <v>1</v>
      </c>
      <c r="AA62" s="1" t="s">
        <v>2</v>
      </c>
      <c r="AB62" s="1" t="s">
        <v>2</v>
      </c>
      <c r="AC62" s="1" t="s">
        <v>3</v>
      </c>
      <c r="AD62" s="1" t="s">
        <v>3</v>
      </c>
      <c r="AE62" s="1" t="s">
        <v>4</v>
      </c>
      <c r="AF62" s="1" t="s">
        <v>4</v>
      </c>
      <c r="AG62" s="1" t="s">
        <v>5</v>
      </c>
      <c r="AH62" s="1" t="s">
        <v>5</v>
      </c>
      <c r="AI62" s="1" t="s">
        <v>6</v>
      </c>
      <c r="AJ62" s="1" t="s">
        <v>6</v>
      </c>
      <c r="AK62" s="1" t="s">
        <v>7</v>
      </c>
      <c r="AL62" s="1" t="s">
        <v>7</v>
      </c>
      <c r="AM62" s="1" t="s">
        <v>8</v>
      </c>
      <c r="AN62" s="1" t="s">
        <v>8</v>
      </c>
      <c r="AO62" s="1" t="s">
        <v>9</v>
      </c>
      <c r="AP62" s="1" t="s">
        <v>9</v>
      </c>
      <c r="AQ62" s="1" t="s">
        <v>10</v>
      </c>
      <c r="AR62" s="1" t="s">
        <v>10</v>
      </c>
    </row>
    <row r="63" spans="2:44" x14ac:dyDescent="0.3">
      <c r="B63" s="1" t="s">
        <v>20</v>
      </c>
      <c r="X63" s="1" t="s">
        <v>20</v>
      </c>
    </row>
    <row r="64" spans="2:44" x14ac:dyDescent="0.3">
      <c r="B64" s="1" t="s">
        <v>21</v>
      </c>
      <c r="C64" s="4">
        <f>Year_2040!AV259/Year_2032!AV259-1</f>
        <v>1.2972203123465276</v>
      </c>
      <c r="D64" s="4">
        <f>Year_2040!AW259/Year_2032!AW259-1</f>
        <v>1.2967653936087298</v>
      </c>
      <c r="E64" s="4">
        <f>Year_2040!AX259/Year_2032!AX259-1</f>
        <v>1.395448079658606</v>
      </c>
      <c r="F64" s="4">
        <f>Year_2040!AY259/Year_2032!AY259-1</f>
        <v>1.3928430209569003</v>
      </c>
      <c r="G64" s="4">
        <f>Year_2040!AZ259/Year_2032!AZ259-1</f>
        <v>1.3627992633517496</v>
      </c>
      <c r="H64" s="4">
        <f>Year_2040!BA259/Year_2032!BA259-1</f>
        <v>1.3628681177976953</v>
      </c>
      <c r="I64" s="4">
        <f>Year_2040!BB259/Year_2032!BB259-1</f>
        <v>1.3508031422206588</v>
      </c>
      <c r="J64" s="4">
        <f>Year_2040!BC259/Year_2032!BC259-1</f>
        <v>0.17007848087371702</v>
      </c>
      <c r="K64" s="4">
        <f>Year_2040!BD259/Year_2032!BD259-1</f>
        <v>0.14724857685009507</v>
      </c>
      <c r="L64" s="4">
        <f>Year_2040!BE259/Year_2032!BE259-1</f>
        <v>0.1471165162808945</v>
      </c>
      <c r="M64" s="4">
        <f>Year_2040!BF259/Year_2032!BF259-1</f>
        <v>6.5316751700680298E-2</v>
      </c>
      <c r="N64" s="4">
        <f>Year_2040!BG259/Year_2032!BG259-1</f>
        <v>0.14960629921259838</v>
      </c>
      <c r="O64" s="4">
        <f>Year_2040!BH259/Year_2032!BH259-1</f>
        <v>5.4553334416815646E-2</v>
      </c>
      <c r="P64" s="4">
        <f>Year_2040!BI259/Year_2032!BI259-1</f>
        <v>0.16077409750651284</v>
      </c>
      <c r="Q64" s="4">
        <f>Year_2040!BJ259/Year_2032!BJ259-1</f>
        <v>0.14259190493873009</v>
      </c>
      <c r="R64" s="4">
        <f>Year_2040!BK259/Year_2032!BK259-1</f>
        <v>0.15845742649866357</v>
      </c>
      <c r="S64" s="4">
        <f>Year_2040!BL259/Year_2032!BL259-1</f>
        <v>0.14668423364075545</v>
      </c>
      <c r="T64" s="4">
        <f>Year_2040!BM259/Year_2032!BM259-1</f>
        <v>0.14704650188521162</v>
      </c>
      <c r="U64" s="4">
        <f>Year_2040!BN259/Year_2032!BN259-1</f>
        <v>0.1574716843259043</v>
      </c>
      <c r="V64" s="4">
        <f>Year_2040!BO259/Year_2032!BO259-1</f>
        <v>0.15793251974156486</v>
      </c>
      <c r="X64" s="1" t="s">
        <v>21</v>
      </c>
      <c r="Y64" s="4">
        <f>Year_2050!AV259/Year_2040!AV259-1</f>
        <v>0.18081922353343605</v>
      </c>
      <c r="Z64" s="4">
        <f>Year_2050!AW259/Year_2040!AW259-1</f>
        <v>0.18113175532366155</v>
      </c>
      <c r="AA64" s="4">
        <f>Year_2050!AX259/Year_2040!AX259-1</f>
        <v>0.21852731591448915</v>
      </c>
      <c r="AB64" s="4">
        <f>Year_2050!AY259/Year_2040!AY259-1</f>
        <v>0.21920185078079824</v>
      </c>
      <c r="AC64" s="4">
        <f>Year_2050!AZ259/Year_2040!AZ259-1</f>
        <v>0.20265003897116141</v>
      </c>
      <c r="AD64" s="4">
        <f>Year_2050!BA259/Year_2040!BA259-1</f>
        <v>0.20288284382789645</v>
      </c>
      <c r="AE64" s="4">
        <f>Year_2050!BB259/Year_2040!BB259-1</f>
        <v>0.19730673316708236</v>
      </c>
      <c r="AF64" s="4">
        <f>Year_2050!BC259/Year_2040!BC259-1</f>
        <v>3.1660412757973821E-2</v>
      </c>
      <c r="AG64" s="4">
        <f>Year_2050!BD259/Year_2040!BD259-1</f>
        <v>0.15018193847171668</v>
      </c>
      <c r="AH64" s="4">
        <f>Year_2050!BE259/Year_2040!BE259-1</f>
        <v>6.488176666015244E-2</v>
      </c>
      <c r="AI64" s="4">
        <f>Year_2050!BF259/Year_2040!BF259-1</f>
        <v>3.1628835120977916E-2</v>
      </c>
      <c r="AJ64" s="4">
        <f>Year_2050!BG259/Year_2040!BG259-1</f>
        <v>8.1849315068493134E-2</v>
      </c>
      <c r="AK64" s="4">
        <f>Year_2050!BH259/Year_2040!BH259-1</f>
        <v>3.1439432857289562E-2</v>
      </c>
      <c r="AL64" s="4">
        <f>Year_2050!BI259/Year_2040!BI259-1</f>
        <v>0.10236797508358908</v>
      </c>
      <c r="AM64" s="4">
        <f>Year_2050!BJ259/Year_2040!BJ259-1</f>
        <v>3.1524211894702781E-2</v>
      </c>
      <c r="AN64" s="4">
        <f>Year_2050!BK259/Year_2040!BK259-1</f>
        <v>8.673133063376981E-2</v>
      </c>
      <c r="AO64" s="4">
        <f>Year_2050!BL259/Year_2040!BL259-1</f>
        <v>0.13711221754117187</v>
      </c>
      <c r="AP64" s="4">
        <f>Year_2050!BM259/Year_2040!BM259-1</f>
        <v>0.17238860482103724</v>
      </c>
      <c r="AQ64" s="4">
        <f>Year_2050!BN259/Year_2040!BN259-1</f>
        <v>0.10615079365079372</v>
      </c>
      <c r="AR64" s="4">
        <f>Year_2050!BO259/Year_2040!BO259-1</f>
        <v>0.18753874767513956</v>
      </c>
    </row>
    <row r="65" spans="2:44" x14ac:dyDescent="0.3">
      <c r="B65" s="1" t="s">
        <v>22</v>
      </c>
      <c r="C65" s="4">
        <f>Year_2040!AV260/Year_2032!AV260-1</f>
        <v>0.14820042342978113</v>
      </c>
      <c r="D65" s="4">
        <f>Year_2040!AW260/Year_2032!AW260-1</f>
        <v>0.1481732070365358</v>
      </c>
      <c r="E65" s="4">
        <f>Year_2040!AX260/Year_2032!AX260-1</f>
        <v>0.19714656290531773</v>
      </c>
      <c r="F65" s="4">
        <f>Year_2040!AY260/Year_2032!AY260-1</f>
        <v>0.19786096256684482</v>
      </c>
      <c r="G65" s="4">
        <f>Year_2040!AZ260/Year_2032!AZ260-1</f>
        <v>0.18092428711897734</v>
      </c>
      <c r="H65" s="4">
        <f>Year_2040!BA260/Year_2032!BA260-1</f>
        <v>0.18127147766323026</v>
      </c>
      <c r="I65" s="4">
        <f>Year_2040!BB260/Year_2032!BB260-1</f>
        <v>0.17474839890210436</v>
      </c>
      <c r="J65" s="4">
        <f>Year_2040!BC260/Year_2032!BC260-1</f>
        <v>0.19442556084296392</v>
      </c>
      <c r="K65" s="4">
        <f>Year_2040!BD260/Year_2032!BD260-1</f>
        <v>0.14695340501792109</v>
      </c>
      <c r="L65" s="4">
        <f>Year_2040!BE260/Year_2032!BE260-1</f>
        <v>0.14708171206225695</v>
      </c>
      <c r="M65" s="4">
        <f>Year_2040!BF260/Year_2032!BF260-1</f>
        <v>0.20275229357798152</v>
      </c>
      <c r="N65" s="4">
        <f>Year_2040!BG260/Year_2032!BG260-1</f>
        <v>0.14896650035637937</v>
      </c>
      <c r="O65" s="4">
        <f>Year_2040!BH260/Year_2032!BH260-1</f>
        <v>0.30559875583203722</v>
      </c>
      <c r="P65" s="4">
        <f>Year_2040!BI260/Year_2032!BI260-1</f>
        <v>0.16020114942528729</v>
      </c>
      <c r="Q65" s="4">
        <f>Year_2040!BJ260/Year_2032!BJ260-1</f>
        <v>0.15845337376800606</v>
      </c>
      <c r="R65" s="4">
        <f>Year_2040!BK260/Year_2032!BK260-1</f>
        <v>0.1580570547417115</v>
      </c>
      <c r="S65" s="4">
        <f>Year_2040!BL260/Year_2032!BL260-1</f>
        <v>0.14597970335675248</v>
      </c>
      <c r="T65" s="4">
        <f>Year_2040!BM260/Year_2032!BM260-1</f>
        <v>0.14625612316305103</v>
      </c>
      <c r="U65" s="4">
        <f>Year_2040!BN260/Year_2032!BN260-1</f>
        <v>0.15789473684210509</v>
      </c>
      <c r="V65" s="4">
        <f>Year_2040!BO260/Year_2032!BO260-1</f>
        <v>0.15789473684210531</v>
      </c>
      <c r="X65" s="1" t="s">
        <v>22</v>
      </c>
      <c r="Y65" s="4">
        <f>Year_2050!AV260/Year_2040!AV260-1</f>
        <v>0.18131530424093412</v>
      </c>
      <c r="Z65" s="4">
        <f>Year_2050!AW260/Year_2040!AW260-1</f>
        <v>0.18090748379493227</v>
      </c>
      <c r="AA65" s="4">
        <f>Year_2050!AX260/Year_2040!AX260-1</f>
        <v>0.2188515709642469</v>
      </c>
      <c r="AB65" s="4">
        <f>Year_2050!AY260/Year_2040!AY260-1</f>
        <v>0.21785714285714297</v>
      </c>
      <c r="AC65" s="4">
        <f>Year_2050!AZ260/Year_2040!AZ260-1</f>
        <v>0.40133222314737704</v>
      </c>
      <c r="AD65" s="4">
        <f>Year_2050!BA260/Year_2040!BA260-1</f>
        <v>0.20290909090909093</v>
      </c>
      <c r="AE65" s="4">
        <f>Year_2050!BB260/Year_2040!BB260-1</f>
        <v>0.1651090342679129</v>
      </c>
      <c r="AF65" s="4">
        <f>Year_2050!BC260/Year_2040!BC260-1</f>
        <v>0.74217416050085361</v>
      </c>
      <c r="AG65" s="4">
        <f>Year_2050!BD260/Year_2040!BD260-1</f>
        <v>0.49374999999999991</v>
      </c>
      <c r="AH65" s="4">
        <f>Year_2050!BE260/Year_2040!BE260-1</f>
        <v>0.43487109905020338</v>
      </c>
      <c r="AI65" s="4">
        <f>Year_2050!BF260/Year_2040!BF260-1</f>
        <v>1.449275362318847E-2</v>
      </c>
      <c r="AJ65" s="4">
        <f>Year_2050!BG260/Year_2040!BG260-1</f>
        <v>0.51302729528535984</v>
      </c>
      <c r="AK65" s="4">
        <f>Year_2050!BH260/Year_2040!BH260-1</f>
        <v>0.39368671828469326</v>
      </c>
      <c r="AL65" s="4">
        <f>Year_2050!BI260/Year_2040!BI260-1</f>
        <v>0.79504643962848309</v>
      </c>
      <c r="AM65" s="4">
        <f>Year_2050!BJ260/Year_2040!BJ260-1</f>
        <v>0.65575916230366493</v>
      </c>
      <c r="AN65" s="4">
        <f>Year_2050!BK260/Year_2040!BK260-1</f>
        <v>0.33222370173102544</v>
      </c>
      <c r="AO65" s="4">
        <f>Year_2050!BL260/Year_2040!BL260-1</f>
        <v>0.73092643051771122</v>
      </c>
      <c r="AP65" s="4">
        <f>Year_2050!BM260/Year_2040!BM260-1</f>
        <v>0.17277167277167282</v>
      </c>
      <c r="AQ65" s="4">
        <f>Year_2050!BN260/Year_2040!BN260-1</f>
        <v>0.18755980861244037</v>
      </c>
      <c r="AR65" s="4">
        <f>Year_2050!BO260/Year_2040!BO260-1</f>
        <v>0.1878422782037239</v>
      </c>
    </row>
    <row r="66" spans="2:44" x14ac:dyDescent="0.3">
      <c r="B66" s="1" t="s">
        <v>23</v>
      </c>
      <c r="C66" s="4">
        <f>Year_2040!AV261/Year_2032!AV261-1</f>
        <v>-4.2659758203799636E-2</v>
      </c>
      <c r="D66" s="4">
        <f>Year_2040!AW261/Year_2032!AW261-1</f>
        <v>0.14824178349804651</v>
      </c>
      <c r="E66" s="4">
        <f>Year_2040!AX261/Year_2032!AX261-1</f>
        <v>4.9804262722923154E-2</v>
      </c>
      <c r="F66" s="4">
        <f>Year_2040!AY261/Year_2032!AY261-1</f>
        <v>0.19699812382739212</v>
      </c>
      <c r="G66" s="4">
        <f>Year_2040!AZ261/Year_2032!AZ261-1</f>
        <v>-0.32389096739711387</v>
      </c>
      <c r="H66" s="4">
        <f>Year_2040!BA261/Year_2032!BA261-1</f>
        <v>0.20628085285159115</v>
      </c>
      <c r="I66" s="4">
        <f>Year_2040!BB261/Year_2032!BB261-1</f>
        <v>-0.250542661546168</v>
      </c>
      <c r="J66" s="4">
        <f>Year_2040!BC261/Year_2032!BC261-1</f>
        <v>0.70303411413299788</v>
      </c>
      <c r="K66" s="4">
        <f>Year_2040!BD261/Year_2032!BD261-1</f>
        <v>0.1922268907563025</v>
      </c>
      <c r="L66" s="4">
        <f>Year_2040!BE261/Year_2032!BE261-1</f>
        <v>0.51226066509909307</v>
      </c>
      <c r="M66" s="4">
        <f>Year_2040!BF261/Year_2032!BF261-1</f>
        <v>0.15981046737023497</v>
      </c>
      <c r="N66" s="4">
        <f>Year_2040!BG261/Year_2032!BG261-1</f>
        <v>0.53803131991051467</v>
      </c>
      <c r="O66" s="4">
        <f>Year_2040!BH261/Year_2032!BH261-1</f>
        <v>0.16632366697848466</v>
      </c>
      <c r="P66" s="4">
        <f>Year_2040!BI261/Year_2032!BI261-1</f>
        <v>0.63229308005427409</v>
      </c>
      <c r="Q66" s="4">
        <f>Year_2040!BJ261/Year_2032!BJ261-1</f>
        <v>0.17007623888182954</v>
      </c>
      <c r="R66" s="4">
        <f>Year_2040!BK261/Year_2032!BK261-1</f>
        <v>0.48176291793313064</v>
      </c>
      <c r="S66" s="4">
        <f>Year_2040!BL261/Year_2032!BL261-1</f>
        <v>0.66119063109954457</v>
      </c>
      <c r="T66" s="4">
        <f>Year_2040!BM261/Year_2032!BM261-1</f>
        <v>0.20025653358986695</v>
      </c>
      <c r="U66" s="4">
        <f>Year_2040!BN261/Year_2032!BN261-1</f>
        <v>0.17099452393570047</v>
      </c>
      <c r="V66" s="4">
        <f>Year_2040!BO261/Year_2032!BO261-1</f>
        <v>0.15762925598991195</v>
      </c>
      <c r="X66" s="1" t="s">
        <v>23</v>
      </c>
      <c r="Y66" s="4">
        <f>Year_2050!AV261/Year_2040!AV261-1</f>
        <v>0.41430633231102276</v>
      </c>
      <c r="Z66" s="4">
        <f>Year_2050!AW261/Year_2040!AW261-1</f>
        <v>0.18074459567654122</v>
      </c>
      <c r="AA66" s="4">
        <f>Year_2050!AX261/Year_2040!AX261-1</f>
        <v>0.4045991298943441</v>
      </c>
      <c r="AB66" s="4">
        <f>Year_2050!AY261/Year_2040!AY261-1</f>
        <v>0.21826018808777436</v>
      </c>
      <c r="AC66" s="4">
        <f>Year_2050!AZ261/Year_2040!AZ261-1</f>
        <v>0.42420948616600773</v>
      </c>
      <c r="AD66" s="4">
        <f>Year_2050!BA261/Year_2040!BA261-1</f>
        <v>-0.33765781454070531</v>
      </c>
      <c r="AE66" s="4">
        <f>Year_2050!BB261/Year_2040!BB261-1</f>
        <v>0.42508633173666044</v>
      </c>
      <c r="AF66" s="4">
        <f>Year_2050!BC261/Year_2040!BC261-1</f>
        <v>0.61977291608972584</v>
      </c>
      <c r="AG66" s="4">
        <f>Year_2050!BD261/Year_2040!BD261-1</f>
        <v>-0.20962869729389555</v>
      </c>
      <c r="AH66" s="4">
        <f>Year_2050!BE261/Year_2040!BE261-1</f>
        <v>0.71923589515770758</v>
      </c>
      <c r="AI66" s="4">
        <f>Year_2050!BF261/Year_2040!BF261-1</f>
        <v>-0.20810894459919527</v>
      </c>
      <c r="AJ66" s="4">
        <f>Year_2050!BG261/Year_2040!BG261-1</f>
        <v>0.72280519480519478</v>
      </c>
      <c r="AK66" s="4">
        <f>Year_2050!BH261/Year_2040!BH261-1</f>
        <v>-0.22767618436530856</v>
      </c>
      <c r="AL66" s="4">
        <f>Year_2050!BI261/Year_2040!BI261-1</f>
        <v>0.7474831439918721</v>
      </c>
      <c r="AM66" s="4">
        <f>Year_2050!BJ261/Year_2040!BJ261-1</f>
        <v>-0.23679209426073733</v>
      </c>
      <c r="AN66" s="4">
        <f>Year_2050!BK261/Year_2040!BK261-1</f>
        <v>0.75680911680911667</v>
      </c>
      <c r="AO66" s="4">
        <f>Year_2050!BL261/Year_2040!BL261-1</f>
        <v>0.67511994516792351</v>
      </c>
      <c r="AP66" s="4">
        <f>Year_2050!BM261/Year_2040!BM261-1</f>
        <v>0.78306171520170964</v>
      </c>
      <c r="AQ66" s="4">
        <f>Year_2050!BN261/Year_2040!BN261-1</f>
        <v>0.844018705687132</v>
      </c>
      <c r="AR66" s="4">
        <f>Year_2050!BO261/Year_2040!BO261-1</f>
        <v>0.61811391223155931</v>
      </c>
    </row>
    <row r="67" spans="2:44" x14ac:dyDescent="0.3">
      <c r="B67" s="1" t="s">
        <v>24</v>
      </c>
      <c r="C67" s="4">
        <f>Year_2040!AV262/Year_2032!AV262-1</f>
        <v>0.26434638491816864</v>
      </c>
      <c r="D67" s="4">
        <f>Year_2040!AW262/Year_2032!AW262-1</f>
        <v>0.14854368932038819</v>
      </c>
      <c r="E67" s="4">
        <f>Year_2040!AX262/Year_2032!AX262-1</f>
        <v>0.2565597667638484</v>
      </c>
      <c r="F67" s="4">
        <f>Year_2040!AY262/Year_2032!AY262-1</f>
        <v>0.19686411149825789</v>
      </c>
      <c r="G67" s="4">
        <f>Year_2040!AZ262/Year_2032!AZ262-1</f>
        <v>0.26805658972449753</v>
      </c>
      <c r="H67" s="4">
        <f>Year_2040!BA262/Year_2032!BA262-1</f>
        <v>8.4115397984011242E-2</v>
      </c>
      <c r="I67" s="4">
        <f>Year_2040!BB262/Year_2032!BB262-1</f>
        <v>0.26732117812061706</v>
      </c>
      <c r="J67" s="4">
        <f>Year_2040!BC262/Year_2032!BC262-1</f>
        <v>0.61379310344827576</v>
      </c>
      <c r="K67" s="4">
        <f>Year_2040!BD262/Year_2032!BD262-1</f>
        <v>0.28413284132841343</v>
      </c>
      <c r="L67" s="4">
        <f>Year_2040!BE262/Year_2032!BE262-1</f>
        <v>0.27056897257470314</v>
      </c>
      <c r="M67" s="4">
        <f>Year_2040!BF262/Year_2032!BF262-1</f>
        <v>0.28462623413258092</v>
      </c>
      <c r="N67" s="4">
        <f>Year_2040!BG262/Year_2032!BG262-1</f>
        <v>0.20305164319248825</v>
      </c>
      <c r="O67" s="4">
        <f>Year_2040!BH262/Year_2032!BH262-1</f>
        <v>-0.21876633559853631</v>
      </c>
      <c r="P67" s="4">
        <f>Year_2040!BI262/Year_2032!BI262-1</f>
        <v>0.27781983345950012</v>
      </c>
      <c r="Q67" s="4">
        <f>Year_2040!BJ262/Year_2032!BJ262-1</f>
        <v>0.81661786237188871</v>
      </c>
      <c r="R67" s="4">
        <f>Year_2040!BK262/Year_2032!BK262-1</f>
        <v>0.1585160202360878</v>
      </c>
      <c r="S67" s="4">
        <f>Year_2040!BL262/Year_2032!BL262-1</f>
        <v>0.14680165669581235</v>
      </c>
      <c r="T67" s="4">
        <f>Year_2040!BM262/Year_2032!BM262-1</f>
        <v>0.14663093415007644</v>
      </c>
      <c r="U67" s="4">
        <f>Year_2040!BN262/Year_2032!BN262-1</f>
        <v>0.15771812080536929</v>
      </c>
      <c r="V67" s="4">
        <f>Year_2040!BO262/Year_2032!BO262-1</f>
        <v>0.15763135946622198</v>
      </c>
      <c r="X67" s="1" t="s">
        <v>24</v>
      </c>
      <c r="Y67" s="4">
        <f>Year_2050!AV262/Year_2040!AV262-1</f>
        <v>-0.15910208094379819</v>
      </c>
      <c r="Z67" s="4">
        <f>Year_2050!AW262/Year_2040!AW262-1</f>
        <v>0.22189349112426027</v>
      </c>
      <c r="AA67" s="4">
        <f>Year_2050!AX262/Year_2040!AX262-1</f>
        <v>0.23627223511214224</v>
      </c>
      <c r="AB67" s="4">
        <f>Year_2050!AY262/Year_2040!AY262-1</f>
        <v>0.21834061135371163</v>
      </c>
      <c r="AC67" s="4">
        <f>Year_2050!AZ262/Year_2040!AZ262-1</f>
        <v>0.25464865922881175</v>
      </c>
      <c r="AD67" s="4">
        <f>Year_2050!BA262/Year_2040!BA262-1</f>
        <v>0.39083039435716582</v>
      </c>
      <c r="AE67" s="4">
        <f>Year_2050!BB262/Year_2040!BB262-1</f>
        <v>0.24546259406817184</v>
      </c>
      <c r="AF67" s="4">
        <f>Year_2050!BC262/Year_2040!BC262-1</f>
        <v>0.60593792172739547</v>
      </c>
      <c r="AG67" s="4">
        <f>Year_2050!BD262/Year_2040!BD262-1</f>
        <v>0.26326259946949593</v>
      </c>
      <c r="AH67" s="4">
        <f>Year_2050!BE262/Year_2040!BE262-1</f>
        <v>0.981958762886598</v>
      </c>
      <c r="AI67" s="4">
        <f>Year_2050!BF262/Year_2040!BF262-1</f>
        <v>0.26372419850680706</v>
      </c>
      <c r="AJ67" s="4">
        <f>Year_2050!BG262/Year_2040!BG262-1</f>
        <v>1.0260162601626015</v>
      </c>
      <c r="AK67" s="4">
        <f>Year_2050!BH262/Year_2040!BH262-1</f>
        <v>0.3499498159919705</v>
      </c>
      <c r="AL67" s="4">
        <f>Year_2050!BI262/Year_2040!BI262-1</f>
        <v>1.0589454976303321</v>
      </c>
      <c r="AM67" s="4">
        <f>Year_2050!BJ262/Year_2040!BJ262-1</f>
        <v>0.26395325408019321</v>
      </c>
      <c r="AN67" s="4">
        <f>Year_2050!BK262/Year_2040!BK262-1</f>
        <v>0.18158660844250352</v>
      </c>
      <c r="AO67" s="4">
        <f>Year_2050!BL262/Year_2040!BL262-1</f>
        <v>0.17255216693418918</v>
      </c>
      <c r="AP67" s="4">
        <f>Year_2050!BM262/Year_2040!BM262-1</f>
        <v>0.66911519198664449</v>
      </c>
      <c r="AQ67" s="4">
        <f>Year_2050!BN262/Year_2040!BN262-1</f>
        <v>0.69673913043478253</v>
      </c>
      <c r="AR67" s="4">
        <f>Year_2050!BO262/Year_2040!BO262-1</f>
        <v>0.51621037463976949</v>
      </c>
    </row>
    <row r="68" spans="2:44" x14ac:dyDescent="0.3">
      <c r="B68" s="1" t="s">
        <v>25</v>
      </c>
      <c r="C68" s="4">
        <f>Year_2040!AV263/Year_2032!AV263-1</f>
        <v>0.18858273086891297</v>
      </c>
      <c r="D68" s="4">
        <f>Year_2040!AW263/Year_2032!AW263-1</f>
        <v>-9.6745521673731516E-2</v>
      </c>
      <c r="E68" s="4">
        <f>Year_2040!AX263/Year_2032!AX263-1</f>
        <v>-0.16847899046851922</v>
      </c>
      <c r="F68" s="4">
        <f>Year_2040!AY263/Year_2032!AY263-1</f>
        <v>0.19714964370546317</v>
      </c>
      <c r="G68" s="4">
        <f>Year_2040!AZ263/Year_2032!AZ263-1</f>
        <v>0.18542293003981469</v>
      </c>
      <c r="H68" s="4">
        <f>Year_2040!BA263/Year_2032!BA263-1</f>
        <v>0.18180260452364627</v>
      </c>
      <c r="I68" s="4">
        <f>Year_2040!BB263/Year_2032!BB263-1</f>
        <v>0.17534593852329139</v>
      </c>
      <c r="J68" s="4">
        <f>Year_2040!BC263/Year_2032!BC263-1</f>
        <v>0.28457012095456036</v>
      </c>
      <c r="K68" s="4">
        <f>Year_2040!BD263/Year_2032!BD263-1</f>
        <v>0.46742623429740005</v>
      </c>
      <c r="L68" s="4">
        <f>Year_2040!BE263/Year_2032!BE263-1</f>
        <v>0.34207555362570541</v>
      </c>
      <c r="M68" s="4">
        <f>Year_2040!BF263/Year_2032!BF263-1</f>
        <v>0.4880104344336309</v>
      </c>
      <c r="N68" s="4">
        <f>Year_2040!BG263/Year_2032!BG263-1</f>
        <v>0.28089330024813908</v>
      </c>
      <c r="O68" s="4">
        <f>Year_2040!BH263/Year_2032!BH263-1</f>
        <v>0.34712140797454505</v>
      </c>
      <c r="P68" s="4">
        <f>Year_2040!BI263/Year_2032!BI263-1</f>
        <v>0.19440587185082325</v>
      </c>
      <c r="Q68" s="4">
        <f>Year_2040!BJ263/Year_2032!BJ263-1</f>
        <v>0.16519261006289288</v>
      </c>
      <c r="R68" s="4">
        <f>Year_2040!BK263/Year_2032!BK263-1</f>
        <v>0.15853915980578437</v>
      </c>
      <c r="S68" s="4">
        <f>Year_2040!BL263/Year_2032!BL263-1</f>
        <v>0.14664679582712359</v>
      </c>
      <c r="T68" s="4">
        <f>Year_2040!BM263/Year_2032!BM263-1</f>
        <v>0.14653612855166531</v>
      </c>
      <c r="U68" s="4">
        <f>Year_2040!BN263/Year_2032!BN263-1</f>
        <v>0.15771843305108413</v>
      </c>
      <c r="V68" s="4">
        <f>Year_2040!BO263/Year_2032!BO263-1</f>
        <v>0.1575926248043138</v>
      </c>
      <c r="X68" s="1" t="s">
        <v>25</v>
      </c>
      <c r="Y68" s="4">
        <f>Year_2050!AV263/Year_2040!AV263-1</f>
        <v>0.27663969702186253</v>
      </c>
      <c r="Z68" s="4">
        <f>Year_2050!AW263/Year_2040!AW263-1</f>
        <v>0.25130573007342361</v>
      </c>
      <c r="AA68" s="4">
        <f>Year_2050!AX263/Year_2040!AX263-1</f>
        <v>9.6867936712947911E-2</v>
      </c>
      <c r="AB68" s="4">
        <f>Year_2050!AY263/Year_2040!AY263-1</f>
        <v>0.21891534391534417</v>
      </c>
      <c r="AC68" s="4">
        <f>Year_2050!AZ263/Year_2040!AZ263-1</f>
        <v>0.27184865309479767</v>
      </c>
      <c r="AD68" s="4">
        <f>Year_2050!BA263/Year_2040!BA263-1</f>
        <v>0.266347687400319</v>
      </c>
      <c r="AE68" s="4">
        <f>Year_2050!BB263/Year_2040!BB263-1</f>
        <v>0.1974476498606994</v>
      </c>
      <c r="AF68" s="4">
        <f>Year_2050!BC263/Year_2040!BC263-1</f>
        <v>0.26930907240106872</v>
      </c>
      <c r="AG68" s="4">
        <f>Year_2050!BD263/Year_2040!BD263-1</f>
        <v>0.2761298029066297</v>
      </c>
      <c r="AH68" s="4">
        <f>Year_2050!BE263/Year_2040!BE263-1</f>
        <v>0.27824511453345413</v>
      </c>
      <c r="AI68" s="4">
        <f>Year_2050!BF263/Year_2040!BF263-1</f>
        <v>0.34191895354325408</v>
      </c>
      <c r="AJ68" s="4">
        <f>Year_2050!BG263/Year_2040!BG263-1</f>
        <v>0.59829523440526899</v>
      </c>
      <c r="AK68" s="4">
        <f>Year_2050!BH263/Year_2040!BH263-1</f>
        <v>0.57912607026867446</v>
      </c>
      <c r="AL68" s="4">
        <f>Year_2050!BI263/Year_2040!BI263-1</f>
        <v>0.76997176548746049</v>
      </c>
      <c r="AM68" s="4">
        <f>Year_2050!BJ263/Year_2040!BJ263-1</f>
        <v>0.94357763346546353</v>
      </c>
      <c r="AN68" s="4">
        <f>Year_2050!BK263/Year_2040!BK263-1</f>
        <v>0.89741253644314845</v>
      </c>
      <c r="AO68" s="4">
        <f>Year_2050!BL263/Year_2040!BL263-1</f>
        <v>0.17242873234555067</v>
      </c>
      <c r="AP68" s="4">
        <f>Year_2050!BM263/Year_2040!BM263-1</f>
        <v>0.37636903656951914</v>
      </c>
      <c r="AQ68" s="4">
        <f>Year_2050!BN263/Year_2040!BN263-1</f>
        <v>0.60761935380163967</v>
      </c>
      <c r="AR68" s="4">
        <f>Year_2050!BO263/Year_2040!BO263-1</f>
        <v>0.18752817430503388</v>
      </c>
    </row>
    <row r="69" spans="2:44" x14ac:dyDescent="0.3">
      <c r="B69" s="1" t="s">
        <v>26</v>
      </c>
      <c r="C69" s="4">
        <f>Year_2040!AV264/Year_2032!AV264-1</f>
        <v>0.29831342234715397</v>
      </c>
      <c r="D69" s="4">
        <f>Year_2040!AW264/Year_2032!AW264-1</f>
        <v>4.5223577235772305E-2</v>
      </c>
      <c r="E69" s="4">
        <f>Year_2040!AX264/Year_2032!AX264-1</f>
        <v>0.28513071895424846</v>
      </c>
      <c r="F69" s="4">
        <f>Year_2040!AY264/Year_2032!AY264-1</f>
        <v>0.24590163934426235</v>
      </c>
      <c r="G69" s="4">
        <f>Year_2040!AZ264/Year_2032!AZ264-1</f>
        <v>0.29857819905213256</v>
      </c>
      <c r="H69" s="4">
        <f>Year_2040!BA264/Year_2032!BA264-1</f>
        <v>0.29199372056514927</v>
      </c>
      <c r="I69" s="4">
        <f>Year_2040!BB264/Year_2032!BB264-1</f>
        <v>0.17521994134897367</v>
      </c>
      <c r="J69" s="4">
        <f>Year_2040!BC264/Year_2032!BC264-1</f>
        <v>0.31246342890579282</v>
      </c>
      <c r="K69" s="4">
        <f>Year_2040!BD264/Year_2032!BD264-1</f>
        <v>0.14660831509846828</v>
      </c>
      <c r="L69" s="4">
        <f>Year_2040!BE264/Year_2032!BE264-1</f>
        <v>0.33032873806998952</v>
      </c>
      <c r="M69" s="4">
        <f>Year_2040!BF264/Year_2032!BF264-1</f>
        <v>0.14961636828644509</v>
      </c>
      <c r="N69" s="4">
        <f>Year_2040!BG264/Year_2032!BG264-1</f>
        <v>0.28465804066543443</v>
      </c>
      <c r="O69" s="4">
        <f>Year_2040!BH264/Year_2032!BH264-1</f>
        <v>0.16088328075709768</v>
      </c>
      <c r="P69" s="4">
        <f>Year_2040!BI264/Year_2032!BI264-1</f>
        <v>0.33941852603110201</v>
      </c>
      <c r="Q69" s="4">
        <f>Year_2040!BJ264/Year_2032!BJ264-1</f>
        <v>0.15844636251541311</v>
      </c>
      <c r="R69" s="4">
        <f>Year_2040!BK264/Year_2032!BK264-1</f>
        <v>0.3646209386281587</v>
      </c>
      <c r="S69" s="4">
        <f>Year_2040!BL264/Year_2032!BL264-1</f>
        <v>0.1466742467310973</v>
      </c>
      <c r="T69" s="4">
        <f>Year_2040!BM264/Year_2032!BM264-1</f>
        <v>0.35991531404375432</v>
      </c>
      <c r="U69" s="4">
        <f>Year_2040!BN264/Year_2032!BN264-1</f>
        <v>0.15743756786102048</v>
      </c>
      <c r="V69" s="4">
        <f>Year_2040!BO264/Year_2032!BO264-1</f>
        <v>0.15771812080536929</v>
      </c>
      <c r="X69" s="1" t="s">
        <v>26</v>
      </c>
      <c r="Y69" s="4">
        <f>Year_2050!AV264/Year_2040!AV264-1</f>
        <v>0.27794316644113648</v>
      </c>
      <c r="Z69" s="4">
        <f>Year_2050!AW264/Year_2040!AW264-1</f>
        <v>0.34273213417598458</v>
      </c>
      <c r="AA69" s="4">
        <f>Year_2050!AX264/Year_2040!AX264-1</f>
        <v>-0.15193897012078839</v>
      </c>
      <c r="AB69" s="4">
        <f>Year_2050!AY264/Year_2040!AY264-1</f>
        <v>-0.12550607287449389</v>
      </c>
      <c r="AC69" s="4">
        <f>Year_2050!AZ264/Year_2040!AZ264-1</f>
        <v>0.2850364963503651</v>
      </c>
      <c r="AD69" s="4">
        <f>Year_2050!BA264/Year_2040!BA264-1</f>
        <v>0.27379505872823007</v>
      </c>
      <c r="AE69" s="4">
        <f>Year_2050!BB264/Year_2040!BB264-1</f>
        <v>0.62694946974422927</v>
      </c>
      <c r="AF69" s="4">
        <f>Year_2050!BC264/Year_2040!BC264-1</f>
        <v>0.30049041462327253</v>
      </c>
      <c r="AG69" s="4">
        <f>Year_2050!BD264/Year_2040!BD264-1</f>
        <v>0.52671755725190827</v>
      </c>
      <c r="AH69" s="4">
        <f>Year_2050!BE264/Year_2040!BE264-1</f>
        <v>0.27939418094858515</v>
      </c>
      <c r="AI69" s="4">
        <f>Year_2050!BF264/Year_2040!BF264-1</f>
        <v>0.79699666295884319</v>
      </c>
      <c r="AJ69" s="4">
        <f>Year_2050!BG264/Year_2040!BG264-1</f>
        <v>0.27577937649880102</v>
      </c>
      <c r="AK69" s="4">
        <f>Year_2050!BH264/Year_2040!BH264-1</f>
        <v>0.80815217391304373</v>
      </c>
      <c r="AL69" s="4">
        <f>Year_2050!BI264/Year_2040!BI264-1</f>
        <v>0.27511357900050504</v>
      </c>
      <c r="AM69" s="4">
        <f>Year_2050!BJ264/Year_2040!BJ264-1</f>
        <v>0.81905268759978722</v>
      </c>
      <c r="AN69" s="4">
        <f>Year_2050!BK264/Year_2040!BK264-1</f>
        <v>0.27645502645502651</v>
      </c>
      <c r="AO69" s="4">
        <f>Year_2050!BL264/Year_2040!BL264-1</f>
        <v>0.63956370847793731</v>
      </c>
      <c r="AP69" s="4">
        <f>Year_2050!BM264/Year_2040!BM264-1</f>
        <v>0.33056564608199279</v>
      </c>
      <c r="AQ69" s="4">
        <f>Year_2050!BN264/Year_2040!BN264-1</f>
        <v>0.50281425891181986</v>
      </c>
      <c r="AR69" s="4">
        <f>Year_2050!BO264/Year_2040!BO264-1</f>
        <v>0.18768115942028984</v>
      </c>
    </row>
    <row r="70" spans="2:44" x14ac:dyDescent="0.3">
      <c r="B70" s="1" t="s">
        <v>27</v>
      </c>
      <c r="C70" s="4">
        <f>Year_2040!AV265/Year_2032!AV265-1</f>
        <v>-4.2058216823286698E-2</v>
      </c>
      <c r="D70" s="4">
        <f>Year_2040!AW265/Year_2032!AW265-1</f>
        <v>-3.9327002477291484E-2</v>
      </c>
      <c r="E70" s="4">
        <f>Year_2040!AX265/Year_2032!AX265-1</f>
        <v>7.9581760092942266E-2</v>
      </c>
      <c r="F70" s="4">
        <f>Year_2040!AY265/Year_2032!AY265-1</f>
        <v>5.9855233853006728E-2</v>
      </c>
      <c r="G70" s="4">
        <f>Year_2040!AZ265/Year_2032!AZ265-1</f>
        <v>0.2367121696195178</v>
      </c>
      <c r="H70" s="4">
        <f>Year_2040!BA265/Year_2032!BA265-1</f>
        <v>-4.1381094012672981E-2</v>
      </c>
      <c r="I70" s="4">
        <f>Year_2040!BB265/Year_2032!BB265-1</f>
        <v>0.56553350363529176</v>
      </c>
      <c r="J70" s="4">
        <f>Year_2040!BC265/Year_2032!BC265-1</f>
        <v>0.24037995541339541</v>
      </c>
      <c r="K70" s="4">
        <f>Year_2040!BD265/Year_2032!BD265-1</f>
        <v>0.14710129977305564</v>
      </c>
      <c r="L70" s="4">
        <f>Year_2040!BE265/Year_2032!BE265-1</f>
        <v>1.200111638291923E-2</v>
      </c>
      <c r="M70" s="4">
        <f>Year_2040!BF265/Year_2032!BF265-1</f>
        <v>0.43952630557173378</v>
      </c>
      <c r="N70" s="4">
        <f>Year_2040!BG265/Year_2032!BG265-1</f>
        <v>-0.33066718689036279</v>
      </c>
      <c r="O70" s="4">
        <f>Year_2040!BH265/Year_2032!BH265-1</f>
        <v>0.49467389273033091</v>
      </c>
      <c r="P70" s="4">
        <f>Year_2040!BI265/Year_2032!BI265-1</f>
        <v>-0.22885517843501035</v>
      </c>
      <c r="Q70" s="4">
        <f>Year_2040!BJ265/Year_2032!BJ265-1</f>
        <v>0.62633921213120147</v>
      </c>
      <c r="R70" s="4">
        <f>Year_2040!BK265/Year_2032!BK265-1</f>
        <v>0.19197236387563743</v>
      </c>
      <c r="S70" s="4">
        <f>Year_2040!BL265/Year_2032!BL265-1</f>
        <v>0.28359194453615078</v>
      </c>
      <c r="T70" s="4">
        <f>Year_2040!BM265/Year_2032!BM265-1</f>
        <v>0.14685185185185179</v>
      </c>
      <c r="U70" s="4">
        <f>Year_2040!BN265/Year_2032!BN265-1</f>
        <v>0.17819148936170204</v>
      </c>
      <c r="V70" s="4">
        <f>Year_2040!BO265/Year_2032!BO265-1</f>
        <v>0.15786527337189771</v>
      </c>
      <c r="X70" s="1" t="s">
        <v>27</v>
      </c>
      <c r="Y70" s="4">
        <f>Year_2050!AV265/Year_2040!AV265-1</f>
        <v>0.45926546237588228</v>
      </c>
      <c r="Z70" s="4">
        <f>Year_2050!AW265/Year_2040!AW265-1</f>
        <v>0.45277747931664347</v>
      </c>
      <c r="AA70" s="4">
        <f>Year_2050!AX265/Year_2040!AX265-1</f>
        <v>4.3314500941619594E-2</v>
      </c>
      <c r="AB70" s="4">
        <f>Year_2050!AY265/Year_2040!AY265-1</f>
        <v>0.33517205148410811</v>
      </c>
      <c r="AC70" s="4">
        <f>Year_2050!AZ265/Year_2040!AZ265-1</f>
        <v>0.25540159699389386</v>
      </c>
      <c r="AD70" s="4">
        <f>Year_2050!BA265/Year_2040!BA265-1</f>
        <v>0.44840145690004052</v>
      </c>
      <c r="AE70" s="4">
        <f>Year_2050!BB265/Year_2040!BB265-1</f>
        <v>0.28354462156395144</v>
      </c>
      <c r="AF70" s="4">
        <f>Year_2050!BC265/Year_2040!BC265-1</f>
        <v>1.7217316558568414</v>
      </c>
      <c r="AG70" s="4">
        <f>Year_2050!BD265/Year_2040!BD265-1</f>
        <v>0.19532374100719418</v>
      </c>
      <c r="AH70" s="4">
        <f>Year_2050!BE265/Year_2040!BE265-1</f>
        <v>0.40278543849972426</v>
      </c>
      <c r="AI70" s="4">
        <f>Year_2050!BF265/Year_2040!BF265-1</f>
        <v>0.50222521915037066</v>
      </c>
      <c r="AJ70" s="4">
        <f>Year_2050!BG265/Year_2040!BG265-1</f>
        <v>0.40061206645292913</v>
      </c>
      <c r="AK70" s="4">
        <f>Year_2050!BH265/Year_2040!BH265-1</f>
        <v>0.45223805951487872</v>
      </c>
      <c r="AL70" s="4">
        <f>Year_2050!BI265/Year_2040!BI265-1</f>
        <v>0.40319841494480624</v>
      </c>
      <c r="AM70" s="4">
        <f>Year_2050!BJ265/Year_2040!BJ265-1</f>
        <v>0.29512516469038208</v>
      </c>
      <c r="AN70" s="4">
        <f>Year_2050!BK265/Year_2040!BK265-1</f>
        <v>0.48992547612475845</v>
      </c>
      <c r="AO70" s="4">
        <f>Year_2050!BL265/Year_2040!BL265-1</f>
        <v>0.72890946502057608</v>
      </c>
      <c r="AP70" s="4">
        <f>Year_2050!BM265/Year_2040!BM265-1</f>
        <v>0.31051186823833365</v>
      </c>
      <c r="AQ70" s="4">
        <f>Year_2050!BN265/Year_2040!BN265-1</f>
        <v>0.8271726862302482</v>
      </c>
      <c r="AR70" s="4">
        <f>Year_2050!BO265/Year_2040!BO265-1</f>
        <v>0.78823529411764715</v>
      </c>
    </row>
    <row r="71" spans="2:44" x14ac:dyDescent="0.3">
      <c r="B71" s="1" t="s">
        <v>28</v>
      </c>
      <c r="C71" s="4">
        <f>Year_2040!AV266/Year_2032!AV266-1</f>
        <v>0.14846120502817506</v>
      </c>
      <c r="D71" s="4">
        <f>Year_2040!AW266/Year_2032!AW266-1</f>
        <v>0.15065722952477234</v>
      </c>
      <c r="E71" s="4">
        <f>Year_2040!AX266/Year_2032!AX266-1</f>
        <v>0.19687814702920448</v>
      </c>
      <c r="F71" s="4">
        <f>Year_2040!AY266/Year_2032!AY266-1</f>
        <v>0.19699812382739212</v>
      </c>
      <c r="G71" s="4">
        <f>Year_2040!AZ266/Year_2032!AZ266-1</f>
        <v>0.1817046518888541</v>
      </c>
      <c r="H71" s="4">
        <f>Year_2040!BA266/Year_2032!BA266-1</f>
        <v>0.18151354370287631</v>
      </c>
      <c r="I71" s="4">
        <f>Year_2040!BB266/Year_2032!BB266-1</f>
        <v>0.17557651991614254</v>
      </c>
      <c r="J71" s="4">
        <f>Year_2040!BC266/Year_2032!BC266-1</f>
        <v>0.15953905249679901</v>
      </c>
      <c r="K71" s="4">
        <f>Year_2040!BD266/Year_2032!BD266-1</f>
        <v>0.14675423086638029</v>
      </c>
      <c r="L71" s="4">
        <f>Year_2040!BE266/Year_2032!BE266-1</f>
        <v>0.13843691651106949</v>
      </c>
      <c r="M71" s="4">
        <f>Year_2040!BF266/Year_2032!BF266-1</f>
        <v>0.3832424392662368</v>
      </c>
      <c r="N71" s="4">
        <f>Year_2040!BG266/Year_2032!BG266-1</f>
        <v>0.12560020217336354</v>
      </c>
      <c r="O71" s="4">
        <f>Year_2040!BH266/Year_2032!BH266-1</f>
        <v>0.39255996084189926</v>
      </c>
      <c r="P71" s="4">
        <f>Year_2040!BI266/Year_2032!BI266-1</f>
        <v>0.21216440959847938</v>
      </c>
      <c r="Q71" s="4">
        <f>Year_2040!BJ266/Year_2032!BJ266-1</f>
        <v>0.38990598713508162</v>
      </c>
      <c r="R71" s="4">
        <f>Year_2040!BK266/Year_2032!BK266-1</f>
        <v>0.16087706331608764</v>
      </c>
      <c r="S71" s="4">
        <f>Year_2040!BL266/Year_2032!BL266-1</f>
        <v>0.16234583438207917</v>
      </c>
      <c r="T71" s="4">
        <f>Year_2040!BM266/Year_2032!BM266-1</f>
        <v>0.14664265500385909</v>
      </c>
      <c r="U71" s="4">
        <f>Year_2040!BN266/Year_2032!BN266-1</f>
        <v>0.15768129770992356</v>
      </c>
      <c r="V71" s="4">
        <f>Year_2040!BO266/Year_2032!BO266-1</f>
        <v>0.1574398024284831</v>
      </c>
      <c r="X71" s="1" t="s">
        <v>28</v>
      </c>
      <c r="Y71" s="4">
        <f>Year_2050!AV266/Year_2040!AV266-1</f>
        <v>0.42876014342328728</v>
      </c>
      <c r="Z71" s="4">
        <f>Year_2050!AW266/Year_2040!AW266-1</f>
        <v>0.60685413005272415</v>
      </c>
      <c r="AA71" s="4">
        <f>Year_2050!AX266/Year_2040!AX266-1</f>
        <v>0.21876314682372744</v>
      </c>
      <c r="AB71" s="4">
        <f>Year_2050!AY266/Year_2040!AY266-1</f>
        <v>0.21826018808777436</v>
      </c>
      <c r="AC71" s="4">
        <f>Year_2050!AZ266/Year_2040!AZ266-1</f>
        <v>0.20264200792602383</v>
      </c>
      <c r="AD71" s="4">
        <f>Year_2050!BA266/Year_2040!BA266-1</f>
        <v>0.20278893878515714</v>
      </c>
      <c r="AE71" s="4">
        <f>Year_2050!BB266/Year_2040!BB266-1</f>
        <v>0.19728042799821677</v>
      </c>
      <c r="AF71" s="4">
        <f>Year_2050!BC266/Year_2040!BC266-1</f>
        <v>0.32619257950530023</v>
      </c>
      <c r="AG71" s="4">
        <f>Year_2050!BD266/Year_2040!BD266-1</f>
        <v>0.52356828193832605</v>
      </c>
      <c r="AH71" s="4">
        <f>Year_2050!BE266/Year_2040!BE266-1</f>
        <v>0.34348641049671991</v>
      </c>
      <c r="AI71" s="4">
        <f>Year_2050!BF266/Year_2040!BF266-1</f>
        <v>0.39695340501792131</v>
      </c>
      <c r="AJ71" s="4">
        <f>Year_2050!BG266/Year_2040!BG266-1</f>
        <v>0.3419398293668614</v>
      </c>
      <c r="AK71" s="4">
        <f>Year_2050!BH266/Year_2040!BH266-1</f>
        <v>0.35940246045694191</v>
      </c>
      <c r="AL71" s="4">
        <f>Year_2050!BI266/Year_2040!BI266-1</f>
        <v>0.34261074088592691</v>
      </c>
      <c r="AM71" s="4">
        <f>Year_2050!BJ266/Year_2040!BJ266-1</f>
        <v>0.43894624421502315</v>
      </c>
      <c r="AN71" s="4">
        <f>Year_2050!BK266/Year_2040!BK266-1</f>
        <v>0.6835738539898133</v>
      </c>
      <c r="AO71" s="4">
        <f>Year_2050!BL266/Year_2040!BL266-1</f>
        <v>0.80944131658726737</v>
      </c>
      <c r="AP71" s="4">
        <f>Year_2050!BM266/Year_2040!BM266-1</f>
        <v>0.6347318824321293</v>
      </c>
      <c r="AQ71" s="4">
        <f>Year_2050!BN266/Year_2040!BN266-1</f>
        <v>0.86647434576550575</v>
      </c>
      <c r="AR71" s="4">
        <f>Year_2050!BO266/Year_2040!BO266-1</f>
        <v>0.25817923186344238</v>
      </c>
    </row>
  </sheetData>
  <conditionalFormatting sqref="C8:V15">
    <cfRule type="cellIs" dxfId="11" priority="25" operator="lessThan">
      <formula>0</formula>
    </cfRule>
  </conditionalFormatting>
  <conditionalFormatting sqref="C22:V2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10" priority="18" operator="lessThan">
      <formula>0</formula>
    </cfRule>
  </conditionalFormatting>
  <conditionalFormatting sqref="C36:V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9" priority="13" operator="lessThan">
      <formula>0</formula>
    </cfRule>
  </conditionalFormatting>
  <conditionalFormatting sqref="C50:V5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8" priority="9" operator="lessThan">
      <formula>0</formula>
    </cfRule>
  </conditionalFormatting>
  <conditionalFormatting sqref="C64:V7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7" priority="5" operator="lessThan">
      <formula>0</formula>
    </cfRule>
  </conditionalFormatting>
  <conditionalFormatting sqref="Y8:AR15">
    <cfRule type="cellIs" dxfId="6" priority="26" operator="lessThan">
      <formula>0</formula>
    </cfRule>
  </conditionalFormatting>
  <conditionalFormatting sqref="Y22:AR2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5" priority="19" operator="lessThan">
      <formula>0</formula>
    </cfRule>
  </conditionalFormatting>
  <conditionalFormatting sqref="Y36:AR4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4" priority="14" operator="lessThan">
      <formula>0</formula>
    </cfRule>
  </conditionalFormatting>
  <conditionalFormatting sqref="Y50:AR5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3" priority="10" operator="lessThan">
      <formula>0</formula>
    </cfRule>
  </conditionalFormatting>
  <conditionalFormatting sqref="Y64:AR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2" priority="6" operator="lessThan">
      <formula>0</formula>
    </cfRule>
  </conditionalFormatting>
  <conditionalFormatting sqref="AU8:BN15">
    <cfRule type="cellIs" dxfId="1" priority="2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F00CE-1831-4D1B-BA61-8A90ABCA4BC7}">
  <dimension ref="B2:AR43"/>
  <sheetViews>
    <sheetView topLeftCell="W1" workbookViewId="0">
      <selection activeCell="Y6" sqref="Y6:AR13"/>
    </sheetView>
  </sheetViews>
  <sheetFormatPr defaultRowHeight="14.4" x14ac:dyDescent="0.3"/>
  <sheetData>
    <row r="2" spans="2:44" x14ac:dyDescent="0.3">
      <c r="B2" s="5" t="s">
        <v>86</v>
      </c>
      <c r="X2" t="s">
        <v>47</v>
      </c>
    </row>
    <row r="3" spans="2:44" x14ac:dyDescent="0.3">
      <c r="B3" s="1" t="s">
        <v>16</v>
      </c>
      <c r="C3" s="1" t="s">
        <v>17</v>
      </c>
      <c r="D3" s="1" t="s">
        <v>18</v>
      </c>
      <c r="E3" s="1" t="s">
        <v>17</v>
      </c>
      <c r="F3" s="1" t="s">
        <v>18</v>
      </c>
      <c r="G3" s="1" t="s">
        <v>17</v>
      </c>
      <c r="H3" s="1" t="s">
        <v>18</v>
      </c>
      <c r="I3" s="1" t="s">
        <v>17</v>
      </c>
      <c r="J3" s="1" t="s">
        <v>18</v>
      </c>
      <c r="K3" s="1" t="s">
        <v>17</v>
      </c>
      <c r="L3" s="1" t="s">
        <v>18</v>
      </c>
      <c r="M3" s="1" t="s">
        <v>17</v>
      </c>
      <c r="N3" s="1" t="s">
        <v>18</v>
      </c>
      <c r="O3" s="1" t="s">
        <v>17</v>
      </c>
      <c r="P3" s="1" t="s">
        <v>18</v>
      </c>
      <c r="Q3" s="1" t="s">
        <v>17</v>
      </c>
      <c r="R3" s="1" t="s">
        <v>18</v>
      </c>
      <c r="S3" s="1" t="s">
        <v>17</v>
      </c>
      <c r="T3" s="1" t="s">
        <v>18</v>
      </c>
      <c r="U3" s="1" t="s">
        <v>17</v>
      </c>
      <c r="V3" s="1" t="s">
        <v>18</v>
      </c>
      <c r="X3" s="1" t="s">
        <v>16</v>
      </c>
      <c r="Y3" s="1" t="s">
        <v>17</v>
      </c>
      <c r="Z3" s="1" t="s">
        <v>18</v>
      </c>
      <c r="AA3" s="1" t="s">
        <v>17</v>
      </c>
      <c r="AB3" s="1" t="s">
        <v>18</v>
      </c>
      <c r="AC3" s="1" t="s">
        <v>17</v>
      </c>
      <c r="AD3" s="1" t="s">
        <v>18</v>
      </c>
      <c r="AE3" s="1" t="s">
        <v>17</v>
      </c>
      <c r="AF3" s="1" t="s">
        <v>18</v>
      </c>
      <c r="AG3" s="1" t="s">
        <v>17</v>
      </c>
      <c r="AH3" s="1" t="s">
        <v>18</v>
      </c>
      <c r="AI3" s="1" t="s">
        <v>17</v>
      </c>
      <c r="AJ3" s="1" t="s">
        <v>18</v>
      </c>
      <c r="AK3" s="1" t="s">
        <v>17</v>
      </c>
      <c r="AL3" s="1" t="s">
        <v>18</v>
      </c>
      <c r="AM3" s="1" t="s">
        <v>17</v>
      </c>
      <c r="AN3" s="1" t="s">
        <v>18</v>
      </c>
      <c r="AO3" s="1" t="s">
        <v>17</v>
      </c>
      <c r="AP3" s="1" t="s">
        <v>18</v>
      </c>
      <c r="AQ3" s="1" t="s">
        <v>17</v>
      </c>
      <c r="AR3" s="1" t="s">
        <v>18</v>
      </c>
    </row>
    <row r="4" spans="2:44" x14ac:dyDescent="0.3">
      <c r="B4" s="1" t="s">
        <v>19</v>
      </c>
      <c r="C4" s="1" t="s">
        <v>1</v>
      </c>
      <c r="D4" s="1" t="s">
        <v>1</v>
      </c>
      <c r="E4" s="1" t="s">
        <v>2</v>
      </c>
      <c r="F4" s="1" t="s">
        <v>2</v>
      </c>
      <c r="G4" s="1" t="s">
        <v>3</v>
      </c>
      <c r="H4" s="1" t="s">
        <v>3</v>
      </c>
      <c r="I4" s="1" t="s">
        <v>4</v>
      </c>
      <c r="J4" s="1" t="s">
        <v>4</v>
      </c>
      <c r="K4" s="1" t="s">
        <v>5</v>
      </c>
      <c r="L4" s="1" t="s">
        <v>5</v>
      </c>
      <c r="M4" s="1" t="s">
        <v>6</v>
      </c>
      <c r="N4" s="1" t="s">
        <v>6</v>
      </c>
      <c r="O4" s="1" t="s">
        <v>7</v>
      </c>
      <c r="P4" s="1" t="s">
        <v>7</v>
      </c>
      <c r="Q4" s="1" t="s">
        <v>8</v>
      </c>
      <c r="R4" s="1" t="s">
        <v>8</v>
      </c>
      <c r="S4" s="1" t="s">
        <v>9</v>
      </c>
      <c r="T4" s="1" t="s">
        <v>9</v>
      </c>
      <c r="U4" s="1" t="s">
        <v>10</v>
      </c>
      <c r="V4" s="1" t="s">
        <v>10</v>
      </c>
      <c r="X4" s="1" t="s">
        <v>19</v>
      </c>
      <c r="Y4" s="1" t="s">
        <v>1</v>
      </c>
      <c r="Z4" s="1" t="s">
        <v>1</v>
      </c>
      <c r="AA4" s="1" t="s">
        <v>2</v>
      </c>
      <c r="AB4" s="1" t="s">
        <v>2</v>
      </c>
      <c r="AC4" s="1" t="s">
        <v>3</v>
      </c>
      <c r="AD4" s="1" t="s">
        <v>3</v>
      </c>
      <c r="AE4" s="1" t="s">
        <v>4</v>
      </c>
      <c r="AF4" s="1" t="s">
        <v>4</v>
      </c>
      <c r="AG4" s="1" t="s">
        <v>5</v>
      </c>
      <c r="AH4" s="1" t="s">
        <v>5</v>
      </c>
      <c r="AI4" s="1" t="s">
        <v>6</v>
      </c>
      <c r="AJ4" s="1" t="s">
        <v>6</v>
      </c>
      <c r="AK4" s="1" t="s">
        <v>7</v>
      </c>
      <c r="AL4" s="1" t="s">
        <v>7</v>
      </c>
      <c r="AM4" s="1" t="s">
        <v>8</v>
      </c>
      <c r="AN4" s="1" t="s">
        <v>8</v>
      </c>
      <c r="AO4" s="1" t="s">
        <v>9</v>
      </c>
      <c r="AP4" s="1" t="s">
        <v>9</v>
      </c>
      <c r="AQ4" s="1" t="s">
        <v>10</v>
      </c>
      <c r="AR4" s="1" t="s">
        <v>10</v>
      </c>
    </row>
    <row r="5" spans="2:44" x14ac:dyDescent="0.3">
      <c r="B5" s="1" t="s">
        <v>20</v>
      </c>
      <c r="X5" s="1" t="s">
        <v>20</v>
      </c>
    </row>
    <row r="6" spans="2:44" x14ac:dyDescent="0.3">
      <c r="B6" s="1" t="s">
        <v>21</v>
      </c>
      <c r="C6" s="7">
        <f>AVERAGE(C17:C22,C40)</f>
        <v>59.403832570000013</v>
      </c>
      <c r="D6" s="7">
        <f t="shared" ref="D6:V6" si="0">AVERAGE(D17:D22,D40)</f>
        <v>58.406690694285722</v>
      </c>
      <c r="E6" s="7">
        <f t="shared" si="0"/>
        <v>65.426108668571445</v>
      </c>
      <c r="F6" s="7">
        <f t="shared" si="0"/>
        <v>66.706495548571425</v>
      </c>
      <c r="G6" s="7">
        <f t="shared" si="0"/>
        <v>65.865455560000001</v>
      </c>
      <c r="H6" s="7">
        <f t="shared" si="0"/>
        <v>61.35139660285715</v>
      </c>
      <c r="I6" s="7">
        <f t="shared" si="0"/>
        <v>65.234368867142862</v>
      </c>
      <c r="J6" s="7">
        <f t="shared" si="0"/>
        <v>58.54979633</v>
      </c>
      <c r="K6" s="7">
        <f t="shared" si="0"/>
        <v>66.781889751428565</v>
      </c>
      <c r="L6" s="7">
        <f t="shared" si="0"/>
        <v>64.70215966857144</v>
      </c>
      <c r="M6" s="7">
        <f t="shared" si="0"/>
        <v>61.237078117142858</v>
      </c>
      <c r="N6" s="7">
        <f t="shared" si="0"/>
        <v>63.59335770571429</v>
      </c>
      <c r="O6" s="7">
        <f t="shared" si="0"/>
        <v>59.891781991428566</v>
      </c>
      <c r="P6" s="7">
        <f t="shared" si="0"/>
        <v>63.867150232857135</v>
      </c>
      <c r="Q6" s="7">
        <f t="shared" si="0"/>
        <v>64.193946707142857</v>
      </c>
      <c r="R6" s="7">
        <f t="shared" si="0"/>
        <v>65.986152072857152</v>
      </c>
      <c r="S6" s="7">
        <f t="shared" si="0"/>
        <v>65.02299499428571</v>
      </c>
      <c r="T6" s="7">
        <f t="shared" si="0"/>
        <v>66.57733266428572</v>
      </c>
      <c r="U6" s="7">
        <f t="shared" si="0"/>
        <v>66.400907481428575</v>
      </c>
      <c r="V6" s="7">
        <f t="shared" si="0"/>
        <v>67.675741318571426</v>
      </c>
      <c r="X6" s="1" t="s">
        <v>21</v>
      </c>
      <c r="Y6">
        <f>60*C$43/C6</f>
        <v>1.3130465935524736</v>
      </c>
      <c r="Z6">
        <f t="shared" ref="Z6:AR13" si="1">60*D$43/D6</f>
        <v>1.3354634387397539</v>
      </c>
      <c r="AA6">
        <f t="shared" si="1"/>
        <v>1.1921846123406792</v>
      </c>
      <c r="AB6">
        <f t="shared" si="1"/>
        <v>1.1693014204771912</v>
      </c>
      <c r="AC6">
        <f t="shared" si="1"/>
        <v>0.45547396195675838</v>
      </c>
      <c r="AD6">
        <f t="shared" si="1"/>
        <v>0.48898642347455368</v>
      </c>
      <c r="AE6">
        <f t="shared" si="1"/>
        <v>1.4716169048176861</v>
      </c>
      <c r="AF6">
        <f t="shared" si="1"/>
        <v>1.6396299563353238</v>
      </c>
      <c r="AG6">
        <f t="shared" si="1"/>
        <v>1.7968943443597749</v>
      </c>
      <c r="AH6">
        <f t="shared" si="1"/>
        <v>1.8546521571255843</v>
      </c>
      <c r="AI6">
        <f t="shared" si="1"/>
        <v>3.5272747596938729</v>
      </c>
      <c r="AJ6">
        <f t="shared" si="1"/>
        <v>3.396581149238342</v>
      </c>
      <c r="AK6">
        <f t="shared" si="1"/>
        <v>2.9052399880989026</v>
      </c>
      <c r="AL6">
        <f t="shared" si="1"/>
        <v>2.7244052594424959</v>
      </c>
      <c r="AM6">
        <f t="shared" si="1"/>
        <v>3.5517367554942756</v>
      </c>
      <c r="AN6">
        <f t="shared" si="1"/>
        <v>3.4552704292903584</v>
      </c>
      <c r="AO6">
        <f t="shared" si="1"/>
        <v>3.1373516402609223</v>
      </c>
      <c r="AP6">
        <f t="shared" si="1"/>
        <v>3.06410593270031</v>
      </c>
      <c r="AQ6">
        <f t="shared" si="1"/>
        <v>4.0662094878073063</v>
      </c>
      <c r="AR6">
        <f t="shared" si="1"/>
        <v>3.9896127436421183</v>
      </c>
    </row>
    <row r="7" spans="2:44" x14ac:dyDescent="0.3">
      <c r="B7" s="1" t="s">
        <v>22</v>
      </c>
      <c r="C7" s="7">
        <f>AVERAGE(C23)</f>
        <v>53.49204348</v>
      </c>
      <c r="D7" s="7">
        <f t="shared" ref="D7:V7" si="2">AVERAGE(D23)</f>
        <v>59.226645050000002</v>
      </c>
      <c r="E7" s="7">
        <f t="shared" si="2"/>
        <v>66.842800339999997</v>
      </c>
      <c r="F7" s="7">
        <f t="shared" si="2"/>
        <v>67.331894000000005</v>
      </c>
      <c r="G7" s="7">
        <f t="shared" si="2"/>
        <v>53.889918180000002</v>
      </c>
      <c r="H7" s="7">
        <f t="shared" si="2"/>
        <v>64.249887779999995</v>
      </c>
      <c r="I7" s="7">
        <f t="shared" si="2"/>
        <v>63.26223298</v>
      </c>
      <c r="J7" s="7">
        <f t="shared" si="2"/>
        <v>60.360097670000002</v>
      </c>
      <c r="K7" s="7">
        <f t="shared" si="2"/>
        <v>63.937580699999998</v>
      </c>
      <c r="L7" s="7">
        <f t="shared" si="2"/>
        <v>66.965849270000007</v>
      </c>
      <c r="M7" s="7">
        <f t="shared" si="2"/>
        <v>61.139590509999998</v>
      </c>
      <c r="N7" s="7">
        <f t="shared" si="2"/>
        <v>66.68104563</v>
      </c>
      <c r="O7" s="7">
        <f t="shared" si="2"/>
        <v>61.86339718</v>
      </c>
      <c r="P7" s="7">
        <f t="shared" si="2"/>
        <v>65.483755479999999</v>
      </c>
      <c r="Q7" s="7">
        <f t="shared" si="2"/>
        <v>63.539263910000003</v>
      </c>
      <c r="R7" s="7">
        <f t="shared" si="2"/>
        <v>67.618569809999997</v>
      </c>
      <c r="S7" s="7">
        <f t="shared" si="2"/>
        <v>64.286732959999995</v>
      </c>
      <c r="T7" s="7">
        <f t="shared" si="2"/>
        <v>68.65132973</v>
      </c>
      <c r="U7" s="7">
        <f t="shared" si="2"/>
        <v>69.142618679999998</v>
      </c>
      <c r="V7" s="9">
        <f t="shared" si="2"/>
        <v>69.707134440000004</v>
      </c>
      <c r="W7" s="11"/>
      <c r="X7" s="10" t="s">
        <v>22</v>
      </c>
      <c r="Y7">
        <f t="shared" ref="Y7:Y13" si="3">60*C$43/C7</f>
        <v>1.4581607829052785</v>
      </c>
      <c r="Z7">
        <f t="shared" si="1"/>
        <v>1.316974816556826</v>
      </c>
      <c r="AA7">
        <f t="shared" si="1"/>
        <v>1.1669169993364763</v>
      </c>
      <c r="AB7">
        <f t="shared" si="1"/>
        <v>1.1584406046857971</v>
      </c>
      <c r="AC7">
        <f t="shared" si="1"/>
        <v>0.55669039800349529</v>
      </c>
      <c r="AD7">
        <f t="shared" si="1"/>
        <v>0.46692688558031287</v>
      </c>
      <c r="AE7">
        <f t="shared" si="1"/>
        <v>1.517493067788958</v>
      </c>
      <c r="AF7">
        <f t="shared" si="1"/>
        <v>1.5904546829074075</v>
      </c>
      <c r="AG7">
        <f t="shared" si="1"/>
        <v>1.8768304756954934</v>
      </c>
      <c r="AH7">
        <f t="shared" si="1"/>
        <v>1.7919581593921297</v>
      </c>
      <c r="AI7">
        <f t="shared" si="1"/>
        <v>3.532899029879355</v>
      </c>
      <c r="AJ7">
        <f t="shared" si="1"/>
        <v>3.2393013330735916</v>
      </c>
      <c r="AK7">
        <f t="shared" si="1"/>
        <v>2.8126486409034932</v>
      </c>
      <c r="AL7">
        <f t="shared" si="1"/>
        <v>2.6571475433039717</v>
      </c>
      <c r="AM7">
        <f t="shared" si="1"/>
        <v>3.5883324100661587</v>
      </c>
      <c r="AN7">
        <f t="shared" si="1"/>
        <v>3.3718548120827228</v>
      </c>
      <c r="AO7">
        <f t="shared" si="1"/>
        <v>3.1732830493490987</v>
      </c>
      <c r="AP7">
        <f t="shared" si="1"/>
        <v>2.9715374895477642</v>
      </c>
      <c r="AQ7">
        <f t="shared" si="1"/>
        <v>3.9049721453217021</v>
      </c>
      <c r="AR7">
        <f t="shared" si="1"/>
        <v>3.8733481467725643</v>
      </c>
    </row>
    <row r="8" spans="2:44" x14ac:dyDescent="0.3">
      <c r="B8" s="1" t="s">
        <v>23</v>
      </c>
      <c r="C8" s="7">
        <f>AVERAGE(C24:C26)</f>
        <v>23.36876672</v>
      </c>
      <c r="D8" s="7">
        <f t="shared" ref="D8:V8" si="4">AVERAGE(D24:D26)</f>
        <v>55.165685823333341</v>
      </c>
      <c r="E8" s="7">
        <f t="shared" si="4"/>
        <v>16.611981439999997</v>
      </c>
      <c r="F8" s="7">
        <f t="shared" si="4"/>
        <v>66.596026306666673</v>
      </c>
      <c r="G8" s="7">
        <f t="shared" si="4"/>
        <v>29.311822373333332</v>
      </c>
      <c r="H8" s="7">
        <f t="shared" si="4"/>
        <v>14.98021093</v>
      </c>
      <c r="I8" s="7">
        <f t="shared" si="4"/>
        <v>36.69419212333333</v>
      </c>
      <c r="J8" s="7">
        <f t="shared" si="4"/>
        <v>58.114067489999996</v>
      </c>
      <c r="K8" s="7">
        <f t="shared" si="4"/>
        <v>32.846491493333332</v>
      </c>
      <c r="L8" s="7">
        <f t="shared" si="4"/>
        <v>63.53043284333333</v>
      </c>
      <c r="M8" s="7">
        <f t="shared" si="4"/>
        <v>26.733633706666666</v>
      </c>
      <c r="N8" s="7">
        <f t="shared" si="4"/>
        <v>63.509192840000004</v>
      </c>
      <c r="O8" s="7">
        <f t="shared" si="4"/>
        <v>17.495310273333335</v>
      </c>
      <c r="P8" s="7">
        <f t="shared" si="4"/>
        <v>63.354576059999999</v>
      </c>
      <c r="Q8" s="7">
        <f t="shared" si="4"/>
        <v>22.799974276666671</v>
      </c>
      <c r="R8" s="7">
        <f t="shared" si="4"/>
        <v>64.611111056666672</v>
      </c>
      <c r="S8" s="7">
        <f t="shared" si="4"/>
        <v>60.771390416666669</v>
      </c>
      <c r="T8" s="7">
        <f t="shared" si="4"/>
        <v>67.098143583333339</v>
      </c>
      <c r="U8" s="7">
        <f t="shared" si="4"/>
        <v>67.573756576666668</v>
      </c>
      <c r="V8" s="7">
        <f t="shared" si="4"/>
        <v>68.664264903333333</v>
      </c>
      <c r="X8" s="1" t="s">
        <v>23</v>
      </c>
      <c r="Y8">
        <f t="shared" si="3"/>
        <v>3.3377884650303016</v>
      </c>
      <c r="Z8">
        <f t="shared" si="1"/>
        <v>1.4139224199947944</v>
      </c>
      <c r="AA8">
        <f t="shared" si="1"/>
        <v>4.6954061610124223</v>
      </c>
      <c r="AB8">
        <f t="shared" si="1"/>
        <v>1.1712410533448259</v>
      </c>
      <c r="AC8">
        <f t="shared" si="1"/>
        <v>1.0234778178545714</v>
      </c>
      <c r="AD8">
        <f t="shared" si="1"/>
        <v>2.0026420282187574</v>
      </c>
      <c r="AE8">
        <f t="shared" si="1"/>
        <v>2.6162178384342987</v>
      </c>
      <c r="AF8">
        <f t="shared" si="1"/>
        <v>1.6519236072491268</v>
      </c>
      <c r="AG8">
        <f t="shared" si="1"/>
        <v>3.6533582292755904</v>
      </c>
      <c r="AH8">
        <f t="shared" si="1"/>
        <v>1.8888585301460352</v>
      </c>
      <c r="AI8">
        <f t="shared" si="1"/>
        <v>8.0797097158601101</v>
      </c>
      <c r="AJ8">
        <f t="shared" si="1"/>
        <v>3.4010824313918331</v>
      </c>
      <c r="AK8">
        <f t="shared" si="1"/>
        <v>9.9455223875174088</v>
      </c>
      <c r="AL8">
        <f t="shared" si="1"/>
        <v>2.746447231139439</v>
      </c>
      <c r="AM8">
        <f t="shared" si="1"/>
        <v>10.00001128217647</v>
      </c>
      <c r="AN8">
        <f t="shared" si="1"/>
        <v>3.528804818106817</v>
      </c>
      <c r="AO8">
        <f t="shared" si="1"/>
        <v>3.3568427281540791</v>
      </c>
      <c r="AP8">
        <f t="shared" si="1"/>
        <v>3.0403225649103058</v>
      </c>
      <c r="AQ8">
        <f t="shared" si="1"/>
        <v>3.995634010574328</v>
      </c>
      <c r="AR8">
        <f t="shared" si="1"/>
        <v>3.9321763712188629</v>
      </c>
    </row>
    <row r="9" spans="2:44" x14ac:dyDescent="0.3">
      <c r="B9" s="1" t="s">
        <v>24</v>
      </c>
      <c r="C9" s="7">
        <f>C27</f>
        <v>22.1280036</v>
      </c>
      <c r="D9" s="7">
        <f t="shared" ref="D9:V9" si="5">D27</f>
        <v>54.164538630000003</v>
      </c>
      <c r="E9" s="7">
        <f t="shared" si="5"/>
        <v>16.9988156</v>
      </c>
      <c r="F9" s="7">
        <f t="shared" si="5"/>
        <v>66.228092459999999</v>
      </c>
      <c r="G9" s="7">
        <f t="shared" si="5"/>
        <v>22.799580769999999</v>
      </c>
      <c r="H9" s="7">
        <f t="shared" si="5"/>
        <v>16.288703940000001</v>
      </c>
      <c r="I9" s="7">
        <f t="shared" si="5"/>
        <v>42.927943810000002</v>
      </c>
      <c r="J9" s="7">
        <f t="shared" si="5"/>
        <v>56.58759156</v>
      </c>
      <c r="K9" s="7">
        <f t="shared" si="5"/>
        <v>40.179353990000003</v>
      </c>
      <c r="L9" s="7">
        <f t="shared" si="5"/>
        <v>62.425791689999997</v>
      </c>
      <c r="M9" s="7">
        <f t="shared" si="5"/>
        <v>37.906546110000001</v>
      </c>
      <c r="N9" s="7">
        <f t="shared" si="5"/>
        <v>63.490564980000002</v>
      </c>
      <c r="O9" s="7">
        <f t="shared" si="5"/>
        <v>38.152687460000003</v>
      </c>
      <c r="P9" s="7">
        <f t="shared" si="5"/>
        <v>63.591161390000003</v>
      </c>
      <c r="Q9" s="7">
        <f t="shared" si="5"/>
        <v>53.763992539999997</v>
      </c>
      <c r="R9" s="7">
        <f t="shared" si="5"/>
        <v>65.090772799999996</v>
      </c>
      <c r="S9" s="7">
        <f t="shared" si="5"/>
        <v>64.939390149999994</v>
      </c>
      <c r="T9" s="7">
        <f t="shared" si="5"/>
        <v>66.517091500000006</v>
      </c>
      <c r="U9" s="7">
        <f t="shared" si="5"/>
        <v>66.938869879999999</v>
      </c>
      <c r="V9" s="7">
        <f t="shared" si="5"/>
        <v>67.739594350000004</v>
      </c>
      <c r="X9" s="1" t="s">
        <v>24</v>
      </c>
      <c r="Y9">
        <f t="shared" si="3"/>
        <v>3.5249451965924301</v>
      </c>
      <c r="Z9">
        <f t="shared" si="1"/>
        <v>1.4400565752589702</v>
      </c>
      <c r="AA9">
        <f t="shared" si="1"/>
        <v>4.5885549814423543</v>
      </c>
      <c r="AB9">
        <f t="shared" si="1"/>
        <v>1.1777479480797355</v>
      </c>
      <c r="AC9">
        <f t="shared" si="1"/>
        <v>1.3158136679194739</v>
      </c>
      <c r="AD9">
        <f t="shared" si="1"/>
        <v>1.8417671602667731</v>
      </c>
      <c r="AE9">
        <f t="shared" si="1"/>
        <v>2.2363055734720967</v>
      </c>
      <c r="AF9">
        <f t="shared" si="1"/>
        <v>1.6964849952698711</v>
      </c>
      <c r="AG9">
        <f t="shared" si="1"/>
        <v>2.9866084962407826</v>
      </c>
      <c r="AH9">
        <f t="shared" si="1"/>
        <v>1.9222823892391714</v>
      </c>
      <c r="AI9">
        <f t="shared" si="1"/>
        <v>5.6982242426728966</v>
      </c>
      <c r="AJ9">
        <f t="shared" si="1"/>
        <v>3.4020802944192039</v>
      </c>
      <c r="AK9">
        <f t="shared" si="1"/>
        <v>4.5606223724717916</v>
      </c>
      <c r="AL9">
        <f t="shared" si="1"/>
        <v>2.7362293154683961</v>
      </c>
      <c r="AM9">
        <f t="shared" si="1"/>
        <v>4.2407564845629677</v>
      </c>
      <c r="AN9">
        <f t="shared" si="1"/>
        <v>3.5028006304451194</v>
      </c>
      <c r="AO9">
        <f t="shared" si="1"/>
        <v>3.1413907572706088</v>
      </c>
      <c r="AP9">
        <f t="shared" si="1"/>
        <v>3.0668809384126483</v>
      </c>
      <c r="AQ9">
        <f t="shared" si="1"/>
        <v>4.0335308989235061</v>
      </c>
      <c r="AR9">
        <f t="shared" si="1"/>
        <v>3.9858520351472992</v>
      </c>
    </row>
    <row r="10" spans="2:44" x14ac:dyDescent="0.3">
      <c r="B10" s="1" t="s">
        <v>25</v>
      </c>
      <c r="C10" s="7">
        <f>AVERAGE(C28:C32)</f>
        <v>27.969298876</v>
      </c>
      <c r="D10" s="7">
        <f t="shared" ref="D10:V10" si="6">AVERAGE(D28:D32)</f>
        <v>42.310763546000004</v>
      </c>
      <c r="E10" s="7">
        <f t="shared" si="6"/>
        <v>40.336861532</v>
      </c>
      <c r="F10" s="7">
        <f t="shared" si="6"/>
        <v>57.523701779999996</v>
      </c>
      <c r="G10" s="7">
        <f t="shared" si="6"/>
        <v>39.298964560000002</v>
      </c>
      <c r="H10" s="7">
        <f t="shared" si="6"/>
        <v>21.431522462</v>
      </c>
      <c r="I10" s="7">
        <f t="shared" si="6"/>
        <v>62.404439991999993</v>
      </c>
      <c r="J10" s="7">
        <f t="shared" si="6"/>
        <v>48.719221687999998</v>
      </c>
      <c r="K10" s="7">
        <f t="shared" si="6"/>
        <v>54.923844301999999</v>
      </c>
      <c r="L10" s="7">
        <f t="shared" si="6"/>
        <v>51.471449183999994</v>
      </c>
      <c r="M10" s="7">
        <f t="shared" si="6"/>
        <v>58.801746322</v>
      </c>
      <c r="N10" s="7">
        <f t="shared" si="6"/>
        <v>61.269984520000001</v>
      </c>
      <c r="O10" s="7">
        <f t="shared" si="6"/>
        <v>61.912022055999998</v>
      </c>
      <c r="P10" s="7">
        <f t="shared" si="6"/>
        <v>63.174071921999996</v>
      </c>
      <c r="Q10" s="7">
        <f t="shared" si="6"/>
        <v>63.833116930000003</v>
      </c>
      <c r="R10" s="7">
        <f t="shared" si="6"/>
        <v>64.977579456000001</v>
      </c>
      <c r="S10" s="7">
        <f t="shared" si="6"/>
        <v>65.139533179999987</v>
      </c>
      <c r="T10" s="7">
        <f t="shared" si="6"/>
        <v>67.214342542000011</v>
      </c>
      <c r="U10" s="7">
        <f t="shared" si="6"/>
        <v>66.994121092</v>
      </c>
      <c r="V10" s="7">
        <f t="shared" si="6"/>
        <v>69.024711854000003</v>
      </c>
      <c r="X10" s="1" t="s">
        <v>25</v>
      </c>
      <c r="Y10">
        <f t="shared" si="3"/>
        <v>2.7887720870590194</v>
      </c>
      <c r="Z10">
        <f t="shared" si="1"/>
        <v>1.8435025384308859</v>
      </c>
      <c r="AA10">
        <f t="shared" si="1"/>
        <v>1.9337151438547373</v>
      </c>
      <c r="AB10">
        <f t="shared" si="1"/>
        <v>1.355962804659405</v>
      </c>
      <c r="AC10">
        <f t="shared" si="1"/>
        <v>0.76337889142593729</v>
      </c>
      <c r="AD10">
        <f t="shared" si="1"/>
        <v>1.3998072256972258</v>
      </c>
      <c r="AE10">
        <f t="shared" si="1"/>
        <v>1.5383520789916043</v>
      </c>
      <c r="AF10">
        <f t="shared" si="1"/>
        <v>1.9704748284935287</v>
      </c>
      <c r="AG10">
        <f t="shared" si="1"/>
        <v>2.1848434231984433</v>
      </c>
      <c r="AH10">
        <f t="shared" si="1"/>
        <v>2.3313895742671695</v>
      </c>
      <c r="AI10">
        <f t="shared" si="1"/>
        <v>3.67336029132839</v>
      </c>
      <c r="AJ10">
        <f t="shared" si="1"/>
        <v>3.5253803586239258</v>
      </c>
      <c r="AK10">
        <f t="shared" si="1"/>
        <v>2.810439624191492</v>
      </c>
      <c r="AL10">
        <f t="shared" si="1"/>
        <v>2.7542945184036101</v>
      </c>
      <c r="AM10">
        <f t="shared" si="1"/>
        <v>3.5718136754942886</v>
      </c>
      <c r="AN10">
        <f t="shared" si="1"/>
        <v>3.5089026385538369</v>
      </c>
      <c r="AO10">
        <f t="shared" si="1"/>
        <v>3.1317387466730389</v>
      </c>
      <c r="AP10">
        <f t="shared" si="1"/>
        <v>3.0350665093916103</v>
      </c>
      <c r="AQ10">
        <f t="shared" si="1"/>
        <v>4.0302043761305741</v>
      </c>
      <c r="AR10">
        <f t="shared" si="1"/>
        <v>3.9116425515994879</v>
      </c>
    </row>
    <row r="11" spans="2:44" x14ac:dyDescent="0.3">
      <c r="B11" s="1" t="s">
        <v>26</v>
      </c>
      <c r="C11" s="7">
        <f>C33</f>
        <v>20.169131149999998</v>
      </c>
      <c r="D11" s="7">
        <f t="shared" ref="D11:V11" si="7">D33</f>
        <v>21.265943020000002</v>
      </c>
      <c r="E11" s="7">
        <f t="shared" si="7"/>
        <v>37.920434810000003</v>
      </c>
      <c r="F11" s="7">
        <f t="shared" si="7"/>
        <v>26.23320545</v>
      </c>
      <c r="G11" s="7">
        <f t="shared" si="7"/>
        <v>22.799580769999999</v>
      </c>
      <c r="H11" s="7">
        <f t="shared" si="7"/>
        <v>21.416629260000001</v>
      </c>
      <c r="I11" s="7">
        <f t="shared" si="7"/>
        <v>60.099121330000003</v>
      </c>
      <c r="J11" s="7">
        <f t="shared" si="7"/>
        <v>13.07438939</v>
      </c>
      <c r="K11" s="7">
        <f t="shared" si="7"/>
        <v>63.937580699999998</v>
      </c>
      <c r="L11" s="7">
        <f t="shared" si="7"/>
        <v>26.982576630000001</v>
      </c>
      <c r="M11" s="7">
        <f t="shared" si="7"/>
        <v>61.139590509999998</v>
      </c>
      <c r="N11" s="7">
        <f t="shared" si="7"/>
        <v>41.859710030000002</v>
      </c>
      <c r="O11" s="7">
        <f t="shared" si="7"/>
        <v>61.86339718</v>
      </c>
      <c r="P11" s="7">
        <f t="shared" si="7"/>
        <v>50.697101009999997</v>
      </c>
      <c r="Q11" s="7">
        <f t="shared" si="7"/>
        <v>62.12728027</v>
      </c>
      <c r="R11" s="7">
        <f t="shared" si="7"/>
        <v>50.83731891</v>
      </c>
      <c r="S11" s="7">
        <f t="shared" si="7"/>
        <v>63.331979500000003</v>
      </c>
      <c r="T11" s="7">
        <f t="shared" si="7"/>
        <v>54.397451949999997</v>
      </c>
      <c r="U11" s="7">
        <f t="shared" si="7"/>
        <v>65.888848390000007</v>
      </c>
      <c r="V11" s="7">
        <f t="shared" si="7"/>
        <v>67.197677600000006</v>
      </c>
      <c r="X11" s="1" t="s">
        <v>26</v>
      </c>
      <c r="Y11">
        <f t="shared" si="3"/>
        <v>3.8672959890986682</v>
      </c>
      <c r="Z11">
        <f t="shared" si="1"/>
        <v>3.6678364052157604</v>
      </c>
      <c r="AA11">
        <f t="shared" si="1"/>
        <v>2.0569384394144818</v>
      </c>
      <c r="AB11">
        <f t="shared" si="1"/>
        <v>2.9733308858754048</v>
      </c>
      <c r="AC11">
        <f t="shared" si="1"/>
        <v>1.3158136679194739</v>
      </c>
      <c r="AD11">
        <f t="shared" si="1"/>
        <v>1.4007806567409384</v>
      </c>
      <c r="AE11">
        <f t="shared" si="1"/>
        <v>1.5973611240149557</v>
      </c>
      <c r="AF11">
        <f t="shared" si="1"/>
        <v>7.3425991177397538</v>
      </c>
      <c r="AG11">
        <f t="shared" si="1"/>
        <v>1.8768304756954934</v>
      </c>
      <c r="AH11">
        <f t="shared" si="1"/>
        <v>4.4473143408617455</v>
      </c>
      <c r="AI11">
        <f t="shared" si="1"/>
        <v>3.532899029879355</v>
      </c>
      <c r="AJ11">
        <f t="shared" si="1"/>
        <v>5.1600930786476349</v>
      </c>
      <c r="AK11">
        <f t="shared" si="1"/>
        <v>2.8126486409034932</v>
      </c>
      <c r="AL11">
        <f t="shared" si="1"/>
        <v>3.4321489105595706</v>
      </c>
      <c r="AM11">
        <f t="shared" si="1"/>
        <v>3.6698854192414498</v>
      </c>
      <c r="AN11">
        <f t="shared" si="1"/>
        <v>4.484894264460336</v>
      </c>
      <c r="AO11">
        <f t="shared" si="1"/>
        <v>3.2211214872890559</v>
      </c>
      <c r="AP11">
        <f t="shared" si="1"/>
        <v>3.7501756550565788</v>
      </c>
      <c r="AQ11">
        <f t="shared" si="1"/>
        <v>4.0978102759036545</v>
      </c>
      <c r="AR11">
        <f t="shared" si="1"/>
        <v>4.0179960028856705</v>
      </c>
    </row>
    <row r="12" spans="2:44" x14ac:dyDescent="0.3">
      <c r="B12" s="1" t="s">
        <v>27</v>
      </c>
      <c r="C12" s="7">
        <f>AVERAGE(C34:C36)</f>
        <v>19.131858486666669</v>
      </c>
      <c r="D12" s="7">
        <f t="shared" ref="D12:V12" si="8">AVERAGE(D34:D36)</f>
        <v>18.742579016666667</v>
      </c>
      <c r="E12" s="7">
        <f t="shared" si="8"/>
        <v>40.659540826666671</v>
      </c>
      <c r="F12" s="7">
        <f t="shared" si="8"/>
        <v>29.700200256666665</v>
      </c>
      <c r="G12" s="7">
        <f t="shared" si="8"/>
        <v>25.491778870000001</v>
      </c>
      <c r="H12" s="7">
        <f t="shared" si="8"/>
        <v>20.762387966666669</v>
      </c>
      <c r="I12" s="7">
        <f t="shared" si="8"/>
        <v>54.003463243333336</v>
      </c>
      <c r="J12" s="7">
        <f t="shared" si="8"/>
        <v>9.8459164143333329</v>
      </c>
      <c r="K12" s="7">
        <f t="shared" si="8"/>
        <v>60.659571973333335</v>
      </c>
      <c r="L12" s="7">
        <f t="shared" si="8"/>
        <v>20.139612290000002</v>
      </c>
      <c r="M12" s="7">
        <f t="shared" si="8"/>
        <v>58.734377856666669</v>
      </c>
      <c r="N12" s="7">
        <f t="shared" si="8"/>
        <v>27.724473213333329</v>
      </c>
      <c r="O12" s="7">
        <f t="shared" si="8"/>
        <v>59.111685326666667</v>
      </c>
      <c r="P12" s="7">
        <f t="shared" si="8"/>
        <v>38.275798406666667</v>
      </c>
      <c r="Q12" s="7">
        <f t="shared" si="8"/>
        <v>56.346052656666672</v>
      </c>
      <c r="R12" s="7">
        <f t="shared" si="8"/>
        <v>50.97042858333333</v>
      </c>
      <c r="S12" s="7">
        <f t="shared" si="8"/>
        <v>62.414081676666676</v>
      </c>
      <c r="T12" s="7">
        <f t="shared" si="8"/>
        <v>61.532810116666667</v>
      </c>
      <c r="U12" s="7">
        <f t="shared" si="8"/>
        <v>64.96406322</v>
      </c>
      <c r="V12" s="7">
        <f t="shared" si="8"/>
        <v>65.411155236666673</v>
      </c>
      <c r="X12" s="1" t="s">
        <v>27</v>
      </c>
      <c r="Y12">
        <f t="shared" si="3"/>
        <v>4.0769693155716986</v>
      </c>
      <c r="Z12">
        <f t="shared" si="1"/>
        <v>4.1616471207425194</v>
      </c>
      <c r="AA12">
        <f t="shared" si="1"/>
        <v>1.9183689341824413</v>
      </c>
      <c r="AB12">
        <f t="shared" si="1"/>
        <v>2.6262449184157171</v>
      </c>
      <c r="AC12">
        <f t="shared" si="1"/>
        <v>1.1768500014451915</v>
      </c>
      <c r="AD12">
        <f t="shared" si="1"/>
        <v>1.4449204999041543</v>
      </c>
      <c r="AE12">
        <f t="shared" si="1"/>
        <v>1.7776637688482153</v>
      </c>
      <c r="AF12">
        <f t="shared" si="1"/>
        <v>9.7502351188200862</v>
      </c>
      <c r="AG12">
        <f t="shared" si="1"/>
        <v>1.9782533258354249</v>
      </c>
      <c r="AH12">
        <f t="shared" si="1"/>
        <v>5.9584066600718053</v>
      </c>
      <c r="AI12">
        <f t="shared" si="1"/>
        <v>3.6775736439588904</v>
      </c>
      <c r="AJ12">
        <f t="shared" si="1"/>
        <v>7.7909505561361101</v>
      </c>
      <c r="AK12">
        <f t="shared" si="1"/>
        <v>2.9435804281070723</v>
      </c>
      <c r="AL12">
        <f t="shared" si="1"/>
        <v>4.5459535069997035</v>
      </c>
      <c r="AM12">
        <f t="shared" si="1"/>
        <v>4.046423649040193</v>
      </c>
      <c r="AN12">
        <f t="shared" si="1"/>
        <v>4.4731819279728997</v>
      </c>
      <c r="AO12">
        <f t="shared" si="1"/>
        <v>3.2684931752551094</v>
      </c>
      <c r="AP12">
        <f t="shared" si="1"/>
        <v>3.315304462988355</v>
      </c>
      <c r="AQ12">
        <f t="shared" si="1"/>
        <v>4.1561439758724497</v>
      </c>
      <c r="AR12">
        <f t="shared" si="1"/>
        <v>4.1277363016002759</v>
      </c>
    </row>
    <row r="13" spans="2:44" x14ac:dyDescent="0.3">
      <c r="B13" s="1" t="s">
        <v>28</v>
      </c>
      <c r="C13" s="7">
        <f>AVERAGE(C37:C39)</f>
        <v>53.298340469999999</v>
      </c>
      <c r="D13" s="7">
        <f t="shared" ref="D13:V13" si="9">AVERAGE(D37:D39)</f>
        <v>50.071984750000006</v>
      </c>
      <c r="E13" s="7">
        <f t="shared" si="9"/>
        <v>65.010406630000006</v>
      </c>
      <c r="F13" s="7">
        <f t="shared" si="9"/>
        <v>65.515962433333328</v>
      </c>
      <c r="G13" s="7">
        <f t="shared" si="9"/>
        <v>62.39885263</v>
      </c>
      <c r="H13" s="7">
        <f t="shared" si="9"/>
        <v>59.853842826666664</v>
      </c>
      <c r="I13" s="7">
        <f t="shared" si="9"/>
        <v>65.172423783333343</v>
      </c>
      <c r="J13" s="7">
        <f t="shared" si="9"/>
        <v>46.789704966666669</v>
      </c>
      <c r="K13" s="7">
        <f t="shared" si="9"/>
        <v>67.048249756666664</v>
      </c>
      <c r="L13" s="7">
        <f t="shared" si="9"/>
        <v>49.197875886666658</v>
      </c>
      <c r="M13" s="7">
        <f t="shared" si="9"/>
        <v>61.804449776666665</v>
      </c>
      <c r="N13" s="7">
        <f t="shared" si="9"/>
        <v>51.638708629999996</v>
      </c>
      <c r="O13" s="7">
        <f t="shared" si="9"/>
        <v>60.079947886666673</v>
      </c>
      <c r="P13" s="7">
        <f t="shared" si="9"/>
        <v>59.778301159999991</v>
      </c>
      <c r="Q13" s="7">
        <f t="shared" si="9"/>
        <v>62.68447561</v>
      </c>
      <c r="R13" s="7">
        <f t="shared" si="9"/>
        <v>64.160576489999997</v>
      </c>
      <c r="S13" s="7">
        <f t="shared" si="9"/>
        <v>64.087293776666669</v>
      </c>
      <c r="T13" s="7">
        <f t="shared" si="9"/>
        <v>66.868371986666659</v>
      </c>
      <c r="U13" s="7">
        <f t="shared" si="9"/>
        <v>66.597165360000005</v>
      </c>
      <c r="V13" s="7">
        <f t="shared" si="9"/>
        <v>68.482258623333337</v>
      </c>
      <c r="X13" s="1" t="s">
        <v>28</v>
      </c>
      <c r="Y13">
        <f t="shared" si="3"/>
        <v>1.4634601999269341</v>
      </c>
      <c r="Z13">
        <f t="shared" si="1"/>
        <v>1.5577573045973576</v>
      </c>
      <c r="AA13">
        <f t="shared" si="1"/>
        <v>1.1998079083542565</v>
      </c>
      <c r="AB13">
        <f t="shared" si="1"/>
        <v>1.1905495562149451</v>
      </c>
      <c r="AC13">
        <f t="shared" si="1"/>
        <v>0.48077807099896347</v>
      </c>
      <c r="AD13">
        <f t="shared" si="1"/>
        <v>0.50122095062264083</v>
      </c>
      <c r="AE13">
        <f t="shared" si="1"/>
        <v>1.4730156472184213</v>
      </c>
      <c r="AF13">
        <f t="shared" si="1"/>
        <v>2.0517333902487973</v>
      </c>
      <c r="AG13">
        <f t="shared" si="1"/>
        <v>1.7897558912500666</v>
      </c>
      <c r="AH13">
        <f t="shared" si="1"/>
        <v>2.4391296948761512</v>
      </c>
      <c r="AI13">
        <f t="shared" si="1"/>
        <v>3.4948939887099768</v>
      </c>
      <c r="AJ13">
        <f t="shared" si="1"/>
        <v>4.1829086305716165</v>
      </c>
      <c r="AK13">
        <f t="shared" si="1"/>
        <v>2.8961409941338379</v>
      </c>
      <c r="AL13">
        <f t="shared" si="1"/>
        <v>2.9107551841307635</v>
      </c>
      <c r="AM13">
        <f t="shared" si="1"/>
        <v>3.6372642154420025</v>
      </c>
      <c r="AN13">
        <f t="shared" si="1"/>
        <v>3.5535840304604474</v>
      </c>
      <c r="AO13">
        <f t="shared" si="1"/>
        <v>3.1831582826840115</v>
      </c>
      <c r="AP13">
        <f t="shared" si="1"/>
        <v>3.0507696529635409</v>
      </c>
      <c r="AQ13">
        <f t="shared" si="1"/>
        <v>4.0542266107045011</v>
      </c>
      <c r="AR13">
        <f t="shared" si="1"/>
        <v>3.9426269727033412</v>
      </c>
    </row>
    <row r="16" spans="2:44" x14ac:dyDescent="0.3">
      <c r="C16" t="s">
        <v>87</v>
      </c>
      <c r="D16" t="s">
        <v>97</v>
      </c>
      <c r="E16" t="s">
        <v>88</v>
      </c>
      <c r="F16" t="s">
        <v>98</v>
      </c>
      <c r="G16" t="s">
        <v>89</v>
      </c>
      <c r="H16" t="s">
        <v>99</v>
      </c>
      <c r="I16" t="s">
        <v>90</v>
      </c>
      <c r="J16" t="s">
        <v>100</v>
      </c>
      <c r="K16" t="s">
        <v>91</v>
      </c>
      <c r="L16" t="s">
        <v>101</v>
      </c>
      <c r="M16" t="s">
        <v>92</v>
      </c>
      <c r="N16" t="s">
        <v>102</v>
      </c>
      <c r="O16" t="s">
        <v>93</v>
      </c>
      <c r="P16" t="s">
        <v>103</v>
      </c>
      <c r="Q16" t="s">
        <v>94</v>
      </c>
      <c r="R16" t="s">
        <v>104</v>
      </c>
      <c r="S16" t="s">
        <v>95</v>
      </c>
      <c r="T16" t="s">
        <v>105</v>
      </c>
      <c r="U16" t="s">
        <v>96</v>
      </c>
      <c r="V16" t="s">
        <v>106</v>
      </c>
    </row>
    <row r="17" spans="2:22" x14ac:dyDescent="0.3">
      <c r="B17">
        <v>0</v>
      </c>
      <c r="C17">
        <v>59.149855770000002</v>
      </c>
      <c r="D17">
        <v>57.092351530000002</v>
      </c>
      <c r="E17">
        <v>65.728753670000003</v>
      </c>
      <c r="F17">
        <v>66.228092459999999</v>
      </c>
      <c r="G17">
        <v>65.865455560000001</v>
      </c>
      <c r="H17">
        <v>60.868314740000002</v>
      </c>
      <c r="I17">
        <v>64.391915710000006</v>
      </c>
      <c r="J17">
        <v>58.412997740000002</v>
      </c>
      <c r="K17">
        <v>66.241637659999995</v>
      </c>
      <c r="L17">
        <v>64.616170350000004</v>
      </c>
      <c r="M17">
        <v>60.032991580000001</v>
      </c>
      <c r="N17">
        <v>63.79580808</v>
      </c>
      <c r="O17">
        <v>59.188223239999999</v>
      </c>
      <c r="P17">
        <v>63.591161390000003</v>
      </c>
      <c r="Q17">
        <v>63.829397530000001</v>
      </c>
      <c r="R17">
        <v>66.330597049999994</v>
      </c>
      <c r="S17">
        <v>63.647063979999999</v>
      </c>
      <c r="T17">
        <v>67.213605549999997</v>
      </c>
      <c r="U17">
        <v>65.376094710000004</v>
      </c>
      <c r="V17">
        <v>68.290322759999995</v>
      </c>
    </row>
    <row r="18" spans="2:22" x14ac:dyDescent="0.3">
      <c r="B18">
        <v>1</v>
      </c>
      <c r="C18">
        <v>59.149855770000002</v>
      </c>
      <c r="D18">
        <v>58.67825019</v>
      </c>
      <c r="E18">
        <v>64.651233110000007</v>
      </c>
      <c r="F18">
        <v>66.228092459999999</v>
      </c>
      <c r="G18">
        <v>65.865455560000001</v>
      </c>
      <c r="H18">
        <v>60.868314740000002</v>
      </c>
      <c r="I18">
        <v>65.562677820000005</v>
      </c>
      <c r="J18">
        <v>58.412997740000002</v>
      </c>
      <c r="K18">
        <v>66.241637659999995</v>
      </c>
      <c r="L18">
        <v>64.616170350000004</v>
      </c>
      <c r="M18">
        <v>60.032991580000001</v>
      </c>
      <c r="N18">
        <v>63.79580808</v>
      </c>
      <c r="O18">
        <v>59.835089070000002</v>
      </c>
      <c r="P18">
        <v>63.591161390000003</v>
      </c>
      <c r="Q18">
        <v>63.251755930000002</v>
      </c>
      <c r="R18">
        <v>65.396363289999996</v>
      </c>
      <c r="S18">
        <v>63.647063979999999</v>
      </c>
      <c r="T18">
        <v>66.517091500000006</v>
      </c>
      <c r="U18">
        <v>65.122698990000004</v>
      </c>
      <c r="V18">
        <v>67.467547789999998</v>
      </c>
    </row>
    <row r="19" spans="2:22" x14ac:dyDescent="0.3">
      <c r="B19">
        <v>2</v>
      </c>
      <c r="C19">
        <v>59.724126210000001</v>
      </c>
      <c r="D19">
        <v>58.67825019</v>
      </c>
      <c r="E19">
        <v>64.651233110000007</v>
      </c>
      <c r="F19">
        <v>66.228092459999999</v>
      </c>
      <c r="G19">
        <v>65.865455560000001</v>
      </c>
      <c r="H19">
        <v>60.868314740000002</v>
      </c>
      <c r="I19">
        <v>64.391915710000006</v>
      </c>
      <c r="J19">
        <v>58.412997740000002</v>
      </c>
      <c r="K19">
        <v>65.650194459999994</v>
      </c>
      <c r="L19">
        <v>64.054290609999995</v>
      </c>
      <c r="M19">
        <v>60.032991580000001</v>
      </c>
      <c r="N19">
        <v>63.79580808</v>
      </c>
      <c r="O19">
        <v>60.496250279999998</v>
      </c>
      <c r="P19">
        <v>62.864405259999998</v>
      </c>
      <c r="Q19">
        <v>63.251755930000002</v>
      </c>
      <c r="R19">
        <v>64.788025020000006</v>
      </c>
      <c r="S19">
        <v>63.965299299999998</v>
      </c>
      <c r="T19">
        <v>65.498972760000001</v>
      </c>
      <c r="U19">
        <v>65.376094710000004</v>
      </c>
      <c r="V19">
        <v>66.664362699999998</v>
      </c>
    </row>
    <row r="20" spans="2:22" x14ac:dyDescent="0.3">
      <c r="B20">
        <v>3</v>
      </c>
      <c r="C20">
        <v>59.149855770000002</v>
      </c>
      <c r="D20">
        <v>59.226645050000002</v>
      </c>
      <c r="E20">
        <v>64.651233110000007</v>
      </c>
      <c r="F20">
        <v>66.228092459999999</v>
      </c>
      <c r="G20">
        <v>65.865455560000001</v>
      </c>
      <c r="H20">
        <v>60.868314740000002</v>
      </c>
      <c r="I20">
        <v>64.391915710000006</v>
      </c>
      <c r="J20">
        <v>58.412997740000002</v>
      </c>
      <c r="K20">
        <v>66.241637659999995</v>
      </c>
      <c r="L20">
        <v>64.616170350000004</v>
      </c>
      <c r="M20">
        <v>60.032991580000001</v>
      </c>
      <c r="N20">
        <v>63.79580808</v>
      </c>
      <c r="O20">
        <v>60.832340559999999</v>
      </c>
      <c r="P20">
        <v>63.225694939999997</v>
      </c>
      <c r="Q20">
        <v>63.829397530000001</v>
      </c>
      <c r="R20">
        <v>64.788025020000006</v>
      </c>
      <c r="S20">
        <v>64.611413429999999</v>
      </c>
      <c r="T20">
        <v>65.498972760000001</v>
      </c>
      <c r="U20">
        <v>66.148253310000001</v>
      </c>
      <c r="V20">
        <v>66.40086719</v>
      </c>
    </row>
    <row r="21" spans="2:22" x14ac:dyDescent="0.3">
      <c r="B21">
        <v>4</v>
      </c>
      <c r="C21">
        <v>60.309656859999997</v>
      </c>
      <c r="D21">
        <v>59.226645050000002</v>
      </c>
      <c r="E21">
        <v>65.728753670000003</v>
      </c>
      <c r="F21">
        <v>67.331894000000005</v>
      </c>
      <c r="G21">
        <v>65.865455560000001</v>
      </c>
      <c r="H21">
        <v>60.868314740000002</v>
      </c>
      <c r="I21">
        <v>65.562677820000005</v>
      </c>
      <c r="J21">
        <v>58.412997740000002</v>
      </c>
      <c r="K21">
        <v>68.081683150000003</v>
      </c>
      <c r="L21">
        <v>65.187994869999997</v>
      </c>
      <c r="M21">
        <v>61.139590509999998</v>
      </c>
      <c r="N21">
        <v>63.490564980000002</v>
      </c>
      <c r="O21">
        <v>60.832340559999999</v>
      </c>
      <c r="P21">
        <v>63.960877439999997</v>
      </c>
      <c r="Q21">
        <v>65.627408729999999</v>
      </c>
      <c r="R21">
        <v>66.016234030000007</v>
      </c>
      <c r="S21">
        <v>66.630520099999998</v>
      </c>
      <c r="T21">
        <v>66.174219899999997</v>
      </c>
      <c r="U21">
        <v>67.206625360000004</v>
      </c>
      <c r="V21">
        <v>67.197677600000006</v>
      </c>
    </row>
    <row r="22" spans="2:22" x14ac:dyDescent="0.3">
      <c r="B22">
        <v>5</v>
      </c>
      <c r="C22">
        <v>60.309656859999997</v>
      </c>
      <c r="D22">
        <v>60.354771620000001</v>
      </c>
      <c r="E22">
        <v>66.842800339999997</v>
      </c>
      <c r="F22">
        <v>68.473112540000002</v>
      </c>
      <c r="G22">
        <v>65.865455560000001</v>
      </c>
      <c r="H22">
        <v>64.249887779999995</v>
      </c>
      <c r="I22">
        <v>66.776801480000003</v>
      </c>
      <c r="J22">
        <v>59.370587870000001</v>
      </c>
      <c r="K22">
        <v>69.366243209999993</v>
      </c>
      <c r="L22">
        <v>65.770030539999993</v>
      </c>
      <c r="M22">
        <v>65.679659110000003</v>
      </c>
      <c r="N22">
        <v>65.046706270000001</v>
      </c>
      <c r="O22">
        <v>58.87000699</v>
      </c>
      <c r="P22">
        <v>65.875873769999998</v>
      </c>
      <c r="Q22">
        <v>66.883435689999999</v>
      </c>
      <c r="R22">
        <v>67.291910049999998</v>
      </c>
      <c r="S22">
        <v>68.048190739999995</v>
      </c>
      <c r="T22">
        <v>67.213605549999997</v>
      </c>
      <c r="U22">
        <v>69.428331979999996</v>
      </c>
      <c r="V22">
        <v>68.290322759999995</v>
      </c>
    </row>
    <row r="23" spans="2:22" x14ac:dyDescent="0.3">
      <c r="B23">
        <v>6</v>
      </c>
      <c r="C23">
        <v>53.49204348</v>
      </c>
      <c r="D23">
        <v>59.226645050000002</v>
      </c>
      <c r="E23">
        <v>66.842800339999997</v>
      </c>
      <c r="F23">
        <v>67.331894000000005</v>
      </c>
      <c r="G23">
        <v>53.889918180000002</v>
      </c>
      <c r="H23">
        <v>64.249887779999995</v>
      </c>
      <c r="I23">
        <v>63.26223298</v>
      </c>
      <c r="J23">
        <v>60.360097670000002</v>
      </c>
      <c r="K23">
        <v>63.937580699999998</v>
      </c>
      <c r="L23">
        <v>66.965849270000007</v>
      </c>
      <c r="M23">
        <v>61.139590509999998</v>
      </c>
      <c r="N23">
        <v>66.68104563</v>
      </c>
      <c r="O23">
        <v>61.86339718</v>
      </c>
      <c r="P23">
        <v>65.483755479999999</v>
      </c>
      <c r="Q23">
        <v>63.539263910000003</v>
      </c>
      <c r="R23">
        <v>67.618569809999997</v>
      </c>
      <c r="S23">
        <v>64.286732959999995</v>
      </c>
      <c r="T23">
        <v>68.65132973</v>
      </c>
      <c r="U23">
        <v>69.142618679999998</v>
      </c>
      <c r="V23">
        <v>69.707134440000004</v>
      </c>
    </row>
    <row r="24" spans="2:22" x14ac:dyDescent="0.3">
      <c r="B24">
        <v>7</v>
      </c>
      <c r="C24">
        <v>32.376763160000003</v>
      </c>
      <c r="D24">
        <v>57.61137291</v>
      </c>
      <c r="E24">
        <v>24.194633249999999</v>
      </c>
      <c r="F24">
        <v>67.331894000000005</v>
      </c>
      <c r="G24">
        <v>29.639455000000002</v>
      </c>
      <c r="H24">
        <v>18.653193229999999</v>
      </c>
      <c r="I24">
        <v>51.513532570000002</v>
      </c>
      <c r="J24">
        <v>59.370587870000001</v>
      </c>
      <c r="K24">
        <v>41.77739648</v>
      </c>
      <c r="L24">
        <v>65.187994869999997</v>
      </c>
      <c r="M24">
        <v>33.759010529999998</v>
      </c>
      <c r="N24">
        <v>65.046706270000001</v>
      </c>
      <c r="O24">
        <v>21.512419059999999</v>
      </c>
      <c r="P24">
        <v>64.334917660000002</v>
      </c>
      <c r="Q24">
        <v>25.743348180000002</v>
      </c>
      <c r="R24">
        <v>66.016234030000007</v>
      </c>
      <c r="S24">
        <v>58.683760829999997</v>
      </c>
      <c r="T24">
        <v>67.56736137</v>
      </c>
      <c r="U24">
        <v>68.299416019999995</v>
      </c>
      <c r="V24">
        <v>69.133413169999997</v>
      </c>
    </row>
    <row r="25" spans="2:22" x14ac:dyDescent="0.3">
      <c r="B25">
        <v>8</v>
      </c>
      <c r="C25">
        <v>20.103218949999999</v>
      </c>
      <c r="D25">
        <v>53.25421025</v>
      </c>
      <c r="E25">
        <v>13.278536089999999</v>
      </c>
      <c r="F25">
        <v>66.228092459999999</v>
      </c>
      <c r="G25">
        <v>35.926612120000001</v>
      </c>
      <c r="H25">
        <v>13.293080229999999</v>
      </c>
      <c r="I25">
        <v>33.700441869999999</v>
      </c>
      <c r="J25">
        <v>57.485807299999998</v>
      </c>
      <c r="K25">
        <v>29.52940474</v>
      </c>
      <c r="L25">
        <v>63.502098449999998</v>
      </c>
      <c r="M25">
        <v>21.643215560000002</v>
      </c>
      <c r="N25">
        <v>62.888758670000001</v>
      </c>
      <c r="O25">
        <v>11.489843970000001</v>
      </c>
      <c r="P25">
        <v>62.864405259999998</v>
      </c>
      <c r="Q25">
        <v>15.61859001</v>
      </c>
      <c r="R25">
        <v>63.029074119999997</v>
      </c>
      <c r="S25">
        <v>60.919332670000003</v>
      </c>
      <c r="T25">
        <v>66.863534689999994</v>
      </c>
      <c r="U25">
        <v>67.748614270000004</v>
      </c>
      <c r="V25">
        <v>68.569058780000006</v>
      </c>
    </row>
    <row r="26" spans="2:22" x14ac:dyDescent="0.3">
      <c r="B26">
        <v>9</v>
      </c>
      <c r="C26">
        <v>17.626318049999998</v>
      </c>
      <c r="D26">
        <v>54.631474310000002</v>
      </c>
      <c r="E26">
        <v>12.362774979999999</v>
      </c>
      <c r="F26">
        <v>66.228092459999999</v>
      </c>
      <c r="G26">
        <v>22.369399999999999</v>
      </c>
      <c r="H26">
        <v>12.99435933</v>
      </c>
      <c r="I26">
        <v>24.868601930000001</v>
      </c>
      <c r="J26">
        <v>57.485807299999998</v>
      </c>
      <c r="K26">
        <v>27.232673259999999</v>
      </c>
      <c r="L26">
        <v>61.901205210000001</v>
      </c>
      <c r="M26">
        <v>24.798675029999998</v>
      </c>
      <c r="N26">
        <v>62.592113580000003</v>
      </c>
      <c r="O26">
        <v>19.483667789999998</v>
      </c>
      <c r="P26">
        <v>62.864405259999998</v>
      </c>
      <c r="Q26">
        <v>27.037984640000001</v>
      </c>
      <c r="R26">
        <v>64.788025020000006</v>
      </c>
      <c r="S26">
        <v>62.711077750000001</v>
      </c>
      <c r="T26">
        <v>66.863534689999994</v>
      </c>
      <c r="U26">
        <v>66.673239440000003</v>
      </c>
      <c r="V26">
        <v>68.290322759999995</v>
      </c>
    </row>
    <row r="27" spans="2:22" x14ac:dyDescent="0.3">
      <c r="B27">
        <v>10</v>
      </c>
      <c r="C27">
        <v>22.1280036</v>
      </c>
      <c r="D27">
        <v>54.164538630000003</v>
      </c>
      <c r="E27">
        <v>16.9988156</v>
      </c>
      <c r="F27">
        <v>66.228092459999999</v>
      </c>
      <c r="G27">
        <v>22.799580769999999</v>
      </c>
      <c r="H27">
        <v>16.288703940000001</v>
      </c>
      <c r="I27">
        <v>42.927943810000002</v>
      </c>
      <c r="J27">
        <v>56.58759156</v>
      </c>
      <c r="K27">
        <v>40.179353990000003</v>
      </c>
      <c r="L27">
        <v>62.425791689999997</v>
      </c>
      <c r="M27">
        <v>37.906546110000001</v>
      </c>
      <c r="N27">
        <v>63.490564980000002</v>
      </c>
      <c r="O27">
        <v>38.152687460000003</v>
      </c>
      <c r="P27">
        <v>63.591161390000003</v>
      </c>
      <c r="Q27">
        <v>53.763992539999997</v>
      </c>
      <c r="R27">
        <v>65.090772799999996</v>
      </c>
      <c r="S27">
        <v>64.939390149999994</v>
      </c>
      <c r="T27">
        <v>66.517091500000006</v>
      </c>
      <c r="U27">
        <v>66.938869879999999</v>
      </c>
      <c r="V27">
        <v>67.739594350000004</v>
      </c>
    </row>
    <row r="28" spans="2:22" x14ac:dyDescent="0.3">
      <c r="B28">
        <v>11</v>
      </c>
      <c r="C28">
        <v>27.219402649999999</v>
      </c>
      <c r="D28">
        <v>44.62852831</v>
      </c>
      <c r="E28">
        <v>27.011816580000001</v>
      </c>
      <c r="F28">
        <v>64.125613329999993</v>
      </c>
      <c r="G28">
        <v>35.926612120000001</v>
      </c>
      <c r="H28">
        <v>19.274966330000002</v>
      </c>
      <c r="I28">
        <v>61.11775051</v>
      </c>
      <c r="J28">
        <v>50.300081390000003</v>
      </c>
      <c r="K28">
        <v>52.52015557</v>
      </c>
      <c r="L28">
        <v>53.768200149999998</v>
      </c>
      <c r="M28">
        <v>53.282293729999999</v>
      </c>
      <c r="N28">
        <v>63.490564980000002</v>
      </c>
      <c r="O28">
        <v>58.555194120000003</v>
      </c>
      <c r="P28">
        <v>64.334917660000002</v>
      </c>
      <c r="Q28">
        <v>63.251755930000002</v>
      </c>
      <c r="R28">
        <v>65.090772799999996</v>
      </c>
      <c r="S28">
        <v>65.270713569999998</v>
      </c>
      <c r="T28">
        <v>66.863534689999994</v>
      </c>
      <c r="U28">
        <v>67.476531489999999</v>
      </c>
      <c r="V28">
        <v>68.013843719999997</v>
      </c>
    </row>
    <row r="29" spans="2:22" x14ac:dyDescent="0.3">
      <c r="B29">
        <v>12</v>
      </c>
      <c r="C29">
        <v>30.154828429999998</v>
      </c>
      <c r="D29">
        <v>43.11055116</v>
      </c>
      <c r="E29">
        <v>48.687965679999998</v>
      </c>
      <c r="F29">
        <v>64.125613329999993</v>
      </c>
      <c r="G29">
        <v>38.244458059999999</v>
      </c>
      <c r="H29">
        <v>22.676430979999999</v>
      </c>
      <c r="I29">
        <v>63.26223298</v>
      </c>
      <c r="J29">
        <v>57.485807299999998</v>
      </c>
      <c r="K29">
        <v>51.780435070000003</v>
      </c>
      <c r="L29">
        <v>62.959345470000002</v>
      </c>
      <c r="M29">
        <v>58.704828050000003</v>
      </c>
      <c r="N29">
        <v>63.490564980000002</v>
      </c>
      <c r="O29">
        <v>62.93000747</v>
      </c>
      <c r="P29">
        <v>63.960877439999997</v>
      </c>
      <c r="Q29">
        <v>64.41768691</v>
      </c>
      <c r="R29">
        <v>65.396363289999996</v>
      </c>
      <c r="S29">
        <v>65.605435180000001</v>
      </c>
      <c r="T29">
        <v>67.213605549999997</v>
      </c>
      <c r="U29">
        <v>67.206625360000004</v>
      </c>
      <c r="V29">
        <v>68.85007951</v>
      </c>
    </row>
    <row r="30" spans="2:22" x14ac:dyDescent="0.3">
      <c r="B30">
        <v>13</v>
      </c>
      <c r="C30">
        <v>31.385637760000002</v>
      </c>
      <c r="D30">
        <v>42.819263650000003</v>
      </c>
      <c r="E30">
        <v>45.85727</v>
      </c>
      <c r="F30">
        <v>58.549473040000002</v>
      </c>
      <c r="G30">
        <v>49.399091669999997</v>
      </c>
      <c r="H30">
        <v>22.240345770000001</v>
      </c>
      <c r="I30">
        <v>63.26223298</v>
      </c>
      <c r="J30">
        <v>56.58759156</v>
      </c>
      <c r="K30">
        <v>61.788418319999998</v>
      </c>
      <c r="L30">
        <v>53.768200149999998</v>
      </c>
      <c r="M30">
        <v>60.859133669999999</v>
      </c>
      <c r="N30">
        <v>62.888758670000001</v>
      </c>
      <c r="O30">
        <v>62.93000747</v>
      </c>
      <c r="P30">
        <v>63.960877439999997</v>
      </c>
      <c r="Q30">
        <v>64.122192940000005</v>
      </c>
      <c r="R30">
        <v>66.016234030000007</v>
      </c>
      <c r="S30">
        <v>65.270713569999998</v>
      </c>
      <c r="T30">
        <v>67.56736137</v>
      </c>
      <c r="U30">
        <v>66.938869879999999</v>
      </c>
      <c r="V30">
        <v>69.707134440000004</v>
      </c>
    </row>
    <row r="31" spans="2:22" x14ac:dyDescent="0.3">
      <c r="B31">
        <v>14</v>
      </c>
      <c r="C31">
        <v>28.218279819999999</v>
      </c>
      <c r="D31">
        <v>42.819263650000003</v>
      </c>
      <c r="E31">
        <v>41.080471039999999</v>
      </c>
      <c r="F31">
        <v>61.210812730000001</v>
      </c>
      <c r="G31">
        <v>40.8820069</v>
      </c>
      <c r="H31">
        <v>22.676430979999999</v>
      </c>
      <c r="I31">
        <v>63.26223298</v>
      </c>
      <c r="J31">
        <v>56.58759156</v>
      </c>
      <c r="K31">
        <v>54.064866029999997</v>
      </c>
      <c r="L31">
        <v>53.378575509999997</v>
      </c>
      <c r="M31">
        <v>60.581238079999999</v>
      </c>
      <c r="N31">
        <v>59.772649010000002</v>
      </c>
      <c r="O31">
        <v>62.93000747</v>
      </c>
      <c r="P31">
        <v>61.459614080000001</v>
      </c>
      <c r="Q31">
        <v>64.122192940000005</v>
      </c>
      <c r="R31">
        <v>64.488080460000006</v>
      </c>
      <c r="S31">
        <v>64.939390149999994</v>
      </c>
      <c r="T31">
        <v>67.213605549999997</v>
      </c>
      <c r="U31">
        <v>66.938869879999999</v>
      </c>
      <c r="V31">
        <v>69.419088430000002</v>
      </c>
    </row>
    <row r="32" spans="2:22" x14ac:dyDescent="0.3">
      <c r="B32">
        <v>15</v>
      </c>
      <c r="C32">
        <v>22.868345720000001</v>
      </c>
      <c r="D32">
        <v>38.176210959999999</v>
      </c>
      <c r="E32">
        <v>39.046784359999997</v>
      </c>
      <c r="F32">
        <v>39.606996469999999</v>
      </c>
      <c r="G32">
        <v>32.042654050000003</v>
      </c>
      <c r="H32">
        <v>20.28943825</v>
      </c>
      <c r="I32">
        <v>61.11775051</v>
      </c>
      <c r="J32">
        <v>22.635036629999998</v>
      </c>
      <c r="K32">
        <v>54.465346519999997</v>
      </c>
      <c r="L32">
        <v>33.48292464</v>
      </c>
      <c r="M32">
        <v>60.581238079999999</v>
      </c>
      <c r="N32">
        <v>56.707384959999999</v>
      </c>
      <c r="O32">
        <v>62.214893750000002</v>
      </c>
      <c r="P32">
        <v>62.154072990000003</v>
      </c>
      <c r="Q32">
        <v>63.251755930000002</v>
      </c>
      <c r="R32">
        <v>63.896446699999998</v>
      </c>
      <c r="S32">
        <v>64.611413429999999</v>
      </c>
      <c r="T32">
        <v>67.213605549999997</v>
      </c>
      <c r="U32">
        <v>66.409708850000001</v>
      </c>
      <c r="V32">
        <v>69.133413169999997</v>
      </c>
    </row>
    <row r="33" spans="2:22" x14ac:dyDescent="0.3">
      <c r="B33">
        <v>16</v>
      </c>
      <c r="C33">
        <v>20.169131149999998</v>
      </c>
      <c r="D33">
        <v>21.265943020000002</v>
      </c>
      <c r="E33">
        <v>37.920434810000003</v>
      </c>
      <c r="F33">
        <v>26.23320545</v>
      </c>
      <c r="G33">
        <v>22.799580769999999</v>
      </c>
      <c r="H33">
        <v>21.416629260000001</v>
      </c>
      <c r="I33">
        <v>60.099121330000003</v>
      </c>
      <c r="J33">
        <v>13.07438939</v>
      </c>
      <c r="K33">
        <v>63.937580699999998</v>
      </c>
      <c r="L33">
        <v>26.982576630000001</v>
      </c>
      <c r="M33">
        <v>61.139590509999998</v>
      </c>
      <c r="N33">
        <v>41.859710030000002</v>
      </c>
      <c r="O33">
        <v>61.86339718</v>
      </c>
      <c r="P33">
        <v>50.697101009999997</v>
      </c>
      <c r="Q33">
        <v>62.12728027</v>
      </c>
      <c r="R33">
        <v>50.83731891</v>
      </c>
      <c r="S33">
        <v>63.331979500000003</v>
      </c>
      <c r="T33">
        <v>54.397451949999997</v>
      </c>
      <c r="U33">
        <v>65.888848390000007</v>
      </c>
      <c r="V33">
        <v>67.197677600000006</v>
      </c>
    </row>
    <row r="34" spans="2:22" x14ac:dyDescent="0.3">
      <c r="B34">
        <v>17</v>
      </c>
      <c r="C34">
        <v>17.328408450000001</v>
      </c>
      <c r="D34">
        <v>17.901839039999999</v>
      </c>
      <c r="E34">
        <v>44.311519330000003</v>
      </c>
      <c r="F34">
        <v>23.904814439999999</v>
      </c>
      <c r="G34">
        <v>17.434973530000001</v>
      </c>
      <c r="H34">
        <v>20.651749639999998</v>
      </c>
      <c r="I34">
        <v>50.787989860000003</v>
      </c>
      <c r="J34">
        <v>10.71481024</v>
      </c>
      <c r="K34">
        <v>62.844630600000002</v>
      </c>
      <c r="L34">
        <v>19.748641880000001</v>
      </c>
      <c r="M34">
        <v>60.032991580000001</v>
      </c>
      <c r="N34">
        <v>26.17263921</v>
      </c>
      <c r="O34">
        <v>60.496250279999998</v>
      </c>
      <c r="P34">
        <v>34.704324669999998</v>
      </c>
      <c r="Q34">
        <v>56.365476049999998</v>
      </c>
      <c r="R34">
        <v>52.762974919999998</v>
      </c>
      <c r="S34">
        <v>63.331979500000003</v>
      </c>
      <c r="T34">
        <v>61.132374570000003</v>
      </c>
      <c r="U34">
        <v>65.376094710000004</v>
      </c>
      <c r="V34">
        <v>65.880076079999995</v>
      </c>
    </row>
    <row r="35" spans="2:22" x14ac:dyDescent="0.3">
      <c r="B35">
        <v>18</v>
      </c>
      <c r="C35">
        <v>14.7520024</v>
      </c>
      <c r="D35">
        <v>15.19724465</v>
      </c>
      <c r="E35">
        <v>25.775981829999999</v>
      </c>
      <c r="F35">
        <v>19.80349824</v>
      </c>
      <c r="G35">
        <v>16.698284510000001</v>
      </c>
      <c r="H35">
        <v>18.958983280000002</v>
      </c>
      <c r="I35">
        <v>46.830484159999997</v>
      </c>
      <c r="J35">
        <v>8.3255307129999991</v>
      </c>
      <c r="K35">
        <v>54.064866029999997</v>
      </c>
      <c r="L35">
        <v>18.143456700000002</v>
      </c>
      <c r="M35">
        <v>56.941163690000003</v>
      </c>
      <c r="N35">
        <v>25.179370169999999</v>
      </c>
      <c r="O35">
        <v>57.32890733</v>
      </c>
      <c r="P35">
        <v>35.035894650000003</v>
      </c>
      <c r="Q35">
        <v>52.159097240000001</v>
      </c>
      <c r="R35">
        <v>48.366060349999998</v>
      </c>
      <c r="S35">
        <v>61.505095480000001</v>
      </c>
      <c r="T35">
        <v>60.842647679999999</v>
      </c>
      <c r="U35">
        <v>63.884624870000003</v>
      </c>
      <c r="V35">
        <v>63.155712029999997</v>
      </c>
    </row>
    <row r="36" spans="2:22" x14ac:dyDescent="0.3">
      <c r="B36">
        <v>19</v>
      </c>
      <c r="C36">
        <v>25.31516461</v>
      </c>
      <c r="D36">
        <v>23.128653360000001</v>
      </c>
      <c r="E36">
        <v>51.891121320000003</v>
      </c>
      <c r="F36">
        <v>45.392288090000001</v>
      </c>
      <c r="G36">
        <v>42.342078569999998</v>
      </c>
      <c r="H36">
        <v>22.676430979999999</v>
      </c>
      <c r="I36">
        <v>64.391915710000006</v>
      </c>
      <c r="J36">
        <v>10.497408289999999</v>
      </c>
      <c r="K36">
        <v>65.069219290000007</v>
      </c>
      <c r="L36">
        <v>22.526738290000001</v>
      </c>
      <c r="M36">
        <v>59.228978300000001</v>
      </c>
      <c r="N36">
        <v>31.82141026</v>
      </c>
      <c r="O36">
        <v>59.509898370000002</v>
      </c>
      <c r="P36">
        <v>45.087175899999998</v>
      </c>
      <c r="Q36">
        <v>60.513584680000001</v>
      </c>
      <c r="R36">
        <v>51.782250480000002</v>
      </c>
      <c r="S36">
        <v>62.405170050000002</v>
      </c>
      <c r="T36">
        <v>62.623408099999999</v>
      </c>
      <c r="U36">
        <v>65.63147008</v>
      </c>
      <c r="V36">
        <v>67.197677600000006</v>
      </c>
    </row>
    <row r="37" spans="2:22" x14ac:dyDescent="0.3">
      <c r="B37">
        <v>20</v>
      </c>
      <c r="C37">
        <v>44.902080290000001</v>
      </c>
      <c r="D37">
        <v>41.419941309999999</v>
      </c>
      <c r="E37">
        <v>64.651233110000007</v>
      </c>
      <c r="F37">
        <v>65.159897419999993</v>
      </c>
      <c r="G37">
        <v>62.39885263</v>
      </c>
      <c r="H37">
        <v>57.824899000000002</v>
      </c>
      <c r="I37">
        <v>65.562677820000005</v>
      </c>
      <c r="J37">
        <v>24.47030986</v>
      </c>
      <c r="K37">
        <v>66.843834360000002</v>
      </c>
      <c r="L37">
        <v>32.027145300000001</v>
      </c>
      <c r="M37">
        <v>61.996687569999999</v>
      </c>
      <c r="N37">
        <v>52.448727589999997</v>
      </c>
      <c r="O37">
        <v>61.86339718</v>
      </c>
      <c r="P37">
        <v>58.207782649999999</v>
      </c>
      <c r="Q37">
        <v>62.68447561</v>
      </c>
      <c r="R37">
        <v>61.363107399999997</v>
      </c>
      <c r="S37">
        <v>62.711077750000001</v>
      </c>
      <c r="T37">
        <v>66.174219899999997</v>
      </c>
      <c r="U37">
        <v>65.376094710000004</v>
      </c>
      <c r="V37">
        <v>68.013843719999997</v>
      </c>
    </row>
    <row r="38" spans="2:22" x14ac:dyDescent="0.3">
      <c r="B38">
        <v>21</v>
      </c>
      <c r="C38">
        <v>56.959120370000001</v>
      </c>
      <c r="D38">
        <v>54.631474310000002</v>
      </c>
      <c r="E38">
        <v>64.651233110000007</v>
      </c>
      <c r="F38">
        <v>65.159897419999993</v>
      </c>
      <c r="G38">
        <v>62.39885263</v>
      </c>
      <c r="H38">
        <v>60.868314740000002</v>
      </c>
      <c r="I38">
        <v>64.391915710000006</v>
      </c>
      <c r="J38">
        <v>57.485807299999998</v>
      </c>
      <c r="K38">
        <v>66.843834360000002</v>
      </c>
      <c r="L38">
        <v>51.51219175</v>
      </c>
      <c r="M38">
        <v>61.708330879999998</v>
      </c>
      <c r="N38">
        <v>51.23369915</v>
      </c>
      <c r="O38">
        <v>59.188223239999999</v>
      </c>
      <c r="P38">
        <v>57.901425889999999</v>
      </c>
      <c r="Q38">
        <v>62.68447561</v>
      </c>
      <c r="R38">
        <v>64.788025020000006</v>
      </c>
      <c r="S38">
        <v>64.611413429999999</v>
      </c>
      <c r="T38">
        <v>67.56736137</v>
      </c>
      <c r="U38">
        <v>67.476531489999999</v>
      </c>
      <c r="V38">
        <v>69.419088430000002</v>
      </c>
    </row>
    <row r="39" spans="2:22" x14ac:dyDescent="0.3">
      <c r="B39">
        <v>22</v>
      </c>
      <c r="C39">
        <v>58.033820749999997</v>
      </c>
      <c r="D39">
        <v>54.164538630000003</v>
      </c>
      <c r="E39">
        <v>65.728753670000003</v>
      </c>
      <c r="F39">
        <v>66.228092459999999</v>
      </c>
      <c r="G39">
        <v>62.39885263</v>
      </c>
      <c r="H39">
        <v>60.868314740000002</v>
      </c>
      <c r="I39">
        <v>65.562677820000005</v>
      </c>
      <c r="J39">
        <v>58.412997740000002</v>
      </c>
      <c r="K39">
        <v>67.457080550000001</v>
      </c>
      <c r="L39">
        <v>64.054290609999995</v>
      </c>
      <c r="M39">
        <v>61.708330879999998</v>
      </c>
      <c r="N39">
        <v>51.23369915</v>
      </c>
      <c r="O39">
        <v>59.188223239999999</v>
      </c>
      <c r="P39">
        <v>63.225694939999997</v>
      </c>
      <c r="Q39">
        <v>62.68447561</v>
      </c>
      <c r="R39">
        <v>66.330597049999994</v>
      </c>
      <c r="S39">
        <v>64.939390149999994</v>
      </c>
      <c r="T39">
        <v>66.863534689999994</v>
      </c>
      <c r="U39">
        <v>66.938869879999999</v>
      </c>
      <c r="V39">
        <v>68.013843719999997</v>
      </c>
    </row>
    <row r="40" spans="2:22" x14ac:dyDescent="0.3">
      <c r="B40">
        <v>23</v>
      </c>
      <c r="C40">
        <v>58.033820749999997</v>
      </c>
      <c r="D40">
        <v>55.589921230000002</v>
      </c>
      <c r="E40">
        <v>65.728753670000003</v>
      </c>
      <c r="F40">
        <v>66.228092459999999</v>
      </c>
      <c r="G40">
        <v>65.865455560000001</v>
      </c>
      <c r="H40">
        <v>60.868314740000002</v>
      </c>
      <c r="I40">
        <v>65.562677820000005</v>
      </c>
      <c r="J40">
        <v>58.412997740000002</v>
      </c>
      <c r="K40">
        <v>65.650194459999994</v>
      </c>
      <c r="L40">
        <v>64.054290609999995</v>
      </c>
      <c r="M40">
        <v>61.708330879999998</v>
      </c>
      <c r="N40">
        <v>61.433000370000002</v>
      </c>
      <c r="O40">
        <v>59.188223239999999</v>
      </c>
      <c r="P40">
        <v>63.960877439999997</v>
      </c>
      <c r="Q40">
        <v>62.68447561</v>
      </c>
      <c r="R40">
        <v>67.291910049999998</v>
      </c>
      <c r="S40">
        <v>64.611413429999999</v>
      </c>
      <c r="T40">
        <v>67.924860629999998</v>
      </c>
      <c r="U40">
        <v>66.148253310000001</v>
      </c>
      <c r="V40">
        <v>69.419088430000002</v>
      </c>
    </row>
    <row r="43" spans="2:22" x14ac:dyDescent="0.3">
      <c r="C43">
        <v>1.3</v>
      </c>
      <c r="D43">
        <v>1.3</v>
      </c>
      <c r="E43">
        <v>1.3</v>
      </c>
      <c r="F43">
        <v>1.3</v>
      </c>
      <c r="G43">
        <v>0.5</v>
      </c>
      <c r="H43">
        <v>0.5</v>
      </c>
      <c r="I43">
        <v>1.6</v>
      </c>
      <c r="J43">
        <v>1.6</v>
      </c>
      <c r="K43">
        <v>2</v>
      </c>
      <c r="L43">
        <v>2</v>
      </c>
      <c r="M43">
        <v>3.6</v>
      </c>
      <c r="N43">
        <v>3.6</v>
      </c>
      <c r="O43">
        <v>2.9</v>
      </c>
      <c r="P43">
        <v>2.9</v>
      </c>
      <c r="Q43">
        <v>3.8</v>
      </c>
      <c r="R43">
        <v>3.8</v>
      </c>
      <c r="S43">
        <v>3.4</v>
      </c>
      <c r="T43">
        <v>3.4</v>
      </c>
      <c r="U43">
        <v>4.5</v>
      </c>
      <c r="V43">
        <v>4.5</v>
      </c>
    </row>
  </sheetData>
  <conditionalFormatting sqref="C6:V6 C7:W7 C8:V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2025 No Build Scenario Data</vt:lpstr>
      <vt:lpstr>Year_2025</vt:lpstr>
      <vt:lpstr>Year_2032</vt:lpstr>
      <vt:lpstr>Year_2040</vt:lpstr>
      <vt:lpstr>Year_2050</vt:lpstr>
      <vt:lpstr>Sheet1</vt:lpstr>
      <vt:lpstr>aux sheets</vt:lpstr>
      <vt:lpstr>Speeds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Cristian Fernández</cp:lastModifiedBy>
  <dcterms:created xsi:type="dcterms:W3CDTF">2025-12-19T09:14:54Z</dcterms:created>
  <dcterms:modified xsi:type="dcterms:W3CDTF">2026-01-15T09:32:39Z</dcterms:modified>
</cp:coreProperties>
</file>