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6\19-57-38_1\"/>
    </mc:Choice>
  </mc:AlternateContent>
  <xr:revisionPtr revIDLastSave="0" documentId="13_ncr:1_{B67F9E80-7C2F-43A7-AFA1-63573D101C93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Sheet1" sheetId="5" r:id="rId5"/>
    <sheet name="Sheet1 (2)" sheetId="6" r:id="rId6"/>
    <sheet name="Sheet1 (3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" i="7" l="1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B6" i="7"/>
  <c r="B7" i="7"/>
  <c r="B8" i="7"/>
  <c r="B9" i="7"/>
  <c r="B10" i="7"/>
  <c r="B11" i="7"/>
  <c r="B12" i="7"/>
  <c r="B5" i="7"/>
  <c r="A40" i="7"/>
  <c r="A39" i="7"/>
  <c r="A38" i="7"/>
  <c r="A37" i="7"/>
  <c r="A36" i="7"/>
  <c r="A35" i="7"/>
  <c r="A34" i="7"/>
  <c r="A33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32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31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30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29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28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27" i="7"/>
  <c r="A26" i="7"/>
  <c r="A25" i="7"/>
  <c r="A24" i="7"/>
  <c r="A23" i="7"/>
  <c r="A22" i="7"/>
  <c r="A21" i="7"/>
  <c r="A20" i="7"/>
  <c r="A19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18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17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16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15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14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13" i="7"/>
  <c r="A12" i="7"/>
  <c r="A11" i="7"/>
  <c r="A10" i="7"/>
  <c r="A9" i="7"/>
  <c r="A8" i="7"/>
  <c r="A7" i="7"/>
  <c r="A6" i="7"/>
  <c r="A5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4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3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1" i="7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B6" i="6"/>
  <c r="B7" i="6"/>
  <c r="B8" i="6"/>
  <c r="B9" i="6"/>
  <c r="B10" i="6"/>
  <c r="B11" i="6"/>
  <c r="B12" i="6"/>
  <c r="B5" i="6"/>
  <c r="A40" i="6"/>
  <c r="A39" i="6"/>
  <c r="A38" i="6"/>
  <c r="A37" i="6"/>
  <c r="A36" i="6"/>
  <c r="A35" i="6"/>
  <c r="A34" i="6"/>
  <c r="A33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A26" i="6"/>
  <c r="A25" i="6"/>
  <c r="A24" i="6"/>
  <c r="A23" i="6"/>
  <c r="A22" i="6"/>
  <c r="A21" i="6"/>
  <c r="A20" i="6"/>
  <c r="A19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A12" i="6"/>
  <c r="A11" i="6"/>
  <c r="A10" i="6"/>
  <c r="A9" i="6"/>
  <c r="A8" i="6"/>
  <c r="A7" i="6"/>
  <c r="A6" i="6"/>
  <c r="A5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A1" i="6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B6" i="5"/>
  <c r="B7" i="5"/>
  <c r="B8" i="5"/>
  <c r="B9" i="5"/>
  <c r="B10" i="5"/>
  <c r="B11" i="5"/>
  <c r="B12" i="5"/>
  <c r="B5" i="5"/>
  <c r="A31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A32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A33" i="5"/>
  <c r="A34" i="5"/>
  <c r="A35" i="5"/>
  <c r="A36" i="5"/>
  <c r="A37" i="5"/>
  <c r="A38" i="5"/>
  <c r="A39" i="5"/>
  <c r="A40" i="5"/>
  <c r="A23" i="5"/>
  <c r="A24" i="5"/>
  <c r="A25" i="5"/>
  <c r="A26" i="5"/>
  <c r="A27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A28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A29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A30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Q1" i="5"/>
  <c r="Q2" i="5"/>
  <c r="Q3" i="5"/>
  <c r="Q4" i="5"/>
  <c r="Q13" i="5"/>
  <c r="Q14" i="5"/>
  <c r="Q15" i="5"/>
  <c r="Q16" i="5"/>
  <c r="Q17" i="5"/>
  <c r="Q18" i="5"/>
  <c r="N1" i="5"/>
  <c r="O1" i="5"/>
  <c r="P1" i="5"/>
  <c r="N2" i="5"/>
  <c r="O2" i="5"/>
  <c r="P2" i="5"/>
  <c r="N3" i="5"/>
  <c r="O3" i="5"/>
  <c r="P3" i="5"/>
  <c r="N4" i="5"/>
  <c r="O4" i="5"/>
  <c r="P4" i="5"/>
  <c r="N13" i="5"/>
  <c r="O13" i="5"/>
  <c r="P13" i="5"/>
  <c r="N14" i="5"/>
  <c r="O14" i="5"/>
  <c r="P14" i="5"/>
  <c r="N15" i="5"/>
  <c r="O15" i="5"/>
  <c r="P15" i="5"/>
  <c r="N16" i="5"/>
  <c r="O16" i="5"/>
  <c r="P16" i="5"/>
  <c r="N17" i="5"/>
  <c r="O17" i="5"/>
  <c r="P17" i="5"/>
  <c r="N18" i="5"/>
  <c r="O18" i="5"/>
  <c r="P18" i="5"/>
  <c r="L1" i="5"/>
  <c r="M1" i="5"/>
  <c r="L2" i="5"/>
  <c r="M2" i="5"/>
  <c r="L3" i="5"/>
  <c r="M3" i="5"/>
  <c r="L4" i="5"/>
  <c r="M4" i="5"/>
  <c r="L13" i="5"/>
  <c r="M13" i="5"/>
  <c r="L14" i="5"/>
  <c r="M14" i="5"/>
  <c r="L15" i="5"/>
  <c r="M15" i="5"/>
  <c r="L16" i="5"/>
  <c r="M16" i="5"/>
  <c r="L17" i="5"/>
  <c r="M17" i="5"/>
  <c r="L18" i="5"/>
  <c r="M18" i="5"/>
  <c r="A2" i="5"/>
  <c r="B2" i="5"/>
  <c r="C2" i="5"/>
  <c r="D2" i="5"/>
  <c r="E2" i="5"/>
  <c r="F2" i="5"/>
  <c r="G2" i="5"/>
  <c r="H2" i="5"/>
  <c r="I2" i="5"/>
  <c r="J2" i="5"/>
  <c r="K2" i="5"/>
  <c r="A3" i="5"/>
  <c r="B3" i="5"/>
  <c r="C3" i="5"/>
  <c r="D3" i="5"/>
  <c r="E3" i="5"/>
  <c r="F3" i="5"/>
  <c r="G3" i="5"/>
  <c r="H3" i="5"/>
  <c r="I3" i="5"/>
  <c r="J3" i="5"/>
  <c r="K3" i="5"/>
  <c r="A4" i="5"/>
  <c r="B4" i="5"/>
  <c r="C4" i="5"/>
  <c r="D4" i="5"/>
  <c r="E4" i="5"/>
  <c r="F4" i="5"/>
  <c r="G4" i="5"/>
  <c r="H4" i="5"/>
  <c r="I4" i="5"/>
  <c r="J4" i="5"/>
  <c r="K4" i="5"/>
  <c r="A5" i="5"/>
  <c r="A6" i="5"/>
  <c r="A7" i="5"/>
  <c r="A8" i="5"/>
  <c r="A9" i="5"/>
  <c r="A10" i="5"/>
  <c r="A11" i="5"/>
  <c r="A12" i="5"/>
  <c r="A13" i="5"/>
  <c r="B13" i="5"/>
  <c r="C13" i="5"/>
  <c r="D13" i="5"/>
  <c r="E13" i="5"/>
  <c r="F13" i="5"/>
  <c r="G13" i="5"/>
  <c r="H13" i="5"/>
  <c r="I13" i="5"/>
  <c r="J13" i="5"/>
  <c r="K13" i="5"/>
  <c r="A14" i="5"/>
  <c r="B14" i="5"/>
  <c r="C14" i="5"/>
  <c r="D14" i="5"/>
  <c r="E14" i="5"/>
  <c r="F14" i="5"/>
  <c r="G14" i="5"/>
  <c r="H14" i="5"/>
  <c r="I14" i="5"/>
  <c r="J14" i="5"/>
  <c r="K14" i="5"/>
  <c r="A15" i="5"/>
  <c r="B15" i="5"/>
  <c r="C15" i="5"/>
  <c r="D15" i="5"/>
  <c r="E15" i="5"/>
  <c r="F15" i="5"/>
  <c r="G15" i="5"/>
  <c r="H15" i="5"/>
  <c r="I15" i="5"/>
  <c r="J15" i="5"/>
  <c r="K15" i="5"/>
  <c r="A16" i="5"/>
  <c r="B16" i="5"/>
  <c r="C16" i="5"/>
  <c r="D16" i="5"/>
  <c r="E16" i="5"/>
  <c r="F16" i="5"/>
  <c r="G16" i="5"/>
  <c r="H16" i="5"/>
  <c r="I16" i="5"/>
  <c r="J16" i="5"/>
  <c r="K16" i="5"/>
  <c r="A17" i="5"/>
  <c r="B17" i="5"/>
  <c r="C17" i="5"/>
  <c r="D17" i="5"/>
  <c r="E17" i="5"/>
  <c r="F17" i="5"/>
  <c r="G17" i="5"/>
  <c r="H17" i="5"/>
  <c r="I17" i="5"/>
  <c r="J17" i="5"/>
  <c r="K17" i="5"/>
  <c r="A18" i="5"/>
  <c r="B18" i="5"/>
  <c r="C18" i="5"/>
  <c r="D18" i="5"/>
  <c r="E18" i="5"/>
  <c r="F18" i="5"/>
  <c r="G18" i="5"/>
  <c r="H18" i="5"/>
  <c r="I18" i="5"/>
  <c r="J18" i="5"/>
  <c r="K18" i="5"/>
  <c r="A19" i="5"/>
  <c r="A20" i="5"/>
  <c r="A21" i="5"/>
  <c r="A22" i="5"/>
  <c r="K1" i="5"/>
  <c r="B1" i="5"/>
  <c r="C1" i="5"/>
  <c r="D1" i="5"/>
  <c r="E1" i="5"/>
  <c r="F1" i="5"/>
  <c r="G1" i="5"/>
  <c r="H1" i="5"/>
  <c r="I1" i="5"/>
  <c r="J1" i="5"/>
  <c r="A1" i="5"/>
</calcChain>
</file>

<file path=xl/sharedStrings.xml><?xml version="1.0" encoding="utf-8"?>
<sst xmlns="http://schemas.openxmlformats.org/spreadsheetml/2006/main" count="8160" uniqueCount="72">
  <si>
    <t>Lenght</t>
  </si>
  <si>
    <t>11</t>
  </si>
  <si>
    <t>12</t>
  </si>
  <si>
    <t>13</t>
  </si>
  <si>
    <t>14</t>
  </si>
  <si>
    <t>15</t>
  </si>
  <si>
    <t>16</t>
  </si>
  <si>
    <t>17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</si>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</sst>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26"/>
  <sheetViews>
    <sheetView topLeftCell="Q1"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2.4</v>
      </c>
      <c r="D3">
        <v>2.5</v>
      </c>
      <c r="E3">
        <v>2.8</v>
      </c>
      <c r="F3">
        <v>3.3</v>
      </c>
      <c r="G3">
        <v>2.6</v>
      </c>
      <c r="H3">
        <v>2.6</v>
      </c>
      <c r="I3">
        <v>2.1</v>
      </c>
      <c r="J3">
        <v>0.8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2332.33</v>
      </c>
      <c r="V9" s="2">
        <v>2322.31</v>
      </c>
      <c r="W9" s="2">
        <v>2957.58</v>
      </c>
      <c r="X9" s="2">
        <v>2252.9699999999998</v>
      </c>
      <c r="Y9" s="2">
        <v>1803.05</v>
      </c>
      <c r="Z9" s="2">
        <v>1595.26</v>
      </c>
      <c r="AA9" s="2">
        <v>2162.9699999999998</v>
      </c>
      <c r="AB9" s="2">
        <v>1528.98</v>
      </c>
      <c r="AC9" s="2">
        <v>1515.84</v>
      </c>
      <c r="AD9" s="2">
        <v>1862.08</v>
      </c>
      <c r="AE9" s="2">
        <v>1515.84</v>
      </c>
      <c r="AF9" s="2">
        <v>1798.96</v>
      </c>
      <c r="AG9" s="2">
        <v>500.83</v>
      </c>
      <c r="AH9" s="2">
        <v>461.09</v>
      </c>
      <c r="AI9" s="2">
        <v>1804.93</v>
      </c>
      <c r="AJ9" s="2">
        <v>1445.71</v>
      </c>
      <c r="AM9" s="1" t="s">
        <v>19</v>
      </c>
      <c r="AN9" s="2">
        <v>37517.269999999997</v>
      </c>
      <c r="AO9" s="2">
        <v>37258.49</v>
      </c>
      <c r="AP9" s="2">
        <v>45972.42</v>
      </c>
      <c r="AQ9" s="2">
        <v>35354.53</v>
      </c>
      <c r="AR9" s="2">
        <v>32869.35</v>
      </c>
      <c r="AS9" s="2">
        <v>29255.14</v>
      </c>
      <c r="AT9" s="2">
        <v>33665.129999999997</v>
      </c>
      <c r="AU9" s="2">
        <v>28939.919999999998</v>
      </c>
      <c r="AV9" s="2">
        <v>28423.16</v>
      </c>
      <c r="AW9" s="2">
        <v>34810.92</v>
      </c>
      <c r="AX9" s="2">
        <v>28423.16</v>
      </c>
      <c r="AY9" s="2">
        <v>33636.44</v>
      </c>
      <c r="AZ9" s="2">
        <v>9362.8700000000008</v>
      </c>
      <c r="BA9" s="2">
        <v>8623.51</v>
      </c>
      <c r="BB9" s="2">
        <v>16417.47</v>
      </c>
      <c r="BC9" s="2">
        <v>13383.09</v>
      </c>
      <c r="BF9" s="1" t="s">
        <v>19</v>
      </c>
      <c r="BG9" s="2">
        <v>39849.599999999999</v>
      </c>
      <c r="BH9" s="2">
        <v>39580.800000000003</v>
      </c>
      <c r="BI9" s="2">
        <v>48930</v>
      </c>
      <c r="BJ9" s="2">
        <v>37607.5</v>
      </c>
      <c r="BK9" s="2">
        <v>34672.400000000001</v>
      </c>
      <c r="BL9" s="2">
        <v>30850.400000000001</v>
      </c>
      <c r="BM9" s="2">
        <v>35828.1</v>
      </c>
      <c r="BN9" s="2">
        <v>30468.9</v>
      </c>
      <c r="BO9" s="2">
        <v>29939</v>
      </c>
      <c r="BP9" s="2">
        <v>36673</v>
      </c>
      <c r="BQ9" s="2">
        <v>29939</v>
      </c>
      <c r="BR9" s="2">
        <v>35435.4</v>
      </c>
      <c r="BS9" s="2">
        <v>9863.7000000000007</v>
      </c>
      <c r="BT9" s="2">
        <v>9084.6</v>
      </c>
      <c r="BU9" s="2">
        <v>18222.400000000001</v>
      </c>
      <c r="BV9" s="2">
        <v>14828.8</v>
      </c>
    </row>
    <row r="10" spans="2:74" x14ac:dyDescent="0.3">
      <c r="B10" s="1" t="s">
        <v>20</v>
      </c>
      <c r="C10" s="2">
        <v>1.04</v>
      </c>
      <c r="D10" s="2">
        <v>0.5</v>
      </c>
      <c r="E10" s="2">
        <v>0.4</v>
      </c>
      <c r="F10" s="2">
        <v>1.56</v>
      </c>
      <c r="G10" s="2">
        <v>0.7</v>
      </c>
      <c r="H10" s="2">
        <v>0.75</v>
      </c>
      <c r="I10" s="2">
        <v>0.78</v>
      </c>
      <c r="J10" s="2">
        <v>0.59</v>
      </c>
      <c r="K10" s="2">
        <v>0.49</v>
      </c>
      <c r="L10" s="2">
        <v>0.36</v>
      </c>
      <c r="M10" s="2">
        <v>0.49</v>
      </c>
      <c r="N10" s="2">
        <v>0.37</v>
      </c>
      <c r="O10" s="2">
        <v>0.53</v>
      </c>
      <c r="P10" s="2">
        <v>0.53</v>
      </c>
      <c r="Q10" s="2">
        <v>1.26</v>
      </c>
      <c r="R10" s="2">
        <v>0.94</v>
      </c>
      <c r="T10" s="1" t="s">
        <v>20</v>
      </c>
      <c r="U10" s="2">
        <v>2406.79</v>
      </c>
      <c r="V10" s="2">
        <v>1538.21</v>
      </c>
      <c r="W10" s="2">
        <v>2871.94</v>
      </c>
      <c r="X10" s="2">
        <v>1593.07</v>
      </c>
      <c r="Y10" s="2">
        <v>3529.67</v>
      </c>
      <c r="Z10" s="2">
        <v>1754.67</v>
      </c>
      <c r="AA10" s="2">
        <v>3758.12</v>
      </c>
      <c r="AB10" s="2">
        <v>1914.55</v>
      </c>
      <c r="AC10" s="2">
        <v>1696.99</v>
      </c>
      <c r="AD10" s="2">
        <v>2365.19</v>
      </c>
      <c r="AE10" s="2">
        <v>1696.95</v>
      </c>
      <c r="AF10" s="2">
        <v>2337.48</v>
      </c>
      <c r="AG10" s="2">
        <v>1143.82</v>
      </c>
      <c r="AH10" s="2">
        <v>938.12</v>
      </c>
      <c r="AI10" s="2">
        <v>964.94</v>
      </c>
      <c r="AJ10" s="2">
        <v>763.32</v>
      </c>
      <c r="AM10" s="1" t="s">
        <v>20</v>
      </c>
      <c r="AN10" s="2">
        <v>13853.21</v>
      </c>
      <c r="AO10" s="2">
        <v>9026.59</v>
      </c>
      <c r="AP10" s="2">
        <v>17213.060000000001</v>
      </c>
      <c r="AQ10" s="2">
        <v>9822.0499999999993</v>
      </c>
      <c r="AR10" s="2">
        <v>19007.53</v>
      </c>
      <c r="AS10" s="2">
        <v>9543.33</v>
      </c>
      <c r="AT10" s="2">
        <v>20189.98</v>
      </c>
      <c r="AU10" s="2">
        <v>10721.15</v>
      </c>
      <c r="AV10" s="2">
        <v>9904.2099999999991</v>
      </c>
      <c r="AW10" s="2">
        <v>12946.21</v>
      </c>
      <c r="AX10" s="2">
        <v>9904.25</v>
      </c>
      <c r="AY10" s="2">
        <v>12789.32</v>
      </c>
      <c r="AZ10" s="2">
        <v>6168.38</v>
      </c>
      <c r="BA10" s="2">
        <v>5055.28</v>
      </c>
      <c r="BB10" s="2">
        <v>5275.06</v>
      </c>
      <c r="BC10" s="2">
        <v>4507.08</v>
      </c>
      <c r="BF10" s="1" t="s">
        <v>20</v>
      </c>
      <c r="BG10" s="2">
        <v>16260</v>
      </c>
      <c r="BH10" s="2">
        <v>10564.8</v>
      </c>
      <c r="BI10" s="2">
        <v>20085</v>
      </c>
      <c r="BJ10" s="2">
        <v>11415.12</v>
      </c>
      <c r="BK10" s="2">
        <v>22537.200000000001</v>
      </c>
      <c r="BL10" s="2">
        <v>11298</v>
      </c>
      <c r="BM10" s="2">
        <v>23948.1</v>
      </c>
      <c r="BN10" s="2">
        <v>12635.7</v>
      </c>
      <c r="BO10" s="2">
        <v>11601.2</v>
      </c>
      <c r="BP10" s="2">
        <v>15311.4</v>
      </c>
      <c r="BQ10" s="2">
        <v>11601.2</v>
      </c>
      <c r="BR10" s="2">
        <v>15126.8</v>
      </c>
      <c r="BS10" s="2">
        <v>7312.2</v>
      </c>
      <c r="BT10" s="2">
        <v>5993.4</v>
      </c>
      <c r="BU10" s="2">
        <v>6240</v>
      </c>
      <c r="BV10" s="2">
        <v>5270.4</v>
      </c>
    </row>
    <row r="11" spans="2:74" x14ac:dyDescent="0.3">
      <c r="B11" s="1" t="s">
        <v>21</v>
      </c>
      <c r="C11" s="2">
        <v>1.6</v>
      </c>
      <c r="D11" s="2">
        <v>1.29</v>
      </c>
      <c r="E11" s="2">
        <v>0.82</v>
      </c>
      <c r="F11" s="2">
        <v>1.6</v>
      </c>
      <c r="G11" s="2">
        <v>1.6</v>
      </c>
      <c r="H11" s="2">
        <v>0.86</v>
      </c>
      <c r="I11" s="2">
        <v>1.22</v>
      </c>
      <c r="J11" s="2">
        <v>0.72</v>
      </c>
      <c r="K11" s="2">
        <v>0.44</v>
      </c>
      <c r="L11" s="2">
        <v>0.49</v>
      </c>
      <c r="M11" s="2">
        <v>0.5</v>
      </c>
      <c r="N11" s="2">
        <v>0.56999999999999995</v>
      </c>
      <c r="O11" s="2">
        <v>0.67</v>
      </c>
      <c r="P11" s="2">
        <v>0.9</v>
      </c>
      <c r="Q11" s="2">
        <v>1.17</v>
      </c>
      <c r="R11" s="2">
        <v>1.6</v>
      </c>
      <c r="T11" s="1" t="s">
        <v>21</v>
      </c>
      <c r="U11" s="2">
        <v>11132.91</v>
      </c>
      <c r="V11" s="2">
        <v>4416.75</v>
      </c>
      <c r="W11" s="2">
        <v>10513.25</v>
      </c>
      <c r="X11" s="2">
        <v>9835.31</v>
      </c>
      <c r="Y11" s="2">
        <v>13206.74</v>
      </c>
      <c r="Z11" s="2">
        <v>9313.2800000000007</v>
      </c>
      <c r="AA11" s="2">
        <v>13342.95</v>
      </c>
      <c r="AB11" s="2">
        <v>9903.27</v>
      </c>
      <c r="AC11" s="2">
        <v>4965.72</v>
      </c>
      <c r="AD11" s="2">
        <v>5774.95</v>
      </c>
      <c r="AE11" s="2">
        <v>4109.66</v>
      </c>
      <c r="AF11" s="2">
        <v>4694.78</v>
      </c>
      <c r="AG11" s="2">
        <v>2903.49</v>
      </c>
      <c r="AH11" s="2">
        <v>1384.11</v>
      </c>
      <c r="AI11" s="2">
        <v>1973.91</v>
      </c>
      <c r="AJ11" s="2">
        <v>2596.0300000000002</v>
      </c>
      <c r="AM11" s="1" t="s">
        <v>21</v>
      </c>
      <c r="AN11" s="2">
        <v>50220.5</v>
      </c>
      <c r="AO11" s="2">
        <v>26575.29</v>
      </c>
      <c r="AP11" s="2">
        <v>67096.75</v>
      </c>
      <c r="AQ11" s="2">
        <v>37740.19</v>
      </c>
      <c r="AR11" s="2">
        <v>71717.960000000006</v>
      </c>
      <c r="AS11" s="2">
        <v>52133.84</v>
      </c>
      <c r="AT11" s="2">
        <v>76880.87</v>
      </c>
      <c r="AU11" s="2">
        <v>57329.760000000002</v>
      </c>
      <c r="AV11" s="2">
        <v>29305.17</v>
      </c>
      <c r="AW11" s="2">
        <v>33161.93</v>
      </c>
      <c r="AX11" s="2">
        <v>24188.74</v>
      </c>
      <c r="AY11" s="2">
        <v>26895.22</v>
      </c>
      <c r="AZ11" s="2">
        <v>16254.49</v>
      </c>
      <c r="BA11" s="2">
        <v>12513.69</v>
      </c>
      <c r="BB11" s="2">
        <v>11194.89</v>
      </c>
      <c r="BC11" s="2">
        <v>12965.57</v>
      </c>
      <c r="BF11" s="1" t="s">
        <v>21</v>
      </c>
      <c r="BG11" s="2">
        <v>61353.41</v>
      </c>
      <c r="BH11" s="2">
        <v>30992.04</v>
      </c>
      <c r="BI11" s="2">
        <v>77610</v>
      </c>
      <c r="BJ11" s="2">
        <v>47575.5</v>
      </c>
      <c r="BK11" s="2">
        <v>84924.7</v>
      </c>
      <c r="BL11" s="2">
        <v>61447.12</v>
      </c>
      <c r="BM11" s="2">
        <v>90223.83</v>
      </c>
      <c r="BN11" s="2">
        <v>67233.02</v>
      </c>
      <c r="BO11" s="2">
        <v>34270.9</v>
      </c>
      <c r="BP11" s="2">
        <v>38936.879999999997</v>
      </c>
      <c r="BQ11" s="2">
        <v>28298.400000000001</v>
      </c>
      <c r="BR11" s="2">
        <v>31590</v>
      </c>
      <c r="BS11" s="2">
        <v>19157.98</v>
      </c>
      <c r="BT11" s="2">
        <v>13897.8</v>
      </c>
      <c r="BU11" s="2">
        <v>13168.8</v>
      </c>
      <c r="BV11" s="2">
        <v>15561.6</v>
      </c>
    </row>
    <row r="12" spans="2:74" x14ac:dyDescent="0.3">
      <c r="B12" s="1" t="s">
        <v>22</v>
      </c>
      <c r="C12" s="2">
        <v>1.3</v>
      </c>
      <c r="D12" s="2">
        <v>0.86</v>
      </c>
      <c r="E12" s="2">
        <v>0.6</v>
      </c>
      <c r="F12" s="2">
        <v>1.42</v>
      </c>
      <c r="G12" s="2">
        <v>1.02</v>
      </c>
      <c r="H12" s="2">
        <v>0.75</v>
      </c>
      <c r="I12" s="2">
        <v>0.43</v>
      </c>
      <c r="J12" s="2">
        <v>0.46</v>
      </c>
      <c r="K12" s="2">
        <v>0.36</v>
      </c>
      <c r="L12" s="2">
        <v>0.9</v>
      </c>
      <c r="M12" s="2">
        <v>0.43</v>
      </c>
      <c r="N12" s="2">
        <v>0.37</v>
      </c>
      <c r="O12" s="2">
        <v>0.39</v>
      </c>
      <c r="P12" s="2">
        <v>0.4</v>
      </c>
      <c r="Q12" s="2">
        <v>1.04</v>
      </c>
      <c r="R12" s="2">
        <v>1.1499999999999999</v>
      </c>
      <c r="T12" s="1" t="s">
        <v>22</v>
      </c>
      <c r="U12" s="2">
        <v>2533.39</v>
      </c>
      <c r="V12" s="2">
        <v>1496.45</v>
      </c>
      <c r="W12" s="2">
        <v>3023</v>
      </c>
      <c r="X12" s="2">
        <v>3080.56</v>
      </c>
      <c r="Y12" s="2">
        <v>3752.48</v>
      </c>
      <c r="Z12" s="2">
        <v>3250.94</v>
      </c>
      <c r="AA12" s="2">
        <v>3698.55</v>
      </c>
      <c r="AB12" s="2">
        <v>3151.9</v>
      </c>
      <c r="AC12" s="2">
        <v>2063.77</v>
      </c>
      <c r="AD12" s="2">
        <v>884.26</v>
      </c>
      <c r="AE12" s="2">
        <v>1654.95</v>
      </c>
      <c r="AF12" s="2">
        <v>808.6</v>
      </c>
      <c r="AG12" s="2">
        <v>449.52</v>
      </c>
      <c r="AH12" s="2">
        <v>449.73</v>
      </c>
      <c r="AI12" s="2">
        <v>592.11</v>
      </c>
      <c r="AJ12" s="2">
        <v>608.98</v>
      </c>
      <c r="AM12" s="1" t="s">
        <v>22</v>
      </c>
      <c r="AN12" s="2">
        <v>16294.61</v>
      </c>
      <c r="AO12" s="2">
        <v>9521.4699999999993</v>
      </c>
      <c r="AP12" s="2">
        <v>21112</v>
      </c>
      <c r="AQ12" s="2">
        <v>20241.439999999999</v>
      </c>
      <c r="AR12" s="2">
        <v>21836.720000000001</v>
      </c>
      <c r="AS12" s="2">
        <v>19135.060000000001</v>
      </c>
      <c r="AT12" s="2">
        <v>21232.95</v>
      </c>
      <c r="AU12" s="2">
        <v>18496.099999999999</v>
      </c>
      <c r="AV12" s="2">
        <v>12255.07</v>
      </c>
      <c r="AW12" s="2">
        <v>8036.34</v>
      </c>
      <c r="AX12" s="2">
        <v>9800.65</v>
      </c>
      <c r="AY12" s="2">
        <v>8112</v>
      </c>
      <c r="AZ12" s="2">
        <v>3780</v>
      </c>
      <c r="BA12" s="2">
        <v>3781.77</v>
      </c>
      <c r="BB12" s="2">
        <v>3763.09</v>
      </c>
      <c r="BC12" s="2">
        <v>3774.86</v>
      </c>
      <c r="BF12" s="1" t="s">
        <v>22</v>
      </c>
      <c r="BG12" s="2">
        <v>18828</v>
      </c>
      <c r="BH12" s="2">
        <v>11017.92</v>
      </c>
      <c r="BI12" s="2">
        <v>24135</v>
      </c>
      <c r="BJ12" s="2">
        <v>23322</v>
      </c>
      <c r="BK12" s="2">
        <v>25589.200000000001</v>
      </c>
      <c r="BL12" s="2">
        <v>22386</v>
      </c>
      <c r="BM12" s="2">
        <v>24931.5</v>
      </c>
      <c r="BN12" s="2">
        <v>21648</v>
      </c>
      <c r="BO12" s="2">
        <v>14318.84</v>
      </c>
      <c r="BP12" s="2">
        <v>8920.6</v>
      </c>
      <c r="BQ12" s="2">
        <v>11455.6</v>
      </c>
      <c r="BR12" s="2">
        <v>8920.6</v>
      </c>
      <c r="BS12" s="2">
        <v>4229.5200000000004</v>
      </c>
      <c r="BT12" s="2">
        <v>4231.5</v>
      </c>
      <c r="BU12" s="2">
        <v>4355.2</v>
      </c>
      <c r="BV12" s="2">
        <v>4383.84</v>
      </c>
    </row>
    <row r="13" spans="2:74" x14ac:dyDescent="0.3">
      <c r="B13" s="1" t="s">
        <v>23</v>
      </c>
      <c r="C13" s="2">
        <v>1.4</v>
      </c>
      <c r="D13" s="2">
        <v>1.26</v>
      </c>
      <c r="E13" s="2">
        <v>0.9</v>
      </c>
      <c r="F13" s="2">
        <v>1.05</v>
      </c>
      <c r="G13" s="2">
        <v>0.72</v>
      </c>
      <c r="H13" s="2">
        <v>0.67</v>
      </c>
      <c r="I13" s="2">
        <v>0.38</v>
      </c>
      <c r="J13" s="2">
        <v>0.4</v>
      </c>
      <c r="K13" s="2">
        <v>0.33</v>
      </c>
      <c r="L13" s="2">
        <v>0.32</v>
      </c>
      <c r="M13" s="2">
        <v>0.35</v>
      </c>
      <c r="N13" s="2">
        <v>0.32</v>
      </c>
      <c r="O13" s="2">
        <v>0.44</v>
      </c>
      <c r="P13" s="2">
        <v>0.43</v>
      </c>
      <c r="Q13" s="2">
        <v>1.42</v>
      </c>
      <c r="R13" s="2">
        <v>1.47</v>
      </c>
      <c r="T13" s="1" t="s">
        <v>23</v>
      </c>
      <c r="U13" s="2">
        <v>9021.33</v>
      </c>
      <c r="V13" s="2">
        <v>10345.83</v>
      </c>
      <c r="W13" s="2">
        <v>11445.31</v>
      </c>
      <c r="X13" s="2">
        <v>12128.17</v>
      </c>
      <c r="Y13" s="2">
        <v>12932.57</v>
      </c>
      <c r="Z13" s="2">
        <v>15215.44</v>
      </c>
      <c r="AA13" s="2">
        <v>12964.95</v>
      </c>
      <c r="AB13" s="2">
        <v>15897.9</v>
      </c>
      <c r="AC13" s="2">
        <v>12434.61</v>
      </c>
      <c r="AD13" s="2">
        <v>10492.18</v>
      </c>
      <c r="AE13" s="2">
        <v>12230.6</v>
      </c>
      <c r="AF13" s="2">
        <v>10275.370000000001</v>
      </c>
      <c r="AG13" s="2">
        <v>3978.87</v>
      </c>
      <c r="AH13" s="2">
        <v>3835.98</v>
      </c>
      <c r="AI13" s="2">
        <v>4396.5200000000004</v>
      </c>
      <c r="AJ13" s="2">
        <v>4207.25</v>
      </c>
      <c r="AM13" s="1" t="s">
        <v>23</v>
      </c>
      <c r="AN13" s="2">
        <v>55910.67</v>
      </c>
      <c r="AO13" s="2">
        <v>61654.17</v>
      </c>
      <c r="AP13" s="2">
        <v>76842.19</v>
      </c>
      <c r="AQ13" s="2">
        <v>77071.83</v>
      </c>
      <c r="AR13" s="2">
        <v>73727.429999999993</v>
      </c>
      <c r="AS13" s="2">
        <v>82812.56</v>
      </c>
      <c r="AT13" s="2">
        <v>72307.05</v>
      </c>
      <c r="AU13" s="2">
        <v>87359.1</v>
      </c>
      <c r="AV13" s="2">
        <v>68971.39</v>
      </c>
      <c r="AW13" s="2">
        <v>59434.82</v>
      </c>
      <c r="AX13" s="2">
        <v>67758.399999999994</v>
      </c>
      <c r="AY13" s="2">
        <v>58182.63</v>
      </c>
      <c r="AZ13" s="2">
        <v>21735.63</v>
      </c>
      <c r="BA13" s="2">
        <v>20954.52</v>
      </c>
      <c r="BB13" s="2">
        <v>27155.48</v>
      </c>
      <c r="BC13" s="2">
        <v>25530.720000000001</v>
      </c>
      <c r="BF13" s="1" t="s">
        <v>23</v>
      </c>
      <c r="BG13" s="2">
        <v>64932</v>
      </c>
      <c r="BH13" s="2">
        <v>72000</v>
      </c>
      <c r="BI13" s="2">
        <v>88287.5</v>
      </c>
      <c r="BJ13" s="2">
        <v>89200</v>
      </c>
      <c r="BK13" s="2">
        <v>86660</v>
      </c>
      <c r="BL13" s="2">
        <v>98028</v>
      </c>
      <c r="BM13" s="2">
        <v>85272</v>
      </c>
      <c r="BN13" s="2">
        <v>103257</v>
      </c>
      <c r="BO13" s="2">
        <v>81406</v>
      </c>
      <c r="BP13" s="2">
        <v>69927</v>
      </c>
      <c r="BQ13" s="2">
        <v>79989</v>
      </c>
      <c r="BR13" s="2">
        <v>68458</v>
      </c>
      <c r="BS13" s="2">
        <v>25714.5</v>
      </c>
      <c r="BT13" s="2">
        <v>24790.5</v>
      </c>
      <c r="BU13" s="2">
        <v>31552</v>
      </c>
      <c r="BV13" s="2">
        <v>29737.97</v>
      </c>
    </row>
    <row r="14" spans="2:74" x14ac:dyDescent="0.3">
      <c r="B14" s="1" t="s">
        <v>24</v>
      </c>
      <c r="C14" s="2">
        <v>1.21</v>
      </c>
      <c r="D14" s="2">
        <v>1.2</v>
      </c>
      <c r="E14" s="2">
        <v>0.45</v>
      </c>
      <c r="F14" s="2">
        <v>0.53</v>
      </c>
      <c r="G14" s="2">
        <v>0.67</v>
      </c>
      <c r="H14" s="2">
        <v>1</v>
      </c>
      <c r="I14" s="2">
        <v>0.32</v>
      </c>
      <c r="J14" s="2">
        <v>0.55000000000000004</v>
      </c>
      <c r="K14" s="2">
        <v>0.21</v>
      </c>
      <c r="L14" s="2">
        <v>0.2</v>
      </c>
      <c r="M14" s="2">
        <v>0.27</v>
      </c>
      <c r="N14" s="2">
        <v>0.25</v>
      </c>
      <c r="O14" s="2">
        <v>0.34</v>
      </c>
      <c r="P14" s="2">
        <v>0.3</v>
      </c>
      <c r="Q14" s="2">
        <v>0.57999999999999996</v>
      </c>
      <c r="R14" s="2">
        <v>1.23</v>
      </c>
      <c r="T14" s="1" t="s">
        <v>24</v>
      </c>
      <c r="U14" s="2">
        <v>2946.61</v>
      </c>
      <c r="V14" s="2">
        <v>2725.44</v>
      </c>
      <c r="W14" s="2">
        <v>3386.47</v>
      </c>
      <c r="X14" s="2">
        <v>4267.0200000000004</v>
      </c>
      <c r="Y14" s="2">
        <v>4491.75</v>
      </c>
      <c r="Z14" s="2">
        <v>5481.41</v>
      </c>
      <c r="AA14" s="2">
        <v>4171.0200000000004</v>
      </c>
      <c r="AB14" s="2">
        <v>5569.83</v>
      </c>
      <c r="AC14" s="2">
        <v>2831.23</v>
      </c>
      <c r="AD14" s="2">
        <v>2271.52</v>
      </c>
      <c r="AE14" s="2">
        <v>2393.27</v>
      </c>
      <c r="AF14" s="2">
        <v>1871.44</v>
      </c>
      <c r="AG14" s="2">
        <v>1278.1199999999999</v>
      </c>
      <c r="AH14" s="2">
        <v>1137.8399999999999</v>
      </c>
      <c r="AI14" s="2">
        <v>777.04</v>
      </c>
      <c r="AJ14" s="2">
        <v>758.78</v>
      </c>
      <c r="AM14" s="1" t="s">
        <v>24</v>
      </c>
      <c r="AN14" s="2">
        <v>14620.88</v>
      </c>
      <c r="AO14" s="2">
        <v>12658.92</v>
      </c>
      <c r="AP14" s="2">
        <v>18497.150000000001</v>
      </c>
      <c r="AQ14" s="2">
        <v>20777.98</v>
      </c>
      <c r="AR14" s="2">
        <v>20328.28</v>
      </c>
      <c r="AS14" s="2">
        <v>25083.82</v>
      </c>
      <c r="AT14" s="2">
        <v>18460.38</v>
      </c>
      <c r="AU14" s="2">
        <v>24004.77</v>
      </c>
      <c r="AV14" s="2">
        <v>11735.6</v>
      </c>
      <c r="AW14" s="2">
        <v>10091.86</v>
      </c>
      <c r="AX14" s="2">
        <v>9865.73</v>
      </c>
      <c r="AY14" s="2">
        <v>8019.27</v>
      </c>
      <c r="AZ14" s="2">
        <v>5308.63</v>
      </c>
      <c r="BA14" s="2">
        <v>4720.3599999999997</v>
      </c>
      <c r="BB14" s="2">
        <v>3837.92</v>
      </c>
      <c r="BC14" s="2">
        <v>3402.82</v>
      </c>
      <c r="BF14" s="1" t="s">
        <v>24</v>
      </c>
      <c r="BG14" s="2">
        <v>17567.490000000002</v>
      </c>
      <c r="BH14" s="2">
        <v>15384.36</v>
      </c>
      <c r="BI14" s="2">
        <v>21883.62</v>
      </c>
      <c r="BJ14" s="2">
        <v>25045</v>
      </c>
      <c r="BK14" s="2">
        <v>24820.03</v>
      </c>
      <c r="BL14" s="2">
        <v>30565.23</v>
      </c>
      <c r="BM14" s="2">
        <v>22631.4</v>
      </c>
      <c r="BN14" s="2">
        <v>29574.6</v>
      </c>
      <c r="BO14" s="2">
        <v>14566.83</v>
      </c>
      <c r="BP14" s="2">
        <v>12363.38</v>
      </c>
      <c r="BQ14" s="2">
        <v>12259</v>
      </c>
      <c r="BR14" s="2">
        <v>9890.7099999999991</v>
      </c>
      <c r="BS14" s="2">
        <v>6586.75</v>
      </c>
      <c r="BT14" s="2">
        <v>5858.21</v>
      </c>
      <c r="BU14" s="2">
        <v>4614.96</v>
      </c>
      <c r="BV14" s="2">
        <v>4161.6000000000004</v>
      </c>
    </row>
    <row r="15" spans="2:74" x14ac:dyDescent="0.3">
      <c r="B15" s="1" t="s">
        <v>25</v>
      </c>
      <c r="C15" s="2">
        <v>1.55</v>
      </c>
      <c r="D15" s="2">
        <v>1.44</v>
      </c>
      <c r="E15" s="2">
        <v>1.07</v>
      </c>
      <c r="F15" s="2">
        <v>0.72</v>
      </c>
      <c r="G15" s="2">
        <v>0.75</v>
      </c>
      <c r="H15" s="2">
        <v>0.82</v>
      </c>
      <c r="I15" s="2">
        <v>0.48</v>
      </c>
      <c r="J15" s="2">
        <v>0.52</v>
      </c>
      <c r="K15" s="2">
        <v>0.36</v>
      </c>
      <c r="L15" s="2">
        <v>0.38</v>
      </c>
      <c r="M15" s="2">
        <v>0.48</v>
      </c>
      <c r="N15" s="2">
        <v>0.49</v>
      </c>
      <c r="O15" s="2">
        <v>0.9</v>
      </c>
      <c r="P15" s="2">
        <v>0.47</v>
      </c>
      <c r="Q15" s="2">
        <v>1.6</v>
      </c>
      <c r="R15" s="2">
        <v>1.42</v>
      </c>
      <c r="T15" s="1" t="s">
        <v>25</v>
      </c>
      <c r="U15" s="2">
        <v>9597</v>
      </c>
      <c r="V15" s="2">
        <v>9715.69</v>
      </c>
      <c r="W15" s="2">
        <v>8368.7999999999993</v>
      </c>
      <c r="X15" s="2">
        <v>10537.48</v>
      </c>
      <c r="Y15" s="2">
        <v>12150.78</v>
      </c>
      <c r="Z15" s="2">
        <v>13393.05</v>
      </c>
      <c r="AA15" s="2">
        <v>11843</v>
      </c>
      <c r="AB15" s="2">
        <v>13628.06</v>
      </c>
      <c r="AC15" s="2">
        <v>8580.69</v>
      </c>
      <c r="AD15" s="2">
        <v>7716.54</v>
      </c>
      <c r="AE15" s="2">
        <v>6923.26</v>
      </c>
      <c r="AF15" s="2">
        <v>6209.95</v>
      </c>
      <c r="AG15" s="2">
        <v>1073.52</v>
      </c>
      <c r="AH15" s="2">
        <v>3423.95</v>
      </c>
      <c r="AI15" s="2">
        <v>2124.67</v>
      </c>
      <c r="AJ15" s="2">
        <v>2306.6</v>
      </c>
      <c r="AM15" s="1" t="s">
        <v>25</v>
      </c>
      <c r="AN15" s="2">
        <v>47069.86</v>
      </c>
      <c r="AO15" s="2">
        <v>46321.91</v>
      </c>
      <c r="AP15" s="2">
        <v>44554.2</v>
      </c>
      <c r="AQ15" s="2">
        <v>54832.52</v>
      </c>
      <c r="AR15" s="2">
        <v>55688.31</v>
      </c>
      <c r="AS15" s="2">
        <v>59226.32</v>
      </c>
      <c r="AT15" s="2">
        <v>54050.48</v>
      </c>
      <c r="AU15" s="2">
        <v>59290.84</v>
      </c>
      <c r="AV15" s="2">
        <v>36658.04</v>
      </c>
      <c r="AW15" s="2">
        <v>35109.949999999997</v>
      </c>
      <c r="AX15" s="2">
        <v>29267.72</v>
      </c>
      <c r="AY15" s="2">
        <v>28051.24</v>
      </c>
      <c r="AZ15" s="2">
        <v>9718.3799999999992</v>
      </c>
      <c r="BA15" s="2">
        <v>14150.67</v>
      </c>
      <c r="BB15" s="2">
        <v>9524.93</v>
      </c>
      <c r="BC15" s="2">
        <v>11184.28</v>
      </c>
      <c r="BF15" s="1" t="s">
        <v>25</v>
      </c>
      <c r="BG15" s="2">
        <v>56666.86</v>
      </c>
      <c r="BH15" s="2">
        <v>56037.599999999999</v>
      </c>
      <c r="BI15" s="2">
        <v>52923</v>
      </c>
      <c r="BJ15" s="2">
        <v>65370</v>
      </c>
      <c r="BK15" s="2">
        <v>67839.09</v>
      </c>
      <c r="BL15" s="2">
        <v>72619.37</v>
      </c>
      <c r="BM15" s="2">
        <v>65893.48</v>
      </c>
      <c r="BN15" s="2">
        <v>72918.89</v>
      </c>
      <c r="BO15" s="2">
        <v>45238.73</v>
      </c>
      <c r="BP15" s="2">
        <v>42826.49</v>
      </c>
      <c r="BQ15" s="2">
        <v>36190.980000000003</v>
      </c>
      <c r="BR15" s="2">
        <v>34261.19</v>
      </c>
      <c r="BS15" s="2">
        <v>10791.9</v>
      </c>
      <c r="BT15" s="2">
        <v>17574.62</v>
      </c>
      <c r="BU15" s="2">
        <v>11649.6</v>
      </c>
      <c r="BV15" s="2">
        <v>13490.88</v>
      </c>
    </row>
    <row r="16" spans="2:74" x14ac:dyDescent="0.3">
      <c r="B16" s="1" t="s">
        <v>26</v>
      </c>
      <c r="C16" s="2">
        <v>0.5</v>
      </c>
      <c r="D16" s="2">
        <v>0.43</v>
      </c>
      <c r="E16" s="2">
        <v>0.6</v>
      </c>
      <c r="F16" s="2">
        <v>0.2</v>
      </c>
      <c r="G16" s="2">
        <v>0.67</v>
      </c>
      <c r="H16" s="2">
        <v>0.59</v>
      </c>
      <c r="I16" s="2">
        <v>0.5</v>
      </c>
      <c r="J16" s="2">
        <v>0.39</v>
      </c>
      <c r="K16" s="2">
        <v>0.48</v>
      </c>
      <c r="L16" s="2">
        <v>0.53</v>
      </c>
      <c r="M16" s="2">
        <v>0.48</v>
      </c>
      <c r="N16" s="2">
        <v>0.53</v>
      </c>
      <c r="O16" s="2">
        <v>0.38</v>
      </c>
      <c r="P16" s="2">
        <v>0.32</v>
      </c>
      <c r="Q16" s="2">
        <v>0.71</v>
      </c>
      <c r="R16" s="2">
        <v>1.1399999999999999</v>
      </c>
      <c r="T16" s="1" t="s">
        <v>26</v>
      </c>
      <c r="U16" s="2">
        <v>4473.33</v>
      </c>
      <c r="V16" s="2">
        <v>5852.34</v>
      </c>
      <c r="W16" s="2">
        <v>4082.13</v>
      </c>
      <c r="X16" s="2">
        <v>4355.99</v>
      </c>
      <c r="Y16" s="2">
        <v>4207</v>
      </c>
      <c r="Z16" s="2">
        <v>5093.21</v>
      </c>
      <c r="AA16" s="2">
        <v>3921.81</v>
      </c>
      <c r="AB16" s="2">
        <v>5422.39</v>
      </c>
      <c r="AC16" s="2">
        <v>4622.71</v>
      </c>
      <c r="AD16" s="2">
        <v>3910.53</v>
      </c>
      <c r="AE16" s="2">
        <v>4622.71</v>
      </c>
      <c r="AF16" s="2">
        <v>3910.73</v>
      </c>
      <c r="AG16" s="2">
        <v>825.3</v>
      </c>
      <c r="AH16" s="2">
        <v>1297.5899999999999</v>
      </c>
      <c r="AI16" s="2">
        <v>1654.3</v>
      </c>
      <c r="AJ16" s="2">
        <v>1821.58</v>
      </c>
      <c r="AM16" s="1" t="s">
        <v>26</v>
      </c>
      <c r="AN16" s="2">
        <v>22721.07</v>
      </c>
      <c r="AO16" s="2">
        <v>27447.66</v>
      </c>
      <c r="AP16" s="2">
        <v>24545.37</v>
      </c>
      <c r="AQ16" s="2">
        <v>26851.51</v>
      </c>
      <c r="AR16" s="2">
        <v>19959.8</v>
      </c>
      <c r="AS16" s="2">
        <v>22643.59</v>
      </c>
      <c r="AT16" s="2">
        <v>18749.189999999999</v>
      </c>
      <c r="AU16" s="2">
        <v>23525.21</v>
      </c>
      <c r="AV16" s="2">
        <v>21585.29</v>
      </c>
      <c r="AW16" s="2">
        <v>17344.47</v>
      </c>
      <c r="AX16" s="2">
        <v>21585.29</v>
      </c>
      <c r="AY16" s="2">
        <v>17344.27</v>
      </c>
      <c r="AZ16" s="2">
        <v>4536</v>
      </c>
      <c r="BA16" s="2">
        <v>4718.91</v>
      </c>
      <c r="BB16" s="2">
        <v>9181.7000000000007</v>
      </c>
      <c r="BC16" s="2">
        <v>9392.2099999999991</v>
      </c>
      <c r="BF16" s="1" t="s">
        <v>26</v>
      </c>
      <c r="BG16" s="2">
        <v>27194.400000000001</v>
      </c>
      <c r="BH16" s="2">
        <v>33300</v>
      </c>
      <c r="BI16" s="2">
        <v>28627.5</v>
      </c>
      <c r="BJ16" s="2">
        <v>31207.5</v>
      </c>
      <c r="BK16" s="2">
        <v>24166.799999999999</v>
      </c>
      <c r="BL16" s="2">
        <v>27736.799999999999</v>
      </c>
      <c r="BM16" s="2">
        <v>22671</v>
      </c>
      <c r="BN16" s="2">
        <v>28947.599999999999</v>
      </c>
      <c r="BO16" s="2">
        <v>26208</v>
      </c>
      <c r="BP16" s="2">
        <v>21255</v>
      </c>
      <c r="BQ16" s="2">
        <v>26208</v>
      </c>
      <c r="BR16" s="2">
        <v>21255</v>
      </c>
      <c r="BS16" s="2">
        <v>5361.3</v>
      </c>
      <c r="BT16" s="2">
        <v>6016.5</v>
      </c>
      <c r="BU16" s="2">
        <v>10836</v>
      </c>
      <c r="BV16" s="2">
        <v>11213.79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0.06</v>
      </c>
      <c r="D23" s="2">
        <v>0.06</v>
      </c>
      <c r="E23" s="2">
        <v>0.06</v>
      </c>
      <c r="F23" s="2">
        <v>0.06</v>
      </c>
      <c r="G23" s="2">
        <v>0.05</v>
      </c>
      <c r="H23" s="2">
        <v>0.05</v>
      </c>
      <c r="I23" s="2">
        <v>0.06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971.81</v>
      </c>
      <c r="V23" s="2">
        <v>967.63</v>
      </c>
      <c r="W23" s="2">
        <v>1183.03</v>
      </c>
      <c r="X23" s="2">
        <v>901.19</v>
      </c>
      <c r="Y23" s="2">
        <v>643.95000000000005</v>
      </c>
      <c r="Z23" s="2">
        <v>569.74</v>
      </c>
      <c r="AA23" s="2">
        <v>655.44</v>
      </c>
      <c r="AB23" s="2">
        <v>463.33</v>
      </c>
      <c r="AC23" s="2">
        <v>583.02</v>
      </c>
      <c r="AD23" s="2">
        <v>716.18</v>
      </c>
      <c r="AE23" s="2">
        <v>583.02</v>
      </c>
      <c r="AF23" s="2">
        <v>691.91</v>
      </c>
      <c r="AG23" s="2">
        <v>238.49</v>
      </c>
      <c r="AH23" s="2">
        <v>219.57</v>
      </c>
      <c r="AI23" s="2">
        <v>2256.16</v>
      </c>
      <c r="AJ23" s="2">
        <v>1807.14</v>
      </c>
      <c r="AM23" s="1" t="s">
        <v>19</v>
      </c>
      <c r="AN23" s="2">
        <v>15632.19</v>
      </c>
      <c r="AO23" s="2">
        <v>15524.37</v>
      </c>
      <c r="AP23" s="2">
        <v>18388.97</v>
      </c>
      <c r="AQ23" s="2">
        <v>14141.81</v>
      </c>
      <c r="AR23" s="2">
        <v>11739.05</v>
      </c>
      <c r="AS23" s="2">
        <v>10448.26</v>
      </c>
      <c r="AT23" s="2">
        <v>10201.56</v>
      </c>
      <c r="AU23" s="2">
        <v>8769.67</v>
      </c>
      <c r="AV23" s="2">
        <v>10931.98</v>
      </c>
      <c r="AW23" s="2">
        <v>13388.82</v>
      </c>
      <c r="AX23" s="2">
        <v>10931.98</v>
      </c>
      <c r="AY23" s="2">
        <v>12937.09</v>
      </c>
      <c r="AZ23" s="2">
        <v>4458.51</v>
      </c>
      <c r="BA23" s="2">
        <v>4106.43</v>
      </c>
      <c r="BB23" s="2">
        <v>20521.84</v>
      </c>
      <c r="BC23" s="2">
        <v>16728.86</v>
      </c>
      <c r="BF23" s="1" t="s">
        <v>19</v>
      </c>
      <c r="BG23" s="2">
        <v>16604</v>
      </c>
      <c r="BH23" s="2">
        <v>16492</v>
      </c>
      <c r="BI23" s="2">
        <v>19572</v>
      </c>
      <c r="BJ23" s="2">
        <v>15043</v>
      </c>
      <c r="BK23" s="2">
        <v>12383</v>
      </c>
      <c r="BL23" s="2">
        <v>11018</v>
      </c>
      <c r="BM23" s="2">
        <v>10857</v>
      </c>
      <c r="BN23" s="2">
        <v>9233</v>
      </c>
      <c r="BO23" s="2">
        <v>11515</v>
      </c>
      <c r="BP23" s="2">
        <v>14105</v>
      </c>
      <c r="BQ23" s="2">
        <v>11515</v>
      </c>
      <c r="BR23" s="2">
        <v>13629</v>
      </c>
      <c r="BS23" s="2">
        <v>4697</v>
      </c>
      <c r="BT23" s="2">
        <v>4326</v>
      </c>
      <c r="BU23" s="2">
        <v>22778</v>
      </c>
      <c r="BV23" s="2">
        <v>18536</v>
      </c>
    </row>
    <row r="24" spans="2:74" x14ac:dyDescent="0.3">
      <c r="B24" s="1" t="s">
        <v>20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0.17</v>
      </c>
      <c r="I24" s="2">
        <v>0.17</v>
      </c>
      <c r="J24" s="2">
        <v>0.17</v>
      </c>
      <c r="K24" s="2">
        <v>0.18</v>
      </c>
      <c r="L24" s="2">
        <v>0.17</v>
      </c>
      <c r="M24" s="2">
        <v>0.18</v>
      </c>
      <c r="N24" s="2">
        <v>0.17</v>
      </c>
      <c r="O24" s="2">
        <v>0.18</v>
      </c>
      <c r="P24" s="2">
        <v>0.18</v>
      </c>
      <c r="Q24" s="2">
        <v>0.17</v>
      </c>
      <c r="R24" s="2">
        <v>0.18</v>
      </c>
      <c r="T24" s="1" t="s">
        <v>20</v>
      </c>
      <c r="U24" s="2">
        <v>1002.83</v>
      </c>
      <c r="V24" s="2">
        <v>640.91999999999996</v>
      </c>
      <c r="W24" s="2">
        <v>1148.78</v>
      </c>
      <c r="X24" s="2">
        <v>637.23</v>
      </c>
      <c r="Y24" s="2">
        <v>1260.5999999999999</v>
      </c>
      <c r="Z24" s="2">
        <v>626.66999999999996</v>
      </c>
      <c r="AA24" s="2">
        <v>1138.82</v>
      </c>
      <c r="AB24" s="2">
        <v>580.16999999999996</v>
      </c>
      <c r="AC24" s="2">
        <v>652.69000000000005</v>
      </c>
      <c r="AD24" s="2">
        <v>909.69</v>
      </c>
      <c r="AE24" s="2">
        <v>652.66999999999996</v>
      </c>
      <c r="AF24" s="2">
        <v>899.03</v>
      </c>
      <c r="AG24" s="2">
        <v>544.67999999999995</v>
      </c>
      <c r="AH24" s="2">
        <v>446.73</v>
      </c>
      <c r="AI24" s="2">
        <v>1206.17</v>
      </c>
      <c r="AJ24" s="2">
        <v>954.15</v>
      </c>
      <c r="AM24" s="1" t="s">
        <v>20</v>
      </c>
      <c r="AN24" s="2">
        <v>5772.17</v>
      </c>
      <c r="AO24" s="2">
        <v>3761.08</v>
      </c>
      <c r="AP24" s="2">
        <v>6885.22</v>
      </c>
      <c r="AQ24" s="2">
        <v>3928.82</v>
      </c>
      <c r="AR24" s="2">
        <v>6788.4</v>
      </c>
      <c r="AS24" s="2">
        <v>3408.33</v>
      </c>
      <c r="AT24" s="2">
        <v>6118.18</v>
      </c>
      <c r="AU24" s="2">
        <v>3248.83</v>
      </c>
      <c r="AV24" s="2">
        <v>3809.31</v>
      </c>
      <c r="AW24" s="2">
        <v>4979.3100000000004</v>
      </c>
      <c r="AX24" s="2">
        <v>3809.33</v>
      </c>
      <c r="AY24" s="2">
        <v>4918.97</v>
      </c>
      <c r="AZ24" s="2">
        <v>2937.32</v>
      </c>
      <c r="BA24" s="2">
        <v>2407.27</v>
      </c>
      <c r="BB24" s="2">
        <v>6593.83</v>
      </c>
      <c r="BC24" s="2">
        <v>5633.85</v>
      </c>
      <c r="BF24" s="1" t="s">
        <v>20</v>
      </c>
      <c r="BG24" s="2">
        <v>6775</v>
      </c>
      <c r="BH24" s="2">
        <v>4402</v>
      </c>
      <c r="BI24" s="2">
        <v>8034</v>
      </c>
      <c r="BJ24" s="2">
        <v>4566.05</v>
      </c>
      <c r="BK24" s="2">
        <v>8049</v>
      </c>
      <c r="BL24" s="2">
        <v>4035</v>
      </c>
      <c r="BM24" s="2">
        <v>7257</v>
      </c>
      <c r="BN24" s="2">
        <v>3829</v>
      </c>
      <c r="BO24" s="2">
        <v>4462</v>
      </c>
      <c r="BP24" s="2">
        <v>5889</v>
      </c>
      <c r="BQ24" s="2">
        <v>4462</v>
      </c>
      <c r="BR24" s="2">
        <v>5818</v>
      </c>
      <c r="BS24" s="2">
        <v>3482</v>
      </c>
      <c r="BT24" s="2">
        <v>2854</v>
      </c>
      <c r="BU24" s="2">
        <v>7800</v>
      </c>
      <c r="BV24" s="2">
        <v>6588</v>
      </c>
    </row>
    <row r="25" spans="2:74" x14ac:dyDescent="0.3">
      <c r="B25" s="1" t="s">
        <v>21</v>
      </c>
      <c r="C25" s="2">
        <v>0.21</v>
      </c>
      <c r="D25" s="2">
        <v>0.17</v>
      </c>
      <c r="E25" s="2">
        <v>0.16</v>
      </c>
      <c r="F25" s="2">
        <v>0.26</v>
      </c>
      <c r="G25" s="2">
        <v>0.17</v>
      </c>
      <c r="H25" s="2">
        <v>0.17</v>
      </c>
      <c r="I25" s="2">
        <v>0.16</v>
      </c>
      <c r="J25" s="2">
        <v>0.17</v>
      </c>
      <c r="K25" s="2">
        <v>0.18</v>
      </c>
      <c r="L25" s="2">
        <v>0.17</v>
      </c>
      <c r="M25" s="2">
        <v>0.18</v>
      </c>
      <c r="N25" s="2">
        <v>0.18</v>
      </c>
      <c r="O25" s="2">
        <v>0.18</v>
      </c>
      <c r="P25" s="2">
        <v>0.1</v>
      </c>
      <c r="Q25" s="2">
        <v>0.18</v>
      </c>
      <c r="R25" s="2">
        <v>0.2</v>
      </c>
      <c r="T25" s="1" t="s">
        <v>21</v>
      </c>
      <c r="U25" s="2">
        <v>4638.71</v>
      </c>
      <c r="V25" s="2">
        <v>1840.31</v>
      </c>
      <c r="W25" s="2">
        <v>4205.3</v>
      </c>
      <c r="X25" s="2">
        <v>3934.12</v>
      </c>
      <c r="Y25" s="2">
        <v>4716.6899999999996</v>
      </c>
      <c r="Z25" s="2">
        <v>3326.17</v>
      </c>
      <c r="AA25" s="2">
        <v>4043.32</v>
      </c>
      <c r="AB25" s="2">
        <v>3000.99</v>
      </c>
      <c r="AC25" s="2">
        <v>1909.89</v>
      </c>
      <c r="AD25" s="2">
        <v>2221.13</v>
      </c>
      <c r="AE25" s="2">
        <v>1580.64</v>
      </c>
      <c r="AF25" s="2">
        <v>1805.69</v>
      </c>
      <c r="AG25" s="2">
        <v>1382.62</v>
      </c>
      <c r="AH25" s="2">
        <v>659.1</v>
      </c>
      <c r="AI25" s="2">
        <v>2467.39</v>
      </c>
      <c r="AJ25" s="2">
        <v>3245.03</v>
      </c>
      <c r="AM25" s="1" t="s">
        <v>21</v>
      </c>
      <c r="AN25" s="2">
        <v>20925.21</v>
      </c>
      <c r="AO25" s="2">
        <v>11073.04</v>
      </c>
      <c r="AP25" s="2">
        <v>26838.7</v>
      </c>
      <c r="AQ25" s="2">
        <v>15096.08</v>
      </c>
      <c r="AR25" s="2">
        <v>25613.56</v>
      </c>
      <c r="AS25" s="2">
        <v>18619.23</v>
      </c>
      <c r="AT25" s="2">
        <v>23297.23</v>
      </c>
      <c r="AU25" s="2">
        <v>17372.650000000001</v>
      </c>
      <c r="AV25" s="2">
        <v>11271.22</v>
      </c>
      <c r="AW25" s="2">
        <v>12754.59</v>
      </c>
      <c r="AX25" s="2">
        <v>9303.36</v>
      </c>
      <c r="AY25" s="2">
        <v>10344.31</v>
      </c>
      <c r="AZ25" s="2">
        <v>7740.23</v>
      </c>
      <c r="BA25" s="2">
        <v>5958.9</v>
      </c>
      <c r="BB25" s="2">
        <v>13993.61</v>
      </c>
      <c r="BC25" s="2">
        <v>16206.97</v>
      </c>
      <c r="BF25" s="1" t="s">
        <v>21</v>
      </c>
      <c r="BG25" s="2">
        <v>25563.919999999998</v>
      </c>
      <c r="BH25" s="2">
        <v>12913.35</v>
      </c>
      <c r="BI25" s="2">
        <v>31044</v>
      </c>
      <c r="BJ25" s="2">
        <v>19030.2</v>
      </c>
      <c r="BK25" s="2">
        <v>30330.25</v>
      </c>
      <c r="BL25" s="2">
        <v>21945.4</v>
      </c>
      <c r="BM25" s="2">
        <v>27340.55</v>
      </c>
      <c r="BN25" s="2">
        <v>20373.64</v>
      </c>
      <c r="BO25" s="2">
        <v>13181.11</v>
      </c>
      <c r="BP25" s="2">
        <v>14975.72</v>
      </c>
      <c r="BQ25" s="2">
        <v>10884</v>
      </c>
      <c r="BR25" s="2">
        <v>12150</v>
      </c>
      <c r="BS25" s="2">
        <v>9122.85</v>
      </c>
      <c r="BT25" s="2">
        <v>6618</v>
      </c>
      <c r="BU25" s="2">
        <v>16461</v>
      </c>
      <c r="BV25" s="2">
        <v>19452</v>
      </c>
    </row>
    <row r="26" spans="2:74" x14ac:dyDescent="0.3">
      <c r="B26" s="1" t="s">
        <v>22</v>
      </c>
      <c r="C26" s="2">
        <v>0.16</v>
      </c>
      <c r="D26" s="2">
        <v>0.17</v>
      </c>
      <c r="E26" s="2">
        <v>0.16</v>
      </c>
      <c r="F26" s="2">
        <v>0.17</v>
      </c>
      <c r="G26" s="2">
        <v>0.16</v>
      </c>
      <c r="H26" s="2">
        <v>0.17</v>
      </c>
      <c r="I26" s="2">
        <v>0.17</v>
      </c>
      <c r="J26" s="2">
        <v>0.17</v>
      </c>
      <c r="K26" s="2">
        <v>0.18</v>
      </c>
      <c r="L26" s="2">
        <v>0.1</v>
      </c>
      <c r="M26" s="2">
        <v>0.18</v>
      </c>
      <c r="N26" s="2">
        <v>0.1</v>
      </c>
      <c r="O26" s="2">
        <v>0.12</v>
      </c>
      <c r="P26" s="2">
        <v>0.12</v>
      </c>
      <c r="Q26" s="2">
        <v>0.18</v>
      </c>
      <c r="R26" s="2">
        <v>0.18</v>
      </c>
      <c r="T26" s="1" t="s">
        <v>22</v>
      </c>
      <c r="U26" s="2">
        <v>1055.58</v>
      </c>
      <c r="V26" s="2">
        <v>623.52</v>
      </c>
      <c r="W26" s="2">
        <v>1209.2</v>
      </c>
      <c r="X26" s="2">
        <v>1232.22</v>
      </c>
      <c r="Y26" s="2">
        <v>1340.17</v>
      </c>
      <c r="Z26" s="2">
        <v>1161.05</v>
      </c>
      <c r="AA26" s="2">
        <v>1120.77</v>
      </c>
      <c r="AB26" s="2">
        <v>955.12</v>
      </c>
      <c r="AC26" s="2">
        <v>793.76</v>
      </c>
      <c r="AD26" s="2">
        <v>340.1</v>
      </c>
      <c r="AE26" s="2">
        <v>636.52</v>
      </c>
      <c r="AF26" s="2">
        <v>311</v>
      </c>
      <c r="AG26" s="2">
        <v>214.06</v>
      </c>
      <c r="AH26" s="2">
        <v>214.16</v>
      </c>
      <c r="AI26" s="2">
        <v>740.13</v>
      </c>
      <c r="AJ26" s="2">
        <v>761.22</v>
      </c>
      <c r="AM26" s="1" t="s">
        <v>22</v>
      </c>
      <c r="AN26" s="2">
        <v>6789.42</v>
      </c>
      <c r="AO26" s="2">
        <v>3967.28</v>
      </c>
      <c r="AP26" s="2">
        <v>8444.7999999999993</v>
      </c>
      <c r="AQ26" s="2">
        <v>8096.58</v>
      </c>
      <c r="AR26" s="2">
        <v>7798.83</v>
      </c>
      <c r="AS26" s="2">
        <v>6833.95</v>
      </c>
      <c r="AT26" s="2">
        <v>6434.23</v>
      </c>
      <c r="AU26" s="2">
        <v>5604.88</v>
      </c>
      <c r="AV26" s="2">
        <v>4713.49</v>
      </c>
      <c r="AW26" s="2">
        <v>3090.9</v>
      </c>
      <c r="AX26" s="2">
        <v>3769.48</v>
      </c>
      <c r="AY26" s="2">
        <v>3120</v>
      </c>
      <c r="AZ26" s="2">
        <v>1800</v>
      </c>
      <c r="BA26" s="2">
        <v>1800.84</v>
      </c>
      <c r="BB26" s="2">
        <v>4703.87</v>
      </c>
      <c r="BC26" s="2">
        <v>4718.58</v>
      </c>
      <c r="BF26" s="1" t="s">
        <v>22</v>
      </c>
      <c r="BG26" s="2">
        <v>7845</v>
      </c>
      <c r="BH26" s="2">
        <v>4590.8</v>
      </c>
      <c r="BI26" s="2">
        <v>9654</v>
      </c>
      <c r="BJ26" s="2">
        <v>9328.7999999999993</v>
      </c>
      <c r="BK26" s="2">
        <v>9139</v>
      </c>
      <c r="BL26" s="2">
        <v>7995</v>
      </c>
      <c r="BM26" s="2">
        <v>7555</v>
      </c>
      <c r="BN26" s="2">
        <v>6560</v>
      </c>
      <c r="BO26" s="2">
        <v>5507.25</v>
      </c>
      <c r="BP26" s="2">
        <v>3431</v>
      </c>
      <c r="BQ26" s="2">
        <v>4406</v>
      </c>
      <c r="BR26" s="2">
        <v>3431</v>
      </c>
      <c r="BS26" s="2">
        <v>2014.06</v>
      </c>
      <c r="BT26" s="2">
        <v>2015</v>
      </c>
      <c r="BU26" s="2">
        <v>5444</v>
      </c>
      <c r="BV26" s="2">
        <v>5479.8</v>
      </c>
    </row>
    <row r="27" spans="2:74" x14ac:dyDescent="0.3">
      <c r="B27" s="1" t="s">
        <v>23</v>
      </c>
      <c r="C27" s="2">
        <v>0.16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I27" s="2">
        <v>0.17</v>
      </c>
      <c r="J27" s="2">
        <v>0.17</v>
      </c>
      <c r="K27" s="2">
        <v>0.18</v>
      </c>
      <c r="L27" s="2">
        <v>0.18</v>
      </c>
      <c r="M27" s="2">
        <v>0.18</v>
      </c>
      <c r="N27" s="2">
        <v>0.18</v>
      </c>
      <c r="O27" s="2">
        <v>0.18</v>
      </c>
      <c r="P27" s="2">
        <v>0.18</v>
      </c>
      <c r="Q27" s="2">
        <v>0.18</v>
      </c>
      <c r="R27" s="2">
        <v>0.18</v>
      </c>
      <c r="T27" s="1" t="s">
        <v>23</v>
      </c>
      <c r="U27" s="2">
        <v>3758.89</v>
      </c>
      <c r="V27" s="2">
        <v>4310.76</v>
      </c>
      <c r="W27" s="2">
        <v>4578.12</v>
      </c>
      <c r="X27" s="2">
        <v>4851.2700000000004</v>
      </c>
      <c r="Y27" s="2">
        <v>4618.7700000000004</v>
      </c>
      <c r="Z27" s="2">
        <v>5434.09</v>
      </c>
      <c r="AA27" s="2">
        <v>3928.77</v>
      </c>
      <c r="AB27" s="2">
        <v>4817.55</v>
      </c>
      <c r="AC27" s="2">
        <v>4782.54</v>
      </c>
      <c r="AD27" s="2">
        <v>4035.45</v>
      </c>
      <c r="AE27" s="2">
        <v>4704.08</v>
      </c>
      <c r="AF27" s="2">
        <v>3952.07</v>
      </c>
      <c r="AG27" s="2">
        <v>1894.7</v>
      </c>
      <c r="AH27" s="2">
        <v>1826.66</v>
      </c>
      <c r="AI27" s="2">
        <v>5495.65</v>
      </c>
      <c r="AJ27" s="2">
        <v>5259.06</v>
      </c>
      <c r="AM27" s="1" t="s">
        <v>23</v>
      </c>
      <c r="AN27" s="2">
        <v>23296.11</v>
      </c>
      <c r="AO27" s="2">
        <v>25689.24</v>
      </c>
      <c r="AP27" s="2">
        <v>30736.880000000001</v>
      </c>
      <c r="AQ27" s="2">
        <v>30828.73</v>
      </c>
      <c r="AR27" s="2">
        <v>26331.23</v>
      </c>
      <c r="AS27" s="2">
        <v>29575.91</v>
      </c>
      <c r="AT27" s="2">
        <v>21911.23</v>
      </c>
      <c r="AU27" s="2">
        <v>26472.45</v>
      </c>
      <c r="AV27" s="2">
        <v>26527.46</v>
      </c>
      <c r="AW27" s="2">
        <v>22859.55</v>
      </c>
      <c r="AX27" s="2">
        <v>26060.92</v>
      </c>
      <c r="AY27" s="2">
        <v>22377.93</v>
      </c>
      <c r="AZ27" s="2">
        <v>10350.299999999999</v>
      </c>
      <c r="BA27" s="2">
        <v>9978.34</v>
      </c>
      <c r="BB27" s="2">
        <v>33944.35</v>
      </c>
      <c r="BC27" s="2">
        <v>31913.4</v>
      </c>
      <c r="BF27" s="1" t="s">
        <v>23</v>
      </c>
      <c r="BG27" s="2">
        <v>27055</v>
      </c>
      <c r="BH27" s="2">
        <v>30000</v>
      </c>
      <c r="BI27" s="2">
        <v>35315</v>
      </c>
      <c r="BJ27" s="2">
        <v>35680</v>
      </c>
      <c r="BK27" s="2">
        <v>30950</v>
      </c>
      <c r="BL27" s="2">
        <v>35010</v>
      </c>
      <c r="BM27" s="2">
        <v>25840</v>
      </c>
      <c r="BN27" s="2">
        <v>31290</v>
      </c>
      <c r="BO27" s="2">
        <v>31310</v>
      </c>
      <c r="BP27" s="2">
        <v>26895</v>
      </c>
      <c r="BQ27" s="2">
        <v>30765</v>
      </c>
      <c r="BR27" s="2">
        <v>26330</v>
      </c>
      <c r="BS27" s="2">
        <v>12245</v>
      </c>
      <c r="BT27" s="2">
        <v>11805</v>
      </c>
      <c r="BU27" s="2">
        <v>39440</v>
      </c>
      <c r="BV27" s="2">
        <v>37172.46</v>
      </c>
    </row>
    <row r="28" spans="2:74" x14ac:dyDescent="0.3">
      <c r="B28" s="1" t="s">
        <v>24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0.19</v>
      </c>
      <c r="I28" s="2">
        <v>0.2</v>
      </c>
      <c r="J28" s="2">
        <v>0.2</v>
      </c>
      <c r="K28" s="2">
        <v>0.21</v>
      </c>
      <c r="L28" s="2">
        <v>0.21</v>
      </c>
      <c r="M28" s="2">
        <v>0.22</v>
      </c>
      <c r="N28" s="2">
        <v>0.22</v>
      </c>
      <c r="O28" s="2">
        <v>0.22</v>
      </c>
      <c r="P28" s="2">
        <v>0.22</v>
      </c>
      <c r="Q28" s="2">
        <v>0.22</v>
      </c>
      <c r="R28" s="2">
        <v>0.22</v>
      </c>
      <c r="T28" s="1" t="s">
        <v>24</v>
      </c>
      <c r="U28" s="2">
        <v>1227.76</v>
      </c>
      <c r="V28" s="2">
        <v>1135.5999999999999</v>
      </c>
      <c r="W28" s="2">
        <v>1354.59</v>
      </c>
      <c r="X28" s="2">
        <v>1706.81</v>
      </c>
      <c r="Y28" s="2">
        <v>1604.2</v>
      </c>
      <c r="Z28" s="2">
        <v>1957.65</v>
      </c>
      <c r="AA28" s="2">
        <v>1263.94</v>
      </c>
      <c r="AB28" s="2">
        <v>1687.83</v>
      </c>
      <c r="AC28" s="2">
        <v>1088.93</v>
      </c>
      <c r="AD28" s="2">
        <v>873.66</v>
      </c>
      <c r="AE28" s="2">
        <v>920.49</v>
      </c>
      <c r="AF28" s="2">
        <v>719.78</v>
      </c>
      <c r="AG28" s="2">
        <v>608.63</v>
      </c>
      <c r="AH28" s="2">
        <v>541.83000000000004</v>
      </c>
      <c r="AI28" s="2">
        <v>971.3</v>
      </c>
      <c r="AJ28" s="2">
        <v>948.47</v>
      </c>
      <c r="AM28" s="1" t="s">
        <v>24</v>
      </c>
      <c r="AN28" s="2">
        <v>6092.03</v>
      </c>
      <c r="AO28" s="2">
        <v>5274.55</v>
      </c>
      <c r="AP28" s="2">
        <v>7398.86</v>
      </c>
      <c r="AQ28" s="2">
        <v>8311.19</v>
      </c>
      <c r="AR28" s="2">
        <v>7260.1</v>
      </c>
      <c r="AS28" s="2">
        <v>8958.51</v>
      </c>
      <c r="AT28" s="2">
        <v>5594.06</v>
      </c>
      <c r="AU28" s="2">
        <v>7274.17</v>
      </c>
      <c r="AV28" s="2">
        <v>4513.6899999999996</v>
      </c>
      <c r="AW28" s="2">
        <v>3881.48</v>
      </c>
      <c r="AX28" s="2">
        <v>3794.51</v>
      </c>
      <c r="AY28" s="2">
        <v>3084.34</v>
      </c>
      <c r="AZ28" s="2">
        <v>2527.92</v>
      </c>
      <c r="BA28" s="2">
        <v>2247.79</v>
      </c>
      <c r="BB28" s="2">
        <v>4797.3999999999996</v>
      </c>
      <c r="BC28" s="2">
        <v>4253.53</v>
      </c>
      <c r="BF28" s="1" t="s">
        <v>24</v>
      </c>
      <c r="BG28" s="2">
        <v>7319.79</v>
      </c>
      <c r="BH28" s="2">
        <v>6410.15</v>
      </c>
      <c r="BI28" s="2">
        <v>8753.4500000000007</v>
      </c>
      <c r="BJ28" s="2">
        <v>10018</v>
      </c>
      <c r="BK28" s="2">
        <v>8864.2999999999993</v>
      </c>
      <c r="BL28" s="2">
        <v>10916.15</v>
      </c>
      <c r="BM28" s="2">
        <v>6858</v>
      </c>
      <c r="BN28" s="2">
        <v>8962</v>
      </c>
      <c r="BO28" s="2">
        <v>5602.63</v>
      </c>
      <c r="BP28" s="2">
        <v>4755.1499999999996</v>
      </c>
      <c r="BQ28" s="2">
        <v>4715</v>
      </c>
      <c r="BR28" s="2">
        <v>3804.12</v>
      </c>
      <c r="BS28" s="2">
        <v>3136.55</v>
      </c>
      <c r="BT28" s="2">
        <v>2789.62</v>
      </c>
      <c r="BU28" s="2">
        <v>5768.7</v>
      </c>
      <c r="BV28" s="2">
        <v>5202</v>
      </c>
    </row>
    <row r="29" spans="2:74" x14ac:dyDescent="0.3">
      <c r="B29" s="1" t="s">
        <v>25</v>
      </c>
      <c r="C29" s="2">
        <v>0.2</v>
      </c>
      <c r="D29" s="2">
        <v>0.2</v>
      </c>
      <c r="E29" s="2">
        <v>0.2</v>
      </c>
      <c r="F29" s="2">
        <v>0.2</v>
      </c>
      <c r="G29" s="2">
        <v>0.2</v>
      </c>
      <c r="H29" s="2">
        <v>0.2</v>
      </c>
      <c r="I29" s="2">
        <v>0.2</v>
      </c>
      <c r="J29" s="2">
        <v>0.2</v>
      </c>
      <c r="K29" s="2">
        <v>0.21</v>
      </c>
      <c r="L29" s="2">
        <v>0.21</v>
      </c>
      <c r="M29" s="2">
        <v>0.21</v>
      </c>
      <c r="N29" s="2">
        <v>0.22</v>
      </c>
      <c r="O29" s="2">
        <v>0.1</v>
      </c>
      <c r="P29" s="2">
        <v>0.22</v>
      </c>
      <c r="Q29" s="2">
        <v>0.23</v>
      </c>
      <c r="R29" s="2">
        <v>0.22</v>
      </c>
      <c r="T29" s="1" t="s">
        <v>25</v>
      </c>
      <c r="U29" s="2">
        <v>3998.75</v>
      </c>
      <c r="V29" s="2">
        <v>4048.2</v>
      </c>
      <c r="W29" s="2">
        <v>3347.52</v>
      </c>
      <c r="X29" s="2">
        <v>4214.99</v>
      </c>
      <c r="Y29" s="2">
        <v>4339.5600000000004</v>
      </c>
      <c r="Z29" s="2">
        <v>4783.2299999999996</v>
      </c>
      <c r="AA29" s="2">
        <v>3588.79</v>
      </c>
      <c r="AB29" s="2">
        <v>4129.71</v>
      </c>
      <c r="AC29" s="2">
        <v>3300.26</v>
      </c>
      <c r="AD29" s="2">
        <v>2967.9</v>
      </c>
      <c r="AE29" s="2">
        <v>2662.79</v>
      </c>
      <c r="AF29" s="2">
        <v>2388.44</v>
      </c>
      <c r="AG29" s="2">
        <v>511.2</v>
      </c>
      <c r="AH29" s="2">
        <v>1630.45</v>
      </c>
      <c r="AI29" s="2">
        <v>2655.84</v>
      </c>
      <c r="AJ29" s="2">
        <v>2883.25</v>
      </c>
      <c r="AM29" s="1" t="s">
        <v>25</v>
      </c>
      <c r="AN29" s="2">
        <v>19612.439999999999</v>
      </c>
      <c r="AO29" s="2">
        <v>19300.8</v>
      </c>
      <c r="AP29" s="2">
        <v>17821.68</v>
      </c>
      <c r="AQ29" s="2">
        <v>21933.01</v>
      </c>
      <c r="AR29" s="2">
        <v>19888.68</v>
      </c>
      <c r="AS29" s="2">
        <v>21152.26</v>
      </c>
      <c r="AT29" s="2">
        <v>16378.93</v>
      </c>
      <c r="AU29" s="2">
        <v>17966.919999999998</v>
      </c>
      <c r="AV29" s="2">
        <v>14099.25</v>
      </c>
      <c r="AW29" s="2">
        <v>13503.83</v>
      </c>
      <c r="AX29" s="2">
        <v>11256.82</v>
      </c>
      <c r="AY29" s="2">
        <v>10788.94</v>
      </c>
      <c r="AZ29" s="2">
        <v>4627.8</v>
      </c>
      <c r="BA29" s="2">
        <v>6738.41</v>
      </c>
      <c r="BB29" s="2">
        <v>11906.16</v>
      </c>
      <c r="BC29" s="2">
        <v>13980.35</v>
      </c>
      <c r="BF29" s="1" t="s">
        <v>25</v>
      </c>
      <c r="BG29" s="2">
        <v>23611.19</v>
      </c>
      <c r="BH29" s="2">
        <v>23349</v>
      </c>
      <c r="BI29" s="2">
        <v>21169.200000000001</v>
      </c>
      <c r="BJ29" s="2">
        <v>26148</v>
      </c>
      <c r="BK29" s="2">
        <v>24228.25</v>
      </c>
      <c r="BL29" s="2">
        <v>25935.49</v>
      </c>
      <c r="BM29" s="2">
        <v>19967.72</v>
      </c>
      <c r="BN29" s="2">
        <v>22096.63</v>
      </c>
      <c r="BO29" s="2">
        <v>17399.509999999998</v>
      </c>
      <c r="BP29" s="2">
        <v>16471.73</v>
      </c>
      <c r="BQ29" s="2">
        <v>13919.61</v>
      </c>
      <c r="BR29" s="2">
        <v>13177.38</v>
      </c>
      <c r="BS29" s="2">
        <v>5139</v>
      </c>
      <c r="BT29" s="2">
        <v>8368.8700000000008</v>
      </c>
      <c r="BU29" s="2">
        <v>14562</v>
      </c>
      <c r="BV29" s="2">
        <v>16863.599999999999</v>
      </c>
    </row>
    <row r="30" spans="2:74" x14ac:dyDescent="0.3">
      <c r="B30" s="1" t="s">
        <v>26</v>
      </c>
      <c r="C30" s="2">
        <v>0.2</v>
      </c>
      <c r="D30" s="2">
        <v>0.21</v>
      </c>
      <c r="E30" s="2">
        <v>0.2</v>
      </c>
      <c r="F30" s="2">
        <v>0.18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0.18</v>
      </c>
      <c r="P30" s="2">
        <v>0.25</v>
      </c>
      <c r="Q30" s="2">
        <v>0.22</v>
      </c>
      <c r="R30" s="2">
        <v>0.22</v>
      </c>
      <c r="T30" s="1" t="s">
        <v>26</v>
      </c>
      <c r="U30" s="2">
        <v>1863.89</v>
      </c>
      <c r="V30" s="2">
        <v>2438.48</v>
      </c>
      <c r="W30" s="2">
        <v>1632.85</v>
      </c>
      <c r="X30" s="2">
        <v>1742.4</v>
      </c>
      <c r="Y30" s="2">
        <v>1502.5</v>
      </c>
      <c r="Z30" s="2">
        <v>1819</v>
      </c>
      <c r="AA30" s="2">
        <v>1188.43</v>
      </c>
      <c r="AB30" s="2">
        <v>1643.15</v>
      </c>
      <c r="AC30" s="2">
        <v>1777.96</v>
      </c>
      <c r="AD30" s="2">
        <v>1504.05</v>
      </c>
      <c r="AE30" s="2">
        <v>1777.97</v>
      </c>
      <c r="AF30" s="2">
        <v>1504.13</v>
      </c>
      <c r="AG30" s="2">
        <v>393</v>
      </c>
      <c r="AH30" s="2">
        <v>617.9</v>
      </c>
      <c r="AI30" s="2">
        <v>2067.88</v>
      </c>
      <c r="AJ30" s="2">
        <v>2276.98</v>
      </c>
      <c r="AM30" s="1" t="s">
        <v>26</v>
      </c>
      <c r="AN30" s="2">
        <v>9467.11</v>
      </c>
      <c r="AO30" s="2">
        <v>11436.52</v>
      </c>
      <c r="AP30" s="2">
        <v>9818.15</v>
      </c>
      <c r="AQ30" s="2">
        <v>10740.6</v>
      </c>
      <c r="AR30" s="2">
        <v>7128.5</v>
      </c>
      <c r="AS30" s="2">
        <v>8087</v>
      </c>
      <c r="AT30" s="2">
        <v>5681.57</v>
      </c>
      <c r="AU30" s="2">
        <v>7128.85</v>
      </c>
      <c r="AV30" s="2">
        <v>8302.0400000000009</v>
      </c>
      <c r="AW30" s="2">
        <v>6670.95</v>
      </c>
      <c r="AX30" s="2">
        <v>8302.0300000000007</v>
      </c>
      <c r="AY30" s="2">
        <v>6670.87</v>
      </c>
      <c r="AZ30" s="2">
        <v>2160</v>
      </c>
      <c r="BA30" s="2">
        <v>2247.1</v>
      </c>
      <c r="BB30" s="2">
        <v>11477.12</v>
      </c>
      <c r="BC30" s="2">
        <v>11740.27</v>
      </c>
      <c r="BF30" s="1" t="s">
        <v>26</v>
      </c>
      <c r="BG30" s="2">
        <v>11331</v>
      </c>
      <c r="BH30" s="2">
        <v>13875</v>
      </c>
      <c r="BI30" s="2">
        <v>11451</v>
      </c>
      <c r="BJ30" s="2">
        <v>12483</v>
      </c>
      <c r="BK30" s="2">
        <v>8631</v>
      </c>
      <c r="BL30" s="2">
        <v>9906</v>
      </c>
      <c r="BM30" s="2">
        <v>6870</v>
      </c>
      <c r="BN30" s="2">
        <v>8772</v>
      </c>
      <c r="BO30" s="2">
        <v>10080</v>
      </c>
      <c r="BP30" s="2">
        <v>8175</v>
      </c>
      <c r="BQ30" s="2">
        <v>10080</v>
      </c>
      <c r="BR30" s="2">
        <v>8175</v>
      </c>
      <c r="BS30" s="2">
        <v>2553</v>
      </c>
      <c r="BT30" s="2">
        <v>2865</v>
      </c>
      <c r="BU30" s="2">
        <v>13545</v>
      </c>
      <c r="BV30" s="2">
        <v>14017.24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466.47</v>
      </c>
      <c r="D37" s="2">
        <v>464.46</v>
      </c>
      <c r="E37" s="2">
        <v>591.52</v>
      </c>
      <c r="F37" s="2">
        <v>450.59</v>
      </c>
      <c r="G37" s="2">
        <v>360.61</v>
      </c>
      <c r="H37" s="2">
        <v>319.05</v>
      </c>
      <c r="I37" s="2">
        <v>432.59</v>
      </c>
      <c r="J37" s="2">
        <v>305.8</v>
      </c>
      <c r="K37" s="2">
        <v>303.17</v>
      </c>
      <c r="L37" s="2">
        <v>372.42</v>
      </c>
      <c r="M37" s="2">
        <v>303.17</v>
      </c>
      <c r="N37" s="2">
        <v>359.79</v>
      </c>
      <c r="O37" s="2">
        <v>100.17</v>
      </c>
      <c r="P37" s="2">
        <v>92.22</v>
      </c>
      <c r="Q37" s="2">
        <v>360.99</v>
      </c>
      <c r="R37" s="2">
        <v>289.14</v>
      </c>
      <c r="T37" s="1" t="s">
        <v>19</v>
      </c>
      <c r="U37" s="2">
        <v>138.83000000000001</v>
      </c>
      <c r="V37" s="2">
        <v>138.22999999999999</v>
      </c>
      <c r="W37" s="2">
        <v>169</v>
      </c>
      <c r="X37" s="2">
        <v>128.74</v>
      </c>
      <c r="Y37" s="2">
        <v>91.99</v>
      </c>
      <c r="Z37" s="2">
        <v>81.39</v>
      </c>
      <c r="AA37" s="2">
        <v>93.63</v>
      </c>
      <c r="AB37" s="2">
        <v>66.19</v>
      </c>
      <c r="AC37" s="2">
        <v>83.29</v>
      </c>
      <c r="AD37" s="2">
        <v>102.31</v>
      </c>
      <c r="AE37" s="2">
        <v>83.29</v>
      </c>
      <c r="AF37" s="2">
        <v>98.84</v>
      </c>
      <c r="AG37" s="2">
        <v>34.07</v>
      </c>
      <c r="AH37" s="2">
        <v>31.37</v>
      </c>
      <c r="AI37" s="2">
        <v>322.31</v>
      </c>
      <c r="AJ37" s="2">
        <v>258.16000000000003</v>
      </c>
      <c r="AM37" s="1" t="s">
        <v>19</v>
      </c>
      <c r="AN37" s="2">
        <v>2233.17</v>
      </c>
      <c r="AO37" s="2">
        <v>2217.77</v>
      </c>
      <c r="AP37" s="2">
        <v>2627</v>
      </c>
      <c r="AQ37" s="2">
        <v>2020.26</v>
      </c>
      <c r="AR37" s="2">
        <v>1677.01</v>
      </c>
      <c r="AS37" s="2">
        <v>1492.61</v>
      </c>
      <c r="AT37" s="2">
        <v>1457.37</v>
      </c>
      <c r="AU37" s="2">
        <v>1252.81</v>
      </c>
      <c r="AV37" s="2">
        <v>1561.71</v>
      </c>
      <c r="AW37" s="2">
        <v>1912.69</v>
      </c>
      <c r="AX37" s="2">
        <v>1561.71</v>
      </c>
      <c r="AY37" s="2">
        <v>1848.16</v>
      </c>
      <c r="AZ37" s="2">
        <v>636.92999999999995</v>
      </c>
      <c r="BA37" s="2">
        <v>586.63</v>
      </c>
      <c r="BB37" s="2">
        <v>2931.69</v>
      </c>
      <c r="BC37" s="2">
        <v>2389.84</v>
      </c>
      <c r="BF37" s="1" t="s">
        <v>19</v>
      </c>
      <c r="BG37" s="2">
        <v>2372</v>
      </c>
      <c r="BH37" s="2">
        <v>2356</v>
      </c>
      <c r="BI37" s="2">
        <v>2796</v>
      </c>
      <c r="BJ37" s="2">
        <v>2149</v>
      </c>
      <c r="BK37" s="2">
        <v>1769</v>
      </c>
      <c r="BL37" s="2">
        <v>1574</v>
      </c>
      <c r="BM37" s="2">
        <v>1551</v>
      </c>
      <c r="BN37" s="2">
        <v>1319</v>
      </c>
      <c r="BO37" s="2">
        <v>1645</v>
      </c>
      <c r="BP37" s="2">
        <v>2015</v>
      </c>
      <c r="BQ37" s="2">
        <v>1645</v>
      </c>
      <c r="BR37" s="2">
        <v>1947</v>
      </c>
      <c r="BS37" s="2">
        <v>671</v>
      </c>
      <c r="BT37" s="2">
        <v>618</v>
      </c>
      <c r="BU37" s="2">
        <v>3254</v>
      </c>
      <c r="BV37" s="2">
        <v>2648</v>
      </c>
    </row>
    <row r="38" spans="2:74" x14ac:dyDescent="0.3">
      <c r="B38" s="1" t="s">
        <v>20</v>
      </c>
      <c r="C38" s="2">
        <v>2511.0100000000002</v>
      </c>
      <c r="D38" s="2">
        <v>763.19</v>
      </c>
      <c r="E38" s="2">
        <v>1160.57</v>
      </c>
      <c r="F38" s="2">
        <v>2479.66</v>
      </c>
      <c r="G38" s="2">
        <v>2472.7399999999998</v>
      </c>
      <c r="H38" s="2">
        <v>1314.62</v>
      </c>
      <c r="I38" s="2">
        <v>2922.02</v>
      </c>
      <c r="J38" s="2">
        <v>1137.49</v>
      </c>
      <c r="K38" s="2">
        <v>837.72</v>
      </c>
      <c r="L38" s="2">
        <v>857.53</v>
      </c>
      <c r="M38" s="2">
        <v>837.73</v>
      </c>
      <c r="N38" s="2">
        <v>856.99</v>
      </c>
      <c r="O38" s="2">
        <v>600.54999999999995</v>
      </c>
      <c r="P38" s="2">
        <v>500.97</v>
      </c>
      <c r="Q38" s="2">
        <v>1211.45</v>
      </c>
      <c r="R38" s="2">
        <v>721.26</v>
      </c>
      <c r="T38" s="1" t="s">
        <v>20</v>
      </c>
      <c r="U38" s="2">
        <v>1002.83</v>
      </c>
      <c r="V38" s="2">
        <v>640.91999999999996</v>
      </c>
      <c r="W38" s="2">
        <v>1148.78</v>
      </c>
      <c r="X38" s="2">
        <v>637.23</v>
      </c>
      <c r="Y38" s="2">
        <v>1260.5999999999999</v>
      </c>
      <c r="Z38" s="2">
        <v>626.66999999999996</v>
      </c>
      <c r="AA38" s="2">
        <v>1138.82</v>
      </c>
      <c r="AB38" s="2">
        <v>580.16999999999996</v>
      </c>
      <c r="AC38" s="2">
        <v>652.69000000000005</v>
      </c>
      <c r="AD38" s="2">
        <v>909.69</v>
      </c>
      <c r="AE38" s="2">
        <v>652.66999999999996</v>
      </c>
      <c r="AF38" s="2">
        <v>899.03</v>
      </c>
      <c r="AG38" s="2">
        <v>544.67999999999995</v>
      </c>
      <c r="AH38" s="2">
        <v>446.73</v>
      </c>
      <c r="AI38" s="2">
        <v>1206.17</v>
      </c>
      <c r="AJ38" s="2">
        <v>954.15</v>
      </c>
      <c r="AM38" s="1" t="s">
        <v>20</v>
      </c>
      <c r="AN38" s="2">
        <v>5772.17</v>
      </c>
      <c r="AO38" s="2">
        <v>3761.08</v>
      </c>
      <c r="AP38" s="2">
        <v>6885.22</v>
      </c>
      <c r="AQ38" s="2">
        <v>3928.82</v>
      </c>
      <c r="AR38" s="2">
        <v>6788.4</v>
      </c>
      <c r="AS38" s="2">
        <v>3408.33</v>
      </c>
      <c r="AT38" s="2">
        <v>6118.18</v>
      </c>
      <c r="AU38" s="2">
        <v>3248.83</v>
      </c>
      <c r="AV38" s="2">
        <v>3809.31</v>
      </c>
      <c r="AW38" s="2">
        <v>4979.3100000000004</v>
      </c>
      <c r="AX38" s="2">
        <v>3809.33</v>
      </c>
      <c r="AY38" s="2">
        <v>4918.97</v>
      </c>
      <c r="AZ38" s="2">
        <v>2937.32</v>
      </c>
      <c r="BA38" s="2">
        <v>2407.27</v>
      </c>
      <c r="BB38" s="2">
        <v>6593.83</v>
      </c>
      <c r="BC38" s="2">
        <v>5633.85</v>
      </c>
      <c r="BF38" s="1" t="s">
        <v>20</v>
      </c>
      <c r="BG38" s="2">
        <v>6775</v>
      </c>
      <c r="BH38" s="2">
        <v>4402</v>
      </c>
      <c r="BI38" s="2">
        <v>8034</v>
      </c>
      <c r="BJ38" s="2">
        <v>4566.05</v>
      </c>
      <c r="BK38" s="2">
        <v>8049</v>
      </c>
      <c r="BL38" s="2">
        <v>4035</v>
      </c>
      <c r="BM38" s="2">
        <v>7257</v>
      </c>
      <c r="BN38" s="2">
        <v>3829</v>
      </c>
      <c r="BO38" s="2">
        <v>4462</v>
      </c>
      <c r="BP38" s="2">
        <v>5889</v>
      </c>
      <c r="BQ38" s="2">
        <v>4462</v>
      </c>
      <c r="BR38" s="2">
        <v>5818</v>
      </c>
      <c r="BS38" s="2">
        <v>3482</v>
      </c>
      <c r="BT38" s="2">
        <v>2854</v>
      </c>
      <c r="BU38" s="2">
        <v>7800</v>
      </c>
      <c r="BV38" s="2">
        <v>6588</v>
      </c>
    </row>
    <row r="39" spans="2:74" x14ac:dyDescent="0.3">
      <c r="B39" s="1" t="s">
        <v>21</v>
      </c>
      <c r="C39" s="2">
        <v>17812.64</v>
      </c>
      <c r="D39" s="2">
        <v>5687.49</v>
      </c>
      <c r="E39" s="2">
        <v>8588.65</v>
      </c>
      <c r="F39" s="2">
        <v>15736.5</v>
      </c>
      <c r="G39" s="2">
        <v>21130.78</v>
      </c>
      <c r="H39" s="2">
        <v>8010.06</v>
      </c>
      <c r="I39" s="2">
        <v>16319.12</v>
      </c>
      <c r="J39" s="2">
        <v>7110.63</v>
      </c>
      <c r="K39" s="2">
        <v>2175.7800000000002</v>
      </c>
      <c r="L39" s="2">
        <v>2816.07</v>
      </c>
      <c r="M39" s="2">
        <v>2070.9899999999998</v>
      </c>
      <c r="N39" s="2">
        <v>2678.64</v>
      </c>
      <c r="O39" s="2">
        <v>1936.13</v>
      </c>
      <c r="P39" s="2">
        <v>1245.7</v>
      </c>
      <c r="Q39" s="2">
        <v>2303.25</v>
      </c>
      <c r="R39" s="2">
        <v>4153.6400000000003</v>
      </c>
      <c r="T39" s="1" t="s">
        <v>21</v>
      </c>
      <c r="U39" s="2">
        <v>1546.24</v>
      </c>
      <c r="V39" s="2">
        <v>613.44000000000005</v>
      </c>
      <c r="W39" s="2">
        <v>1401.77</v>
      </c>
      <c r="X39" s="2">
        <v>1311.37</v>
      </c>
      <c r="Y39" s="2">
        <v>1572.23</v>
      </c>
      <c r="Z39" s="2">
        <v>1108.72</v>
      </c>
      <c r="AA39" s="2">
        <v>1347.77</v>
      </c>
      <c r="AB39" s="2">
        <v>1000.33</v>
      </c>
      <c r="AC39" s="2">
        <v>636.63</v>
      </c>
      <c r="AD39" s="2">
        <v>740.38</v>
      </c>
      <c r="AE39" s="2">
        <v>526.88</v>
      </c>
      <c r="AF39" s="2">
        <v>601.9</v>
      </c>
      <c r="AG39" s="2">
        <v>460.87</v>
      </c>
      <c r="AH39" s="2">
        <v>219.7</v>
      </c>
      <c r="AI39" s="2">
        <v>822.46</v>
      </c>
      <c r="AJ39" s="2">
        <v>1081.68</v>
      </c>
      <c r="AM39" s="1" t="s">
        <v>21</v>
      </c>
      <c r="AN39" s="2">
        <v>6975.07</v>
      </c>
      <c r="AO39" s="2">
        <v>3691.01</v>
      </c>
      <c r="AP39" s="2">
        <v>8946.23</v>
      </c>
      <c r="AQ39" s="2">
        <v>5032.03</v>
      </c>
      <c r="AR39" s="2">
        <v>8537.85</v>
      </c>
      <c r="AS39" s="2">
        <v>6206.41</v>
      </c>
      <c r="AT39" s="2">
        <v>7765.74</v>
      </c>
      <c r="AU39" s="2">
        <v>5790.88</v>
      </c>
      <c r="AV39" s="2">
        <v>3757.07</v>
      </c>
      <c r="AW39" s="2">
        <v>4251.53</v>
      </c>
      <c r="AX39" s="2">
        <v>3101.12</v>
      </c>
      <c r="AY39" s="2">
        <v>3448.1</v>
      </c>
      <c r="AZ39" s="2">
        <v>2580.08</v>
      </c>
      <c r="BA39" s="2">
        <v>1986.3</v>
      </c>
      <c r="BB39" s="2">
        <v>4664.54</v>
      </c>
      <c r="BC39" s="2">
        <v>5402.32</v>
      </c>
      <c r="BF39" s="1" t="s">
        <v>21</v>
      </c>
      <c r="BG39" s="2">
        <v>8521.31</v>
      </c>
      <c r="BH39" s="2">
        <v>4304.45</v>
      </c>
      <c r="BI39" s="2">
        <v>10348</v>
      </c>
      <c r="BJ39" s="2">
        <v>6343.4</v>
      </c>
      <c r="BK39" s="2">
        <v>10110.08</v>
      </c>
      <c r="BL39" s="2">
        <v>7315.13</v>
      </c>
      <c r="BM39" s="2">
        <v>9113.52</v>
      </c>
      <c r="BN39" s="2">
        <v>6791.21</v>
      </c>
      <c r="BO39" s="2">
        <v>4393.7</v>
      </c>
      <c r="BP39" s="2">
        <v>4991.91</v>
      </c>
      <c r="BQ39" s="2">
        <v>3628</v>
      </c>
      <c r="BR39" s="2">
        <v>4050</v>
      </c>
      <c r="BS39" s="2">
        <v>3040.95</v>
      </c>
      <c r="BT39" s="2">
        <v>2206</v>
      </c>
      <c r="BU39" s="2">
        <v>5487</v>
      </c>
      <c r="BV39" s="2">
        <v>6484</v>
      </c>
    </row>
    <row r="40" spans="2:74" x14ac:dyDescent="0.3">
      <c r="B40" s="1" t="s">
        <v>22</v>
      </c>
      <c r="C40" s="2">
        <v>3287.34</v>
      </c>
      <c r="D40" s="2">
        <v>1282.07</v>
      </c>
      <c r="E40" s="2">
        <v>1820.81</v>
      </c>
      <c r="F40" s="2">
        <v>4376.28</v>
      </c>
      <c r="G40" s="2">
        <v>3826.33</v>
      </c>
      <c r="H40" s="2">
        <v>2440.9899999999998</v>
      </c>
      <c r="I40" s="2">
        <v>1583.25</v>
      </c>
      <c r="J40" s="2">
        <v>1448.75</v>
      </c>
      <c r="K40" s="2">
        <v>752.75</v>
      </c>
      <c r="L40" s="2">
        <v>795.83</v>
      </c>
      <c r="M40" s="2">
        <v>703.52</v>
      </c>
      <c r="N40" s="2">
        <v>302.95999999999998</v>
      </c>
      <c r="O40" s="2">
        <v>177.38</v>
      </c>
      <c r="P40" s="2">
        <v>177.71</v>
      </c>
      <c r="Q40" s="2">
        <v>617.13</v>
      </c>
      <c r="R40" s="2">
        <v>702.45</v>
      </c>
      <c r="T40" s="1" t="s">
        <v>22</v>
      </c>
      <c r="U40" s="2">
        <v>1055.58</v>
      </c>
      <c r="V40" s="2">
        <v>623.52</v>
      </c>
      <c r="W40" s="2">
        <v>1209.2</v>
      </c>
      <c r="X40" s="2">
        <v>1232.22</v>
      </c>
      <c r="Y40" s="2">
        <v>1340.17</v>
      </c>
      <c r="Z40" s="2">
        <v>1161.05</v>
      </c>
      <c r="AA40" s="2">
        <v>1120.77</v>
      </c>
      <c r="AB40" s="2">
        <v>955.12</v>
      </c>
      <c r="AC40" s="2">
        <v>793.76</v>
      </c>
      <c r="AD40" s="2">
        <v>340.1</v>
      </c>
      <c r="AE40" s="2">
        <v>636.52</v>
      </c>
      <c r="AF40" s="2">
        <v>311</v>
      </c>
      <c r="AG40" s="2">
        <v>214.06</v>
      </c>
      <c r="AH40" s="2">
        <v>214.16</v>
      </c>
      <c r="AI40" s="2">
        <v>740.13</v>
      </c>
      <c r="AJ40" s="2">
        <v>761.22</v>
      </c>
      <c r="AM40" s="1" t="s">
        <v>22</v>
      </c>
      <c r="AN40" s="2">
        <v>6789.42</v>
      </c>
      <c r="AO40" s="2">
        <v>3967.28</v>
      </c>
      <c r="AP40" s="2">
        <v>8444.7999999999993</v>
      </c>
      <c r="AQ40" s="2">
        <v>8096.58</v>
      </c>
      <c r="AR40" s="2">
        <v>7798.83</v>
      </c>
      <c r="AS40" s="2">
        <v>6833.95</v>
      </c>
      <c r="AT40" s="2">
        <v>6434.23</v>
      </c>
      <c r="AU40" s="2">
        <v>5604.88</v>
      </c>
      <c r="AV40" s="2">
        <v>4713.49</v>
      </c>
      <c r="AW40" s="2">
        <v>3090.9</v>
      </c>
      <c r="AX40" s="2">
        <v>3769.48</v>
      </c>
      <c r="AY40" s="2">
        <v>3120</v>
      </c>
      <c r="AZ40" s="2">
        <v>1800</v>
      </c>
      <c r="BA40" s="2">
        <v>1800.84</v>
      </c>
      <c r="BB40" s="2">
        <v>4703.87</v>
      </c>
      <c r="BC40" s="2">
        <v>4718.58</v>
      </c>
      <c r="BF40" s="1" t="s">
        <v>22</v>
      </c>
      <c r="BG40" s="2">
        <v>7845</v>
      </c>
      <c r="BH40" s="2">
        <v>4590.8</v>
      </c>
      <c r="BI40" s="2">
        <v>9654</v>
      </c>
      <c r="BJ40" s="2">
        <v>9328.7999999999993</v>
      </c>
      <c r="BK40" s="2">
        <v>9139</v>
      </c>
      <c r="BL40" s="2">
        <v>7995</v>
      </c>
      <c r="BM40" s="2">
        <v>7555</v>
      </c>
      <c r="BN40" s="2">
        <v>6560</v>
      </c>
      <c r="BO40" s="2">
        <v>5507.25</v>
      </c>
      <c r="BP40" s="2">
        <v>3431</v>
      </c>
      <c r="BQ40" s="2">
        <v>4406</v>
      </c>
      <c r="BR40" s="2">
        <v>3431</v>
      </c>
      <c r="BS40" s="2">
        <v>2014.06</v>
      </c>
      <c r="BT40" s="2">
        <v>2015</v>
      </c>
      <c r="BU40" s="2">
        <v>5444</v>
      </c>
      <c r="BV40" s="2">
        <v>5479.8</v>
      </c>
    </row>
    <row r="41" spans="2:74" x14ac:dyDescent="0.3">
      <c r="B41" s="1" t="s">
        <v>23</v>
      </c>
      <c r="C41" s="2">
        <v>12634.66</v>
      </c>
      <c r="D41" s="2">
        <v>13067.49</v>
      </c>
      <c r="E41" s="2">
        <v>10295.66</v>
      </c>
      <c r="F41" s="2">
        <v>12753.01</v>
      </c>
      <c r="G41" s="2">
        <v>9300.5400000000009</v>
      </c>
      <c r="H41" s="2">
        <v>10163.58</v>
      </c>
      <c r="I41" s="2">
        <v>4948.1499999999996</v>
      </c>
      <c r="J41" s="2">
        <v>6300.76</v>
      </c>
      <c r="K41" s="2">
        <v>4058.85</v>
      </c>
      <c r="L41" s="2">
        <v>3339.1</v>
      </c>
      <c r="M41" s="2">
        <v>4316.1499999999996</v>
      </c>
      <c r="N41" s="2">
        <v>3335.32</v>
      </c>
      <c r="O41" s="2">
        <v>1745.04</v>
      </c>
      <c r="P41" s="2">
        <v>1642.82</v>
      </c>
      <c r="Q41" s="2">
        <v>6253.22</v>
      </c>
      <c r="R41" s="2">
        <v>6192.58</v>
      </c>
      <c r="T41" s="1" t="s">
        <v>23</v>
      </c>
      <c r="U41" s="2">
        <v>751.78</v>
      </c>
      <c r="V41" s="2">
        <v>862.15</v>
      </c>
      <c r="W41" s="2">
        <v>915.62</v>
      </c>
      <c r="X41" s="2">
        <v>970.25</v>
      </c>
      <c r="Y41" s="2">
        <v>923.75</v>
      </c>
      <c r="Z41" s="2">
        <v>1086.82</v>
      </c>
      <c r="AA41" s="2">
        <v>785.75</v>
      </c>
      <c r="AB41" s="2">
        <v>963.51</v>
      </c>
      <c r="AC41" s="2">
        <v>956.51</v>
      </c>
      <c r="AD41" s="2">
        <v>807.09</v>
      </c>
      <c r="AE41" s="2">
        <v>940.82</v>
      </c>
      <c r="AF41" s="2">
        <v>790.41</v>
      </c>
      <c r="AG41" s="2">
        <v>378.94</v>
      </c>
      <c r="AH41" s="2">
        <v>365.33</v>
      </c>
      <c r="AI41" s="2">
        <v>1099.1300000000001</v>
      </c>
      <c r="AJ41" s="2">
        <v>1051.81</v>
      </c>
      <c r="AM41" s="1" t="s">
        <v>23</v>
      </c>
      <c r="AN41" s="2">
        <v>4659.22</v>
      </c>
      <c r="AO41" s="2">
        <v>5137.8500000000004</v>
      </c>
      <c r="AP41" s="2">
        <v>6147.38</v>
      </c>
      <c r="AQ41" s="2">
        <v>6165.75</v>
      </c>
      <c r="AR41" s="2">
        <v>5266.25</v>
      </c>
      <c r="AS41" s="2">
        <v>5915.18</v>
      </c>
      <c r="AT41" s="2">
        <v>4382.25</v>
      </c>
      <c r="AU41" s="2">
        <v>5294.49</v>
      </c>
      <c r="AV41" s="2">
        <v>5305.49</v>
      </c>
      <c r="AW41" s="2">
        <v>4571.91</v>
      </c>
      <c r="AX41" s="2">
        <v>5212.18</v>
      </c>
      <c r="AY41" s="2">
        <v>4475.59</v>
      </c>
      <c r="AZ41" s="2">
        <v>2070.06</v>
      </c>
      <c r="BA41" s="2">
        <v>1995.67</v>
      </c>
      <c r="BB41" s="2">
        <v>6788.87</v>
      </c>
      <c r="BC41" s="2">
        <v>6382.68</v>
      </c>
      <c r="BF41" s="1" t="s">
        <v>23</v>
      </c>
      <c r="BG41" s="2">
        <v>5411</v>
      </c>
      <c r="BH41" s="2">
        <v>6000</v>
      </c>
      <c r="BI41" s="2">
        <v>7063</v>
      </c>
      <c r="BJ41" s="2">
        <v>7136</v>
      </c>
      <c r="BK41" s="2">
        <v>6190</v>
      </c>
      <c r="BL41" s="2">
        <v>7002</v>
      </c>
      <c r="BM41" s="2">
        <v>5168</v>
      </c>
      <c r="BN41" s="2">
        <v>6258</v>
      </c>
      <c r="BO41" s="2">
        <v>6262</v>
      </c>
      <c r="BP41" s="2">
        <v>5379</v>
      </c>
      <c r="BQ41" s="2">
        <v>6153</v>
      </c>
      <c r="BR41" s="2">
        <v>5266</v>
      </c>
      <c r="BS41" s="2">
        <v>2449</v>
      </c>
      <c r="BT41" s="2">
        <v>2361</v>
      </c>
      <c r="BU41" s="2">
        <v>7888</v>
      </c>
      <c r="BV41" s="2">
        <v>7434.49</v>
      </c>
    </row>
    <row r="42" spans="2:74" x14ac:dyDescent="0.3">
      <c r="B42" s="1" t="s">
        <v>24</v>
      </c>
      <c r="C42" s="2">
        <v>3562.96</v>
      </c>
      <c r="D42" s="2">
        <v>3257.85</v>
      </c>
      <c r="E42" s="2">
        <v>1540.54</v>
      </c>
      <c r="F42" s="2">
        <v>2247.4699999999998</v>
      </c>
      <c r="G42" s="2">
        <v>3029.88</v>
      </c>
      <c r="H42" s="2">
        <v>5467.7</v>
      </c>
      <c r="I42" s="2">
        <v>1338.36</v>
      </c>
      <c r="J42" s="2">
        <v>3080.63</v>
      </c>
      <c r="K42" s="2">
        <v>590.1</v>
      </c>
      <c r="L42" s="2">
        <v>454.31</v>
      </c>
      <c r="M42" s="2">
        <v>646.46</v>
      </c>
      <c r="N42" s="2">
        <v>469.59</v>
      </c>
      <c r="O42" s="2">
        <v>437.32</v>
      </c>
      <c r="P42" s="2">
        <v>342.81</v>
      </c>
      <c r="Q42" s="2">
        <v>450.76</v>
      </c>
      <c r="R42" s="2">
        <v>936.61</v>
      </c>
      <c r="T42" s="1" t="s">
        <v>24</v>
      </c>
      <c r="U42" s="2">
        <v>1227.76</v>
      </c>
      <c r="V42" s="2">
        <v>1135.5999999999999</v>
      </c>
      <c r="W42" s="2">
        <v>1354.59</v>
      </c>
      <c r="X42" s="2">
        <v>1706.81</v>
      </c>
      <c r="Y42" s="2">
        <v>1604.2</v>
      </c>
      <c r="Z42" s="2">
        <v>1957.65</v>
      </c>
      <c r="AA42" s="2">
        <v>1263.94</v>
      </c>
      <c r="AB42" s="2">
        <v>1687.83</v>
      </c>
      <c r="AC42" s="2">
        <v>1088.93</v>
      </c>
      <c r="AD42" s="2">
        <v>873.66</v>
      </c>
      <c r="AE42" s="2">
        <v>920.49</v>
      </c>
      <c r="AF42" s="2">
        <v>719.78</v>
      </c>
      <c r="AG42" s="2">
        <v>608.63</v>
      </c>
      <c r="AH42" s="2">
        <v>541.83000000000004</v>
      </c>
      <c r="AI42" s="2">
        <v>971.3</v>
      </c>
      <c r="AJ42" s="2">
        <v>948.47</v>
      </c>
      <c r="AM42" s="1" t="s">
        <v>24</v>
      </c>
      <c r="AN42" s="2">
        <v>6092.03</v>
      </c>
      <c r="AO42" s="2">
        <v>5274.55</v>
      </c>
      <c r="AP42" s="2">
        <v>7398.86</v>
      </c>
      <c r="AQ42" s="2">
        <v>8311.19</v>
      </c>
      <c r="AR42" s="2">
        <v>7260.1</v>
      </c>
      <c r="AS42" s="2">
        <v>8958.51</v>
      </c>
      <c r="AT42" s="2">
        <v>5594.06</v>
      </c>
      <c r="AU42" s="2">
        <v>7274.17</v>
      </c>
      <c r="AV42" s="2">
        <v>4513.6899999999996</v>
      </c>
      <c r="AW42" s="2">
        <v>3881.48</v>
      </c>
      <c r="AX42" s="2">
        <v>3794.51</v>
      </c>
      <c r="AY42" s="2">
        <v>3084.34</v>
      </c>
      <c r="AZ42" s="2">
        <v>2527.92</v>
      </c>
      <c r="BA42" s="2">
        <v>2247.79</v>
      </c>
      <c r="BB42" s="2">
        <v>4797.3999999999996</v>
      </c>
      <c r="BC42" s="2">
        <v>4253.53</v>
      </c>
      <c r="BF42" s="1" t="s">
        <v>24</v>
      </c>
      <c r="BG42" s="2">
        <v>7319.79</v>
      </c>
      <c r="BH42" s="2">
        <v>6410.15</v>
      </c>
      <c r="BI42" s="2">
        <v>8753.4500000000007</v>
      </c>
      <c r="BJ42" s="2">
        <v>10018</v>
      </c>
      <c r="BK42" s="2">
        <v>8864.2999999999993</v>
      </c>
      <c r="BL42" s="2">
        <v>10916.15</v>
      </c>
      <c r="BM42" s="2">
        <v>6858</v>
      </c>
      <c r="BN42" s="2">
        <v>8962</v>
      </c>
      <c r="BO42" s="2">
        <v>5602.63</v>
      </c>
      <c r="BP42" s="2">
        <v>4755.1499999999996</v>
      </c>
      <c r="BQ42" s="2">
        <v>4715</v>
      </c>
      <c r="BR42" s="2">
        <v>3804.12</v>
      </c>
      <c r="BS42" s="2">
        <v>3136.55</v>
      </c>
      <c r="BT42" s="2">
        <v>2789.62</v>
      </c>
      <c r="BU42" s="2">
        <v>5768.7</v>
      </c>
      <c r="BV42" s="2">
        <v>5202</v>
      </c>
    </row>
    <row r="43" spans="2:74" x14ac:dyDescent="0.3">
      <c r="B43" s="1" t="s">
        <v>25</v>
      </c>
      <c r="C43" s="2">
        <v>14865.7</v>
      </c>
      <c r="D43" s="2">
        <v>13970.06</v>
      </c>
      <c r="E43" s="2">
        <v>8921.19</v>
      </c>
      <c r="F43" s="2">
        <v>7548.29</v>
      </c>
      <c r="G43" s="2">
        <v>9173.31</v>
      </c>
      <c r="H43" s="2">
        <v>10951.54</v>
      </c>
      <c r="I43" s="2">
        <v>5743.55</v>
      </c>
      <c r="J43" s="2">
        <v>7088</v>
      </c>
      <c r="K43" s="2">
        <v>3057.31</v>
      </c>
      <c r="L43" s="2">
        <v>2899.18</v>
      </c>
      <c r="M43" s="2">
        <v>3299.14</v>
      </c>
      <c r="N43" s="2">
        <v>3014.29</v>
      </c>
      <c r="O43" s="2">
        <v>966.17</v>
      </c>
      <c r="P43" s="2">
        <v>1600.66</v>
      </c>
      <c r="Q43" s="2">
        <v>3399.47</v>
      </c>
      <c r="R43" s="2">
        <v>3285.74</v>
      </c>
      <c r="T43" s="1" t="s">
        <v>25</v>
      </c>
      <c r="U43" s="2">
        <v>1332.92</v>
      </c>
      <c r="V43" s="2">
        <v>1349.4</v>
      </c>
      <c r="W43" s="2">
        <v>1115.8399999999999</v>
      </c>
      <c r="X43" s="2">
        <v>1405</v>
      </c>
      <c r="Y43" s="2">
        <v>1446.52</v>
      </c>
      <c r="Z43" s="2">
        <v>1594.41</v>
      </c>
      <c r="AA43" s="2">
        <v>1196.26</v>
      </c>
      <c r="AB43" s="2">
        <v>1376.57</v>
      </c>
      <c r="AC43" s="2">
        <v>1100.0899999999999</v>
      </c>
      <c r="AD43" s="2">
        <v>989.3</v>
      </c>
      <c r="AE43" s="2">
        <v>887.6</v>
      </c>
      <c r="AF43" s="2">
        <v>796.15</v>
      </c>
      <c r="AG43" s="2">
        <v>170.4</v>
      </c>
      <c r="AH43" s="2">
        <v>543.48</v>
      </c>
      <c r="AI43" s="2">
        <v>885.28</v>
      </c>
      <c r="AJ43" s="2">
        <v>961.08</v>
      </c>
      <c r="AM43" s="1" t="s">
        <v>25</v>
      </c>
      <c r="AN43" s="2">
        <v>6537.48</v>
      </c>
      <c r="AO43" s="2">
        <v>6433.6</v>
      </c>
      <c r="AP43" s="2">
        <v>5940.56</v>
      </c>
      <c r="AQ43" s="2">
        <v>7311</v>
      </c>
      <c r="AR43" s="2">
        <v>6629.56</v>
      </c>
      <c r="AS43" s="2">
        <v>7050.75</v>
      </c>
      <c r="AT43" s="2">
        <v>5459.64</v>
      </c>
      <c r="AU43" s="2">
        <v>5988.97</v>
      </c>
      <c r="AV43" s="2">
        <v>4699.75</v>
      </c>
      <c r="AW43" s="2">
        <v>4501.28</v>
      </c>
      <c r="AX43" s="2">
        <v>3752.27</v>
      </c>
      <c r="AY43" s="2">
        <v>3596.31</v>
      </c>
      <c r="AZ43" s="2">
        <v>1542.6</v>
      </c>
      <c r="BA43" s="2">
        <v>2246.14</v>
      </c>
      <c r="BB43" s="2">
        <v>3968.72</v>
      </c>
      <c r="BC43" s="2">
        <v>4660.12</v>
      </c>
      <c r="BF43" s="1" t="s">
        <v>25</v>
      </c>
      <c r="BG43" s="2">
        <v>7870.4</v>
      </c>
      <c r="BH43" s="2">
        <v>7783</v>
      </c>
      <c r="BI43" s="2">
        <v>7056.4</v>
      </c>
      <c r="BJ43" s="2">
        <v>8716</v>
      </c>
      <c r="BK43" s="2">
        <v>8076.08</v>
      </c>
      <c r="BL43" s="2">
        <v>8645.16</v>
      </c>
      <c r="BM43" s="2">
        <v>6655.91</v>
      </c>
      <c r="BN43" s="2">
        <v>7365.54</v>
      </c>
      <c r="BO43" s="2">
        <v>5799.84</v>
      </c>
      <c r="BP43" s="2">
        <v>5490.58</v>
      </c>
      <c r="BQ43" s="2">
        <v>4639.87</v>
      </c>
      <c r="BR43" s="2">
        <v>4392.46</v>
      </c>
      <c r="BS43" s="2">
        <v>1713</v>
      </c>
      <c r="BT43" s="2">
        <v>2789.62</v>
      </c>
      <c r="BU43" s="2">
        <v>4854</v>
      </c>
      <c r="BV43" s="2">
        <v>5621.2</v>
      </c>
    </row>
    <row r="44" spans="2:74" x14ac:dyDescent="0.3">
      <c r="B44" s="1" t="s">
        <v>26</v>
      </c>
      <c r="C44" s="2">
        <v>2242.92</v>
      </c>
      <c r="D44" s="2">
        <v>2526.16</v>
      </c>
      <c r="E44" s="2">
        <v>2434.6999999999998</v>
      </c>
      <c r="F44" s="2">
        <v>871.2</v>
      </c>
      <c r="G44" s="2">
        <v>2799.09</v>
      </c>
      <c r="H44" s="2">
        <v>3014.52</v>
      </c>
      <c r="I44" s="2">
        <v>1955.64</v>
      </c>
      <c r="J44" s="2">
        <v>2140.38</v>
      </c>
      <c r="K44" s="2">
        <v>2214.16</v>
      </c>
      <c r="L44" s="2">
        <v>2081.61</v>
      </c>
      <c r="M44" s="2">
        <v>2214.16</v>
      </c>
      <c r="N44" s="2">
        <v>2081.6</v>
      </c>
      <c r="O44" s="2">
        <v>315.89</v>
      </c>
      <c r="P44" s="2">
        <v>416.3</v>
      </c>
      <c r="Q44" s="2">
        <v>1171.21</v>
      </c>
      <c r="R44" s="2">
        <v>2068.08</v>
      </c>
      <c r="T44" s="1" t="s">
        <v>26</v>
      </c>
      <c r="U44" s="2">
        <v>621.29999999999995</v>
      </c>
      <c r="V44" s="2">
        <v>812.83</v>
      </c>
      <c r="W44" s="2">
        <v>544.28</v>
      </c>
      <c r="X44" s="2">
        <v>580.79999999999995</v>
      </c>
      <c r="Y44" s="2">
        <v>500.83</v>
      </c>
      <c r="Z44" s="2">
        <v>606.33000000000004</v>
      </c>
      <c r="AA44" s="2">
        <v>396.14</v>
      </c>
      <c r="AB44" s="2">
        <v>547.72</v>
      </c>
      <c r="AC44" s="2">
        <v>592.65</v>
      </c>
      <c r="AD44" s="2">
        <v>501.35</v>
      </c>
      <c r="AE44" s="2">
        <v>592.66</v>
      </c>
      <c r="AF44" s="2">
        <v>501.38</v>
      </c>
      <c r="AG44" s="2">
        <v>131</v>
      </c>
      <c r="AH44" s="2">
        <v>205.97</v>
      </c>
      <c r="AI44" s="2">
        <v>689.29</v>
      </c>
      <c r="AJ44" s="2">
        <v>758.99</v>
      </c>
      <c r="AM44" s="1" t="s">
        <v>26</v>
      </c>
      <c r="AN44" s="2">
        <v>3155.7</v>
      </c>
      <c r="AO44" s="2">
        <v>3812.17</v>
      </c>
      <c r="AP44" s="2">
        <v>3272.72</v>
      </c>
      <c r="AQ44" s="2">
        <v>3580.2</v>
      </c>
      <c r="AR44" s="2">
        <v>2376.17</v>
      </c>
      <c r="AS44" s="2">
        <v>2695.67</v>
      </c>
      <c r="AT44" s="2">
        <v>1893.86</v>
      </c>
      <c r="AU44" s="2">
        <v>2376.2800000000002</v>
      </c>
      <c r="AV44" s="2">
        <v>2767.35</v>
      </c>
      <c r="AW44" s="2">
        <v>2223.65</v>
      </c>
      <c r="AX44" s="2">
        <v>2767.34</v>
      </c>
      <c r="AY44" s="2">
        <v>2223.62</v>
      </c>
      <c r="AZ44" s="2">
        <v>720</v>
      </c>
      <c r="BA44" s="2">
        <v>749.03</v>
      </c>
      <c r="BB44" s="2">
        <v>3825.71</v>
      </c>
      <c r="BC44" s="2">
        <v>3913.42</v>
      </c>
      <c r="BF44" s="1" t="s">
        <v>26</v>
      </c>
      <c r="BG44" s="2">
        <v>3777</v>
      </c>
      <c r="BH44" s="2">
        <v>4625</v>
      </c>
      <c r="BI44" s="2">
        <v>3817</v>
      </c>
      <c r="BJ44" s="2">
        <v>4161</v>
      </c>
      <c r="BK44" s="2">
        <v>2877</v>
      </c>
      <c r="BL44" s="2">
        <v>3302</v>
      </c>
      <c r="BM44" s="2">
        <v>2290</v>
      </c>
      <c r="BN44" s="2">
        <v>2924</v>
      </c>
      <c r="BO44" s="2">
        <v>3360</v>
      </c>
      <c r="BP44" s="2">
        <v>2725</v>
      </c>
      <c r="BQ44" s="2">
        <v>3360</v>
      </c>
      <c r="BR44" s="2">
        <v>2725</v>
      </c>
      <c r="BS44" s="2">
        <v>851</v>
      </c>
      <c r="BT44" s="2">
        <v>955</v>
      </c>
      <c r="BU44" s="2">
        <v>4515</v>
      </c>
      <c r="BV44" s="2">
        <v>4672.41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285.56</v>
      </c>
      <c r="D51" s="2">
        <v>277.41000000000003</v>
      </c>
      <c r="E51" s="2">
        <v>320.02999999999997</v>
      </c>
      <c r="F51" s="2">
        <v>192.5</v>
      </c>
      <c r="G51" s="2">
        <v>257.99</v>
      </c>
      <c r="H51" s="2">
        <v>214.44</v>
      </c>
      <c r="I51" s="2">
        <v>298.51</v>
      </c>
      <c r="J51" s="2">
        <v>179.28</v>
      </c>
      <c r="K51" s="2">
        <v>157.80000000000001</v>
      </c>
      <c r="L51" s="2">
        <v>227.61</v>
      </c>
      <c r="M51" s="2">
        <v>157.80000000000001</v>
      </c>
      <c r="N51" s="2">
        <v>218.33</v>
      </c>
      <c r="O51" s="2">
        <v>58.78</v>
      </c>
      <c r="P51" s="2">
        <v>52.63</v>
      </c>
      <c r="Q51" s="2">
        <v>192.55</v>
      </c>
      <c r="R51" s="2">
        <v>124.44</v>
      </c>
      <c r="T51" s="1" t="s">
        <v>19</v>
      </c>
      <c r="U51" s="2">
        <v>0.04</v>
      </c>
      <c r="V51" s="2">
        <v>0.04</v>
      </c>
      <c r="W51" s="2">
        <v>0.05</v>
      </c>
      <c r="X51" s="2">
        <v>0.04</v>
      </c>
      <c r="Y51" s="2">
        <v>0.03</v>
      </c>
      <c r="Z51" s="2">
        <v>0.02</v>
      </c>
      <c r="AA51" s="2">
        <v>0.03</v>
      </c>
      <c r="AB51" s="2">
        <v>0.02</v>
      </c>
      <c r="AC51" s="2">
        <v>0.02</v>
      </c>
      <c r="AD51" s="2">
        <v>0.03</v>
      </c>
      <c r="AE51" s="2">
        <v>0.02</v>
      </c>
      <c r="AF51" s="2">
        <v>0.03</v>
      </c>
      <c r="AG51" s="2">
        <v>0.01</v>
      </c>
      <c r="AH51" s="2">
        <v>0.01</v>
      </c>
      <c r="AI51" s="2">
        <v>0.09</v>
      </c>
      <c r="AJ51" s="2">
        <v>7.0000000000000007E-2</v>
      </c>
      <c r="AM51" s="1" t="s">
        <v>19</v>
      </c>
      <c r="AN51" s="2">
        <v>0.28000000000000003</v>
      </c>
      <c r="AO51" s="2">
        <v>0.28000000000000003</v>
      </c>
      <c r="AP51" s="2">
        <v>0.26</v>
      </c>
      <c r="AQ51" s="2">
        <v>0.2</v>
      </c>
      <c r="AR51" s="2">
        <v>0.17</v>
      </c>
      <c r="AS51" s="2">
        <v>0.15</v>
      </c>
      <c r="AT51" s="2">
        <v>0.15</v>
      </c>
      <c r="AU51" s="2">
        <v>0.13</v>
      </c>
      <c r="AV51" s="2">
        <v>0.16</v>
      </c>
      <c r="AW51" s="2">
        <v>0.19</v>
      </c>
      <c r="AX51" s="2">
        <v>0.2</v>
      </c>
      <c r="AY51" s="2">
        <v>0.23</v>
      </c>
      <c r="AZ51" s="2">
        <v>0.11</v>
      </c>
      <c r="BA51" s="2">
        <v>0.1</v>
      </c>
      <c r="BB51" s="2">
        <v>0.49</v>
      </c>
      <c r="BC51" s="2">
        <v>0.4</v>
      </c>
      <c r="BF51" s="1" t="s">
        <v>19</v>
      </c>
      <c r="BG51" s="2">
        <v>0.3</v>
      </c>
      <c r="BH51" s="2">
        <v>0.28999999999999998</v>
      </c>
      <c r="BI51" s="2">
        <v>0.28000000000000003</v>
      </c>
      <c r="BJ51" s="2">
        <v>0.21</v>
      </c>
      <c r="BK51" s="2">
        <v>0.18</v>
      </c>
      <c r="BL51" s="2">
        <v>0.16</v>
      </c>
      <c r="BM51" s="2">
        <v>0.16</v>
      </c>
      <c r="BN51" s="2">
        <v>0.13</v>
      </c>
      <c r="BO51" s="2">
        <v>0.16</v>
      </c>
      <c r="BP51" s="2">
        <v>0.2</v>
      </c>
      <c r="BQ51" s="2">
        <v>0.21</v>
      </c>
      <c r="BR51" s="2">
        <v>0.24</v>
      </c>
      <c r="BS51" s="2">
        <v>0.11</v>
      </c>
      <c r="BT51" s="2">
        <v>0.1</v>
      </c>
      <c r="BU51" s="2">
        <v>0.54</v>
      </c>
      <c r="BV51" s="2">
        <v>0.44</v>
      </c>
    </row>
    <row r="52" spans="2:74" x14ac:dyDescent="0.3">
      <c r="B52" s="1" t="s">
        <v>20</v>
      </c>
      <c r="C52" s="2">
        <v>2140.4699999999998</v>
      </c>
      <c r="D52" s="2">
        <v>612.92999999999995</v>
      </c>
      <c r="E52" s="2">
        <v>977.71</v>
      </c>
      <c r="F52" s="2">
        <v>1841.12</v>
      </c>
      <c r="G52" s="2">
        <v>2205</v>
      </c>
      <c r="H52" s="2">
        <v>1083.46</v>
      </c>
      <c r="I52" s="2">
        <v>2611.62</v>
      </c>
      <c r="J52" s="2">
        <v>919.94</v>
      </c>
      <c r="K52" s="2">
        <v>668.99</v>
      </c>
      <c r="L52" s="2">
        <v>724.08</v>
      </c>
      <c r="M52" s="2">
        <v>669</v>
      </c>
      <c r="N52" s="2">
        <v>723.59</v>
      </c>
      <c r="O52" s="2">
        <v>473.32</v>
      </c>
      <c r="P52" s="2">
        <v>395.1</v>
      </c>
      <c r="Q52" s="2">
        <v>1020.92</v>
      </c>
      <c r="R52" s="2">
        <v>535.66999999999996</v>
      </c>
      <c r="T52" s="1" t="s">
        <v>20</v>
      </c>
      <c r="U52" s="2">
        <v>0.28000000000000003</v>
      </c>
      <c r="V52" s="2">
        <v>0.18</v>
      </c>
      <c r="W52" s="2">
        <v>0.32</v>
      </c>
      <c r="X52" s="2">
        <v>0.18</v>
      </c>
      <c r="Y52" s="2">
        <v>0.35</v>
      </c>
      <c r="Z52" s="2">
        <v>0.17</v>
      </c>
      <c r="AA52" s="2">
        <v>0.32</v>
      </c>
      <c r="AB52" s="2">
        <v>0.16</v>
      </c>
      <c r="AC52" s="2">
        <v>0.18</v>
      </c>
      <c r="AD52" s="2">
        <v>0.25</v>
      </c>
      <c r="AE52" s="2">
        <v>0.18</v>
      </c>
      <c r="AF52" s="2">
        <v>0.25</v>
      </c>
      <c r="AG52" s="2">
        <v>0.15</v>
      </c>
      <c r="AH52" s="2">
        <v>0.12</v>
      </c>
      <c r="AI52" s="2">
        <v>0.34</v>
      </c>
      <c r="AJ52" s="2">
        <v>0.27</v>
      </c>
      <c r="AM52" s="1" t="s">
        <v>20</v>
      </c>
      <c r="AN52" s="2">
        <v>0.78</v>
      </c>
      <c r="AO52" s="2">
        <v>0.51</v>
      </c>
      <c r="AP52" s="2">
        <v>0.56999999999999995</v>
      </c>
      <c r="AQ52" s="2">
        <v>0.86</v>
      </c>
      <c r="AR52" s="2">
        <v>0.68</v>
      </c>
      <c r="AS52" s="2">
        <v>0.6</v>
      </c>
      <c r="AT52" s="2">
        <v>0.72</v>
      </c>
      <c r="AU52" s="2">
        <v>0.56000000000000005</v>
      </c>
      <c r="AV52" s="2">
        <v>0.52</v>
      </c>
      <c r="AW52" s="2">
        <v>0.5</v>
      </c>
      <c r="AX52" s="2">
        <v>0.52</v>
      </c>
      <c r="AY52" s="2">
        <v>0.5</v>
      </c>
      <c r="AZ52" s="2">
        <v>0.51</v>
      </c>
      <c r="BA52" s="2">
        <v>0.49</v>
      </c>
      <c r="BB52" s="2">
        <v>0.85</v>
      </c>
      <c r="BC52" s="2">
        <v>0.75</v>
      </c>
      <c r="BF52" s="1" t="s">
        <v>20</v>
      </c>
      <c r="BG52" s="2">
        <v>0.92</v>
      </c>
      <c r="BH52" s="2">
        <v>0.6</v>
      </c>
      <c r="BI52" s="2">
        <v>0.67</v>
      </c>
      <c r="BJ52" s="2">
        <v>1</v>
      </c>
      <c r="BK52" s="2">
        <v>0.8</v>
      </c>
      <c r="BL52" s="2">
        <v>0.71</v>
      </c>
      <c r="BM52" s="2">
        <v>0.85</v>
      </c>
      <c r="BN52" s="2">
        <v>0.65</v>
      </c>
      <c r="BO52" s="2">
        <v>0.61</v>
      </c>
      <c r="BP52" s="2">
        <v>0.59</v>
      </c>
      <c r="BQ52" s="2">
        <v>0.61</v>
      </c>
      <c r="BR52" s="2">
        <v>0.59</v>
      </c>
      <c r="BS52" s="2">
        <v>0.61</v>
      </c>
      <c r="BT52" s="2">
        <v>0.59</v>
      </c>
      <c r="BU52" s="2">
        <v>1</v>
      </c>
      <c r="BV52" s="2">
        <v>0.88</v>
      </c>
    </row>
    <row r="53" spans="2:74" x14ac:dyDescent="0.3">
      <c r="B53" s="1" t="s">
        <v>21</v>
      </c>
      <c r="C53" s="2">
        <v>14590.06</v>
      </c>
      <c r="D53" s="2">
        <v>4462.71</v>
      </c>
      <c r="E53" s="2">
        <v>6943.84</v>
      </c>
      <c r="F53" s="2">
        <v>11344.41</v>
      </c>
      <c r="G53" s="2">
        <v>18037.29</v>
      </c>
      <c r="H53" s="2">
        <v>6424.75</v>
      </c>
      <c r="I53" s="2">
        <v>13803.34</v>
      </c>
      <c r="J53" s="2">
        <v>5510.77</v>
      </c>
      <c r="K53" s="2">
        <v>1668.79</v>
      </c>
      <c r="L53" s="2">
        <v>2190.2399999999998</v>
      </c>
      <c r="M53" s="2">
        <v>1586.54</v>
      </c>
      <c r="N53" s="2">
        <v>2076.59</v>
      </c>
      <c r="O53" s="2">
        <v>1403.06</v>
      </c>
      <c r="P53" s="2">
        <v>783.03</v>
      </c>
      <c r="Q53" s="2">
        <v>1866.79</v>
      </c>
      <c r="R53" s="2">
        <v>3124.74</v>
      </c>
      <c r="T53" s="1" t="s">
        <v>21</v>
      </c>
      <c r="U53" s="2">
        <v>0.43</v>
      </c>
      <c r="V53" s="2">
        <v>0.17</v>
      </c>
      <c r="W53" s="2">
        <v>0.39</v>
      </c>
      <c r="X53" s="2">
        <v>0.36</v>
      </c>
      <c r="Y53" s="2">
        <v>0.44</v>
      </c>
      <c r="Z53" s="2">
        <v>0.31</v>
      </c>
      <c r="AA53" s="2">
        <v>0.37</v>
      </c>
      <c r="AB53" s="2">
        <v>0.28000000000000003</v>
      </c>
      <c r="AC53" s="2">
        <v>0.18</v>
      </c>
      <c r="AD53" s="2">
        <v>0.21</v>
      </c>
      <c r="AE53" s="2">
        <v>0.15</v>
      </c>
      <c r="AF53" s="2">
        <v>0.17</v>
      </c>
      <c r="AG53" s="2">
        <v>0.13</v>
      </c>
      <c r="AH53" s="2">
        <v>0.06</v>
      </c>
      <c r="AI53" s="2">
        <v>0.23</v>
      </c>
      <c r="AJ53" s="2">
        <v>0.3</v>
      </c>
      <c r="AM53" s="1" t="s">
        <v>21</v>
      </c>
      <c r="AN53" s="2">
        <v>0.87</v>
      </c>
      <c r="AO53" s="2">
        <v>0.63</v>
      </c>
      <c r="AP53" s="2">
        <v>0.69</v>
      </c>
      <c r="AQ53" s="2">
        <v>0.9</v>
      </c>
      <c r="AR53" s="2">
        <v>0.85</v>
      </c>
      <c r="AS53" s="2">
        <v>0.62</v>
      </c>
      <c r="AT53" s="2">
        <v>0.78</v>
      </c>
      <c r="AU53" s="2">
        <v>0.57999999999999996</v>
      </c>
      <c r="AV53" s="2">
        <v>0.38</v>
      </c>
      <c r="AW53" s="2">
        <v>0.43</v>
      </c>
      <c r="AX53" s="2">
        <v>0.38</v>
      </c>
      <c r="AY53" s="2">
        <v>0.43</v>
      </c>
      <c r="AZ53" s="2">
        <v>0.43</v>
      </c>
      <c r="BA53" s="2">
        <v>0.25</v>
      </c>
      <c r="BB53" s="2">
        <v>0.69</v>
      </c>
      <c r="BC53" s="2">
        <v>0.84</v>
      </c>
      <c r="BF53" s="1" t="s">
        <v>21</v>
      </c>
      <c r="BG53" s="2">
        <v>1.07</v>
      </c>
      <c r="BH53" s="2">
        <v>0.73</v>
      </c>
      <c r="BI53" s="2">
        <v>0.8</v>
      </c>
      <c r="BJ53" s="2">
        <v>1.1399999999999999</v>
      </c>
      <c r="BK53" s="2">
        <v>1.01</v>
      </c>
      <c r="BL53" s="2">
        <v>0.73</v>
      </c>
      <c r="BM53" s="2">
        <v>0.91</v>
      </c>
      <c r="BN53" s="2">
        <v>0.68</v>
      </c>
      <c r="BO53" s="2">
        <v>0.44</v>
      </c>
      <c r="BP53" s="2">
        <v>0.5</v>
      </c>
      <c r="BQ53" s="2">
        <v>0.44</v>
      </c>
      <c r="BR53" s="2">
        <v>0.5</v>
      </c>
      <c r="BS53" s="2">
        <v>0.51</v>
      </c>
      <c r="BT53" s="2">
        <v>0.28000000000000003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2586.2399999999998</v>
      </c>
      <c r="D54" s="2">
        <v>993.3</v>
      </c>
      <c r="E54" s="2">
        <v>1335.68</v>
      </c>
      <c r="F54" s="2">
        <v>3139.65</v>
      </c>
      <c r="G54" s="2">
        <v>3134.41</v>
      </c>
      <c r="H54" s="2">
        <v>1883.47</v>
      </c>
      <c r="I54" s="2">
        <v>1242.78</v>
      </c>
      <c r="J54" s="2">
        <v>1145.19</v>
      </c>
      <c r="K54" s="2">
        <v>582.77</v>
      </c>
      <c r="L54" s="2">
        <v>517.14</v>
      </c>
      <c r="M54" s="2">
        <v>544.84</v>
      </c>
      <c r="N54" s="2">
        <v>222.12</v>
      </c>
      <c r="O54" s="2">
        <v>117.63</v>
      </c>
      <c r="P54" s="2">
        <v>118.09</v>
      </c>
      <c r="Q54" s="2">
        <v>453.67</v>
      </c>
      <c r="R54" s="2">
        <v>504.88</v>
      </c>
      <c r="T54" s="1" t="s">
        <v>22</v>
      </c>
      <c r="U54" s="2">
        <v>0.28999999999999998</v>
      </c>
      <c r="V54" s="2">
        <v>0.17</v>
      </c>
      <c r="W54" s="2">
        <v>0.34</v>
      </c>
      <c r="X54" s="2">
        <v>0.34</v>
      </c>
      <c r="Y54" s="2">
        <v>0.37</v>
      </c>
      <c r="Z54" s="2">
        <v>0.32</v>
      </c>
      <c r="AA54" s="2">
        <v>0.31</v>
      </c>
      <c r="AB54" s="2">
        <v>0.27</v>
      </c>
      <c r="AC54" s="2">
        <v>0.22</v>
      </c>
      <c r="AD54" s="2">
        <v>0.09</v>
      </c>
      <c r="AE54" s="2">
        <v>0.18</v>
      </c>
      <c r="AF54" s="2">
        <v>0.09</v>
      </c>
      <c r="AG54" s="2">
        <v>0.06</v>
      </c>
      <c r="AH54" s="2">
        <v>0.06</v>
      </c>
      <c r="AI54" s="2">
        <v>0.21</v>
      </c>
      <c r="AJ54" s="2">
        <v>0.21</v>
      </c>
      <c r="AM54" s="1" t="s">
        <v>22</v>
      </c>
      <c r="AN54" s="2">
        <v>0.84</v>
      </c>
      <c r="AO54" s="2">
        <v>0.68</v>
      </c>
      <c r="AP54" s="2">
        <v>0.67</v>
      </c>
      <c r="AQ54" s="2">
        <v>0.88</v>
      </c>
      <c r="AR54" s="2">
        <v>0.78</v>
      </c>
      <c r="AS54" s="2">
        <v>0.68</v>
      </c>
      <c r="AT54" s="2">
        <v>0.57999999999999996</v>
      </c>
      <c r="AU54" s="2">
        <v>0.56000000000000005</v>
      </c>
      <c r="AV54" s="2">
        <v>0.47</v>
      </c>
      <c r="AW54" s="2">
        <v>0.24</v>
      </c>
      <c r="AX54" s="2">
        <v>0.47</v>
      </c>
      <c r="AY54" s="2">
        <v>0.3</v>
      </c>
      <c r="AZ54" s="2">
        <v>0.3</v>
      </c>
      <c r="BA54" s="2">
        <v>0.3</v>
      </c>
      <c r="BB54" s="2">
        <v>0.76</v>
      </c>
      <c r="BC54" s="2">
        <v>0.79</v>
      </c>
      <c r="BF54" s="1" t="s">
        <v>22</v>
      </c>
      <c r="BG54" s="2">
        <v>0.97</v>
      </c>
      <c r="BH54" s="2">
        <v>0.79</v>
      </c>
      <c r="BI54" s="2">
        <v>0.77</v>
      </c>
      <c r="BJ54" s="2">
        <v>1.01</v>
      </c>
      <c r="BK54" s="2">
        <v>0.91</v>
      </c>
      <c r="BL54" s="2">
        <v>0.8</v>
      </c>
      <c r="BM54" s="2">
        <v>0.68</v>
      </c>
      <c r="BN54" s="2">
        <v>0.66</v>
      </c>
      <c r="BO54" s="2">
        <v>0.55000000000000004</v>
      </c>
      <c r="BP54" s="2">
        <v>0.26</v>
      </c>
      <c r="BQ54" s="2">
        <v>0.55000000000000004</v>
      </c>
      <c r="BR54" s="2">
        <v>0.33</v>
      </c>
      <c r="BS54" s="2">
        <v>0.34</v>
      </c>
      <c r="BT54" s="2">
        <v>0.34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10343.57</v>
      </c>
      <c r="D55" s="2">
        <v>10737.73</v>
      </c>
      <c r="E55" s="2">
        <v>7751.86</v>
      </c>
      <c r="F55" s="2">
        <v>9765.0499999999993</v>
      </c>
      <c r="G55" s="2">
        <v>7703.65</v>
      </c>
      <c r="H55" s="2">
        <v>8563.52</v>
      </c>
      <c r="I55" s="2">
        <v>4073.92</v>
      </c>
      <c r="J55" s="2">
        <v>5269.34</v>
      </c>
      <c r="K55" s="2">
        <v>3358.31</v>
      </c>
      <c r="L55" s="2">
        <v>2664.1</v>
      </c>
      <c r="M55" s="2">
        <v>3573.75</v>
      </c>
      <c r="N55" s="2">
        <v>2662.98</v>
      </c>
      <c r="O55" s="2">
        <v>1335.18</v>
      </c>
      <c r="P55" s="2">
        <v>1253.03</v>
      </c>
      <c r="Q55" s="2">
        <v>4715.3599999999997</v>
      </c>
      <c r="R55" s="2">
        <v>4744.92</v>
      </c>
      <c r="T55" s="1" t="s">
        <v>23</v>
      </c>
      <c r="U55" s="2">
        <v>0.21</v>
      </c>
      <c r="V55" s="2">
        <v>0.24</v>
      </c>
      <c r="W55" s="2">
        <v>0.25</v>
      </c>
      <c r="X55" s="2">
        <v>0.27</v>
      </c>
      <c r="Y55" s="2">
        <v>0.26</v>
      </c>
      <c r="Z55" s="2">
        <v>0.3</v>
      </c>
      <c r="AA55" s="2">
        <v>0.22</v>
      </c>
      <c r="AB55" s="2">
        <v>0.27</v>
      </c>
      <c r="AC55" s="2">
        <v>0.27</v>
      </c>
      <c r="AD55" s="2">
        <v>0.22</v>
      </c>
      <c r="AE55" s="2">
        <v>0.26</v>
      </c>
      <c r="AF55" s="2">
        <v>0.22</v>
      </c>
      <c r="AG55" s="2">
        <v>0.11</v>
      </c>
      <c r="AH55" s="2">
        <v>0.1</v>
      </c>
      <c r="AI55" s="2">
        <v>0.31</v>
      </c>
      <c r="AJ55" s="2">
        <v>0.28999999999999998</v>
      </c>
      <c r="AM55" s="1" t="s">
        <v>23</v>
      </c>
      <c r="AN55" s="2">
        <v>0.84</v>
      </c>
      <c r="AO55" s="2">
        <v>0.82</v>
      </c>
      <c r="AP55" s="2">
        <v>0.74</v>
      </c>
      <c r="AQ55" s="2">
        <v>0.78</v>
      </c>
      <c r="AR55" s="2">
        <v>0.64</v>
      </c>
      <c r="AS55" s="2">
        <v>0.64</v>
      </c>
      <c r="AT55" s="2">
        <v>0.48</v>
      </c>
      <c r="AU55" s="2">
        <v>0.53</v>
      </c>
      <c r="AV55" s="2">
        <v>0.49</v>
      </c>
      <c r="AW55" s="2">
        <v>0.45</v>
      </c>
      <c r="AX55" s="2">
        <v>0.5</v>
      </c>
      <c r="AY55" s="2">
        <v>0.45</v>
      </c>
      <c r="AZ55" s="2">
        <v>0.42</v>
      </c>
      <c r="BA55" s="2">
        <v>0.41</v>
      </c>
      <c r="BB55" s="2">
        <v>0.87</v>
      </c>
      <c r="BC55" s="2">
        <v>0.88</v>
      </c>
      <c r="BF55" s="1" t="s">
        <v>23</v>
      </c>
      <c r="BG55" s="2">
        <v>0.98</v>
      </c>
      <c r="BH55" s="2">
        <v>0.96</v>
      </c>
      <c r="BI55" s="2">
        <v>0.85</v>
      </c>
      <c r="BJ55" s="2">
        <v>0.91</v>
      </c>
      <c r="BK55" s="2">
        <v>0.75</v>
      </c>
      <c r="BL55" s="2">
        <v>0.76</v>
      </c>
      <c r="BM55" s="2">
        <v>0.56999999999999995</v>
      </c>
      <c r="BN55" s="2">
        <v>0.63</v>
      </c>
      <c r="BO55" s="2">
        <v>0.57999999999999996</v>
      </c>
      <c r="BP55" s="2">
        <v>0.53</v>
      </c>
      <c r="BQ55" s="2">
        <v>0.59</v>
      </c>
      <c r="BR55" s="2">
        <v>0.53</v>
      </c>
      <c r="BS55" s="2">
        <v>0.49</v>
      </c>
      <c r="BT55" s="2">
        <v>0.48</v>
      </c>
      <c r="BU55" s="2">
        <v>1.01</v>
      </c>
      <c r="BV55" s="2">
        <v>1.02</v>
      </c>
    </row>
    <row r="56" spans="2:74" x14ac:dyDescent="0.3">
      <c r="B56" s="1" t="s">
        <v>24</v>
      </c>
      <c r="C56" s="2">
        <v>3066.09</v>
      </c>
      <c r="D56" s="2">
        <v>2879.56</v>
      </c>
      <c r="E56" s="2">
        <v>1257.81</v>
      </c>
      <c r="F56" s="2">
        <v>1953.86</v>
      </c>
      <c r="G56" s="2">
        <v>2626.77</v>
      </c>
      <c r="H56" s="2">
        <v>4939.79</v>
      </c>
      <c r="I56" s="2">
        <v>1166.9100000000001</v>
      </c>
      <c r="J56" s="2">
        <v>2805.24</v>
      </c>
      <c r="K56" s="2">
        <v>513.62</v>
      </c>
      <c r="L56" s="2">
        <v>390.74</v>
      </c>
      <c r="M56" s="2">
        <v>562.44000000000005</v>
      </c>
      <c r="N56" s="2">
        <v>404.46</v>
      </c>
      <c r="O56" s="2">
        <v>370.54</v>
      </c>
      <c r="P56" s="2">
        <v>290.31</v>
      </c>
      <c r="Q56" s="2">
        <v>368.68</v>
      </c>
      <c r="R56" s="2">
        <v>815.92</v>
      </c>
      <c r="T56" s="1" t="s">
        <v>24</v>
      </c>
      <c r="U56" s="2">
        <v>0.34</v>
      </c>
      <c r="V56" s="2">
        <v>0.32</v>
      </c>
      <c r="W56" s="2">
        <v>0.38</v>
      </c>
      <c r="X56" s="2">
        <v>0.47</v>
      </c>
      <c r="Y56" s="2">
        <v>0.45</v>
      </c>
      <c r="Z56" s="2">
        <v>0.54</v>
      </c>
      <c r="AA56" s="2">
        <v>0.35</v>
      </c>
      <c r="AB56" s="2">
        <v>0.47</v>
      </c>
      <c r="AC56" s="2">
        <v>0.3</v>
      </c>
      <c r="AD56" s="2">
        <v>0.24</v>
      </c>
      <c r="AE56" s="2">
        <v>0.26</v>
      </c>
      <c r="AF56" s="2">
        <v>0.2</v>
      </c>
      <c r="AG56" s="2">
        <v>0.17</v>
      </c>
      <c r="AH56" s="2">
        <v>0.15</v>
      </c>
      <c r="AI56" s="2">
        <v>0.27</v>
      </c>
      <c r="AJ56" s="2">
        <v>0.26</v>
      </c>
      <c r="AM56" s="1" t="s">
        <v>24</v>
      </c>
      <c r="AN56" s="2">
        <v>0.85</v>
      </c>
      <c r="AO56" s="2">
        <v>0.84</v>
      </c>
      <c r="AP56" s="2">
        <v>0.64</v>
      </c>
      <c r="AQ56" s="2">
        <v>0.72</v>
      </c>
      <c r="AR56" s="2">
        <v>0.73</v>
      </c>
      <c r="AS56" s="2">
        <v>0.84</v>
      </c>
      <c r="AT56" s="2">
        <v>0.56000000000000005</v>
      </c>
      <c r="AU56" s="2">
        <v>0.73</v>
      </c>
      <c r="AV56" s="2">
        <v>0.45</v>
      </c>
      <c r="AW56" s="2">
        <v>0.39</v>
      </c>
      <c r="AX56" s="2">
        <v>0.45</v>
      </c>
      <c r="AY56" s="2">
        <v>0.39</v>
      </c>
      <c r="AZ56" s="2">
        <v>0.42</v>
      </c>
      <c r="BA56" s="2">
        <v>0.37</v>
      </c>
      <c r="BB56" s="2">
        <v>0.64</v>
      </c>
      <c r="BC56" s="2">
        <v>0.83</v>
      </c>
      <c r="BF56" s="1" t="s">
        <v>24</v>
      </c>
      <c r="BG56" s="2">
        <v>1.02</v>
      </c>
      <c r="BH56" s="2">
        <v>1.02</v>
      </c>
      <c r="BI56" s="2">
        <v>0.76</v>
      </c>
      <c r="BJ56" s="2">
        <v>0.87</v>
      </c>
      <c r="BK56" s="2">
        <v>0.89</v>
      </c>
      <c r="BL56" s="2">
        <v>1.02</v>
      </c>
      <c r="BM56" s="2">
        <v>0.69</v>
      </c>
      <c r="BN56" s="2">
        <v>0.9</v>
      </c>
      <c r="BO56" s="2">
        <v>0.56000000000000005</v>
      </c>
      <c r="BP56" s="2">
        <v>0.48</v>
      </c>
      <c r="BQ56" s="2">
        <v>0.56000000000000005</v>
      </c>
      <c r="BR56" s="2">
        <v>0.48</v>
      </c>
      <c r="BS56" s="2">
        <v>0.52</v>
      </c>
      <c r="BT56" s="2">
        <v>0.46</v>
      </c>
      <c r="BU56" s="2">
        <v>0.76</v>
      </c>
      <c r="BV56" s="2">
        <v>1.02</v>
      </c>
    </row>
    <row r="57" spans="2:74" x14ac:dyDescent="0.3">
      <c r="B57" s="1" t="s">
        <v>25</v>
      </c>
      <c r="C57" s="2">
        <v>13267.24</v>
      </c>
      <c r="D57" s="2">
        <v>12330.38</v>
      </c>
      <c r="E57" s="2">
        <v>7601.64</v>
      </c>
      <c r="F57" s="2">
        <v>6465.57</v>
      </c>
      <c r="G57" s="2">
        <v>8334.6</v>
      </c>
      <c r="H57" s="2">
        <v>10113.15</v>
      </c>
      <c r="I57" s="2">
        <v>5075.6499999999996</v>
      </c>
      <c r="J57" s="2">
        <v>6587.01</v>
      </c>
      <c r="K57" s="2">
        <v>2759.51</v>
      </c>
      <c r="L57" s="2">
        <v>2524.4899999999998</v>
      </c>
      <c r="M57" s="2">
        <v>2978.25</v>
      </c>
      <c r="N57" s="2">
        <v>2624.64</v>
      </c>
      <c r="O57" s="2">
        <v>765.45</v>
      </c>
      <c r="P57" s="2">
        <v>1402.96</v>
      </c>
      <c r="Q57" s="2">
        <v>2869.39</v>
      </c>
      <c r="R57" s="2">
        <v>2819.07</v>
      </c>
      <c r="T57" s="1" t="s">
        <v>25</v>
      </c>
      <c r="U57" s="2">
        <v>0.37</v>
      </c>
      <c r="V57" s="2">
        <v>0.37</v>
      </c>
      <c r="W57" s="2">
        <v>0.31</v>
      </c>
      <c r="X57" s="2">
        <v>0.39</v>
      </c>
      <c r="Y57" s="2">
        <v>0.4</v>
      </c>
      <c r="Z57" s="2">
        <v>0.44</v>
      </c>
      <c r="AA57" s="2">
        <v>0.33</v>
      </c>
      <c r="AB57" s="2">
        <v>0.38</v>
      </c>
      <c r="AC57" s="2">
        <v>0.31</v>
      </c>
      <c r="AD57" s="2">
        <v>0.27</v>
      </c>
      <c r="AE57" s="2">
        <v>0.25</v>
      </c>
      <c r="AF57" s="2">
        <v>0.22</v>
      </c>
      <c r="AG57" s="2">
        <v>0.05</v>
      </c>
      <c r="AH57" s="2">
        <v>0.15</v>
      </c>
      <c r="AI57" s="2">
        <v>0.25</v>
      </c>
      <c r="AJ57" s="2">
        <v>0.27</v>
      </c>
      <c r="AM57" s="1" t="s">
        <v>25</v>
      </c>
      <c r="AN57" s="2">
        <v>0.82</v>
      </c>
      <c r="AO57" s="2">
        <v>0.8</v>
      </c>
      <c r="AP57" s="2">
        <v>0.72</v>
      </c>
      <c r="AQ57" s="2">
        <v>0.67</v>
      </c>
      <c r="AR57" s="2">
        <v>0.66</v>
      </c>
      <c r="AS57" s="2">
        <v>0.71</v>
      </c>
      <c r="AT57" s="2">
        <v>0.55000000000000004</v>
      </c>
      <c r="AU57" s="2">
        <v>0.6</v>
      </c>
      <c r="AV57" s="2">
        <v>0.47</v>
      </c>
      <c r="AW57" s="2">
        <v>0.45</v>
      </c>
      <c r="AX57" s="2">
        <v>0.47</v>
      </c>
      <c r="AY57" s="2">
        <v>0.45</v>
      </c>
      <c r="AZ57" s="2">
        <v>0.21</v>
      </c>
      <c r="BA57" s="2">
        <v>0.37</v>
      </c>
      <c r="BB57" s="2">
        <v>0.83</v>
      </c>
      <c r="BC57" s="2">
        <v>0.79</v>
      </c>
      <c r="BF57" s="1" t="s">
        <v>25</v>
      </c>
      <c r="BG57" s="2">
        <v>0.98</v>
      </c>
      <c r="BH57" s="2">
        <v>0.97</v>
      </c>
      <c r="BI57" s="2">
        <v>0.86</v>
      </c>
      <c r="BJ57" s="2">
        <v>0.8</v>
      </c>
      <c r="BK57" s="2">
        <v>0.81</v>
      </c>
      <c r="BL57" s="2">
        <v>0.86</v>
      </c>
      <c r="BM57" s="2">
        <v>0.67</v>
      </c>
      <c r="BN57" s="2">
        <v>0.74</v>
      </c>
      <c r="BO57" s="2">
        <v>0.57999999999999996</v>
      </c>
      <c r="BP57" s="2">
        <v>0.55000000000000004</v>
      </c>
      <c r="BQ57" s="2">
        <v>0.57999999999999996</v>
      </c>
      <c r="BR57" s="2">
        <v>0.55000000000000004</v>
      </c>
      <c r="BS57" s="2">
        <v>0.23</v>
      </c>
      <c r="BT57" s="2">
        <v>0.46</v>
      </c>
      <c r="BU57" s="2">
        <v>1.01</v>
      </c>
      <c r="BV57" s="2">
        <v>0.95</v>
      </c>
    </row>
    <row r="58" spans="2:74" x14ac:dyDescent="0.3">
      <c r="B58" s="1" t="s">
        <v>26</v>
      </c>
      <c r="C58" s="2">
        <v>1986.85</v>
      </c>
      <c r="D58" s="2">
        <v>2305.1999999999998</v>
      </c>
      <c r="E58" s="2">
        <v>1992.51</v>
      </c>
      <c r="F58" s="2">
        <v>739.44</v>
      </c>
      <c r="G58" s="2">
        <v>2493.21</v>
      </c>
      <c r="H58" s="2">
        <v>2744.03</v>
      </c>
      <c r="I58" s="2">
        <v>1749.99</v>
      </c>
      <c r="J58" s="2">
        <v>2031.17</v>
      </c>
      <c r="K58" s="2">
        <v>1977.76</v>
      </c>
      <c r="L58" s="2">
        <v>1903.17</v>
      </c>
      <c r="M58" s="2">
        <v>1977.76</v>
      </c>
      <c r="N58" s="2">
        <v>1903.16</v>
      </c>
      <c r="O58" s="2">
        <v>284.72000000000003</v>
      </c>
      <c r="P58" s="2">
        <v>378.82</v>
      </c>
      <c r="Q58" s="2">
        <v>958.24</v>
      </c>
      <c r="R58" s="2">
        <v>1779.5</v>
      </c>
      <c r="T58" s="1" t="s">
        <v>26</v>
      </c>
      <c r="U58" s="2">
        <v>0.17</v>
      </c>
      <c r="V58" s="2">
        <v>0.23</v>
      </c>
      <c r="W58" s="2">
        <v>0.15</v>
      </c>
      <c r="X58" s="2">
        <v>0.16</v>
      </c>
      <c r="Y58" s="2">
        <v>0.14000000000000001</v>
      </c>
      <c r="Z58" s="2">
        <v>0.17</v>
      </c>
      <c r="AA58" s="2">
        <v>0.11</v>
      </c>
      <c r="AB58" s="2">
        <v>0.15</v>
      </c>
      <c r="AC58" s="2">
        <v>0.16</v>
      </c>
      <c r="AD58" s="2">
        <v>0.14000000000000001</v>
      </c>
      <c r="AE58" s="2">
        <v>0.16</v>
      </c>
      <c r="AF58" s="2">
        <v>0.14000000000000001</v>
      </c>
      <c r="AG58" s="2">
        <v>0.04</v>
      </c>
      <c r="AH58" s="2">
        <v>0.06</v>
      </c>
      <c r="AI58" s="2">
        <v>0.19</v>
      </c>
      <c r="AJ58" s="2">
        <v>0.21</v>
      </c>
      <c r="AM58" s="1" t="s">
        <v>26</v>
      </c>
      <c r="AN58" s="2">
        <v>0.53</v>
      </c>
      <c r="AO58" s="2">
        <v>0.53</v>
      </c>
      <c r="AP58" s="2">
        <v>0.56999999999999995</v>
      </c>
      <c r="AQ58" s="2">
        <v>0.3</v>
      </c>
      <c r="AR58" s="2">
        <v>0.55000000000000004</v>
      </c>
      <c r="AS58" s="2">
        <v>0.53</v>
      </c>
      <c r="AT58" s="2">
        <v>0.47</v>
      </c>
      <c r="AU58" s="2">
        <v>0.44</v>
      </c>
      <c r="AV58" s="2">
        <v>0.51</v>
      </c>
      <c r="AW58" s="2">
        <v>0.52</v>
      </c>
      <c r="AX58" s="2">
        <v>0.51</v>
      </c>
      <c r="AY58" s="2">
        <v>0.52</v>
      </c>
      <c r="AZ58" s="2">
        <v>0.3</v>
      </c>
      <c r="BA58" s="2">
        <v>0.31</v>
      </c>
      <c r="BB58" s="2">
        <v>0.65</v>
      </c>
      <c r="BC58" s="2">
        <v>0.8</v>
      </c>
      <c r="BF58" s="1" t="s">
        <v>26</v>
      </c>
      <c r="BG58" s="2">
        <v>0.63</v>
      </c>
      <c r="BH58" s="2">
        <v>0.64</v>
      </c>
      <c r="BI58" s="2">
        <v>0.66</v>
      </c>
      <c r="BJ58" s="2">
        <v>0.35</v>
      </c>
      <c r="BK58" s="2">
        <v>0.67</v>
      </c>
      <c r="BL58" s="2">
        <v>0.65</v>
      </c>
      <c r="BM58" s="2">
        <v>0.56999999999999995</v>
      </c>
      <c r="BN58" s="2">
        <v>0.54</v>
      </c>
      <c r="BO58" s="2">
        <v>0.62</v>
      </c>
      <c r="BP58" s="2">
        <v>0.64</v>
      </c>
      <c r="BQ58" s="2">
        <v>0.62</v>
      </c>
      <c r="BR58" s="2">
        <v>0.64</v>
      </c>
      <c r="BS58" s="2">
        <v>0.35</v>
      </c>
      <c r="BT58" s="2">
        <v>0.4</v>
      </c>
      <c r="BU58" s="2">
        <v>0.76</v>
      </c>
      <c r="BV58" s="2">
        <v>0.95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22.69</v>
      </c>
      <c r="D65" s="2">
        <v>23.92</v>
      </c>
      <c r="E65" s="2">
        <v>29.38</v>
      </c>
      <c r="F65" s="2">
        <v>33.22</v>
      </c>
      <c r="G65" s="2">
        <v>18.89</v>
      </c>
      <c r="H65" s="2">
        <v>18.829999999999998</v>
      </c>
      <c r="I65" s="2">
        <v>20.239999999999998</v>
      </c>
      <c r="J65" s="2">
        <v>22.62</v>
      </c>
      <c r="K65" s="2">
        <v>22.28</v>
      </c>
      <c r="L65" s="2">
        <v>18.940000000000001</v>
      </c>
      <c r="M65" s="2">
        <v>22.28</v>
      </c>
      <c r="N65" s="2">
        <v>18.38</v>
      </c>
      <c r="O65" s="2">
        <v>6.3</v>
      </c>
      <c r="P65" s="2">
        <v>5.85</v>
      </c>
      <c r="Q65" s="2">
        <v>17.809999999999999</v>
      </c>
      <c r="R65" s="2">
        <v>21.35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59.97</v>
      </c>
      <c r="AO65" s="2">
        <v>59.97</v>
      </c>
      <c r="AP65" s="2">
        <v>59.98</v>
      </c>
      <c r="AQ65" s="2">
        <v>60</v>
      </c>
      <c r="AR65" s="2">
        <v>55</v>
      </c>
      <c r="AS65" s="2">
        <v>55</v>
      </c>
      <c r="AT65" s="2">
        <v>60</v>
      </c>
      <c r="AU65" s="2">
        <v>60</v>
      </c>
      <c r="AV65" s="2">
        <v>70</v>
      </c>
      <c r="AW65" s="2">
        <v>70</v>
      </c>
      <c r="AX65" s="2">
        <v>70</v>
      </c>
      <c r="AY65" s="2">
        <v>69.989999999999995</v>
      </c>
      <c r="AZ65" s="2">
        <v>70</v>
      </c>
      <c r="BA65" s="2">
        <v>70</v>
      </c>
      <c r="BB65" s="2">
        <v>59.19</v>
      </c>
      <c r="BC65" s="2">
        <v>59.76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0</v>
      </c>
    </row>
    <row r="66" spans="2:74" x14ac:dyDescent="0.3">
      <c r="B66" s="1" t="s">
        <v>20</v>
      </c>
      <c r="C66" s="2">
        <v>184.26</v>
      </c>
      <c r="D66" s="2">
        <v>72.03</v>
      </c>
      <c r="E66" s="2">
        <v>88.83</v>
      </c>
      <c r="F66" s="2">
        <v>224.48</v>
      </c>
      <c r="G66" s="2">
        <v>120.27</v>
      </c>
      <c r="H66" s="2">
        <v>116.78</v>
      </c>
      <c r="I66" s="2">
        <v>138.11000000000001</v>
      </c>
      <c r="J66" s="2">
        <v>104.07</v>
      </c>
      <c r="K66" s="2">
        <v>71.06</v>
      </c>
      <c r="L66" s="2">
        <v>67.23</v>
      </c>
      <c r="M66" s="2">
        <v>71.06</v>
      </c>
      <c r="N66" s="2">
        <v>67</v>
      </c>
      <c r="O66" s="2">
        <v>56.45</v>
      </c>
      <c r="P66" s="2">
        <v>46.79</v>
      </c>
      <c r="Q66" s="2">
        <v>92.69</v>
      </c>
      <c r="R66" s="2">
        <v>64.959999999999994</v>
      </c>
      <c r="T66" s="1" t="s">
        <v>20</v>
      </c>
      <c r="U66" s="2">
        <v>59.97</v>
      </c>
      <c r="V66" s="2">
        <v>60</v>
      </c>
      <c r="W66" s="2">
        <v>59.93</v>
      </c>
      <c r="X66" s="2">
        <v>60</v>
      </c>
      <c r="Y66" s="2">
        <v>59.87</v>
      </c>
      <c r="Z66" s="2">
        <v>60</v>
      </c>
      <c r="AA66" s="2">
        <v>59.93</v>
      </c>
      <c r="AB66" s="2">
        <v>60</v>
      </c>
      <c r="AC66" s="2">
        <v>70</v>
      </c>
      <c r="AD66" s="2">
        <v>69.98</v>
      </c>
      <c r="AE66" s="2">
        <v>70</v>
      </c>
      <c r="AF66" s="2">
        <v>69.98</v>
      </c>
      <c r="AG66" s="2">
        <v>70</v>
      </c>
      <c r="AH66" s="2">
        <v>70</v>
      </c>
      <c r="AI66" s="2">
        <v>59.9</v>
      </c>
      <c r="AJ66" s="2">
        <v>59.98</v>
      </c>
      <c r="AM66" s="1" t="s">
        <v>20</v>
      </c>
      <c r="AN66" s="2">
        <v>48.88</v>
      </c>
      <c r="AO66" s="2">
        <v>58.92</v>
      </c>
      <c r="AP66" s="2">
        <v>57.99</v>
      </c>
      <c r="AQ66" s="2">
        <v>42.68</v>
      </c>
      <c r="AR66" s="2">
        <v>50.1</v>
      </c>
      <c r="AS66" s="2">
        <v>52.55</v>
      </c>
      <c r="AT66" s="2">
        <v>52.63</v>
      </c>
      <c r="AU66" s="2">
        <v>58.29</v>
      </c>
      <c r="AV66" s="2">
        <v>68.680000000000007</v>
      </c>
      <c r="AW66" s="2">
        <v>68.95</v>
      </c>
      <c r="AX66" s="2">
        <v>68.680000000000007</v>
      </c>
      <c r="AY66" s="2">
        <v>68.95</v>
      </c>
      <c r="AZ66" s="2">
        <v>68.77</v>
      </c>
      <c r="BA66" s="2">
        <v>69</v>
      </c>
      <c r="BB66" s="2">
        <v>43.96</v>
      </c>
      <c r="BC66" s="2">
        <v>50.87</v>
      </c>
      <c r="BF66" s="1" t="s">
        <v>20</v>
      </c>
      <c r="BG66" s="2">
        <v>-0.54</v>
      </c>
      <c r="BH66" s="2">
        <v>-0.04</v>
      </c>
      <c r="BI66" s="2">
        <v>-0.08</v>
      </c>
      <c r="BJ66" s="2">
        <v>-1.01</v>
      </c>
      <c r="BK66" s="2">
        <v>-0.55000000000000004</v>
      </c>
      <c r="BL66" s="2">
        <v>-0.4</v>
      </c>
      <c r="BM66" s="2">
        <v>-0.46</v>
      </c>
      <c r="BN66" s="2">
        <v>-0.1</v>
      </c>
      <c r="BO66" s="2">
        <v>-0.04</v>
      </c>
      <c r="BP66" s="2">
        <v>-0.03</v>
      </c>
      <c r="BQ66" s="2">
        <v>-0.04</v>
      </c>
      <c r="BR66" s="2">
        <v>-0.03</v>
      </c>
      <c r="BS66" s="2">
        <v>-0.03</v>
      </c>
      <c r="BT66" s="2">
        <v>-0.03</v>
      </c>
      <c r="BU66" s="2">
        <v>-0.28999999999999998</v>
      </c>
      <c r="BV66" s="2">
        <v>-0.14000000000000001</v>
      </c>
    </row>
    <row r="67" spans="2:74" x14ac:dyDescent="0.3">
      <c r="B67" s="1" t="s">
        <v>21</v>
      </c>
      <c r="C67" s="2">
        <v>1715.67</v>
      </c>
      <c r="D67" s="2">
        <v>607.66</v>
      </c>
      <c r="E67" s="2">
        <v>810.01</v>
      </c>
      <c r="F67" s="2">
        <v>1590.73</v>
      </c>
      <c r="G67" s="2">
        <v>1624.67</v>
      </c>
      <c r="H67" s="2">
        <v>899.38</v>
      </c>
      <c r="I67" s="2">
        <v>1425.44</v>
      </c>
      <c r="J67" s="2">
        <v>914.9</v>
      </c>
      <c r="K67" s="2">
        <v>263.02999999999997</v>
      </c>
      <c r="L67" s="2">
        <v>341.11</v>
      </c>
      <c r="M67" s="2">
        <v>250.68</v>
      </c>
      <c r="N67" s="2">
        <v>328.06</v>
      </c>
      <c r="O67" s="2">
        <v>255.96</v>
      </c>
      <c r="P67" s="2">
        <v>142.88</v>
      </c>
      <c r="Q67" s="2">
        <v>217.09</v>
      </c>
      <c r="R67" s="2">
        <v>401.12</v>
      </c>
      <c r="T67" s="1" t="s">
        <v>21</v>
      </c>
      <c r="U67" s="2">
        <v>59.54</v>
      </c>
      <c r="V67" s="2">
        <v>60</v>
      </c>
      <c r="W67" s="2">
        <v>59.75</v>
      </c>
      <c r="X67" s="2">
        <v>59.83</v>
      </c>
      <c r="Y67" s="2">
        <v>59.48</v>
      </c>
      <c r="Z67" s="2">
        <v>59.94</v>
      </c>
      <c r="AA67" s="2">
        <v>59.8</v>
      </c>
      <c r="AB67" s="2">
        <v>59.97</v>
      </c>
      <c r="AC67" s="2">
        <v>70</v>
      </c>
      <c r="AD67" s="2">
        <v>69.989999999999995</v>
      </c>
      <c r="AE67" s="2">
        <v>70</v>
      </c>
      <c r="AF67" s="2">
        <v>70</v>
      </c>
      <c r="AG67" s="2">
        <v>70</v>
      </c>
      <c r="AH67" s="2">
        <v>70</v>
      </c>
      <c r="AI67" s="2">
        <v>59.99</v>
      </c>
      <c r="AJ67" s="2">
        <v>59.95</v>
      </c>
      <c r="AM67" s="1" t="s">
        <v>21</v>
      </c>
      <c r="AN67" s="2">
        <v>41.69</v>
      </c>
      <c r="AO67" s="2">
        <v>56.54</v>
      </c>
      <c r="AP67" s="2">
        <v>54.24</v>
      </c>
      <c r="AQ67" s="2">
        <v>38.75</v>
      </c>
      <c r="AR67" s="2">
        <v>39.64</v>
      </c>
      <c r="AS67" s="2">
        <v>52.03</v>
      </c>
      <c r="AT67" s="2">
        <v>49.21</v>
      </c>
      <c r="AU67" s="2">
        <v>57.82</v>
      </c>
      <c r="AV67" s="2">
        <v>69.8</v>
      </c>
      <c r="AW67" s="2">
        <v>69.59</v>
      </c>
      <c r="AX67" s="2">
        <v>69.8</v>
      </c>
      <c r="AY67" s="2">
        <v>69.59</v>
      </c>
      <c r="AZ67" s="2">
        <v>69.56</v>
      </c>
      <c r="BA67" s="2">
        <v>69.98</v>
      </c>
      <c r="BB67" s="2">
        <v>54.16</v>
      </c>
      <c r="BC67" s="2">
        <v>44</v>
      </c>
      <c r="BF67" s="1" t="s">
        <v>21</v>
      </c>
      <c r="BG67" s="2">
        <v>-1.04</v>
      </c>
      <c r="BH67" s="2">
        <v>-0.15</v>
      </c>
      <c r="BI67" s="2">
        <v>-0.26</v>
      </c>
      <c r="BJ67" s="2">
        <v>-1.36</v>
      </c>
      <c r="BK67" s="2">
        <v>-1.41</v>
      </c>
      <c r="BL67" s="2">
        <v>-0.43</v>
      </c>
      <c r="BM67" s="2">
        <v>-0.71</v>
      </c>
      <c r="BN67" s="2">
        <v>-0.12</v>
      </c>
      <c r="BO67" s="2">
        <v>-0.01</v>
      </c>
      <c r="BP67" s="2">
        <v>-0.01</v>
      </c>
      <c r="BQ67" s="2">
        <v>-0.01</v>
      </c>
      <c r="BR67" s="2">
        <v>-0.01</v>
      </c>
      <c r="BS67" s="2">
        <v>-0.01</v>
      </c>
      <c r="BT67" s="2">
        <v>0</v>
      </c>
      <c r="BU67" s="2">
        <v>-0.09</v>
      </c>
      <c r="BV67" s="2">
        <v>-0.28999999999999998</v>
      </c>
    </row>
    <row r="68" spans="2:74" x14ac:dyDescent="0.3">
      <c r="B68" s="1" t="s">
        <v>22</v>
      </c>
      <c r="C68" s="2">
        <v>344.85</v>
      </c>
      <c r="D68" s="2">
        <v>120.42</v>
      </c>
      <c r="E68" s="2">
        <v>206.67</v>
      </c>
      <c r="F68" s="2">
        <v>509.42</v>
      </c>
      <c r="G68" s="2">
        <v>351.81</v>
      </c>
      <c r="H68" s="2">
        <v>273.38</v>
      </c>
      <c r="I68" s="2">
        <v>202.59</v>
      </c>
      <c r="J68" s="2">
        <v>141.15</v>
      </c>
      <c r="K68" s="2">
        <v>85.29</v>
      </c>
      <c r="L68" s="2">
        <v>75.11</v>
      </c>
      <c r="M68" s="2">
        <v>79.83</v>
      </c>
      <c r="N68" s="2">
        <v>32.43</v>
      </c>
      <c r="O68" s="2">
        <v>24.19</v>
      </c>
      <c r="P68" s="2">
        <v>24.03</v>
      </c>
      <c r="Q68" s="2">
        <v>70.02</v>
      </c>
      <c r="R68" s="2">
        <v>81.93</v>
      </c>
      <c r="T68" s="1" t="s">
        <v>22</v>
      </c>
      <c r="U68" s="2">
        <v>59.96</v>
      </c>
      <c r="V68" s="2">
        <v>60</v>
      </c>
      <c r="W68" s="2">
        <v>59.9</v>
      </c>
      <c r="X68" s="2">
        <v>59.89</v>
      </c>
      <c r="Y68" s="2">
        <v>59.81</v>
      </c>
      <c r="Z68" s="2">
        <v>59.92</v>
      </c>
      <c r="AA68" s="2">
        <v>59.94</v>
      </c>
      <c r="AB68" s="2">
        <v>59.98</v>
      </c>
      <c r="AC68" s="2">
        <v>69.989999999999995</v>
      </c>
      <c r="AD68" s="2">
        <v>70</v>
      </c>
      <c r="AE68" s="2">
        <v>70</v>
      </c>
      <c r="AF68" s="2">
        <v>70</v>
      </c>
      <c r="AG68" s="2">
        <v>70</v>
      </c>
      <c r="AH68" s="2">
        <v>70</v>
      </c>
      <c r="AI68" s="2">
        <v>60</v>
      </c>
      <c r="AJ68" s="2">
        <v>59.99</v>
      </c>
      <c r="AM68" s="1" t="s">
        <v>22</v>
      </c>
      <c r="AN68" s="2">
        <v>44.25</v>
      </c>
      <c r="AO68" s="2">
        <v>54.56</v>
      </c>
      <c r="AP68" s="2">
        <v>55.02</v>
      </c>
      <c r="AQ68" s="2">
        <v>41.34</v>
      </c>
      <c r="AR68" s="2">
        <v>44.9</v>
      </c>
      <c r="AS68" s="2">
        <v>49.92</v>
      </c>
      <c r="AT68" s="2">
        <v>57.86</v>
      </c>
      <c r="AU68" s="2">
        <v>58.2</v>
      </c>
      <c r="AV68" s="2">
        <v>69.239999999999995</v>
      </c>
      <c r="AW68" s="2">
        <v>69.989999999999995</v>
      </c>
      <c r="AX68" s="2">
        <v>69.239999999999995</v>
      </c>
      <c r="AY68" s="2">
        <v>69.95</v>
      </c>
      <c r="AZ68" s="2">
        <v>69.95</v>
      </c>
      <c r="BA68" s="2">
        <v>69.95</v>
      </c>
      <c r="BB68" s="2">
        <v>50.61</v>
      </c>
      <c r="BC68" s="2">
        <v>48.52</v>
      </c>
      <c r="BF68" s="1" t="s">
        <v>22</v>
      </c>
      <c r="BG68" s="2">
        <v>-0.85</v>
      </c>
      <c r="BH68" s="2">
        <v>-0.24</v>
      </c>
      <c r="BI68" s="2">
        <v>-0.22</v>
      </c>
      <c r="BJ68" s="2">
        <v>-1.1200000000000001</v>
      </c>
      <c r="BK68" s="2">
        <v>-0.93</v>
      </c>
      <c r="BL68" s="2">
        <v>-0.56000000000000005</v>
      </c>
      <c r="BM68" s="2">
        <v>-0.12</v>
      </c>
      <c r="BN68" s="2">
        <v>-0.1</v>
      </c>
      <c r="BO68" s="2">
        <v>-0.02</v>
      </c>
      <c r="BP68" s="2">
        <v>0</v>
      </c>
      <c r="BQ68" s="2">
        <v>-0.02</v>
      </c>
      <c r="BR68" s="2">
        <v>0</v>
      </c>
      <c r="BS68" s="2">
        <v>0</v>
      </c>
      <c r="BT68" s="2">
        <v>0</v>
      </c>
      <c r="BU68" s="2">
        <v>-0.15</v>
      </c>
      <c r="BV68" s="2">
        <v>-0.19</v>
      </c>
    </row>
    <row r="69" spans="2:74" x14ac:dyDescent="0.3">
      <c r="B69" s="1" t="s">
        <v>23</v>
      </c>
      <c r="C69" s="2">
        <v>1099.3499999999999</v>
      </c>
      <c r="D69" s="2">
        <v>1071.06</v>
      </c>
      <c r="E69" s="2">
        <v>1113.9100000000001</v>
      </c>
      <c r="F69" s="2">
        <v>1298.69</v>
      </c>
      <c r="G69" s="2">
        <v>770.21</v>
      </c>
      <c r="H69" s="2">
        <v>834.6</v>
      </c>
      <c r="I69" s="2">
        <v>459.11</v>
      </c>
      <c r="J69" s="2">
        <v>550.01</v>
      </c>
      <c r="K69" s="2">
        <v>332.47</v>
      </c>
      <c r="L69" s="2">
        <v>351.49</v>
      </c>
      <c r="M69" s="2">
        <v>352.34</v>
      </c>
      <c r="N69" s="2">
        <v>349.65</v>
      </c>
      <c r="O69" s="2">
        <v>186.8</v>
      </c>
      <c r="P69" s="2">
        <v>177.67</v>
      </c>
      <c r="Q69" s="2">
        <v>672.13</v>
      </c>
      <c r="R69" s="2">
        <v>629.54</v>
      </c>
      <c r="T69" s="1" t="s">
        <v>23</v>
      </c>
      <c r="U69" s="2">
        <v>60</v>
      </c>
      <c r="V69" s="2">
        <v>59.99</v>
      </c>
      <c r="W69" s="2">
        <v>59.98</v>
      </c>
      <c r="X69" s="2">
        <v>59.98</v>
      </c>
      <c r="Y69" s="2">
        <v>59.98</v>
      </c>
      <c r="Z69" s="2">
        <v>59.95</v>
      </c>
      <c r="AA69" s="2">
        <v>59.99</v>
      </c>
      <c r="AB69" s="2">
        <v>59.98</v>
      </c>
      <c r="AC69" s="2">
        <v>69.97</v>
      </c>
      <c r="AD69" s="2">
        <v>69.989999999999995</v>
      </c>
      <c r="AE69" s="2">
        <v>69.98</v>
      </c>
      <c r="AF69" s="2">
        <v>69.989999999999995</v>
      </c>
      <c r="AG69" s="2">
        <v>70</v>
      </c>
      <c r="AH69" s="2">
        <v>70</v>
      </c>
      <c r="AI69" s="2">
        <v>59.95</v>
      </c>
      <c r="AJ69" s="2">
        <v>59.96</v>
      </c>
      <c r="AM69" s="1" t="s">
        <v>23</v>
      </c>
      <c r="AN69" s="2">
        <v>44.26</v>
      </c>
      <c r="AO69" s="2">
        <v>45.84</v>
      </c>
      <c r="AP69" s="2">
        <v>51.8</v>
      </c>
      <c r="AQ69" s="2">
        <v>48.76</v>
      </c>
      <c r="AR69" s="2">
        <v>51.49</v>
      </c>
      <c r="AS69" s="2">
        <v>51.35</v>
      </c>
      <c r="AT69" s="2">
        <v>59.27</v>
      </c>
      <c r="AU69" s="2">
        <v>58.71</v>
      </c>
      <c r="AV69" s="2">
        <v>69.06</v>
      </c>
      <c r="AW69" s="2">
        <v>69.45</v>
      </c>
      <c r="AX69" s="2">
        <v>68.91</v>
      </c>
      <c r="AY69" s="2">
        <v>69.45</v>
      </c>
      <c r="AZ69" s="2">
        <v>69.63</v>
      </c>
      <c r="BA69" s="2">
        <v>69.680000000000007</v>
      </c>
      <c r="BB69" s="2">
        <v>41.82</v>
      </c>
      <c r="BC69" s="2">
        <v>41.35</v>
      </c>
      <c r="BF69" s="1" t="s">
        <v>23</v>
      </c>
      <c r="BG69" s="2">
        <v>-0.85</v>
      </c>
      <c r="BH69" s="2">
        <v>-0.74</v>
      </c>
      <c r="BI69" s="2">
        <v>-0.39</v>
      </c>
      <c r="BJ69" s="2">
        <v>-0.57999999999999996</v>
      </c>
      <c r="BK69" s="2">
        <v>-0.46</v>
      </c>
      <c r="BL69" s="2">
        <v>-0.47</v>
      </c>
      <c r="BM69" s="2">
        <v>-0.04</v>
      </c>
      <c r="BN69" s="2">
        <v>-7.0000000000000007E-2</v>
      </c>
      <c r="BO69" s="2">
        <v>-0.03</v>
      </c>
      <c r="BP69" s="2">
        <v>-0.02</v>
      </c>
      <c r="BQ69" s="2">
        <v>-0.03</v>
      </c>
      <c r="BR69" s="2">
        <v>-0.02</v>
      </c>
      <c r="BS69" s="2">
        <v>-0.01</v>
      </c>
      <c r="BT69" s="2">
        <v>-0.01</v>
      </c>
      <c r="BU69" s="2">
        <v>-0.35</v>
      </c>
      <c r="BV69" s="2">
        <v>-0.36</v>
      </c>
    </row>
    <row r="70" spans="2:74" x14ac:dyDescent="0.3">
      <c r="B70" s="1" t="s">
        <v>24</v>
      </c>
      <c r="C70" s="2">
        <v>226.82</v>
      </c>
      <c r="D70" s="2">
        <v>193.89</v>
      </c>
      <c r="E70" s="2">
        <v>111.03</v>
      </c>
      <c r="F70" s="2">
        <v>106.44</v>
      </c>
      <c r="G70" s="2">
        <v>232.38</v>
      </c>
      <c r="H70" s="2">
        <v>311.57</v>
      </c>
      <c r="I70" s="2">
        <v>102.05</v>
      </c>
      <c r="J70" s="2">
        <v>147</v>
      </c>
      <c r="K70" s="2">
        <v>44.69</v>
      </c>
      <c r="L70" s="2">
        <v>36.08</v>
      </c>
      <c r="M70" s="2">
        <v>49.05</v>
      </c>
      <c r="N70" s="2">
        <v>37.25</v>
      </c>
      <c r="O70" s="2">
        <v>36.909999999999997</v>
      </c>
      <c r="P70" s="2">
        <v>28.83</v>
      </c>
      <c r="Q70" s="2">
        <v>32.53</v>
      </c>
      <c r="R70" s="2">
        <v>44.29</v>
      </c>
      <c r="T70" s="1" t="s">
        <v>24</v>
      </c>
      <c r="U70" s="2">
        <v>59.89</v>
      </c>
      <c r="V70" s="2">
        <v>59.93</v>
      </c>
      <c r="W70" s="2">
        <v>59.8</v>
      </c>
      <c r="X70" s="2">
        <v>59.14</v>
      </c>
      <c r="Y70" s="2">
        <v>59.42</v>
      </c>
      <c r="Z70" s="2">
        <v>58</v>
      </c>
      <c r="AA70" s="2">
        <v>59.87</v>
      </c>
      <c r="AB70" s="2">
        <v>59.2</v>
      </c>
      <c r="AC70" s="2">
        <v>69.94</v>
      </c>
      <c r="AD70" s="2">
        <v>69.989999999999995</v>
      </c>
      <c r="AE70" s="2">
        <v>69.98</v>
      </c>
      <c r="AF70" s="2">
        <v>70</v>
      </c>
      <c r="AG70" s="2">
        <v>70</v>
      </c>
      <c r="AH70" s="2">
        <v>70</v>
      </c>
      <c r="AI70" s="2">
        <v>59.98</v>
      </c>
      <c r="AJ70" s="2">
        <v>59.98</v>
      </c>
      <c r="AM70" s="1" t="s">
        <v>24</v>
      </c>
      <c r="AN70" s="2">
        <v>43.66</v>
      </c>
      <c r="AO70" s="2">
        <v>44.46</v>
      </c>
      <c r="AP70" s="2">
        <v>56.03</v>
      </c>
      <c r="AQ70" s="2">
        <v>52.52</v>
      </c>
      <c r="AR70" s="2">
        <v>47.97</v>
      </c>
      <c r="AS70" s="2">
        <v>40.92</v>
      </c>
      <c r="AT70" s="2">
        <v>58.22</v>
      </c>
      <c r="AU70" s="2">
        <v>52.26</v>
      </c>
      <c r="AV70" s="2">
        <v>69.41</v>
      </c>
      <c r="AW70" s="2">
        <v>69.760000000000005</v>
      </c>
      <c r="AX70" s="2">
        <v>69.42</v>
      </c>
      <c r="AY70" s="2">
        <v>69.77</v>
      </c>
      <c r="AZ70" s="2">
        <v>69.61</v>
      </c>
      <c r="BA70" s="2">
        <v>69.81</v>
      </c>
      <c r="BB70" s="2">
        <v>56.27</v>
      </c>
      <c r="BC70" s="2">
        <v>44.89</v>
      </c>
      <c r="BF70" s="1" t="s">
        <v>24</v>
      </c>
      <c r="BG70" s="2">
        <v>-0.89</v>
      </c>
      <c r="BH70" s="2">
        <v>-0.84</v>
      </c>
      <c r="BI70" s="2">
        <v>-0.17</v>
      </c>
      <c r="BJ70" s="2">
        <v>-0.32</v>
      </c>
      <c r="BK70" s="2">
        <v>-0.67</v>
      </c>
      <c r="BL70" s="2">
        <v>-1.21</v>
      </c>
      <c r="BM70" s="2">
        <v>-0.09</v>
      </c>
      <c r="BN70" s="2">
        <v>-0.44</v>
      </c>
      <c r="BO70" s="2">
        <v>-0.02</v>
      </c>
      <c r="BP70" s="2">
        <v>-0.01</v>
      </c>
      <c r="BQ70" s="2">
        <v>-0.02</v>
      </c>
      <c r="BR70" s="2">
        <v>-0.01</v>
      </c>
      <c r="BS70" s="2">
        <v>-0.01</v>
      </c>
      <c r="BT70" s="2">
        <v>0</v>
      </c>
      <c r="BU70" s="2">
        <v>-0.05</v>
      </c>
      <c r="BV70" s="2">
        <v>-0.27</v>
      </c>
    </row>
    <row r="71" spans="2:74" x14ac:dyDescent="0.3">
      <c r="B71" s="1" t="s">
        <v>25</v>
      </c>
      <c r="C71" s="2">
        <v>745.14</v>
      </c>
      <c r="D71" s="2">
        <v>796.34</v>
      </c>
      <c r="E71" s="2">
        <v>546.02</v>
      </c>
      <c r="F71" s="2">
        <v>388.45</v>
      </c>
      <c r="G71" s="2">
        <v>413.16</v>
      </c>
      <c r="H71" s="2">
        <v>448.27</v>
      </c>
      <c r="I71" s="2">
        <v>379</v>
      </c>
      <c r="J71" s="2">
        <v>236.77</v>
      </c>
      <c r="K71" s="2">
        <v>155</v>
      </c>
      <c r="L71" s="2">
        <v>156.05000000000001</v>
      </c>
      <c r="M71" s="2">
        <v>168.14</v>
      </c>
      <c r="N71" s="2">
        <v>163.57</v>
      </c>
      <c r="O71" s="2">
        <v>69.739999999999995</v>
      </c>
      <c r="P71" s="2">
        <v>129.66999999999999</v>
      </c>
      <c r="Q71" s="2">
        <v>212.6</v>
      </c>
      <c r="R71" s="2">
        <v>168.64</v>
      </c>
      <c r="T71" s="1" t="s">
        <v>25</v>
      </c>
      <c r="U71" s="2">
        <v>59.82</v>
      </c>
      <c r="V71" s="2">
        <v>59.8</v>
      </c>
      <c r="W71" s="2">
        <v>59.94</v>
      </c>
      <c r="X71" s="2">
        <v>59.75</v>
      </c>
      <c r="Y71" s="2">
        <v>59.69</v>
      </c>
      <c r="Z71" s="2">
        <v>59.44</v>
      </c>
      <c r="AA71" s="2">
        <v>59.91</v>
      </c>
      <c r="AB71" s="2">
        <v>59.78</v>
      </c>
      <c r="AC71" s="2">
        <v>69.94</v>
      </c>
      <c r="AD71" s="2">
        <v>69.97</v>
      </c>
      <c r="AE71" s="2">
        <v>69.98</v>
      </c>
      <c r="AF71" s="2">
        <v>69.989999999999995</v>
      </c>
      <c r="AG71" s="2">
        <v>70</v>
      </c>
      <c r="AH71" s="2">
        <v>70</v>
      </c>
      <c r="AI71" s="2">
        <v>59.99</v>
      </c>
      <c r="AJ71" s="2">
        <v>59.98</v>
      </c>
      <c r="AM71" s="1" t="s">
        <v>25</v>
      </c>
      <c r="AN71" s="2">
        <v>46.23</v>
      </c>
      <c r="AO71" s="2">
        <v>47.62</v>
      </c>
      <c r="AP71" s="2">
        <v>52.46</v>
      </c>
      <c r="AQ71" s="2">
        <v>54.97</v>
      </c>
      <c r="AR71" s="2">
        <v>50.7</v>
      </c>
      <c r="AS71" s="2">
        <v>48.98</v>
      </c>
      <c r="AT71" s="2">
        <v>58.45</v>
      </c>
      <c r="AU71" s="2">
        <v>57.35</v>
      </c>
      <c r="AV71" s="2">
        <v>69.25</v>
      </c>
      <c r="AW71" s="2">
        <v>69.42</v>
      </c>
      <c r="AX71" s="2">
        <v>69.260000000000005</v>
      </c>
      <c r="AY71" s="2">
        <v>69.430000000000007</v>
      </c>
      <c r="AZ71" s="2">
        <v>69.989999999999995</v>
      </c>
      <c r="BA71" s="2">
        <v>69.81</v>
      </c>
      <c r="BB71" s="2">
        <v>45.56</v>
      </c>
      <c r="BC71" s="2">
        <v>48.35</v>
      </c>
      <c r="BF71" s="1" t="s">
        <v>25</v>
      </c>
      <c r="BG71" s="2">
        <v>-0.71</v>
      </c>
      <c r="BH71" s="2">
        <v>-0.62</v>
      </c>
      <c r="BI71" s="2">
        <v>-0.36</v>
      </c>
      <c r="BJ71" s="2">
        <v>-0.22</v>
      </c>
      <c r="BK71" s="2">
        <v>-0.5</v>
      </c>
      <c r="BL71" s="2">
        <v>-0.6</v>
      </c>
      <c r="BM71" s="2">
        <v>-0.08</v>
      </c>
      <c r="BN71" s="2">
        <v>-0.14000000000000001</v>
      </c>
      <c r="BO71" s="2">
        <v>-0.02</v>
      </c>
      <c r="BP71" s="2">
        <v>-0.02</v>
      </c>
      <c r="BQ71" s="2">
        <v>-0.02</v>
      </c>
      <c r="BR71" s="2">
        <v>-0.02</v>
      </c>
      <c r="BS71" s="2">
        <v>0</v>
      </c>
      <c r="BT71" s="2">
        <v>0</v>
      </c>
      <c r="BU71" s="2">
        <v>-0.25</v>
      </c>
      <c r="BV71" s="2">
        <v>-0.19</v>
      </c>
    </row>
    <row r="72" spans="2:74" x14ac:dyDescent="0.3">
      <c r="B72" s="1" t="s">
        <v>26</v>
      </c>
      <c r="C72" s="2">
        <v>111.54</v>
      </c>
      <c r="D72" s="2">
        <v>75.83</v>
      </c>
      <c r="E72" s="2">
        <v>130.65</v>
      </c>
      <c r="F72" s="2">
        <v>27.52</v>
      </c>
      <c r="G72" s="2">
        <v>123.31</v>
      </c>
      <c r="H72" s="2">
        <v>104.32</v>
      </c>
      <c r="I72" s="2">
        <v>86.55</v>
      </c>
      <c r="J72" s="2">
        <v>24.83</v>
      </c>
      <c r="K72" s="2">
        <v>82.66</v>
      </c>
      <c r="L72" s="2">
        <v>64.88</v>
      </c>
      <c r="M72" s="2">
        <v>82.66</v>
      </c>
      <c r="N72" s="2">
        <v>64.88</v>
      </c>
      <c r="O72" s="2">
        <v>13.8</v>
      </c>
      <c r="P72" s="2">
        <v>17.940000000000001</v>
      </c>
      <c r="Q72" s="2">
        <v>63.09</v>
      </c>
      <c r="R72" s="2">
        <v>65.86</v>
      </c>
      <c r="T72" s="1" t="s">
        <v>26</v>
      </c>
      <c r="U72" s="2">
        <v>60</v>
      </c>
      <c r="V72" s="2">
        <v>59.99</v>
      </c>
      <c r="W72" s="2">
        <v>60</v>
      </c>
      <c r="X72" s="2">
        <v>60</v>
      </c>
      <c r="Y72" s="2">
        <v>60</v>
      </c>
      <c r="Z72" s="2">
        <v>60</v>
      </c>
      <c r="AA72" s="2">
        <v>60</v>
      </c>
      <c r="AB72" s="2">
        <v>60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60</v>
      </c>
      <c r="AJ72" s="2">
        <v>59.99</v>
      </c>
      <c r="AM72" s="1" t="s">
        <v>26</v>
      </c>
      <c r="AN72" s="2">
        <v>58.74</v>
      </c>
      <c r="AO72" s="2">
        <v>58.74</v>
      </c>
      <c r="AP72" s="2">
        <v>58.09</v>
      </c>
      <c r="AQ72" s="2">
        <v>59.95</v>
      </c>
      <c r="AR72" s="2">
        <v>53.49</v>
      </c>
      <c r="AS72" s="2">
        <v>53.79</v>
      </c>
      <c r="AT72" s="2">
        <v>59.33</v>
      </c>
      <c r="AU72" s="2">
        <v>59.56</v>
      </c>
      <c r="AV72" s="2">
        <v>68.8</v>
      </c>
      <c r="AW72" s="2">
        <v>68.62</v>
      </c>
      <c r="AX72" s="2">
        <v>68.8</v>
      </c>
      <c r="AY72" s="2">
        <v>68.62</v>
      </c>
      <c r="AZ72" s="2">
        <v>69.95</v>
      </c>
      <c r="BA72" s="2">
        <v>69.94</v>
      </c>
      <c r="BB72" s="2">
        <v>55.91</v>
      </c>
      <c r="BC72" s="2">
        <v>47.86</v>
      </c>
      <c r="BF72" s="1" t="s">
        <v>26</v>
      </c>
      <c r="BG72" s="2">
        <v>-0.05</v>
      </c>
      <c r="BH72" s="2">
        <v>-0.05</v>
      </c>
      <c r="BI72" s="2">
        <v>-0.08</v>
      </c>
      <c r="BJ72" s="2">
        <v>0</v>
      </c>
      <c r="BK72" s="2">
        <v>-0.34</v>
      </c>
      <c r="BL72" s="2">
        <v>-0.32</v>
      </c>
      <c r="BM72" s="2">
        <v>-0.04</v>
      </c>
      <c r="BN72" s="2">
        <v>-0.02</v>
      </c>
      <c r="BO72" s="2">
        <v>-0.04</v>
      </c>
      <c r="BP72" s="2">
        <v>-0.04</v>
      </c>
      <c r="BQ72" s="2">
        <v>-0.04</v>
      </c>
      <c r="BR72" s="2">
        <v>-0.04</v>
      </c>
      <c r="BS72" s="2">
        <v>0</v>
      </c>
      <c r="BT72" s="2">
        <v>0</v>
      </c>
      <c r="BU72" s="2">
        <v>-0.06</v>
      </c>
      <c r="BV72" s="2">
        <v>-0.2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6.13</v>
      </c>
      <c r="D79" s="2">
        <v>9.81</v>
      </c>
      <c r="E79" s="2">
        <v>2.56</v>
      </c>
      <c r="F79" s="2">
        <v>5.1100000000000003</v>
      </c>
      <c r="G79" s="2">
        <v>4.41</v>
      </c>
      <c r="H79" s="2">
        <v>6.9</v>
      </c>
      <c r="I79" s="2">
        <v>4.22</v>
      </c>
      <c r="J79" s="2">
        <v>2.12</v>
      </c>
      <c r="K79" s="2">
        <v>1.1100000000000001</v>
      </c>
      <c r="L79" s="2">
        <v>1.67</v>
      </c>
      <c r="M79" s="2">
        <v>1.1100000000000001</v>
      </c>
      <c r="N79" s="2">
        <v>1.1100000000000001</v>
      </c>
      <c r="O79" s="2">
        <v>2.25</v>
      </c>
      <c r="P79" s="2">
        <v>1.8</v>
      </c>
      <c r="Q79" s="2">
        <v>1.66</v>
      </c>
      <c r="R79" s="2">
        <v>3.27</v>
      </c>
      <c r="T79" s="1" t="s">
        <v>19</v>
      </c>
      <c r="U79" s="2">
        <v>2.4</v>
      </c>
      <c r="V79" s="2">
        <v>2.4</v>
      </c>
      <c r="W79" s="2">
        <v>2.5</v>
      </c>
      <c r="X79" s="2">
        <v>2.5</v>
      </c>
      <c r="Y79" s="2">
        <v>2.8</v>
      </c>
      <c r="Z79" s="2">
        <v>2.8</v>
      </c>
      <c r="AA79" s="2">
        <v>3.3</v>
      </c>
      <c r="AB79" s="2">
        <v>3.3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0.8</v>
      </c>
      <c r="AJ79" s="2">
        <v>0.8</v>
      </c>
      <c r="AM79" s="1" t="s">
        <v>19</v>
      </c>
      <c r="AN79" s="2">
        <v>2.4</v>
      </c>
      <c r="AO79" s="2">
        <v>2.4</v>
      </c>
      <c r="AP79" s="2">
        <v>2.5</v>
      </c>
      <c r="AQ79" s="2">
        <v>2.5</v>
      </c>
      <c r="AR79" s="2">
        <v>3.05</v>
      </c>
      <c r="AS79" s="2">
        <v>3.05</v>
      </c>
      <c r="AT79" s="2">
        <v>3.3</v>
      </c>
      <c r="AU79" s="2">
        <v>3.3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0.81</v>
      </c>
      <c r="BC79" s="2">
        <v>0.8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96.41</v>
      </c>
      <c r="D80" s="2">
        <v>32.08</v>
      </c>
      <c r="E80" s="2">
        <v>36.32</v>
      </c>
      <c r="F80" s="2">
        <v>211.39</v>
      </c>
      <c r="G80" s="2">
        <v>92.9</v>
      </c>
      <c r="H80" s="2">
        <v>64.88</v>
      </c>
      <c r="I80" s="2">
        <v>111.26</v>
      </c>
      <c r="J80" s="2">
        <v>56.59</v>
      </c>
      <c r="K80" s="2">
        <v>34.520000000000003</v>
      </c>
      <c r="L80" s="2">
        <v>24.23</v>
      </c>
      <c r="M80" s="2">
        <v>34.520000000000003</v>
      </c>
      <c r="N80" s="2">
        <v>24.5</v>
      </c>
      <c r="O80" s="2">
        <v>42.49</v>
      </c>
      <c r="P80" s="2">
        <v>35.54</v>
      </c>
      <c r="Q80" s="2">
        <v>38.01</v>
      </c>
      <c r="R80" s="2">
        <v>61.78</v>
      </c>
      <c r="T80" s="1" t="s">
        <v>20</v>
      </c>
      <c r="U80" s="2">
        <v>2.4</v>
      </c>
      <c r="V80" s="2">
        <v>2.4</v>
      </c>
      <c r="W80" s="2">
        <v>2.5</v>
      </c>
      <c r="X80" s="2">
        <v>2.5</v>
      </c>
      <c r="Y80" s="2">
        <v>2.81</v>
      </c>
      <c r="Z80" s="2">
        <v>2.8</v>
      </c>
      <c r="AA80" s="2">
        <v>3.3</v>
      </c>
      <c r="AB80" s="2">
        <v>3.3</v>
      </c>
      <c r="AC80" s="2">
        <v>2.23</v>
      </c>
      <c r="AD80" s="2">
        <v>2.23</v>
      </c>
      <c r="AE80" s="2">
        <v>2.23</v>
      </c>
      <c r="AF80" s="2">
        <v>2.23</v>
      </c>
      <c r="AG80" s="2">
        <v>1.8</v>
      </c>
      <c r="AH80" s="2">
        <v>1.8</v>
      </c>
      <c r="AI80" s="2">
        <v>0.8</v>
      </c>
      <c r="AJ80" s="2">
        <v>0.8</v>
      </c>
      <c r="AM80" s="1" t="s">
        <v>20</v>
      </c>
      <c r="AN80" s="2">
        <v>2.95</v>
      </c>
      <c r="AO80" s="2">
        <v>2.44</v>
      </c>
      <c r="AP80" s="2">
        <v>2.59</v>
      </c>
      <c r="AQ80" s="2">
        <v>3.51</v>
      </c>
      <c r="AR80" s="2">
        <v>3.35</v>
      </c>
      <c r="AS80" s="2">
        <v>3.2</v>
      </c>
      <c r="AT80" s="2">
        <v>3.76</v>
      </c>
      <c r="AU80" s="2">
        <v>3.4</v>
      </c>
      <c r="AV80" s="2">
        <v>2.27</v>
      </c>
      <c r="AW80" s="2">
        <v>2.2599999999999998</v>
      </c>
      <c r="AX80" s="2">
        <v>2.27</v>
      </c>
      <c r="AY80" s="2">
        <v>2.2599999999999998</v>
      </c>
      <c r="AZ80" s="2">
        <v>1.83</v>
      </c>
      <c r="BA80" s="2">
        <v>1.83</v>
      </c>
      <c r="BB80" s="2">
        <v>1.0900000000000001</v>
      </c>
      <c r="BC80" s="2">
        <v>0.94</v>
      </c>
      <c r="BF80" s="1" t="s">
        <v>20</v>
      </c>
      <c r="BG80" s="2">
        <v>-0.18</v>
      </c>
      <c r="BH80" s="2">
        <v>-0.02</v>
      </c>
      <c r="BI80" s="2">
        <v>-0.03</v>
      </c>
      <c r="BJ80" s="2">
        <v>-0.28999999999999998</v>
      </c>
      <c r="BK80" s="2">
        <v>-0.16</v>
      </c>
      <c r="BL80" s="2">
        <v>-0.12</v>
      </c>
      <c r="BM80" s="2">
        <v>-0.12</v>
      </c>
      <c r="BN80" s="2">
        <v>-0.03</v>
      </c>
      <c r="BO80" s="2">
        <v>-0.02</v>
      </c>
      <c r="BP80" s="2">
        <v>-0.01</v>
      </c>
      <c r="BQ80" s="2">
        <v>-0.02</v>
      </c>
      <c r="BR80" s="2">
        <v>-0.01</v>
      </c>
      <c r="BS80" s="2">
        <v>-0.02</v>
      </c>
      <c r="BT80" s="2">
        <v>-0.01</v>
      </c>
      <c r="BU80" s="2">
        <v>-0.27</v>
      </c>
      <c r="BV80" s="2">
        <v>-0.15</v>
      </c>
    </row>
    <row r="81" spans="2:74" x14ac:dyDescent="0.3">
      <c r="B81" s="1" t="s">
        <v>21</v>
      </c>
      <c r="C81" s="2">
        <v>425.05</v>
      </c>
      <c r="D81" s="2">
        <v>211.63</v>
      </c>
      <c r="E81" s="2">
        <v>248.69</v>
      </c>
      <c r="F81" s="2">
        <v>954.55</v>
      </c>
      <c r="G81" s="2">
        <v>710.58</v>
      </c>
      <c r="H81" s="2">
        <v>342.04</v>
      </c>
      <c r="I81" s="2">
        <v>498.55</v>
      </c>
      <c r="J81" s="2">
        <v>286.5</v>
      </c>
      <c r="K81" s="2">
        <v>72.64</v>
      </c>
      <c r="L81" s="2">
        <v>96.28</v>
      </c>
      <c r="M81" s="2">
        <v>70.45</v>
      </c>
      <c r="N81" s="2">
        <v>93.74</v>
      </c>
      <c r="O81" s="2">
        <v>157.52000000000001</v>
      </c>
      <c r="P81" s="2">
        <v>88.45</v>
      </c>
      <c r="Q81" s="2">
        <v>66.459999999999994</v>
      </c>
      <c r="R81" s="2">
        <v>235.96</v>
      </c>
      <c r="T81" s="1" t="s">
        <v>21</v>
      </c>
      <c r="U81" s="2">
        <v>2.42</v>
      </c>
      <c r="V81" s="2">
        <v>2.4</v>
      </c>
      <c r="W81" s="2">
        <v>2.5099999999999998</v>
      </c>
      <c r="X81" s="2">
        <v>2.5099999999999998</v>
      </c>
      <c r="Y81" s="2">
        <v>2.82</v>
      </c>
      <c r="Z81" s="2">
        <v>2.8</v>
      </c>
      <c r="AA81" s="2">
        <v>3.31</v>
      </c>
      <c r="AB81" s="2">
        <v>3.3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0.8</v>
      </c>
      <c r="AJ81" s="2">
        <v>0.8</v>
      </c>
      <c r="AM81" s="1" t="s">
        <v>21</v>
      </c>
      <c r="AN81" s="2">
        <v>3.45</v>
      </c>
      <c r="AO81" s="2">
        <v>2.5499999999999998</v>
      </c>
      <c r="AP81" s="2">
        <v>2.77</v>
      </c>
      <c r="AQ81" s="2">
        <v>3.87</v>
      </c>
      <c r="AR81" s="2">
        <v>4.24</v>
      </c>
      <c r="AS81" s="2">
        <v>3.23</v>
      </c>
      <c r="AT81" s="2">
        <v>4.0199999999999996</v>
      </c>
      <c r="AU81" s="2">
        <v>3.42</v>
      </c>
      <c r="AV81" s="2">
        <v>2.23</v>
      </c>
      <c r="AW81" s="2">
        <v>2.2400000000000002</v>
      </c>
      <c r="AX81" s="2">
        <v>2.23</v>
      </c>
      <c r="AY81" s="2">
        <v>2.2400000000000002</v>
      </c>
      <c r="AZ81" s="2">
        <v>1.81</v>
      </c>
      <c r="BA81" s="2">
        <v>1.8</v>
      </c>
      <c r="BB81" s="2">
        <v>0.89</v>
      </c>
      <c r="BC81" s="2">
        <v>1.0900000000000001</v>
      </c>
      <c r="BF81" s="1" t="s">
        <v>21</v>
      </c>
      <c r="BG81" s="2">
        <v>-0.3</v>
      </c>
      <c r="BH81" s="2">
        <v>-0.06</v>
      </c>
      <c r="BI81" s="2">
        <v>-0.09</v>
      </c>
      <c r="BJ81" s="2">
        <v>-0.35</v>
      </c>
      <c r="BK81" s="2">
        <v>-0.33</v>
      </c>
      <c r="BL81" s="2">
        <v>-0.13</v>
      </c>
      <c r="BM81" s="2">
        <v>-0.18</v>
      </c>
      <c r="BN81" s="2">
        <v>-0.04</v>
      </c>
      <c r="BO81" s="2">
        <v>0</v>
      </c>
      <c r="BP81" s="2">
        <v>-0.01</v>
      </c>
      <c r="BQ81" s="2">
        <v>0</v>
      </c>
      <c r="BR81" s="2">
        <v>-0.01</v>
      </c>
      <c r="BS81" s="2">
        <v>-0.01</v>
      </c>
      <c r="BT81" s="2">
        <v>0</v>
      </c>
      <c r="BU81" s="2">
        <v>-0.1</v>
      </c>
      <c r="BV81" s="2">
        <v>-0.27</v>
      </c>
    </row>
    <row r="82" spans="2:74" x14ac:dyDescent="0.3">
      <c r="B82" s="1" t="s">
        <v>22</v>
      </c>
      <c r="C82" s="2">
        <v>95.74</v>
      </c>
      <c r="D82" s="2">
        <v>46.97</v>
      </c>
      <c r="E82" s="2">
        <v>68.180000000000007</v>
      </c>
      <c r="F82" s="2">
        <v>267.14</v>
      </c>
      <c r="G82" s="2">
        <v>153.27000000000001</v>
      </c>
      <c r="H82" s="2">
        <v>127.61</v>
      </c>
      <c r="I82" s="2">
        <v>63.55</v>
      </c>
      <c r="J82" s="2">
        <v>67.48</v>
      </c>
      <c r="K82" s="2">
        <v>23.94</v>
      </c>
      <c r="L82" s="2">
        <v>26.68</v>
      </c>
      <c r="M82" s="2">
        <v>22.14</v>
      </c>
      <c r="N82" s="2">
        <v>11.59</v>
      </c>
      <c r="O82" s="2">
        <v>18.04</v>
      </c>
      <c r="P82" s="2">
        <v>17.91</v>
      </c>
      <c r="Q82" s="2">
        <v>22.9</v>
      </c>
      <c r="R82" s="2">
        <v>42.82</v>
      </c>
      <c r="T82" s="1" t="s">
        <v>22</v>
      </c>
      <c r="U82" s="2">
        <v>2.4</v>
      </c>
      <c r="V82" s="2">
        <v>2.4</v>
      </c>
      <c r="W82" s="2">
        <v>2.5</v>
      </c>
      <c r="X82" s="2">
        <v>2.5</v>
      </c>
      <c r="Y82" s="2">
        <v>2.81</v>
      </c>
      <c r="Z82" s="2">
        <v>2.8</v>
      </c>
      <c r="AA82" s="2">
        <v>3.3</v>
      </c>
      <c r="AB82" s="2">
        <v>3.3</v>
      </c>
      <c r="AC82" s="2">
        <v>2.23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0.8</v>
      </c>
      <c r="AJ82" s="2">
        <v>0.8</v>
      </c>
      <c r="AM82" s="1" t="s">
        <v>22</v>
      </c>
      <c r="AN82" s="2">
        <v>3.25</v>
      </c>
      <c r="AO82" s="2">
        <v>2.64</v>
      </c>
      <c r="AP82" s="2">
        <v>2.73</v>
      </c>
      <c r="AQ82" s="2">
        <v>3.63</v>
      </c>
      <c r="AR82" s="2">
        <v>3.74</v>
      </c>
      <c r="AS82" s="2">
        <v>3.37</v>
      </c>
      <c r="AT82" s="2">
        <v>3.42</v>
      </c>
      <c r="AU82" s="2">
        <v>3.4</v>
      </c>
      <c r="AV82" s="2">
        <v>2.25</v>
      </c>
      <c r="AW82" s="2">
        <v>2.23</v>
      </c>
      <c r="AX82" s="2">
        <v>2.25</v>
      </c>
      <c r="AY82" s="2">
        <v>2.23</v>
      </c>
      <c r="AZ82" s="2">
        <v>1.8</v>
      </c>
      <c r="BA82" s="2">
        <v>1.8</v>
      </c>
      <c r="BB82" s="2">
        <v>0.95</v>
      </c>
      <c r="BC82" s="2">
        <v>0.99</v>
      </c>
      <c r="BF82" s="1" t="s">
        <v>22</v>
      </c>
      <c r="BG82" s="2">
        <v>-0.26</v>
      </c>
      <c r="BH82" s="2">
        <v>-0.09</v>
      </c>
      <c r="BI82" s="2">
        <v>-0.08</v>
      </c>
      <c r="BJ82" s="2">
        <v>-0.31</v>
      </c>
      <c r="BK82" s="2">
        <v>-0.25</v>
      </c>
      <c r="BL82" s="2">
        <v>-0.17</v>
      </c>
      <c r="BM82" s="2">
        <v>-0.03</v>
      </c>
      <c r="BN82" s="2">
        <v>-0.03</v>
      </c>
      <c r="BO82" s="2">
        <v>-0.01</v>
      </c>
      <c r="BP82" s="2">
        <v>0</v>
      </c>
      <c r="BQ82" s="2">
        <v>-0.01</v>
      </c>
      <c r="BR82" s="2">
        <v>0</v>
      </c>
      <c r="BS82" s="2">
        <v>0</v>
      </c>
      <c r="BT82" s="2">
        <v>0</v>
      </c>
      <c r="BU82" s="2">
        <v>-0.16</v>
      </c>
      <c r="BV82" s="2">
        <v>-0.19</v>
      </c>
    </row>
    <row r="83" spans="2:74" x14ac:dyDescent="0.3">
      <c r="B83" s="1" t="s">
        <v>23</v>
      </c>
      <c r="C83" s="2">
        <v>299.88</v>
      </c>
      <c r="D83" s="2">
        <v>333.8</v>
      </c>
      <c r="E83" s="2">
        <v>362.09</v>
      </c>
      <c r="F83" s="2">
        <v>457.68</v>
      </c>
      <c r="G83" s="2">
        <v>349.2</v>
      </c>
      <c r="H83" s="2">
        <v>357.06</v>
      </c>
      <c r="I83" s="2">
        <v>199.07</v>
      </c>
      <c r="J83" s="2">
        <v>209.24</v>
      </c>
      <c r="K83" s="2">
        <v>132.55000000000001</v>
      </c>
      <c r="L83" s="2">
        <v>98.87</v>
      </c>
      <c r="M83" s="2">
        <v>140.94999999999999</v>
      </c>
      <c r="N83" s="2">
        <v>98.63</v>
      </c>
      <c r="O83" s="2">
        <v>122.9</v>
      </c>
      <c r="P83" s="2">
        <v>117.65</v>
      </c>
      <c r="Q83" s="2">
        <v>218.02</v>
      </c>
      <c r="R83" s="2">
        <v>221.7</v>
      </c>
      <c r="T83" s="1" t="s">
        <v>23</v>
      </c>
      <c r="U83" s="2">
        <v>2.4</v>
      </c>
      <c r="V83" s="2">
        <v>2.4</v>
      </c>
      <c r="W83" s="2">
        <v>2.5</v>
      </c>
      <c r="X83" s="2">
        <v>2.5</v>
      </c>
      <c r="Y83" s="2">
        <v>2.8</v>
      </c>
      <c r="Z83" s="2">
        <v>2.8</v>
      </c>
      <c r="AA83" s="2">
        <v>3.3</v>
      </c>
      <c r="AB83" s="2">
        <v>3.3</v>
      </c>
      <c r="AC83" s="2">
        <v>2.23</v>
      </c>
      <c r="AD83" s="2">
        <v>2.23</v>
      </c>
      <c r="AE83" s="2">
        <v>2.23</v>
      </c>
      <c r="AF83" s="2">
        <v>2.23</v>
      </c>
      <c r="AG83" s="2">
        <v>1.8</v>
      </c>
      <c r="AH83" s="2">
        <v>1.8</v>
      </c>
      <c r="AI83" s="2">
        <v>0.8</v>
      </c>
      <c r="AJ83" s="2">
        <v>0.8</v>
      </c>
      <c r="AM83" s="1" t="s">
        <v>23</v>
      </c>
      <c r="AN83" s="2">
        <v>3.25</v>
      </c>
      <c r="AO83" s="2">
        <v>3.14</v>
      </c>
      <c r="AP83" s="2">
        <v>2.9</v>
      </c>
      <c r="AQ83" s="2">
        <v>3.08</v>
      </c>
      <c r="AR83" s="2">
        <v>3.26</v>
      </c>
      <c r="AS83" s="2">
        <v>3.27</v>
      </c>
      <c r="AT83" s="2">
        <v>3.34</v>
      </c>
      <c r="AU83" s="2">
        <v>3.37</v>
      </c>
      <c r="AV83" s="2">
        <v>2.2599999999999998</v>
      </c>
      <c r="AW83" s="2">
        <v>2.25</v>
      </c>
      <c r="AX83" s="2">
        <v>2.2599999999999998</v>
      </c>
      <c r="AY83" s="2">
        <v>2.25</v>
      </c>
      <c r="AZ83" s="2">
        <v>1.81</v>
      </c>
      <c r="BA83" s="2">
        <v>1.81</v>
      </c>
      <c r="BB83" s="2">
        <v>1.1499999999999999</v>
      </c>
      <c r="BC83" s="2">
        <v>1.1599999999999999</v>
      </c>
      <c r="BF83" s="1" t="s">
        <v>23</v>
      </c>
      <c r="BG83" s="2">
        <v>-0.26</v>
      </c>
      <c r="BH83" s="2">
        <v>-0.24</v>
      </c>
      <c r="BI83" s="2">
        <v>-0.14000000000000001</v>
      </c>
      <c r="BJ83" s="2">
        <v>-0.19</v>
      </c>
      <c r="BK83" s="2">
        <v>-0.14000000000000001</v>
      </c>
      <c r="BL83" s="2">
        <v>-0.14000000000000001</v>
      </c>
      <c r="BM83" s="2">
        <v>-0.01</v>
      </c>
      <c r="BN83" s="2">
        <v>-0.02</v>
      </c>
      <c r="BO83" s="2">
        <v>-0.01</v>
      </c>
      <c r="BP83" s="2">
        <v>-0.01</v>
      </c>
      <c r="BQ83" s="2">
        <v>-0.02</v>
      </c>
      <c r="BR83" s="2">
        <v>-0.01</v>
      </c>
      <c r="BS83" s="2">
        <v>-0.01</v>
      </c>
      <c r="BT83" s="2">
        <v>0</v>
      </c>
      <c r="BU83" s="2">
        <v>-0.3</v>
      </c>
      <c r="BV83" s="2">
        <v>-0.31</v>
      </c>
    </row>
    <row r="84" spans="2:74" x14ac:dyDescent="0.3">
      <c r="B84" s="1" t="s">
        <v>24</v>
      </c>
      <c r="C84" s="2">
        <v>76.27</v>
      </c>
      <c r="D84" s="2">
        <v>26.21</v>
      </c>
      <c r="E84" s="2">
        <v>38.9</v>
      </c>
      <c r="F84" s="2">
        <v>59.23</v>
      </c>
      <c r="G84" s="2">
        <v>70.37</v>
      </c>
      <c r="H84" s="2">
        <v>66.489999999999995</v>
      </c>
      <c r="I84" s="2">
        <v>26.66</v>
      </c>
      <c r="J84" s="2">
        <v>66.33</v>
      </c>
      <c r="K84" s="2">
        <v>14.31</v>
      </c>
      <c r="L84" s="2">
        <v>8.5299999999999994</v>
      </c>
      <c r="M84" s="2">
        <v>15.9</v>
      </c>
      <c r="N84" s="2">
        <v>8.89</v>
      </c>
      <c r="O84" s="2">
        <v>15.42</v>
      </c>
      <c r="P84" s="2">
        <v>12.36</v>
      </c>
      <c r="Q84" s="2">
        <v>11.2</v>
      </c>
      <c r="R84" s="2">
        <v>24.68</v>
      </c>
      <c r="T84" s="1" t="s">
        <v>24</v>
      </c>
      <c r="U84" s="2">
        <v>2.4</v>
      </c>
      <c r="V84" s="2">
        <v>2.4</v>
      </c>
      <c r="W84" s="2">
        <v>2.5099999999999998</v>
      </c>
      <c r="X84" s="2">
        <v>2.54</v>
      </c>
      <c r="Y84" s="2">
        <v>2.83</v>
      </c>
      <c r="Z84" s="2">
        <v>2.9</v>
      </c>
      <c r="AA84" s="2">
        <v>3.31</v>
      </c>
      <c r="AB84" s="2">
        <v>3.34</v>
      </c>
      <c r="AC84" s="2">
        <v>2.23</v>
      </c>
      <c r="AD84" s="2">
        <v>2.23</v>
      </c>
      <c r="AE84" s="2">
        <v>2.23</v>
      </c>
      <c r="AF84" s="2">
        <v>2.23</v>
      </c>
      <c r="AG84" s="2">
        <v>1.8</v>
      </c>
      <c r="AH84" s="2">
        <v>1.8</v>
      </c>
      <c r="AI84" s="2">
        <v>0.8</v>
      </c>
      <c r="AJ84" s="2">
        <v>0.8</v>
      </c>
      <c r="AM84" s="1" t="s">
        <v>24</v>
      </c>
      <c r="AN84" s="2">
        <v>3.3</v>
      </c>
      <c r="AO84" s="2">
        <v>3.24</v>
      </c>
      <c r="AP84" s="2">
        <v>2.68</v>
      </c>
      <c r="AQ84" s="2">
        <v>2.86</v>
      </c>
      <c r="AR84" s="2">
        <v>3.5</v>
      </c>
      <c r="AS84" s="2">
        <v>4.1100000000000003</v>
      </c>
      <c r="AT84" s="2">
        <v>3.4</v>
      </c>
      <c r="AU84" s="2">
        <v>3.79</v>
      </c>
      <c r="AV84" s="2">
        <v>2.25</v>
      </c>
      <c r="AW84" s="2">
        <v>2.2400000000000002</v>
      </c>
      <c r="AX84" s="2">
        <v>2.25</v>
      </c>
      <c r="AY84" s="2">
        <v>2.2400000000000002</v>
      </c>
      <c r="AZ84" s="2">
        <v>1.81</v>
      </c>
      <c r="BA84" s="2">
        <v>1.8</v>
      </c>
      <c r="BB84" s="2">
        <v>0.85</v>
      </c>
      <c r="BC84" s="2">
        <v>1.07</v>
      </c>
      <c r="BF84" s="1" t="s">
        <v>24</v>
      </c>
      <c r="BG84" s="2">
        <v>-0.27</v>
      </c>
      <c r="BH84" s="2">
        <v>-0.26</v>
      </c>
      <c r="BI84" s="2">
        <v>-0.06</v>
      </c>
      <c r="BJ84" s="2">
        <v>-0.11</v>
      </c>
      <c r="BK84" s="2">
        <v>-0.19</v>
      </c>
      <c r="BL84" s="2">
        <v>-0.28999999999999998</v>
      </c>
      <c r="BM84" s="2">
        <v>-0.03</v>
      </c>
      <c r="BN84" s="2">
        <v>-0.12</v>
      </c>
      <c r="BO84" s="2">
        <v>-0.01</v>
      </c>
      <c r="BP84" s="2">
        <v>0</v>
      </c>
      <c r="BQ84" s="2">
        <v>-0.01</v>
      </c>
      <c r="BR84" s="2">
        <v>0</v>
      </c>
      <c r="BS84" s="2">
        <v>-0.01</v>
      </c>
      <c r="BT84" s="2">
        <v>0</v>
      </c>
      <c r="BU84" s="2">
        <v>-0.06</v>
      </c>
      <c r="BV84" s="2">
        <v>-0.25</v>
      </c>
    </row>
    <row r="85" spans="2:74" x14ac:dyDescent="0.3">
      <c r="B85" s="1" t="s">
        <v>25</v>
      </c>
      <c r="C85" s="2">
        <v>163.27000000000001</v>
      </c>
      <c r="D85" s="2">
        <v>151.72999999999999</v>
      </c>
      <c r="E85" s="2">
        <v>82.75</v>
      </c>
      <c r="F85" s="2">
        <v>92.19</v>
      </c>
      <c r="G85" s="2">
        <v>96.43</v>
      </c>
      <c r="H85" s="2">
        <v>95.77</v>
      </c>
      <c r="I85" s="2">
        <v>74.569999999999993</v>
      </c>
      <c r="J85" s="2">
        <v>78.930000000000007</v>
      </c>
      <c r="K85" s="2">
        <v>33.85</v>
      </c>
      <c r="L85" s="2">
        <v>58.52</v>
      </c>
      <c r="M85" s="2">
        <v>36.03</v>
      </c>
      <c r="N85" s="2">
        <v>60.4</v>
      </c>
      <c r="O85" s="2">
        <v>8.51</v>
      </c>
      <c r="P85" s="2">
        <v>17.010000000000002</v>
      </c>
      <c r="Q85" s="2">
        <v>28.99</v>
      </c>
      <c r="R85" s="2">
        <v>40.880000000000003</v>
      </c>
      <c r="T85" s="1" t="s">
        <v>25</v>
      </c>
      <c r="U85" s="2">
        <v>2.41</v>
      </c>
      <c r="V85" s="2">
        <v>2.41</v>
      </c>
      <c r="W85" s="2">
        <v>2.5</v>
      </c>
      <c r="X85" s="2">
        <v>2.5099999999999998</v>
      </c>
      <c r="Y85" s="2">
        <v>2.81</v>
      </c>
      <c r="Z85" s="2">
        <v>2.83</v>
      </c>
      <c r="AA85" s="2">
        <v>3.31</v>
      </c>
      <c r="AB85" s="2">
        <v>3.31</v>
      </c>
      <c r="AC85" s="2">
        <v>2.23</v>
      </c>
      <c r="AD85" s="2">
        <v>2.23</v>
      </c>
      <c r="AE85" s="2">
        <v>2.23</v>
      </c>
      <c r="AF85" s="2">
        <v>2.23</v>
      </c>
      <c r="AG85" s="2">
        <v>1.8</v>
      </c>
      <c r="AH85" s="2">
        <v>1.8</v>
      </c>
      <c r="AI85" s="2">
        <v>0.8</v>
      </c>
      <c r="AJ85" s="2">
        <v>0.8</v>
      </c>
      <c r="AM85" s="1" t="s">
        <v>25</v>
      </c>
      <c r="AN85" s="2">
        <v>3.11</v>
      </c>
      <c r="AO85" s="2">
        <v>3.02</v>
      </c>
      <c r="AP85" s="2">
        <v>2.86</v>
      </c>
      <c r="AQ85" s="2">
        <v>2.73</v>
      </c>
      <c r="AR85" s="2">
        <v>3.31</v>
      </c>
      <c r="AS85" s="2">
        <v>3.43</v>
      </c>
      <c r="AT85" s="2">
        <v>3.39</v>
      </c>
      <c r="AU85" s="2">
        <v>3.45</v>
      </c>
      <c r="AV85" s="2">
        <v>2.25</v>
      </c>
      <c r="AW85" s="2">
        <v>2.25</v>
      </c>
      <c r="AX85" s="2">
        <v>2.25</v>
      </c>
      <c r="AY85" s="2">
        <v>2.25</v>
      </c>
      <c r="AZ85" s="2">
        <v>1.8</v>
      </c>
      <c r="BA85" s="2">
        <v>1.8</v>
      </c>
      <c r="BB85" s="2">
        <v>1.05</v>
      </c>
      <c r="BC85" s="2">
        <v>0.99</v>
      </c>
      <c r="BF85" s="1" t="s">
        <v>25</v>
      </c>
      <c r="BG85" s="2">
        <v>-0.23</v>
      </c>
      <c r="BH85" s="2">
        <v>-0.2</v>
      </c>
      <c r="BI85" s="2">
        <v>-0.12</v>
      </c>
      <c r="BJ85" s="2">
        <v>-0.08</v>
      </c>
      <c r="BK85" s="2">
        <v>-0.15</v>
      </c>
      <c r="BL85" s="2">
        <v>-0.18</v>
      </c>
      <c r="BM85" s="2">
        <v>-0.02</v>
      </c>
      <c r="BN85" s="2">
        <v>-0.04</v>
      </c>
      <c r="BO85" s="2">
        <v>-0.01</v>
      </c>
      <c r="BP85" s="2">
        <v>-0.01</v>
      </c>
      <c r="BQ85" s="2">
        <v>-0.01</v>
      </c>
      <c r="BR85" s="2">
        <v>-0.01</v>
      </c>
      <c r="BS85" s="2">
        <v>0</v>
      </c>
      <c r="BT85" s="2">
        <v>0</v>
      </c>
      <c r="BU85" s="2">
        <v>-0.24</v>
      </c>
      <c r="BV85" s="2">
        <v>-0.19</v>
      </c>
    </row>
    <row r="86" spans="2:74" x14ac:dyDescent="0.3">
      <c r="B86" s="1" t="s">
        <v>26</v>
      </c>
      <c r="C86" s="2">
        <v>10.94</v>
      </c>
      <c r="D86" s="2">
        <v>17.5</v>
      </c>
      <c r="E86" s="2">
        <v>13.61</v>
      </c>
      <c r="F86" s="2">
        <v>7.51</v>
      </c>
      <c r="G86" s="2">
        <v>24.66</v>
      </c>
      <c r="H86" s="2">
        <v>37.93</v>
      </c>
      <c r="I86" s="2">
        <v>3.09</v>
      </c>
      <c r="J86" s="2">
        <v>2.48</v>
      </c>
      <c r="K86" s="2">
        <v>2.4300000000000002</v>
      </c>
      <c r="L86" s="2">
        <v>2.7</v>
      </c>
      <c r="M86" s="2">
        <v>2.4300000000000002</v>
      </c>
      <c r="N86" s="2">
        <v>2.7</v>
      </c>
      <c r="O86" s="2">
        <v>0</v>
      </c>
      <c r="P86" s="2">
        <v>0</v>
      </c>
      <c r="Q86" s="2">
        <v>6.64</v>
      </c>
      <c r="R86" s="2">
        <v>16.89</v>
      </c>
      <c r="T86" s="1" t="s">
        <v>26</v>
      </c>
      <c r="U86" s="2">
        <v>2.4</v>
      </c>
      <c r="V86" s="2">
        <v>2.4</v>
      </c>
      <c r="W86" s="2">
        <v>2.5</v>
      </c>
      <c r="X86" s="2">
        <v>2.5</v>
      </c>
      <c r="Y86" s="2">
        <v>2.8</v>
      </c>
      <c r="Z86" s="2">
        <v>2.8</v>
      </c>
      <c r="AA86" s="2">
        <v>3.3</v>
      </c>
      <c r="AB86" s="2">
        <v>3.3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0.8</v>
      </c>
      <c r="AJ86" s="2">
        <v>0.8</v>
      </c>
      <c r="AM86" s="1" t="s">
        <v>26</v>
      </c>
      <c r="AN86" s="2">
        <v>2.4500000000000002</v>
      </c>
      <c r="AO86" s="2">
        <v>2.4500000000000002</v>
      </c>
      <c r="AP86" s="2">
        <v>2.58</v>
      </c>
      <c r="AQ86" s="2">
        <v>2.5</v>
      </c>
      <c r="AR86" s="2">
        <v>3.14</v>
      </c>
      <c r="AS86" s="2">
        <v>3.12</v>
      </c>
      <c r="AT86" s="2">
        <v>3.34</v>
      </c>
      <c r="AU86" s="2">
        <v>3.32</v>
      </c>
      <c r="AV86" s="2">
        <v>2.27</v>
      </c>
      <c r="AW86" s="2">
        <v>2.27</v>
      </c>
      <c r="AX86" s="2">
        <v>2.27</v>
      </c>
      <c r="AY86" s="2">
        <v>2.27</v>
      </c>
      <c r="AZ86" s="2">
        <v>1.8</v>
      </c>
      <c r="BA86" s="2">
        <v>1.8</v>
      </c>
      <c r="BB86" s="2">
        <v>0.86</v>
      </c>
      <c r="BC86" s="2">
        <v>1</v>
      </c>
      <c r="BF86" s="1" t="s">
        <v>26</v>
      </c>
      <c r="BG86" s="2">
        <v>-0.02</v>
      </c>
      <c r="BH86" s="2">
        <v>-0.02</v>
      </c>
      <c r="BI86" s="2">
        <v>-0.03</v>
      </c>
      <c r="BJ86" s="2">
        <v>0</v>
      </c>
      <c r="BK86" s="2">
        <v>-0.11</v>
      </c>
      <c r="BL86" s="2">
        <v>-0.1</v>
      </c>
      <c r="BM86" s="2">
        <v>-0.01</v>
      </c>
      <c r="BN86" s="2">
        <v>-0.01</v>
      </c>
      <c r="BO86" s="2">
        <v>-0.02</v>
      </c>
      <c r="BP86" s="2">
        <v>-0.02</v>
      </c>
      <c r="BQ86" s="2">
        <v>-0.02</v>
      </c>
      <c r="BR86" s="2">
        <v>-0.02</v>
      </c>
      <c r="BS86" s="2">
        <v>0</v>
      </c>
      <c r="BT86" s="2">
        <v>0</v>
      </c>
      <c r="BU86" s="2">
        <v>-7.0000000000000007E-2</v>
      </c>
      <c r="BV86" s="2">
        <v>-0.2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152.08000000000001</v>
      </c>
      <c r="D93" s="2">
        <v>153.32</v>
      </c>
      <c r="E93" s="2">
        <v>239.54</v>
      </c>
      <c r="F93" s="2">
        <v>219.76</v>
      </c>
      <c r="G93" s="2">
        <v>79.319999999999993</v>
      </c>
      <c r="H93" s="2">
        <v>78.87</v>
      </c>
      <c r="I93" s="2">
        <v>109.62</v>
      </c>
      <c r="J93" s="2">
        <v>101.77</v>
      </c>
      <c r="K93" s="2">
        <v>121.97</v>
      </c>
      <c r="L93" s="2">
        <v>124.2</v>
      </c>
      <c r="M93" s="2">
        <v>121.97</v>
      </c>
      <c r="N93" s="2">
        <v>121.97</v>
      </c>
      <c r="O93" s="2">
        <v>32.840000000000003</v>
      </c>
      <c r="P93" s="2">
        <v>31.94</v>
      </c>
      <c r="Q93" s="2">
        <v>148.97</v>
      </c>
      <c r="R93" s="2">
        <v>140.09</v>
      </c>
      <c r="T93" s="1" t="s">
        <v>19</v>
      </c>
      <c r="U93" s="2">
        <v>1427.81</v>
      </c>
      <c r="V93" s="2">
        <v>1600.16</v>
      </c>
      <c r="W93" s="2">
        <v>1289.95</v>
      </c>
      <c r="X93" s="2">
        <v>1492.57</v>
      </c>
      <c r="Y93" s="2">
        <v>789.02</v>
      </c>
      <c r="Z93" s="2">
        <v>789.02</v>
      </c>
      <c r="AA93" s="2">
        <v>293.89999999999998</v>
      </c>
      <c r="AB93" s="2">
        <v>962.75</v>
      </c>
      <c r="AC93" s="2">
        <v>1387.05</v>
      </c>
      <c r="AD93" s="2">
        <v>962.52</v>
      </c>
      <c r="AE93" s="2">
        <v>1072.22</v>
      </c>
      <c r="AF93" s="2">
        <v>896.42</v>
      </c>
      <c r="AG93" s="2">
        <v>1138.04</v>
      </c>
      <c r="AH93" s="2">
        <v>1091.6300000000001</v>
      </c>
      <c r="AI93" s="2">
        <v>263.16000000000003</v>
      </c>
      <c r="AJ93" s="2">
        <v>622.21</v>
      </c>
      <c r="AM93" s="1" t="s">
        <v>19</v>
      </c>
      <c r="AN93" s="2">
        <v>22041.79</v>
      </c>
      <c r="AO93" s="2">
        <v>24702.34</v>
      </c>
      <c r="AP93" s="2">
        <v>22798.45</v>
      </c>
      <c r="AQ93" s="2">
        <v>23039.63</v>
      </c>
      <c r="AR93" s="2">
        <v>14680.98</v>
      </c>
      <c r="AS93" s="2">
        <v>14680.98</v>
      </c>
      <c r="AT93" s="2">
        <v>5468.5</v>
      </c>
      <c r="AU93" s="2">
        <v>8691.65</v>
      </c>
      <c r="AV93" s="2">
        <v>21410.55</v>
      </c>
      <c r="AW93" s="2">
        <v>14857.48</v>
      </c>
      <c r="AX93" s="2">
        <v>19017.78</v>
      </c>
      <c r="AY93" s="2">
        <v>16682.68</v>
      </c>
      <c r="AZ93" s="2">
        <v>21175.16</v>
      </c>
      <c r="BA93" s="2">
        <v>20311.57</v>
      </c>
      <c r="BB93" s="2">
        <v>4896.54</v>
      </c>
      <c r="BC93" s="2">
        <v>5655.39</v>
      </c>
      <c r="BF93" s="1" t="s">
        <v>19</v>
      </c>
      <c r="BG93" s="2">
        <v>0.48</v>
      </c>
      <c r="BH93" s="2">
        <v>0.48</v>
      </c>
      <c r="BI93" s="2">
        <v>0.5</v>
      </c>
      <c r="BJ93" s="2">
        <v>0.5</v>
      </c>
      <c r="BK93" s="2">
        <v>0.56000000000000005</v>
      </c>
      <c r="BL93" s="2">
        <v>0.56000000000000005</v>
      </c>
      <c r="BM93" s="2">
        <v>0.66</v>
      </c>
      <c r="BN93" s="2">
        <v>0.66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0.16</v>
      </c>
      <c r="BV93" s="2">
        <v>0.16</v>
      </c>
    </row>
    <row r="94" spans="2:74" x14ac:dyDescent="0.3">
      <c r="B94" s="1" t="s">
        <v>20</v>
      </c>
      <c r="C94" s="2">
        <v>89.87</v>
      </c>
      <c r="D94" s="2">
        <v>46.15</v>
      </c>
      <c r="E94" s="2">
        <v>57.7</v>
      </c>
      <c r="F94" s="2">
        <v>202.67</v>
      </c>
      <c r="G94" s="2">
        <v>54.57</v>
      </c>
      <c r="H94" s="2">
        <v>49.5</v>
      </c>
      <c r="I94" s="2">
        <v>61.03</v>
      </c>
      <c r="J94" s="2">
        <v>56.89</v>
      </c>
      <c r="K94" s="2">
        <v>63.15</v>
      </c>
      <c r="L94" s="2">
        <v>42</v>
      </c>
      <c r="M94" s="2">
        <v>63.15</v>
      </c>
      <c r="N94" s="2">
        <v>41.9</v>
      </c>
      <c r="O94" s="2">
        <v>28.29</v>
      </c>
      <c r="P94" s="2">
        <v>23.55</v>
      </c>
      <c r="Q94" s="2">
        <v>59.83</v>
      </c>
      <c r="R94" s="2">
        <v>58.85</v>
      </c>
      <c r="T94" s="1" t="s">
        <v>20</v>
      </c>
      <c r="U94" s="2">
        <v>2051.63</v>
      </c>
      <c r="V94" s="2">
        <v>2419.44</v>
      </c>
      <c r="W94" s="2">
        <v>3147.49</v>
      </c>
      <c r="X94" s="2">
        <v>3358.9</v>
      </c>
      <c r="Y94" s="2">
        <v>1355.19</v>
      </c>
      <c r="Z94" s="2">
        <v>1355.16</v>
      </c>
      <c r="AA94" s="2">
        <v>901.5</v>
      </c>
      <c r="AB94" s="2">
        <v>813.18</v>
      </c>
      <c r="AC94" s="2">
        <v>1235.3599999999999</v>
      </c>
      <c r="AD94" s="2">
        <v>1182.8399999999999</v>
      </c>
      <c r="AE94" s="2">
        <v>1446.13</v>
      </c>
      <c r="AF94" s="2">
        <v>1548.39</v>
      </c>
      <c r="AG94" s="2">
        <v>1997.12</v>
      </c>
      <c r="AH94" s="2">
        <v>1973.62</v>
      </c>
      <c r="AI94" s="2">
        <v>739.86</v>
      </c>
      <c r="AJ94" s="2">
        <v>566.91</v>
      </c>
      <c r="AM94" s="1" t="s">
        <v>20</v>
      </c>
      <c r="AN94" s="2">
        <v>10615.57</v>
      </c>
      <c r="AO94" s="2">
        <v>12558.06</v>
      </c>
      <c r="AP94" s="2">
        <v>15878.51</v>
      </c>
      <c r="AQ94" s="2">
        <v>16955.900000000001</v>
      </c>
      <c r="AR94" s="2">
        <v>6361.61</v>
      </c>
      <c r="AS94" s="2">
        <v>6361.64</v>
      </c>
      <c r="AT94" s="2">
        <v>4224.6000000000004</v>
      </c>
      <c r="AU94" s="2">
        <v>3839.06</v>
      </c>
      <c r="AV94" s="2">
        <v>6060.64</v>
      </c>
      <c r="AW94" s="2">
        <v>5808.04</v>
      </c>
      <c r="AX94" s="2">
        <v>6979.07</v>
      </c>
      <c r="AY94" s="2">
        <v>7473.81</v>
      </c>
      <c r="AZ94" s="2">
        <v>9445.48</v>
      </c>
      <c r="BA94" s="2">
        <v>9331.18</v>
      </c>
      <c r="BB94" s="2">
        <v>3464.34</v>
      </c>
      <c r="BC94" s="2">
        <v>2661.09</v>
      </c>
      <c r="BF94" s="1" t="s">
        <v>20</v>
      </c>
      <c r="BG94" s="2">
        <v>2.5</v>
      </c>
      <c r="BH94" s="2">
        <v>1.19</v>
      </c>
      <c r="BI94" s="2">
        <v>1.01</v>
      </c>
      <c r="BJ94" s="2">
        <v>3.89</v>
      </c>
      <c r="BK94" s="2">
        <v>1.96</v>
      </c>
      <c r="BL94" s="2">
        <v>2.1</v>
      </c>
      <c r="BM94" s="2">
        <v>2.57</v>
      </c>
      <c r="BN94" s="2">
        <v>1.96</v>
      </c>
      <c r="BO94" s="2">
        <v>1.28</v>
      </c>
      <c r="BP94" s="2">
        <v>0.94</v>
      </c>
      <c r="BQ94" s="2">
        <v>1.28</v>
      </c>
      <c r="BR94" s="2">
        <v>0.95</v>
      </c>
      <c r="BS94" s="2">
        <v>1.1000000000000001</v>
      </c>
      <c r="BT94" s="2">
        <v>1.1200000000000001</v>
      </c>
      <c r="BU94" s="2">
        <v>1</v>
      </c>
      <c r="BV94" s="2">
        <v>0.76</v>
      </c>
    </row>
    <row r="95" spans="2:74" x14ac:dyDescent="0.3">
      <c r="B95" s="1" t="s">
        <v>21</v>
      </c>
      <c r="C95" s="2">
        <v>1081.8599999999999</v>
      </c>
      <c r="D95" s="2">
        <v>405.49</v>
      </c>
      <c r="E95" s="2">
        <v>586.12</v>
      </c>
      <c r="F95" s="2">
        <v>1846.81</v>
      </c>
      <c r="G95" s="2">
        <v>758.25</v>
      </c>
      <c r="H95" s="2">
        <v>343.89</v>
      </c>
      <c r="I95" s="2">
        <v>591.79</v>
      </c>
      <c r="J95" s="2">
        <v>398.47</v>
      </c>
      <c r="K95" s="2">
        <v>171.33</v>
      </c>
      <c r="L95" s="2">
        <v>188.44</v>
      </c>
      <c r="M95" s="2">
        <v>163.32</v>
      </c>
      <c r="N95" s="2">
        <v>180.24</v>
      </c>
      <c r="O95" s="2">
        <v>119.59</v>
      </c>
      <c r="P95" s="2">
        <v>231.34</v>
      </c>
      <c r="Q95" s="2">
        <v>152.9</v>
      </c>
      <c r="R95" s="2">
        <v>391.82</v>
      </c>
      <c r="T95" s="1" t="s">
        <v>21</v>
      </c>
      <c r="U95" s="2">
        <v>9118.7999999999993</v>
      </c>
      <c r="V95" s="2">
        <v>8499.86</v>
      </c>
      <c r="W95" s="2">
        <v>11273.31</v>
      </c>
      <c r="X95" s="2">
        <v>11285.98</v>
      </c>
      <c r="Y95" s="2">
        <v>3808.63</v>
      </c>
      <c r="Z95" s="2">
        <v>3148.32</v>
      </c>
      <c r="AA95" s="2">
        <v>2104.08</v>
      </c>
      <c r="AB95" s="2">
        <v>1599.86</v>
      </c>
      <c r="AC95" s="2">
        <v>3465.62</v>
      </c>
      <c r="AD95" s="2">
        <v>7090.25</v>
      </c>
      <c r="AE95" s="2">
        <v>7470.04</v>
      </c>
      <c r="AF95" s="2">
        <v>7675.07</v>
      </c>
      <c r="AG95" s="2">
        <v>4491.55</v>
      </c>
      <c r="AH95" s="2">
        <v>3639.59</v>
      </c>
      <c r="AI95" s="2">
        <v>870.03</v>
      </c>
      <c r="AJ95" s="2">
        <v>1952.96</v>
      </c>
      <c r="AM95" s="1" t="s">
        <v>21</v>
      </c>
      <c r="AN95" s="2">
        <v>35075.019999999997</v>
      </c>
      <c r="AO95" s="2">
        <v>45237.64</v>
      </c>
      <c r="AP95" s="2">
        <v>55155.040000000001</v>
      </c>
      <c r="AQ95" s="2">
        <v>58867.46</v>
      </c>
      <c r="AR95" s="2">
        <v>17939.71</v>
      </c>
      <c r="AS95" s="2">
        <v>14783.88</v>
      </c>
      <c r="AT95" s="2">
        <v>9859.17</v>
      </c>
      <c r="AU95" s="2">
        <v>7508.14</v>
      </c>
      <c r="AV95" s="2">
        <v>16994.259999999998</v>
      </c>
      <c r="AW95" s="2">
        <v>20639.12</v>
      </c>
      <c r="AX95" s="2">
        <v>36916.49</v>
      </c>
      <c r="AY95" s="2">
        <v>37847.82</v>
      </c>
      <c r="AZ95" s="2">
        <v>21221.03</v>
      </c>
      <c r="BA95" s="2">
        <v>17116.21</v>
      </c>
      <c r="BB95" s="2">
        <v>7830.27</v>
      </c>
      <c r="BC95" s="2">
        <v>7589.44</v>
      </c>
      <c r="BF95" s="1" t="s">
        <v>21</v>
      </c>
      <c r="BG95" s="2">
        <v>3.84</v>
      </c>
      <c r="BH95" s="2">
        <v>3.09</v>
      </c>
      <c r="BI95" s="2">
        <v>2.04</v>
      </c>
      <c r="BJ95" s="2">
        <v>4</v>
      </c>
      <c r="BK95" s="2">
        <v>4.4800000000000004</v>
      </c>
      <c r="BL95" s="2">
        <v>2.41</v>
      </c>
      <c r="BM95" s="2">
        <v>4.04</v>
      </c>
      <c r="BN95" s="2">
        <v>2.37</v>
      </c>
      <c r="BO95" s="2">
        <v>1.1399999999999999</v>
      </c>
      <c r="BP95" s="2">
        <v>1.27</v>
      </c>
      <c r="BQ95" s="2">
        <v>1.31</v>
      </c>
      <c r="BR95" s="2">
        <v>1.48</v>
      </c>
      <c r="BS95" s="2">
        <v>1.4</v>
      </c>
      <c r="BT95" s="2">
        <v>1.89</v>
      </c>
      <c r="BU95" s="2">
        <v>0.93</v>
      </c>
      <c r="BV95" s="2">
        <v>1.28</v>
      </c>
    </row>
    <row r="96" spans="2:74" x14ac:dyDescent="0.3">
      <c r="B96" s="1" t="s">
        <v>22</v>
      </c>
      <c r="C96" s="2">
        <v>260.51</v>
      </c>
      <c r="D96" s="2">
        <v>121.38</v>
      </c>
      <c r="E96" s="2">
        <v>210.28</v>
      </c>
      <c r="F96" s="2">
        <v>460.07</v>
      </c>
      <c r="G96" s="2">
        <v>186.85</v>
      </c>
      <c r="H96" s="2">
        <v>156.52000000000001</v>
      </c>
      <c r="I96" s="2">
        <v>74.33</v>
      </c>
      <c r="J96" s="2">
        <v>94.92</v>
      </c>
      <c r="K96" s="2">
        <v>60.75</v>
      </c>
      <c r="L96" s="2">
        <v>176.9</v>
      </c>
      <c r="M96" s="2">
        <v>56.7</v>
      </c>
      <c r="N96" s="2">
        <v>36.82</v>
      </c>
      <c r="O96" s="2">
        <v>17.53</v>
      </c>
      <c r="P96" s="2">
        <v>17.670000000000002</v>
      </c>
      <c r="Q96" s="2">
        <v>70.55</v>
      </c>
      <c r="R96" s="2">
        <v>72.83</v>
      </c>
      <c r="T96" s="1" t="s">
        <v>22</v>
      </c>
      <c r="U96" s="2">
        <v>1993.09</v>
      </c>
      <c r="V96" s="2">
        <v>2217.5700000000002</v>
      </c>
      <c r="W96" s="2">
        <v>3073.91</v>
      </c>
      <c r="X96" s="2">
        <v>2903.19</v>
      </c>
      <c r="Y96" s="2">
        <v>1597.76</v>
      </c>
      <c r="Z96" s="2">
        <v>1281.68</v>
      </c>
      <c r="AA96" s="2">
        <v>298.08999999999997</v>
      </c>
      <c r="AB96" s="2">
        <v>435.27</v>
      </c>
      <c r="AC96" s="2">
        <v>1159.4000000000001</v>
      </c>
      <c r="AD96" s="2">
        <v>2210.0700000000002</v>
      </c>
      <c r="AE96" s="2">
        <v>2508.44</v>
      </c>
      <c r="AF96" s="2">
        <v>2491.48</v>
      </c>
      <c r="AG96" s="2">
        <v>574.6</v>
      </c>
      <c r="AH96" s="2">
        <v>592.83000000000004</v>
      </c>
      <c r="AI96" s="2">
        <v>298.86</v>
      </c>
      <c r="AJ96" s="2">
        <v>437.69</v>
      </c>
      <c r="AM96" s="1" t="s">
        <v>22</v>
      </c>
      <c r="AN96" s="2">
        <v>10304.51</v>
      </c>
      <c r="AO96" s="2">
        <v>11484.93</v>
      </c>
      <c r="AP96" s="2">
        <v>15585.29</v>
      </c>
      <c r="AQ96" s="2">
        <v>14573.61</v>
      </c>
      <c r="AR96" s="2">
        <v>7526.05</v>
      </c>
      <c r="AS96" s="2">
        <v>6016.52</v>
      </c>
      <c r="AT96" s="2">
        <v>2161.08</v>
      </c>
      <c r="AU96" s="2">
        <v>2038.33</v>
      </c>
      <c r="AV96" s="2">
        <v>5677.12</v>
      </c>
      <c r="AW96" s="2">
        <v>11029.31</v>
      </c>
      <c r="AX96" s="2">
        <v>12292.36</v>
      </c>
      <c r="AY96" s="2">
        <v>12157.22</v>
      </c>
      <c r="AZ96" s="2">
        <v>5171.3999999999996</v>
      </c>
      <c r="BA96" s="2">
        <v>5153.17</v>
      </c>
      <c r="BB96" s="2">
        <v>2156.04</v>
      </c>
      <c r="BC96" s="2">
        <v>2050.62</v>
      </c>
      <c r="BF96" s="1" t="s">
        <v>22</v>
      </c>
      <c r="BG96" s="2">
        <v>3.11</v>
      </c>
      <c r="BH96" s="2">
        <v>2.06</v>
      </c>
      <c r="BI96" s="2">
        <v>1.51</v>
      </c>
      <c r="BJ96" s="2">
        <v>3.55</v>
      </c>
      <c r="BK96" s="2">
        <v>2.86</v>
      </c>
      <c r="BL96" s="2">
        <v>2.1</v>
      </c>
      <c r="BM96" s="2">
        <v>1.41</v>
      </c>
      <c r="BN96" s="2">
        <v>1.52</v>
      </c>
      <c r="BO96" s="2">
        <v>0.95</v>
      </c>
      <c r="BP96" s="2">
        <v>2.34</v>
      </c>
      <c r="BQ96" s="2">
        <v>1.1100000000000001</v>
      </c>
      <c r="BR96" s="2">
        <v>0.97</v>
      </c>
      <c r="BS96" s="2">
        <v>0.83</v>
      </c>
      <c r="BT96" s="2">
        <v>0.83</v>
      </c>
      <c r="BU96" s="2">
        <v>0.83</v>
      </c>
      <c r="BV96" s="2">
        <v>0.92</v>
      </c>
    </row>
    <row r="97" spans="2:74" x14ac:dyDescent="0.3">
      <c r="B97" s="1" t="s">
        <v>23</v>
      </c>
      <c r="C97" s="2">
        <v>891.86</v>
      </c>
      <c r="D97" s="2">
        <v>924.9</v>
      </c>
      <c r="E97" s="2">
        <v>1067.79</v>
      </c>
      <c r="F97" s="2">
        <v>1231.5999999999999</v>
      </c>
      <c r="G97" s="2">
        <v>477.49</v>
      </c>
      <c r="H97" s="2">
        <v>408.41</v>
      </c>
      <c r="I97" s="2">
        <v>216.05</v>
      </c>
      <c r="J97" s="2">
        <v>272.17</v>
      </c>
      <c r="K97" s="2">
        <v>235.51</v>
      </c>
      <c r="L97" s="2">
        <v>224.65</v>
      </c>
      <c r="M97" s="2">
        <v>249.11</v>
      </c>
      <c r="N97" s="2">
        <v>224.07</v>
      </c>
      <c r="O97" s="2">
        <v>100.17</v>
      </c>
      <c r="P97" s="2">
        <v>94.48</v>
      </c>
      <c r="Q97" s="2">
        <v>647.72</v>
      </c>
      <c r="R97" s="2">
        <v>596.42999999999995</v>
      </c>
      <c r="T97" s="1" t="s">
        <v>23</v>
      </c>
      <c r="U97" s="2">
        <v>7385.46</v>
      </c>
      <c r="V97" s="2">
        <v>8617.4599999999991</v>
      </c>
      <c r="W97" s="2">
        <v>10712.06</v>
      </c>
      <c r="X97" s="2">
        <v>10674.32</v>
      </c>
      <c r="Y97" s="2">
        <v>10288.469999999999</v>
      </c>
      <c r="Z97" s="2">
        <v>10126.85</v>
      </c>
      <c r="AA97" s="2">
        <v>3044.33</v>
      </c>
      <c r="AB97" s="2">
        <v>3315.28</v>
      </c>
      <c r="AC97" s="2">
        <v>8501.31</v>
      </c>
      <c r="AD97" s="2">
        <v>9286.6</v>
      </c>
      <c r="AE97" s="2">
        <v>12820.06</v>
      </c>
      <c r="AF97" s="2">
        <v>13295.46</v>
      </c>
      <c r="AG97" s="2">
        <v>8371.17</v>
      </c>
      <c r="AH97" s="2">
        <v>8204.0400000000009</v>
      </c>
      <c r="AI97" s="2">
        <v>2925.81</v>
      </c>
      <c r="AJ97" s="2">
        <v>3223.71</v>
      </c>
      <c r="AM97" s="1" t="s">
        <v>23</v>
      </c>
      <c r="AN97" s="2">
        <v>37422.54</v>
      </c>
      <c r="AO97" s="2">
        <v>43670.04</v>
      </c>
      <c r="AP97" s="2">
        <v>52427.94</v>
      </c>
      <c r="AQ97" s="2">
        <v>52223.68</v>
      </c>
      <c r="AR97" s="2">
        <v>48107.53</v>
      </c>
      <c r="AS97" s="2">
        <v>47320.15</v>
      </c>
      <c r="AT97" s="2">
        <v>14070.67</v>
      </c>
      <c r="AU97" s="2">
        <v>15396.72</v>
      </c>
      <c r="AV97" s="2">
        <v>41430.69</v>
      </c>
      <c r="AW97" s="2">
        <v>45263.4</v>
      </c>
      <c r="AX97" s="2">
        <v>61939.94</v>
      </c>
      <c r="AY97" s="2">
        <v>64172.04</v>
      </c>
      <c r="AZ97" s="2">
        <v>38974.83</v>
      </c>
      <c r="BA97" s="2">
        <v>38179.96</v>
      </c>
      <c r="BB97" s="2">
        <v>13517.19</v>
      </c>
      <c r="BC97" s="2">
        <v>14969.2</v>
      </c>
      <c r="BF97" s="1" t="s">
        <v>23</v>
      </c>
      <c r="BG97" s="2">
        <v>3.36</v>
      </c>
      <c r="BH97" s="2">
        <v>3.03</v>
      </c>
      <c r="BI97" s="2">
        <v>2.25</v>
      </c>
      <c r="BJ97" s="2">
        <v>2.63</v>
      </c>
      <c r="BK97" s="2">
        <v>2.0099999999999998</v>
      </c>
      <c r="BL97" s="2">
        <v>1.87</v>
      </c>
      <c r="BM97" s="2">
        <v>1.26</v>
      </c>
      <c r="BN97" s="2">
        <v>1.31</v>
      </c>
      <c r="BO97" s="2">
        <v>0.85</v>
      </c>
      <c r="BP97" s="2">
        <v>0.83</v>
      </c>
      <c r="BQ97" s="2">
        <v>0.92</v>
      </c>
      <c r="BR97" s="2">
        <v>0.84</v>
      </c>
      <c r="BS97" s="2">
        <v>0.92</v>
      </c>
      <c r="BT97" s="2">
        <v>0.9</v>
      </c>
      <c r="BU97" s="2">
        <v>1.1399999999999999</v>
      </c>
      <c r="BV97" s="2">
        <v>1.18</v>
      </c>
    </row>
    <row r="98" spans="2:74" x14ac:dyDescent="0.3">
      <c r="B98" s="1" t="s">
        <v>24</v>
      </c>
      <c r="C98" s="2">
        <v>193.77</v>
      </c>
      <c r="D98" s="2">
        <v>158.19999999999999</v>
      </c>
      <c r="E98" s="2">
        <v>132.80000000000001</v>
      </c>
      <c r="F98" s="2">
        <v>127.95</v>
      </c>
      <c r="G98" s="2">
        <v>100.36</v>
      </c>
      <c r="H98" s="2">
        <v>149.84</v>
      </c>
      <c r="I98" s="2">
        <v>42.74</v>
      </c>
      <c r="J98" s="2">
        <v>62.06</v>
      </c>
      <c r="K98" s="2">
        <v>17.48</v>
      </c>
      <c r="L98" s="2">
        <v>18.95</v>
      </c>
      <c r="M98" s="2">
        <v>19.07</v>
      </c>
      <c r="N98" s="2">
        <v>18.989999999999998</v>
      </c>
      <c r="O98" s="2">
        <v>14.44</v>
      </c>
      <c r="P98" s="2">
        <v>11.3</v>
      </c>
      <c r="Q98" s="2">
        <v>38.35</v>
      </c>
      <c r="R98" s="2">
        <v>51.73</v>
      </c>
      <c r="T98" s="1" t="s">
        <v>24</v>
      </c>
      <c r="U98" s="2">
        <v>2535.6999999999998</v>
      </c>
      <c r="V98" s="2">
        <v>2764.96</v>
      </c>
      <c r="W98" s="2">
        <v>3894.15</v>
      </c>
      <c r="X98" s="2">
        <v>3636.7</v>
      </c>
      <c r="Y98" s="2">
        <v>2464.29</v>
      </c>
      <c r="Z98" s="2">
        <v>2082.23</v>
      </c>
      <c r="AA98" s="2">
        <v>1082.96</v>
      </c>
      <c r="AB98" s="2">
        <v>635.54999999999995</v>
      </c>
      <c r="AC98" s="2">
        <v>2408.96</v>
      </c>
      <c r="AD98" s="2">
        <v>3709.56</v>
      </c>
      <c r="AE98" s="2">
        <v>4952.1899999999996</v>
      </c>
      <c r="AF98" s="2">
        <v>5071.93</v>
      </c>
      <c r="AG98" s="2">
        <v>1953.72</v>
      </c>
      <c r="AH98" s="2">
        <v>1611.87</v>
      </c>
      <c r="AI98" s="2">
        <v>963.6</v>
      </c>
      <c r="AJ98" s="2">
        <v>661</v>
      </c>
      <c r="AM98" s="1" t="s">
        <v>24</v>
      </c>
      <c r="AN98" s="2">
        <v>10241.4</v>
      </c>
      <c r="AO98" s="2">
        <v>11139.47</v>
      </c>
      <c r="AP98" s="2">
        <v>15470.39</v>
      </c>
      <c r="AQ98" s="2">
        <v>14183.3</v>
      </c>
      <c r="AR98" s="2">
        <v>9028.99</v>
      </c>
      <c r="AS98" s="2">
        <v>7587.17</v>
      </c>
      <c r="AT98" s="2">
        <v>3915.92</v>
      </c>
      <c r="AU98" s="2">
        <v>2297.73</v>
      </c>
      <c r="AV98" s="2">
        <v>9295.6</v>
      </c>
      <c r="AW98" s="2">
        <v>14690.44</v>
      </c>
      <c r="AX98" s="2">
        <v>20485.419999999998</v>
      </c>
      <c r="AY98" s="2">
        <v>20235.77</v>
      </c>
      <c r="AZ98" s="2">
        <v>7367.57</v>
      </c>
      <c r="BA98" s="2">
        <v>5845.16</v>
      </c>
      <c r="BB98" s="2">
        <v>3482.08</v>
      </c>
      <c r="BC98" s="2">
        <v>2394.89</v>
      </c>
      <c r="BF98" s="1" t="s">
        <v>24</v>
      </c>
      <c r="BG98" s="2">
        <v>2.9</v>
      </c>
      <c r="BH98" s="2">
        <v>2.87</v>
      </c>
      <c r="BI98" s="2">
        <v>1.1399999999999999</v>
      </c>
      <c r="BJ98" s="2">
        <v>1.32</v>
      </c>
      <c r="BK98" s="2">
        <v>1.89</v>
      </c>
      <c r="BL98" s="2">
        <v>2.79</v>
      </c>
      <c r="BM98" s="2">
        <v>1.06</v>
      </c>
      <c r="BN98" s="2">
        <v>1.83</v>
      </c>
      <c r="BO98" s="2">
        <v>0.54</v>
      </c>
      <c r="BP98" s="2">
        <v>0.52</v>
      </c>
      <c r="BQ98" s="2">
        <v>0.7</v>
      </c>
      <c r="BR98" s="2">
        <v>0.65</v>
      </c>
      <c r="BS98" s="2">
        <v>0.72</v>
      </c>
      <c r="BT98" s="2">
        <v>0.63</v>
      </c>
      <c r="BU98" s="2">
        <v>0.46</v>
      </c>
      <c r="BV98" s="2">
        <v>0.99</v>
      </c>
    </row>
    <row r="99" spans="2:74" x14ac:dyDescent="0.3">
      <c r="B99" s="1" t="s">
        <v>25</v>
      </c>
      <c r="C99" s="2">
        <v>690.05</v>
      </c>
      <c r="D99" s="2">
        <v>691.62</v>
      </c>
      <c r="E99" s="2">
        <v>690.79</v>
      </c>
      <c r="F99" s="2">
        <v>602.05999999999995</v>
      </c>
      <c r="G99" s="2">
        <v>329.12</v>
      </c>
      <c r="H99" s="2">
        <v>294.35000000000002</v>
      </c>
      <c r="I99" s="2">
        <v>214.33</v>
      </c>
      <c r="J99" s="2">
        <v>185.29</v>
      </c>
      <c r="K99" s="2">
        <v>108.95</v>
      </c>
      <c r="L99" s="2">
        <v>160.12</v>
      </c>
      <c r="M99" s="2">
        <v>116.72</v>
      </c>
      <c r="N99" s="2">
        <v>165.68</v>
      </c>
      <c r="O99" s="2">
        <v>122.47</v>
      </c>
      <c r="P99" s="2">
        <v>51.03</v>
      </c>
      <c r="Q99" s="2">
        <v>288.49</v>
      </c>
      <c r="R99" s="2">
        <v>257.14999999999998</v>
      </c>
      <c r="T99" s="1" t="s">
        <v>25</v>
      </c>
      <c r="U99" s="2">
        <v>8565.06</v>
      </c>
      <c r="V99" s="2">
        <v>7130.95</v>
      </c>
      <c r="W99" s="2">
        <v>11039.85</v>
      </c>
      <c r="X99" s="2">
        <v>10465.82</v>
      </c>
      <c r="Y99" s="2">
        <v>7744.86</v>
      </c>
      <c r="Z99" s="2">
        <v>6249.87</v>
      </c>
      <c r="AA99" s="2">
        <v>850.5</v>
      </c>
      <c r="AB99" s="2">
        <v>1793.37</v>
      </c>
      <c r="AC99" s="2">
        <v>8575.34</v>
      </c>
      <c r="AD99" s="2">
        <v>9026</v>
      </c>
      <c r="AE99" s="2">
        <v>12367.74</v>
      </c>
      <c r="AF99" s="2">
        <v>12664.8</v>
      </c>
      <c r="AG99" s="2">
        <v>6719.26</v>
      </c>
      <c r="AH99" s="2">
        <v>5407.21</v>
      </c>
      <c r="AI99" s="2">
        <v>3001.06</v>
      </c>
      <c r="AJ99" s="2">
        <v>1979</v>
      </c>
      <c r="AM99" s="1" t="s">
        <v>25</v>
      </c>
      <c r="AN99" s="2">
        <v>35225.43</v>
      </c>
      <c r="AO99" s="2">
        <v>28636.92</v>
      </c>
      <c r="AP99" s="2">
        <v>43988.99</v>
      </c>
      <c r="AQ99" s="2">
        <v>41190.639999999999</v>
      </c>
      <c r="AR99" s="2">
        <v>28636.71</v>
      </c>
      <c r="AS99" s="2">
        <v>22862.31</v>
      </c>
      <c r="AT99" s="2">
        <v>7654.5</v>
      </c>
      <c r="AU99" s="2">
        <v>5907.75</v>
      </c>
      <c r="AV99" s="2">
        <v>33811.06</v>
      </c>
      <c r="AW99" s="2">
        <v>35351.5</v>
      </c>
      <c r="AX99" s="2">
        <v>49250.82</v>
      </c>
      <c r="AY99" s="2">
        <v>49758.11</v>
      </c>
      <c r="AZ99" s="2">
        <v>24678.22</v>
      </c>
      <c r="BA99" s="2">
        <v>19695.759999999998</v>
      </c>
      <c r="BB99" s="2">
        <v>10858.55</v>
      </c>
      <c r="BC99" s="2">
        <v>7164.88</v>
      </c>
      <c r="BF99" s="1" t="s">
        <v>25</v>
      </c>
      <c r="BG99" s="2">
        <v>3.72</v>
      </c>
      <c r="BH99" s="2">
        <v>3.45</v>
      </c>
      <c r="BI99" s="2">
        <v>2.67</v>
      </c>
      <c r="BJ99" s="2">
        <v>1.79</v>
      </c>
      <c r="BK99" s="2">
        <v>2.11</v>
      </c>
      <c r="BL99" s="2">
        <v>2.29</v>
      </c>
      <c r="BM99" s="2">
        <v>1.6</v>
      </c>
      <c r="BN99" s="2">
        <v>1.72</v>
      </c>
      <c r="BO99" s="2">
        <v>0.93</v>
      </c>
      <c r="BP99" s="2">
        <v>0.98</v>
      </c>
      <c r="BQ99" s="2">
        <v>1.24</v>
      </c>
      <c r="BR99" s="2">
        <v>1.26</v>
      </c>
      <c r="BS99" s="2">
        <v>1.89</v>
      </c>
      <c r="BT99" s="2">
        <v>0.98</v>
      </c>
      <c r="BU99" s="2">
        <v>1.28</v>
      </c>
      <c r="BV99" s="2">
        <v>1.1399999999999999</v>
      </c>
    </row>
    <row r="100" spans="2:74" x14ac:dyDescent="0.3">
      <c r="B100" s="1" t="s">
        <v>26</v>
      </c>
      <c r="C100" s="2">
        <v>133.6</v>
      </c>
      <c r="D100" s="2">
        <v>127.63</v>
      </c>
      <c r="E100" s="2">
        <v>297.92</v>
      </c>
      <c r="F100" s="2">
        <v>96.74</v>
      </c>
      <c r="G100" s="2">
        <v>157.9</v>
      </c>
      <c r="H100" s="2">
        <v>128.24</v>
      </c>
      <c r="I100" s="2">
        <v>116.01</v>
      </c>
      <c r="J100" s="2">
        <v>81.900000000000006</v>
      </c>
      <c r="K100" s="2">
        <v>151.31</v>
      </c>
      <c r="L100" s="2">
        <v>110.86</v>
      </c>
      <c r="M100" s="2">
        <v>151.31</v>
      </c>
      <c r="N100" s="2">
        <v>110.86</v>
      </c>
      <c r="O100" s="2">
        <v>17.36</v>
      </c>
      <c r="P100" s="2">
        <v>19.54</v>
      </c>
      <c r="Q100" s="2">
        <v>143.24</v>
      </c>
      <c r="R100" s="2">
        <v>205.83</v>
      </c>
      <c r="T100" s="1" t="s">
        <v>26</v>
      </c>
      <c r="U100" s="2">
        <v>3962.62</v>
      </c>
      <c r="V100" s="2">
        <v>3340.74</v>
      </c>
      <c r="W100" s="2">
        <v>3747.27</v>
      </c>
      <c r="X100" s="2">
        <v>3509.4</v>
      </c>
      <c r="Y100" s="2">
        <v>4129.16</v>
      </c>
      <c r="Z100" s="2">
        <v>4129.16</v>
      </c>
      <c r="AA100" s="2">
        <v>743.89</v>
      </c>
      <c r="AB100" s="2">
        <v>1353.49</v>
      </c>
      <c r="AC100" s="2">
        <v>5340.44</v>
      </c>
      <c r="AD100" s="2">
        <v>3697.19</v>
      </c>
      <c r="AE100" s="2">
        <v>4636.2</v>
      </c>
      <c r="AF100" s="2">
        <v>5145.7299999999996</v>
      </c>
      <c r="AG100" s="2">
        <v>3575.31</v>
      </c>
      <c r="AH100" s="2">
        <v>3575.48</v>
      </c>
      <c r="AI100" s="2">
        <v>1180.75</v>
      </c>
      <c r="AJ100" s="2">
        <v>1567.4</v>
      </c>
      <c r="AM100" s="1" t="s">
        <v>26</v>
      </c>
      <c r="AN100" s="2">
        <v>15671.78</v>
      </c>
      <c r="AO100" s="2">
        <v>13136.76</v>
      </c>
      <c r="AP100" s="2">
        <v>14094.33</v>
      </c>
      <c r="AQ100" s="2">
        <v>13310.7</v>
      </c>
      <c r="AR100" s="2">
        <v>14918.44</v>
      </c>
      <c r="AS100" s="2">
        <v>14918.44</v>
      </c>
      <c r="AT100" s="2">
        <v>3502.31</v>
      </c>
      <c r="AU100" s="2">
        <v>4881.71</v>
      </c>
      <c r="AV100" s="2">
        <v>20291.560000000001</v>
      </c>
      <c r="AW100" s="2">
        <v>16462.810000000001</v>
      </c>
      <c r="AX100" s="2">
        <v>17254.2</v>
      </c>
      <c r="AY100" s="2">
        <v>19168.669999999998</v>
      </c>
      <c r="AZ100" s="2">
        <v>12906.09</v>
      </c>
      <c r="BA100" s="2">
        <v>12905.92</v>
      </c>
      <c r="BB100" s="2">
        <v>3607.25</v>
      </c>
      <c r="BC100" s="2">
        <v>5657.95</v>
      </c>
      <c r="BF100" s="1" t="s">
        <v>26</v>
      </c>
      <c r="BG100" s="2">
        <v>1.2</v>
      </c>
      <c r="BH100" s="2">
        <v>1.04</v>
      </c>
      <c r="BI100" s="2">
        <v>1.49</v>
      </c>
      <c r="BJ100" s="2">
        <v>0.5</v>
      </c>
      <c r="BK100" s="2">
        <v>1.86</v>
      </c>
      <c r="BL100" s="2">
        <v>1.66</v>
      </c>
      <c r="BM100" s="2">
        <v>1.65</v>
      </c>
      <c r="BN100" s="2">
        <v>1.3</v>
      </c>
      <c r="BO100" s="2">
        <v>1.25</v>
      </c>
      <c r="BP100" s="2">
        <v>1.38</v>
      </c>
      <c r="BQ100" s="2">
        <v>1.25</v>
      </c>
      <c r="BR100" s="2">
        <v>1.38</v>
      </c>
      <c r="BS100" s="2">
        <v>0.8</v>
      </c>
      <c r="BT100" s="2">
        <v>0.67</v>
      </c>
      <c r="BU100" s="2">
        <v>0.56999999999999995</v>
      </c>
      <c r="BV100" s="2">
        <v>0.91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8.1289634512936616E-3</v>
      </c>
      <c r="D107" s="2">
        <v>1.132310890843387E-2</v>
      </c>
      <c r="E107" s="2">
        <v>1.6731516188997791E-2</v>
      </c>
      <c r="F107" s="2">
        <v>9.6978240750704853E-3</v>
      </c>
      <c r="G107" s="2">
        <v>6.9223899896493366E-3</v>
      </c>
      <c r="H107" s="2">
        <v>7.6543721687459794E-3</v>
      </c>
      <c r="I107" s="2">
        <v>1.2274605676980299E-2</v>
      </c>
      <c r="J107" s="2">
        <v>1.068765893436561E-2</v>
      </c>
      <c r="K107" s="2">
        <v>2.1670726755988631E-2</v>
      </c>
      <c r="L107" s="2">
        <v>2.7351544684398189E-2</v>
      </c>
      <c r="M107" s="2">
        <v>2.106617044162732E-2</v>
      </c>
      <c r="N107" s="2">
        <v>2.746660477984118E-2</v>
      </c>
      <c r="O107" s="2">
        <v>1.5954066558894031E-2</v>
      </c>
      <c r="P107" s="2">
        <v>1.5320998340308249E-2</v>
      </c>
      <c r="Q107" s="2">
        <v>2.2894590638453321E-2</v>
      </c>
      <c r="R107" s="2">
        <v>1.5757377585220309E-2</v>
      </c>
      <c r="T107" s="1" t="s">
        <v>19</v>
      </c>
      <c r="U107" s="2">
        <v>594.91999999999996</v>
      </c>
      <c r="V107" s="2">
        <v>577.94000000000005</v>
      </c>
      <c r="W107" s="2">
        <v>640.05999999999995</v>
      </c>
      <c r="X107" s="2">
        <v>385.01</v>
      </c>
      <c r="Y107" s="2">
        <v>460.7</v>
      </c>
      <c r="Z107" s="2">
        <v>382.94</v>
      </c>
      <c r="AA107" s="2">
        <v>452.3</v>
      </c>
      <c r="AB107" s="2">
        <v>271.64</v>
      </c>
      <c r="AC107" s="2">
        <v>303.47000000000003</v>
      </c>
      <c r="AD107" s="2">
        <v>437.71</v>
      </c>
      <c r="AE107" s="2">
        <v>303.47000000000003</v>
      </c>
      <c r="AF107" s="2">
        <v>419.86</v>
      </c>
      <c r="AG107" s="2">
        <v>139.94999999999999</v>
      </c>
      <c r="AH107" s="2">
        <v>125.31</v>
      </c>
      <c r="AI107" s="2">
        <v>1203.44</v>
      </c>
      <c r="AJ107" s="2">
        <v>777.76</v>
      </c>
      <c r="AM107" s="1" t="s">
        <v>19</v>
      </c>
      <c r="AN107" s="2">
        <v>9184.08</v>
      </c>
      <c r="AO107" s="2">
        <v>8921.06</v>
      </c>
      <c r="AP107" s="2">
        <v>9880.94</v>
      </c>
      <c r="AQ107" s="2">
        <v>5942.99</v>
      </c>
      <c r="AR107" s="2">
        <v>8142.3</v>
      </c>
      <c r="AS107" s="2">
        <v>6792.06</v>
      </c>
      <c r="AT107" s="2">
        <v>6981.7</v>
      </c>
      <c r="AU107" s="2">
        <v>5055.3599999999997</v>
      </c>
      <c r="AV107" s="2">
        <v>5646.53</v>
      </c>
      <c r="AW107" s="2">
        <v>8144.29</v>
      </c>
      <c r="AX107" s="2">
        <v>5646.53</v>
      </c>
      <c r="AY107" s="2">
        <v>7812.14</v>
      </c>
      <c r="AZ107" s="2">
        <v>2604.0500000000002</v>
      </c>
      <c r="BA107" s="2">
        <v>2331.69</v>
      </c>
      <c r="BB107" s="2">
        <v>10864.56</v>
      </c>
      <c r="BC107" s="2">
        <v>7069.24</v>
      </c>
      <c r="BF107" s="1" t="s">
        <v>19</v>
      </c>
      <c r="BG107" s="2">
        <v>1.44</v>
      </c>
      <c r="BH107" s="2">
        <v>1.44</v>
      </c>
      <c r="BI107" s="2">
        <v>1.5</v>
      </c>
      <c r="BJ107" s="2">
        <v>1.5</v>
      </c>
      <c r="BK107" s="2">
        <v>1.68</v>
      </c>
      <c r="BL107" s="2">
        <v>1.68</v>
      </c>
      <c r="BM107" s="2">
        <v>1.98</v>
      </c>
      <c r="BN107" s="2">
        <v>1.98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0.48</v>
      </c>
      <c r="BV107" s="2">
        <v>0.48</v>
      </c>
    </row>
    <row r="108" spans="2:74" x14ac:dyDescent="0.3">
      <c r="B108" s="1" t="s">
        <v>20</v>
      </c>
      <c r="C108" s="2">
        <v>4.375824493715115E-2</v>
      </c>
      <c r="D108" s="2">
        <v>1.8605872384764351E-2</v>
      </c>
      <c r="E108" s="2">
        <v>3.2827454259306818E-2</v>
      </c>
      <c r="F108" s="2">
        <v>5.3368486752900152E-2</v>
      </c>
      <c r="G108" s="2">
        <v>4.7467542838538858E-2</v>
      </c>
      <c r="H108" s="2">
        <v>3.1539228147553167E-2</v>
      </c>
      <c r="I108" s="2">
        <v>8.2911401743567745E-2</v>
      </c>
      <c r="J108" s="2">
        <v>3.9755085550201241E-2</v>
      </c>
      <c r="K108" s="2">
        <v>5.9880599063320238E-2</v>
      </c>
      <c r="L108" s="2">
        <v>6.2979351574061482E-2</v>
      </c>
      <c r="M108" s="2">
        <v>5.8210782610629189E-2</v>
      </c>
      <c r="N108" s="2">
        <v>6.5423179160832956E-2</v>
      </c>
      <c r="O108" s="2">
        <v>9.5649542497192847E-2</v>
      </c>
      <c r="P108" s="2">
        <v>8.3228806533769489E-2</v>
      </c>
      <c r="Q108" s="2">
        <v>7.6832188783496166E-2</v>
      </c>
      <c r="R108" s="2">
        <v>3.9306793100629442E-2</v>
      </c>
      <c r="T108" s="1" t="s">
        <v>20</v>
      </c>
      <c r="U108" s="2">
        <v>854.84</v>
      </c>
      <c r="V108" s="2">
        <v>514.73</v>
      </c>
      <c r="W108" s="2">
        <v>967.78</v>
      </c>
      <c r="X108" s="2">
        <v>473.13</v>
      </c>
      <c r="Y108" s="2">
        <v>1124.0999999999999</v>
      </c>
      <c r="Z108" s="2">
        <v>516.48</v>
      </c>
      <c r="AA108" s="2">
        <v>1017.85</v>
      </c>
      <c r="AB108" s="2">
        <v>469.21</v>
      </c>
      <c r="AC108" s="2">
        <v>521.23</v>
      </c>
      <c r="AD108" s="2">
        <v>768.12</v>
      </c>
      <c r="AE108" s="2">
        <v>521.22</v>
      </c>
      <c r="AF108" s="2">
        <v>759.09</v>
      </c>
      <c r="AG108" s="2">
        <v>429.29</v>
      </c>
      <c r="AH108" s="2">
        <v>352.31</v>
      </c>
      <c r="AI108" s="2">
        <v>1016.47</v>
      </c>
      <c r="AJ108" s="2">
        <v>708.64</v>
      </c>
      <c r="AM108" s="1" t="s">
        <v>20</v>
      </c>
      <c r="AN108" s="2">
        <v>4423.16</v>
      </c>
      <c r="AO108" s="2">
        <v>2525.27</v>
      </c>
      <c r="AP108" s="2">
        <v>5023.22</v>
      </c>
      <c r="AQ108" s="2">
        <v>2323.21</v>
      </c>
      <c r="AR108" s="2">
        <v>5670.9</v>
      </c>
      <c r="AS108" s="2">
        <v>2492.52</v>
      </c>
      <c r="AT108" s="2">
        <v>5138.1499999999996</v>
      </c>
      <c r="AU108" s="2">
        <v>2264.79</v>
      </c>
      <c r="AV108" s="2">
        <v>2446.77</v>
      </c>
      <c r="AW108" s="2">
        <v>3632.88</v>
      </c>
      <c r="AX108" s="2">
        <v>2446.7800000000002</v>
      </c>
      <c r="AY108" s="2">
        <v>3588.91</v>
      </c>
      <c r="AZ108" s="2">
        <v>2011.71</v>
      </c>
      <c r="BA108" s="2">
        <v>1649.69</v>
      </c>
      <c r="BB108" s="2">
        <v>4798.83</v>
      </c>
      <c r="BC108" s="2">
        <v>3326.36</v>
      </c>
      <c r="BF108" s="1" t="s">
        <v>20</v>
      </c>
      <c r="BG108" s="2">
        <v>7.51</v>
      </c>
      <c r="BH108" s="2">
        <v>3.57</v>
      </c>
      <c r="BI108" s="2">
        <v>3.03</v>
      </c>
      <c r="BJ108" s="2">
        <v>11.67</v>
      </c>
      <c r="BK108" s="2">
        <v>5.88</v>
      </c>
      <c r="BL108" s="2">
        <v>6.29</v>
      </c>
      <c r="BM108" s="2">
        <v>7.7</v>
      </c>
      <c r="BN108" s="2">
        <v>5.88</v>
      </c>
      <c r="BO108" s="2">
        <v>3.85</v>
      </c>
      <c r="BP108" s="2">
        <v>2.83</v>
      </c>
      <c r="BQ108" s="2">
        <v>3.85</v>
      </c>
      <c r="BR108" s="2">
        <v>2.86</v>
      </c>
      <c r="BS108" s="2">
        <v>3.31</v>
      </c>
      <c r="BT108" s="2">
        <v>3.36</v>
      </c>
      <c r="BU108" s="2">
        <v>3.01</v>
      </c>
      <c r="BV108" s="2">
        <v>2.27</v>
      </c>
    </row>
    <row r="109" spans="2:74" x14ac:dyDescent="0.3">
      <c r="B109" s="1" t="s">
        <v>21</v>
      </c>
      <c r="C109" s="2">
        <v>0.31041288728332261</v>
      </c>
      <c r="D109" s="2">
        <v>0.13865579099519559</v>
      </c>
      <c r="E109" s="2">
        <v>0.24293538091127251</v>
      </c>
      <c r="F109" s="2">
        <v>0.33868884919183012</v>
      </c>
      <c r="G109" s="2">
        <v>0.40563350973484491</v>
      </c>
      <c r="H109" s="2">
        <v>0.1921704445509651</v>
      </c>
      <c r="I109" s="2">
        <v>0.46304991561368208</v>
      </c>
      <c r="J109" s="2">
        <v>0.24851533109374799</v>
      </c>
      <c r="K109" s="2">
        <v>0.15552572438283779</v>
      </c>
      <c r="L109" s="2">
        <v>0.20681989270015899</v>
      </c>
      <c r="M109" s="2">
        <v>0.14390549303330061</v>
      </c>
      <c r="N109" s="2">
        <v>0.20448913596118229</v>
      </c>
      <c r="O109" s="2">
        <v>0.3083672445509783</v>
      </c>
      <c r="P109" s="2">
        <v>0.20695475637087379</v>
      </c>
      <c r="Q109" s="2">
        <v>0.146075974093514</v>
      </c>
      <c r="R109" s="2">
        <v>0.2263625711872258</v>
      </c>
      <c r="T109" s="1" t="s">
        <v>21</v>
      </c>
      <c r="U109" s="2">
        <v>3799.5</v>
      </c>
      <c r="V109" s="2">
        <v>1444.01</v>
      </c>
      <c r="W109" s="2">
        <v>3399.94</v>
      </c>
      <c r="X109" s="2">
        <v>2836.1</v>
      </c>
      <c r="Y109" s="2">
        <v>4026.18</v>
      </c>
      <c r="Z109" s="2">
        <v>2667.87</v>
      </c>
      <c r="AA109" s="2">
        <v>3419.99</v>
      </c>
      <c r="AB109" s="2">
        <v>2325.7800000000002</v>
      </c>
      <c r="AC109" s="2">
        <v>1464.86</v>
      </c>
      <c r="AD109" s="2">
        <v>1727.52</v>
      </c>
      <c r="AE109" s="2">
        <v>1210.8900000000001</v>
      </c>
      <c r="AF109" s="2">
        <v>1399.84</v>
      </c>
      <c r="AG109" s="2">
        <v>1001.94</v>
      </c>
      <c r="AH109" s="2">
        <v>414.3</v>
      </c>
      <c r="AI109" s="2">
        <v>1999.83</v>
      </c>
      <c r="AJ109" s="2">
        <v>2441.1999999999998</v>
      </c>
      <c r="AM109" s="1" t="s">
        <v>21</v>
      </c>
      <c r="AN109" s="2">
        <v>14614.59</v>
      </c>
      <c r="AO109" s="2">
        <v>7080.94</v>
      </c>
      <c r="AP109" s="2">
        <v>18095.060000000001</v>
      </c>
      <c r="AQ109" s="2">
        <v>8255.65</v>
      </c>
      <c r="AR109" s="2">
        <v>19698.23</v>
      </c>
      <c r="AS109" s="2">
        <v>13184.46</v>
      </c>
      <c r="AT109" s="2">
        <v>17838.62</v>
      </c>
      <c r="AU109" s="2">
        <v>11469.04</v>
      </c>
      <c r="AV109" s="2">
        <v>6899.89</v>
      </c>
      <c r="AW109" s="2">
        <v>8161.93</v>
      </c>
      <c r="AX109" s="2">
        <v>5686.11</v>
      </c>
      <c r="AY109" s="2">
        <v>6583.16</v>
      </c>
      <c r="AZ109" s="2">
        <v>4694.84</v>
      </c>
      <c r="BA109" s="2">
        <v>3728.7</v>
      </c>
      <c r="BB109" s="2">
        <v>9385.17</v>
      </c>
      <c r="BC109" s="2">
        <v>9486.7999999999993</v>
      </c>
      <c r="BF109" s="1" t="s">
        <v>21</v>
      </c>
      <c r="BG109" s="2">
        <v>11.52</v>
      </c>
      <c r="BH109" s="2">
        <v>9.27</v>
      </c>
      <c r="BI109" s="2">
        <v>6.13</v>
      </c>
      <c r="BJ109" s="2">
        <v>12</v>
      </c>
      <c r="BK109" s="2">
        <v>13.44</v>
      </c>
      <c r="BL109" s="2">
        <v>7.22</v>
      </c>
      <c r="BM109" s="2">
        <v>12.11</v>
      </c>
      <c r="BN109" s="2">
        <v>7.11</v>
      </c>
      <c r="BO109" s="2">
        <v>3.42</v>
      </c>
      <c r="BP109" s="2">
        <v>3.8</v>
      </c>
      <c r="BQ109" s="2">
        <v>3.93</v>
      </c>
      <c r="BR109" s="2">
        <v>4.45</v>
      </c>
      <c r="BS109" s="2">
        <v>4.2</v>
      </c>
      <c r="BT109" s="2">
        <v>5.67</v>
      </c>
      <c r="BU109" s="2">
        <v>2.8</v>
      </c>
      <c r="BV109" s="2">
        <v>3.84</v>
      </c>
    </row>
    <row r="110" spans="2:74" x14ac:dyDescent="0.3">
      <c r="B110" s="1" t="s">
        <v>22</v>
      </c>
      <c r="C110" s="2">
        <v>5.7286999618358529E-2</v>
      </c>
      <c r="D110" s="2">
        <v>3.1255690992196987E-2</v>
      </c>
      <c r="E110" s="2">
        <v>5.1502758980404843E-2</v>
      </c>
      <c r="F110" s="2">
        <v>9.4188494070550757E-2</v>
      </c>
      <c r="G110" s="2">
        <v>7.3451508524707984E-2</v>
      </c>
      <c r="H110" s="2">
        <v>5.8562124808610713E-2</v>
      </c>
      <c r="I110" s="2">
        <v>4.4924222561961803E-2</v>
      </c>
      <c r="J110" s="2">
        <v>5.0633570572799803E-2</v>
      </c>
      <c r="K110" s="2">
        <v>5.3806905582908737E-2</v>
      </c>
      <c r="L110" s="2">
        <v>5.8447934606585608E-2</v>
      </c>
      <c r="M110" s="2">
        <v>4.8885022360700747E-2</v>
      </c>
      <c r="N110" s="2">
        <v>2.3128165274467559E-2</v>
      </c>
      <c r="O110" s="2">
        <v>2.825129605886615E-2</v>
      </c>
      <c r="P110" s="2">
        <v>2.9523906040513751E-2</v>
      </c>
      <c r="Q110" s="2">
        <v>3.9139418600816357E-2</v>
      </c>
      <c r="R110" s="2">
        <v>3.8281697048965911E-2</v>
      </c>
      <c r="T110" s="1" t="s">
        <v>22</v>
      </c>
      <c r="U110" s="2">
        <v>830.45</v>
      </c>
      <c r="V110" s="2">
        <v>483.08</v>
      </c>
      <c r="W110" s="2">
        <v>887.03</v>
      </c>
      <c r="X110" s="2">
        <v>884.03</v>
      </c>
      <c r="Y110" s="2">
        <v>1097.83</v>
      </c>
      <c r="Z110" s="2">
        <v>895.87</v>
      </c>
      <c r="AA110" s="2">
        <v>879.75</v>
      </c>
      <c r="AB110" s="2">
        <v>754.99</v>
      </c>
      <c r="AC110" s="2">
        <v>614.52</v>
      </c>
      <c r="AD110" s="2">
        <v>221</v>
      </c>
      <c r="AE110" s="2">
        <v>492.95</v>
      </c>
      <c r="AF110" s="2">
        <v>228.01</v>
      </c>
      <c r="AG110" s="2">
        <v>141.94999999999999</v>
      </c>
      <c r="AH110" s="2">
        <v>142.31</v>
      </c>
      <c r="AI110" s="2">
        <v>544.09</v>
      </c>
      <c r="AJ110" s="2">
        <v>547.12</v>
      </c>
      <c r="AM110" s="1" t="s">
        <v>22</v>
      </c>
      <c r="AN110" s="2">
        <v>4293.55</v>
      </c>
      <c r="AO110" s="2">
        <v>2365.4699999999998</v>
      </c>
      <c r="AP110" s="2">
        <v>4593.97</v>
      </c>
      <c r="AQ110" s="2">
        <v>4411.72</v>
      </c>
      <c r="AR110" s="2">
        <v>5566.17</v>
      </c>
      <c r="AS110" s="2">
        <v>4390.13</v>
      </c>
      <c r="AT110" s="2">
        <v>4416.25</v>
      </c>
      <c r="AU110" s="2">
        <v>3684.01</v>
      </c>
      <c r="AV110" s="2">
        <v>2894.63</v>
      </c>
      <c r="AW110" s="2">
        <v>1989</v>
      </c>
      <c r="AX110" s="2">
        <v>2314.0500000000002</v>
      </c>
      <c r="AY110" s="2">
        <v>1981.99</v>
      </c>
      <c r="AZ110" s="2">
        <v>1029.08</v>
      </c>
      <c r="BA110" s="2">
        <v>1026.69</v>
      </c>
      <c r="BB110" s="2">
        <v>2547.91</v>
      </c>
      <c r="BC110" s="2">
        <v>2563.2800000000002</v>
      </c>
      <c r="BF110" s="1" t="s">
        <v>22</v>
      </c>
      <c r="BG110" s="2">
        <v>9.34</v>
      </c>
      <c r="BH110" s="2">
        <v>6.17</v>
      </c>
      <c r="BI110" s="2">
        <v>4.5199999999999996</v>
      </c>
      <c r="BJ110" s="2">
        <v>10.65</v>
      </c>
      <c r="BK110" s="2">
        <v>8.57</v>
      </c>
      <c r="BL110" s="2">
        <v>6.31</v>
      </c>
      <c r="BM110" s="2">
        <v>4.24</v>
      </c>
      <c r="BN110" s="2">
        <v>4.55</v>
      </c>
      <c r="BO110" s="2">
        <v>2.85</v>
      </c>
      <c r="BP110" s="2">
        <v>7.02</v>
      </c>
      <c r="BQ110" s="2">
        <v>3.32</v>
      </c>
      <c r="BR110" s="2">
        <v>2.92</v>
      </c>
      <c r="BS110" s="2">
        <v>2.4900000000000002</v>
      </c>
      <c r="BT110" s="2">
        <v>2.4900000000000002</v>
      </c>
      <c r="BU110" s="2">
        <v>2.5</v>
      </c>
      <c r="BV110" s="2">
        <v>2.77</v>
      </c>
    </row>
    <row r="111" spans="2:74" x14ac:dyDescent="0.3">
      <c r="B111" s="1" t="s">
        <v>23</v>
      </c>
      <c r="C111" s="2">
        <v>0.2201785524460779</v>
      </c>
      <c r="D111" s="2">
        <v>0.31857342382523912</v>
      </c>
      <c r="E111" s="2">
        <v>0.29121923513392117</v>
      </c>
      <c r="F111" s="2">
        <v>0.27447668036932621</v>
      </c>
      <c r="G111" s="2">
        <v>0.1785362718569459</v>
      </c>
      <c r="H111" s="2">
        <v>0.24383583728827221</v>
      </c>
      <c r="I111" s="2">
        <v>0.14040220550764021</v>
      </c>
      <c r="J111" s="2">
        <v>0.220210509834184</v>
      </c>
      <c r="K111" s="2">
        <v>0.29012840747285168</v>
      </c>
      <c r="L111" s="2">
        <v>0.24523264823498739</v>
      </c>
      <c r="M111" s="2">
        <v>0.29991342003374261</v>
      </c>
      <c r="N111" s="2">
        <v>0.25462051823091209</v>
      </c>
      <c r="O111" s="2">
        <v>0.27793235807060429</v>
      </c>
      <c r="P111" s="2">
        <v>0.27293041090246362</v>
      </c>
      <c r="Q111" s="2">
        <v>0.39658968966505748</v>
      </c>
      <c r="R111" s="2">
        <v>0.33747949535409683</v>
      </c>
      <c r="T111" s="1" t="s">
        <v>23</v>
      </c>
      <c r="U111" s="2">
        <v>3077.27</v>
      </c>
      <c r="V111" s="2">
        <v>3542.21</v>
      </c>
      <c r="W111" s="2">
        <v>3446.98</v>
      </c>
      <c r="X111" s="2">
        <v>3714.64</v>
      </c>
      <c r="Y111" s="2">
        <v>3825.73</v>
      </c>
      <c r="Z111" s="2">
        <v>4578.59</v>
      </c>
      <c r="AA111" s="2">
        <v>3234.64</v>
      </c>
      <c r="AB111" s="2">
        <v>4028.93</v>
      </c>
      <c r="AC111" s="2">
        <v>3957.1</v>
      </c>
      <c r="AD111" s="2">
        <v>3219.68</v>
      </c>
      <c r="AE111" s="2">
        <v>3894.94</v>
      </c>
      <c r="AF111" s="2">
        <v>3155.4</v>
      </c>
      <c r="AG111" s="2">
        <v>1449.68</v>
      </c>
      <c r="AH111" s="2">
        <v>1393.24</v>
      </c>
      <c r="AI111" s="2">
        <v>4144.1000000000004</v>
      </c>
      <c r="AJ111" s="2">
        <v>4029.63</v>
      </c>
      <c r="AM111" s="1" t="s">
        <v>23</v>
      </c>
      <c r="AN111" s="2">
        <v>15592.73</v>
      </c>
      <c r="AO111" s="2">
        <v>17262.79</v>
      </c>
      <c r="AP111" s="2">
        <v>17468.02</v>
      </c>
      <c r="AQ111" s="2">
        <v>18105.36</v>
      </c>
      <c r="AR111" s="2">
        <v>18724.27</v>
      </c>
      <c r="AS111" s="2">
        <v>22121.41</v>
      </c>
      <c r="AT111" s="2">
        <v>15825.36</v>
      </c>
      <c r="AU111" s="2">
        <v>19446.07</v>
      </c>
      <c r="AV111" s="2">
        <v>18502.900000000001</v>
      </c>
      <c r="AW111" s="2">
        <v>14990.32</v>
      </c>
      <c r="AX111" s="2">
        <v>18200.060000000001</v>
      </c>
      <c r="AY111" s="2">
        <v>14684.6</v>
      </c>
      <c r="AZ111" s="2">
        <v>6700.32</v>
      </c>
      <c r="BA111" s="2">
        <v>6436.76</v>
      </c>
      <c r="BB111" s="2">
        <v>19245.900000000001</v>
      </c>
      <c r="BC111" s="2">
        <v>18711.5</v>
      </c>
      <c r="BF111" s="1" t="s">
        <v>23</v>
      </c>
      <c r="BG111" s="2">
        <v>10.08</v>
      </c>
      <c r="BH111" s="2">
        <v>9.09</v>
      </c>
      <c r="BI111" s="2">
        <v>6.75</v>
      </c>
      <c r="BJ111" s="2">
        <v>7.89</v>
      </c>
      <c r="BK111" s="2">
        <v>6.04</v>
      </c>
      <c r="BL111" s="2">
        <v>5.61</v>
      </c>
      <c r="BM111" s="2">
        <v>3.78</v>
      </c>
      <c r="BN111" s="2">
        <v>3.92</v>
      </c>
      <c r="BO111" s="2">
        <v>2.5499999999999998</v>
      </c>
      <c r="BP111" s="2">
        <v>2.48</v>
      </c>
      <c r="BQ111" s="2">
        <v>2.75</v>
      </c>
      <c r="BR111" s="2">
        <v>2.5299999999999998</v>
      </c>
      <c r="BS111" s="2">
        <v>2.76</v>
      </c>
      <c r="BT111" s="2">
        <v>2.7</v>
      </c>
      <c r="BU111" s="2">
        <v>3.41</v>
      </c>
      <c r="BV111" s="2">
        <v>3.53</v>
      </c>
    </row>
    <row r="112" spans="2:74" x14ac:dyDescent="0.3">
      <c r="B112" s="1" t="s">
        <v>24</v>
      </c>
      <c r="C112" s="2">
        <v>6.2090105726887612E-2</v>
      </c>
      <c r="D112" s="2">
        <v>7.9423395679587686E-2</v>
      </c>
      <c r="E112" s="2">
        <v>4.3575145303284192E-2</v>
      </c>
      <c r="F112" s="2">
        <v>4.8371177065622113E-2</v>
      </c>
      <c r="G112" s="2">
        <v>5.816258834152889E-2</v>
      </c>
      <c r="H112" s="2">
        <v>0.13117633821361041</v>
      </c>
      <c r="I112" s="2">
        <v>3.7975545560099293E-2</v>
      </c>
      <c r="J112" s="2">
        <v>0.1076675040646656</v>
      </c>
      <c r="K112" s="2">
        <v>4.2180611072035128E-2</v>
      </c>
      <c r="L112" s="2">
        <v>3.3365770542852002E-2</v>
      </c>
      <c r="M112" s="2">
        <v>4.4920132413149037E-2</v>
      </c>
      <c r="N112" s="2">
        <v>3.5848808856737593E-2</v>
      </c>
      <c r="O112" s="2">
        <v>6.9651915618803392E-2</v>
      </c>
      <c r="P112" s="2">
        <v>5.6952845814802318E-2</v>
      </c>
      <c r="Q112" s="2">
        <v>2.858795444801579E-2</v>
      </c>
      <c r="R112" s="2">
        <v>5.1042807705932038E-2</v>
      </c>
      <c r="T112" s="1" t="s">
        <v>24</v>
      </c>
      <c r="U112" s="2">
        <v>1056.54</v>
      </c>
      <c r="V112" s="2">
        <v>1003.73</v>
      </c>
      <c r="W112" s="2">
        <v>1105.99</v>
      </c>
      <c r="X112" s="2">
        <v>1483.82</v>
      </c>
      <c r="Y112" s="2">
        <v>1390.77</v>
      </c>
      <c r="Z112" s="2">
        <v>1768.64</v>
      </c>
      <c r="AA112" s="2">
        <v>1102.03</v>
      </c>
      <c r="AB112" s="2">
        <v>1536.95</v>
      </c>
      <c r="AC112" s="2">
        <v>947.81</v>
      </c>
      <c r="AD112" s="2">
        <v>751.43</v>
      </c>
      <c r="AE112" s="2">
        <v>800.86</v>
      </c>
      <c r="AF112" s="2">
        <v>619.95000000000005</v>
      </c>
      <c r="AG112" s="2">
        <v>515.69000000000005</v>
      </c>
      <c r="AH112" s="2">
        <v>458.86</v>
      </c>
      <c r="AI112" s="2">
        <v>794.44</v>
      </c>
      <c r="AJ112" s="2">
        <v>826.25</v>
      </c>
      <c r="AM112" s="1" t="s">
        <v>24</v>
      </c>
      <c r="AN112" s="2">
        <v>4267.25</v>
      </c>
      <c r="AO112" s="2">
        <v>3873.17</v>
      </c>
      <c r="AP112" s="2">
        <v>4455.79</v>
      </c>
      <c r="AQ112" s="2">
        <v>5876.18</v>
      </c>
      <c r="AR112" s="2">
        <v>5525.14</v>
      </c>
      <c r="AS112" s="2">
        <v>7316.22</v>
      </c>
      <c r="AT112" s="2">
        <v>4297.97</v>
      </c>
      <c r="AU112" s="2">
        <v>6132.05</v>
      </c>
      <c r="AV112" s="2">
        <v>3472.69</v>
      </c>
      <c r="AW112" s="2">
        <v>2833.68</v>
      </c>
      <c r="AX112" s="2">
        <v>2918.14</v>
      </c>
      <c r="AY112" s="2">
        <v>2248.14</v>
      </c>
      <c r="AZ112" s="2">
        <v>1864.72</v>
      </c>
      <c r="BA112" s="2">
        <v>1658.13</v>
      </c>
      <c r="BB112" s="2">
        <v>2872.16</v>
      </c>
      <c r="BC112" s="2">
        <v>2993.62</v>
      </c>
      <c r="BF112" s="1" t="s">
        <v>24</v>
      </c>
      <c r="BG112" s="2">
        <v>8.7100000000000009</v>
      </c>
      <c r="BH112" s="2">
        <v>8.61</v>
      </c>
      <c r="BI112" s="2">
        <v>3.41</v>
      </c>
      <c r="BJ112" s="2">
        <v>3.95</v>
      </c>
      <c r="BK112" s="2">
        <v>5.67</v>
      </c>
      <c r="BL112" s="2">
        <v>8.3800000000000008</v>
      </c>
      <c r="BM112" s="2">
        <v>3.18</v>
      </c>
      <c r="BN112" s="2">
        <v>5.48</v>
      </c>
      <c r="BO112" s="2">
        <v>1.63</v>
      </c>
      <c r="BP112" s="2">
        <v>1.56</v>
      </c>
      <c r="BQ112" s="2">
        <v>2.11</v>
      </c>
      <c r="BR112" s="2">
        <v>1.96</v>
      </c>
      <c r="BS112" s="2">
        <v>2.16</v>
      </c>
      <c r="BT112" s="2">
        <v>1.9</v>
      </c>
      <c r="BU112" s="2">
        <v>1.39</v>
      </c>
      <c r="BV112" s="2">
        <v>2.96</v>
      </c>
    </row>
    <row r="113" spans="2:74" x14ac:dyDescent="0.3">
      <c r="B113" s="1" t="s">
        <v>25</v>
      </c>
      <c r="C113" s="2">
        <v>0.25905788577592592</v>
      </c>
      <c r="D113" s="2">
        <v>0.34057725280402118</v>
      </c>
      <c r="E113" s="2">
        <v>0.25234148449777732</v>
      </c>
      <c r="F113" s="2">
        <v>0.16245808492779201</v>
      </c>
      <c r="G113" s="2">
        <v>0.1760939222870973</v>
      </c>
      <c r="H113" s="2">
        <v>0.262739893373792</v>
      </c>
      <c r="I113" s="2">
        <v>0.16297143123054211</v>
      </c>
      <c r="J113" s="2">
        <v>0.24772441637273851</v>
      </c>
      <c r="K113" s="2">
        <v>0.2185378817770611</v>
      </c>
      <c r="L113" s="2">
        <v>0.21292371869962279</v>
      </c>
      <c r="M113" s="2">
        <v>0.22924512831345559</v>
      </c>
      <c r="N113" s="2">
        <v>0.23011287729460919</v>
      </c>
      <c r="O113" s="2">
        <v>0.1538818058022027</v>
      </c>
      <c r="P113" s="2">
        <v>0.26592614620904143</v>
      </c>
      <c r="Q113" s="2">
        <v>0.21560008320923821</v>
      </c>
      <c r="R113" s="2">
        <v>0.1790642796806452</v>
      </c>
      <c r="T113" s="1" t="s">
        <v>25</v>
      </c>
      <c r="U113" s="2">
        <v>3568.78</v>
      </c>
      <c r="V113" s="2">
        <v>3573.06</v>
      </c>
      <c r="W113" s="2">
        <v>2852.38</v>
      </c>
      <c r="X113" s="2">
        <v>3610.4</v>
      </c>
      <c r="Y113" s="2">
        <v>3942.8</v>
      </c>
      <c r="Z113" s="2">
        <v>4417.05</v>
      </c>
      <c r="AA113" s="2">
        <v>3171.46</v>
      </c>
      <c r="AB113" s="2">
        <v>3837.82</v>
      </c>
      <c r="AC113" s="2">
        <v>2978.79</v>
      </c>
      <c r="AD113" s="2">
        <v>2584.33</v>
      </c>
      <c r="AE113" s="2">
        <v>2403.8000000000002</v>
      </c>
      <c r="AF113" s="2">
        <v>2079.6999999999998</v>
      </c>
      <c r="AG113" s="2">
        <v>405</v>
      </c>
      <c r="AH113" s="2">
        <v>1429.07</v>
      </c>
      <c r="AI113" s="2">
        <v>2241.71</v>
      </c>
      <c r="AJ113" s="2">
        <v>2473.75</v>
      </c>
      <c r="AM113" s="1" t="s">
        <v>25</v>
      </c>
      <c r="AN113" s="2">
        <v>14677.26</v>
      </c>
      <c r="AO113" s="2">
        <v>14087.94</v>
      </c>
      <c r="AP113" s="2">
        <v>11454.77</v>
      </c>
      <c r="AQ113" s="2">
        <v>14140.6</v>
      </c>
      <c r="AR113" s="2">
        <v>15710.35</v>
      </c>
      <c r="AS113" s="2">
        <v>17589.580000000002</v>
      </c>
      <c r="AT113" s="2">
        <v>12482.01</v>
      </c>
      <c r="AU113" s="2">
        <v>15078.22</v>
      </c>
      <c r="AV113" s="2">
        <v>11014.12</v>
      </c>
      <c r="AW113" s="2">
        <v>9491.6200000000008</v>
      </c>
      <c r="AX113" s="2">
        <v>8793.2000000000007</v>
      </c>
      <c r="AY113" s="2">
        <v>7575.29</v>
      </c>
      <c r="AZ113" s="2">
        <v>3645</v>
      </c>
      <c r="BA113" s="2">
        <v>5170.74</v>
      </c>
      <c r="BB113" s="2">
        <v>7384.69</v>
      </c>
      <c r="BC113" s="2">
        <v>8956.1</v>
      </c>
      <c r="BF113" s="1" t="s">
        <v>25</v>
      </c>
      <c r="BG113" s="2">
        <v>11.15</v>
      </c>
      <c r="BH113" s="2">
        <v>10.35</v>
      </c>
      <c r="BI113" s="2">
        <v>8</v>
      </c>
      <c r="BJ113" s="2">
        <v>5.37</v>
      </c>
      <c r="BK113" s="2">
        <v>6.34</v>
      </c>
      <c r="BL113" s="2">
        <v>6.87</v>
      </c>
      <c r="BM113" s="2">
        <v>4.8</v>
      </c>
      <c r="BN113" s="2">
        <v>5.15</v>
      </c>
      <c r="BO113" s="2">
        <v>2.78</v>
      </c>
      <c r="BP113" s="2">
        <v>2.93</v>
      </c>
      <c r="BQ113" s="2">
        <v>3.72</v>
      </c>
      <c r="BR113" s="2">
        <v>3.79</v>
      </c>
      <c r="BS113" s="2">
        <v>5.67</v>
      </c>
      <c r="BT113" s="2">
        <v>2.95</v>
      </c>
      <c r="BU113" s="2">
        <v>3.84</v>
      </c>
      <c r="BV113" s="2">
        <v>3.42</v>
      </c>
    </row>
    <row r="114" spans="2:74" x14ac:dyDescent="0.3">
      <c r="B114" s="1" t="s">
        <v>26</v>
      </c>
      <c r="C114" s="2">
        <v>3.9086360760982652E-2</v>
      </c>
      <c r="D114" s="2">
        <v>6.1585464410561321E-2</v>
      </c>
      <c r="E114" s="2">
        <v>6.8867024725035378E-2</v>
      </c>
      <c r="F114" s="2">
        <v>1.8750403546908299E-2</v>
      </c>
      <c r="G114" s="2">
        <v>5.3732266426686902E-2</v>
      </c>
      <c r="H114" s="2">
        <v>7.2321761448450483E-2</v>
      </c>
      <c r="I114" s="2">
        <v>5.5490672105526599E-2</v>
      </c>
      <c r="J114" s="2">
        <v>7.4805923577297151E-2</v>
      </c>
      <c r="K114" s="2">
        <v>0.15826914389299659</v>
      </c>
      <c r="L114" s="2">
        <v>0.1528791389573334</v>
      </c>
      <c r="M114" s="2">
        <v>0.15385385079339489</v>
      </c>
      <c r="N114" s="2">
        <v>0.15891071044141691</v>
      </c>
      <c r="O114" s="2">
        <v>5.0311770842458158E-2</v>
      </c>
      <c r="P114" s="2">
        <v>6.9162129788227319E-2</v>
      </c>
      <c r="Q114" s="2">
        <v>7.4280100561408671E-2</v>
      </c>
      <c r="R114" s="2">
        <v>0.11270497833728441</v>
      </c>
      <c r="T114" s="1" t="s">
        <v>26</v>
      </c>
      <c r="U114" s="2">
        <v>1651.09</v>
      </c>
      <c r="V114" s="2">
        <v>2225.1799999999998</v>
      </c>
      <c r="W114" s="2">
        <v>1336.29</v>
      </c>
      <c r="X114" s="2">
        <v>1478.88</v>
      </c>
      <c r="Y114" s="2">
        <v>1338.31</v>
      </c>
      <c r="Z114" s="2">
        <v>1655.79</v>
      </c>
      <c r="AA114" s="2">
        <v>1063.45</v>
      </c>
      <c r="AB114" s="2">
        <v>1559.31</v>
      </c>
      <c r="AC114" s="2">
        <v>1588.14</v>
      </c>
      <c r="AD114" s="2">
        <v>1375.12</v>
      </c>
      <c r="AE114" s="2">
        <v>1588.14</v>
      </c>
      <c r="AF114" s="2">
        <v>1375.18</v>
      </c>
      <c r="AG114" s="2">
        <v>354.23</v>
      </c>
      <c r="AH114" s="2">
        <v>562.26</v>
      </c>
      <c r="AI114" s="2">
        <v>1691.86</v>
      </c>
      <c r="AJ114" s="2">
        <v>1959.25</v>
      </c>
      <c r="AM114" s="1" t="s">
        <v>26</v>
      </c>
      <c r="AN114" s="2">
        <v>6529.91</v>
      </c>
      <c r="AO114" s="2">
        <v>8454.82</v>
      </c>
      <c r="AP114" s="2">
        <v>5254.71</v>
      </c>
      <c r="AQ114" s="2">
        <v>6585.12</v>
      </c>
      <c r="AR114" s="2">
        <v>5033.6899999999996</v>
      </c>
      <c r="AS114" s="2">
        <v>6162.21</v>
      </c>
      <c r="AT114" s="2">
        <v>4033.55</v>
      </c>
      <c r="AU114" s="2">
        <v>5808.69</v>
      </c>
      <c r="AV114" s="2">
        <v>5737.86</v>
      </c>
      <c r="AW114" s="2">
        <v>4963.88</v>
      </c>
      <c r="AX114" s="2">
        <v>5737.86</v>
      </c>
      <c r="AY114" s="2">
        <v>4963.82</v>
      </c>
      <c r="AZ114" s="2">
        <v>1667.77</v>
      </c>
      <c r="BA114" s="2">
        <v>1717.74</v>
      </c>
      <c r="BB114" s="2">
        <v>6102.14</v>
      </c>
      <c r="BC114" s="2">
        <v>7072.44</v>
      </c>
      <c r="BF114" s="1" t="s">
        <v>26</v>
      </c>
      <c r="BG114" s="2">
        <v>3.61</v>
      </c>
      <c r="BH114" s="2">
        <v>3.11</v>
      </c>
      <c r="BI114" s="2">
        <v>4.47</v>
      </c>
      <c r="BJ114" s="2">
        <v>1.5</v>
      </c>
      <c r="BK114" s="2">
        <v>5.59</v>
      </c>
      <c r="BL114" s="2">
        <v>4.97</v>
      </c>
      <c r="BM114" s="2">
        <v>4.9400000000000004</v>
      </c>
      <c r="BN114" s="2">
        <v>3.91</v>
      </c>
      <c r="BO114" s="2">
        <v>3.74</v>
      </c>
      <c r="BP114" s="2">
        <v>4.1500000000000004</v>
      </c>
      <c r="BQ114" s="2">
        <v>3.74</v>
      </c>
      <c r="BR114" s="2">
        <v>4.1500000000000004</v>
      </c>
      <c r="BS114" s="2">
        <v>2.41</v>
      </c>
      <c r="BT114" s="2">
        <v>2.02</v>
      </c>
      <c r="BU114" s="2">
        <v>1.7</v>
      </c>
      <c r="BV114" s="2">
        <v>2.72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37.82</v>
      </c>
      <c r="V121" s="2">
        <v>48.97</v>
      </c>
      <c r="W121" s="2">
        <v>31.49</v>
      </c>
      <c r="X121" s="2">
        <v>33.729999999999997</v>
      </c>
      <c r="Y121" s="2">
        <v>37.130000000000003</v>
      </c>
      <c r="Z121" s="2">
        <v>37.130000000000003</v>
      </c>
      <c r="AA121" s="2">
        <v>10.5</v>
      </c>
      <c r="AB121" s="2">
        <v>29.68</v>
      </c>
      <c r="AC121" s="2">
        <v>39.86</v>
      </c>
      <c r="AD121" s="2">
        <v>55.37</v>
      </c>
      <c r="AE121" s="2">
        <v>31.38</v>
      </c>
      <c r="AF121" s="2">
        <v>37.69</v>
      </c>
      <c r="AG121" s="2">
        <v>31.56</v>
      </c>
      <c r="AH121" s="2">
        <v>30.63</v>
      </c>
      <c r="AI121" s="2">
        <v>9.75</v>
      </c>
      <c r="AJ121" s="2">
        <v>35.58</v>
      </c>
      <c r="AM121" s="1" t="s">
        <v>19</v>
      </c>
      <c r="AN121" s="2">
        <v>583.78</v>
      </c>
      <c r="AO121" s="2">
        <v>756.03</v>
      </c>
      <c r="AP121" s="2">
        <v>556.51</v>
      </c>
      <c r="AQ121" s="2">
        <v>520.66999999999996</v>
      </c>
      <c r="AR121" s="2">
        <v>690.87</v>
      </c>
      <c r="AS121" s="2">
        <v>690.87</v>
      </c>
      <c r="AT121" s="2">
        <v>195.3</v>
      </c>
      <c r="AU121" s="2">
        <v>267.12</v>
      </c>
      <c r="AV121" s="2">
        <v>615.34</v>
      </c>
      <c r="AW121" s="2">
        <v>854.63</v>
      </c>
      <c r="AX121" s="2">
        <v>556.62</v>
      </c>
      <c r="AY121" s="2">
        <v>701.51</v>
      </c>
      <c r="AZ121" s="2">
        <v>587.24</v>
      </c>
      <c r="BA121" s="2">
        <v>569.97</v>
      </c>
      <c r="BB121" s="2">
        <v>181.35</v>
      </c>
      <c r="BC121" s="2">
        <v>328.42</v>
      </c>
      <c r="BF121" s="1" t="s">
        <v>19</v>
      </c>
      <c r="BG121" s="2">
        <v>25362.47</v>
      </c>
      <c r="BH121" s="2">
        <v>26437.91</v>
      </c>
      <c r="BI121" s="2">
        <v>36511.879999999997</v>
      </c>
      <c r="BJ121" s="2">
        <v>176501.05</v>
      </c>
      <c r="BK121" s="2">
        <v>131.96</v>
      </c>
      <c r="BL121" s="2">
        <v>131.97999999999999</v>
      </c>
      <c r="BM121" s="2">
        <v>1252502.58</v>
      </c>
      <c r="BN121" s="2">
        <v>3103637.92</v>
      </c>
      <c r="BO121" s="2">
        <v>964994.02</v>
      </c>
      <c r="BP121" s="2">
        <v>285934.07</v>
      </c>
      <c r="BQ121" s="2">
        <v>252966.37</v>
      </c>
      <c r="BR121" s="2">
        <v>92095.13</v>
      </c>
      <c r="BS121" s="2">
        <v>9783302.4100000001</v>
      </c>
      <c r="BT121" s="2">
        <v>16026403.119999999</v>
      </c>
      <c r="BU121" s="2">
        <v>881.84</v>
      </c>
      <c r="BV121" s="2">
        <v>3005.31</v>
      </c>
    </row>
    <row r="122" spans="2:74" x14ac:dyDescent="0.3">
      <c r="T122" s="1" t="s">
        <v>20</v>
      </c>
      <c r="U122" s="2">
        <v>58.87</v>
      </c>
      <c r="V122" s="2">
        <v>73.27</v>
      </c>
      <c r="W122" s="2">
        <v>57.23</v>
      </c>
      <c r="X122" s="2">
        <v>59.21</v>
      </c>
      <c r="Y122" s="2">
        <v>47.98</v>
      </c>
      <c r="Z122" s="2">
        <v>47.98</v>
      </c>
      <c r="AA122" s="2">
        <v>35.840000000000003</v>
      </c>
      <c r="AB122" s="2">
        <v>24.61</v>
      </c>
      <c r="AC122" s="2">
        <v>48.39</v>
      </c>
      <c r="AD122" s="2">
        <v>48.07</v>
      </c>
      <c r="AE122" s="2">
        <v>51.96</v>
      </c>
      <c r="AF122" s="2">
        <v>58.39</v>
      </c>
      <c r="AG122" s="2">
        <v>61.81</v>
      </c>
      <c r="AH122" s="2">
        <v>60.92</v>
      </c>
      <c r="AI122" s="2">
        <v>29.21</v>
      </c>
      <c r="AJ122" s="2">
        <v>22.92</v>
      </c>
      <c r="AM122" s="1" t="s">
        <v>20</v>
      </c>
      <c r="AN122" s="2">
        <v>303.52999999999997</v>
      </c>
      <c r="AO122" s="2">
        <v>379.23</v>
      </c>
      <c r="AP122" s="2">
        <v>287.17</v>
      </c>
      <c r="AQ122" s="2">
        <v>297.19</v>
      </c>
      <c r="AR122" s="2">
        <v>225.02</v>
      </c>
      <c r="AS122" s="2">
        <v>225.02</v>
      </c>
      <c r="AT122" s="2">
        <v>167.86</v>
      </c>
      <c r="AU122" s="2">
        <v>115.96</v>
      </c>
      <c r="AV122" s="2">
        <v>237.21</v>
      </c>
      <c r="AW122" s="2">
        <v>235.53</v>
      </c>
      <c r="AX122" s="2">
        <v>250.44</v>
      </c>
      <c r="AY122" s="2">
        <v>281.51</v>
      </c>
      <c r="AZ122" s="2">
        <v>291.79000000000002</v>
      </c>
      <c r="BA122" s="2">
        <v>287.48</v>
      </c>
      <c r="BB122" s="2">
        <v>136.69</v>
      </c>
      <c r="BC122" s="2">
        <v>107.48</v>
      </c>
      <c r="BF122" s="1" t="s">
        <v>20</v>
      </c>
      <c r="BG122" s="2">
        <v>275.67</v>
      </c>
      <c r="BH122" s="2">
        <v>1622.32</v>
      </c>
      <c r="BI122" s="2">
        <v>725.37</v>
      </c>
      <c r="BJ122" s="2">
        <v>230.15</v>
      </c>
      <c r="BK122" s="2">
        <v>214.99</v>
      </c>
      <c r="BL122" s="2">
        <v>317.27999999999997</v>
      </c>
      <c r="BM122" s="2">
        <v>336.06</v>
      </c>
      <c r="BN122" s="2">
        <v>1215.3499999999999</v>
      </c>
      <c r="BO122" s="2">
        <v>1807.18</v>
      </c>
      <c r="BP122" s="2">
        <v>1697.71</v>
      </c>
      <c r="BQ122" s="2">
        <v>1807.19</v>
      </c>
      <c r="BR122" s="2">
        <v>1715.15</v>
      </c>
      <c r="BS122" s="2">
        <v>2062.65</v>
      </c>
      <c r="BT122" s="2">
        <v>2588.02</v>
      </c>
      <c r="BU122" s="2">
        <v>207.32</v>
      </c>
      <c r="BV122" s="2">
        <v>316.61</v>
      </c>
    </row>
    <row r="123" spans="2:74" x14ac:dyDescent="0.3">
      <c r="T123" s="1" t="s">
        <v>21</v>
      </c>
      <c r="U123" s="2">
        <v>357.43</v>
      </c>
      <c r="V123" s="2">
        <v>330.51</v>
      </c>
      <c r="W123" s="2">
        <v>338.47</v>
      </c>
      <c r="X123" s="2">
        <v>388.49</v>
      </c>
      <c r="Y123" s="2">
        <v>200.1</v>
      </c>
      <c r="Z123" s="2">
        <v>165.82</v>
      </c>
      <c r="AA123" s="2">
        <v>127.95</v>
      </c>
      <c r="AB123" s="2">
        <v>62.02</v>
      </c>
      <c r="AC123" s="2">
        <v>157.30000000000001</v>
      </c>
      <c r="AD123" s="2">
        <v>331.4</v>
      </c>
      <c r="AE123" s="2">
        <v>348.57</v>
      </c>
      <c r="AF123" s="2">
        <v>424.74</v>
      </c>
      <c r="AG123" s="2">
        <v>233.18</v>
      </c>
      <c r="AH123" s="2">
        <v>191.66</v>
      </c>
      <c r="AI123" s="2">
        <v>52.92</v>
      </c>
      <c r="AJ123" s="2">
        <v>83.57</v>
      </c>
      <c r="AM123" s="1" t="s">
        <v>21</v>
      </c>
      <c r="AN123" s="2">
        <v>1369.02</v>
      </c>
      <c r="AO123" s="2">
        <v>1746.99</v>
      </c>
      <c r="AP123" s="2">
        <v>1642.95</v>
      </c>
      <c r="AQ123" s="2">
        <v>2004.16</v>
      </c>
      <c r="AR123" s="2">
        <v>941.41</v>
      </c>
      <c r="AS123" s="2">
        <v>777.98</v>
      </c>
      <c r="AT123" s="2">
        <v>599.22</v>
      </c>
      <c r="AU123" s="2">
        <v>290.77999999999997</v>
      </c>
      <c r="AV123" s="2">
        <v>770.06</v>
      </c>
      <c r="AW123" s="2">
        <v>962.35</v>
      </c>
      <c r="AX123" s="2">
        <v>1714.73</v>
      </c>
      <c r="AY123" s="2">
        <v>2086.16</v>
      </c>
      <c r="AZ123" s="2">
        <v>1099.8900000000001</v>
      </c>
      <c r="BA123" s="2">
        <v>900.34</v>
      </c>
      <c r="BB123" s="2">
        <v>476.28</v>
      </c>
      <c r="BC123" s="2">
        <v>324.43</v>
      </c>
      <c r="BF123" s="1" t="s">
        <v>21</v>
      </c>
      <c r="BG123" s="2">
        <v>222.48</v>
      </c>
      <c r="BH123" s="2">
        <v>1263.81</v>
      </c>
      <c r="BI123" s="2">
        <v>480.5</v>
      </c>
      <c r="BJ123" s="2">
        <v>175.91</v>
      </c>
      <c r="BK123" s="2">
        <v>190.17</v>
      </c>
      <c r="BL123" s="2">
        <v>338.83</v>
      </c>
      <c r="BM123" s="2">
        <v>339.66</v>
      </c>
      <c r="BN123" s="2">
        <v>1157.78</v>
      </c>
      <c r="BO123" s="2">
        <v>11019.18</v>
      </c>
      <c r="BP123" s="2">
        <v>5854.6</v>
      </c>
      <c r="BQ123" s="2">
        <v>12610.92</v>
      </c>
      <c r="BR123" s="2">
        <v>6800.71</v>
      </c>
      <c r="BS123" s="2">
        <v>7387.25</v>
      </c>
      <c r="BT123" s="2">
        <v>231044.77</v>
      </c>
      <c r="BU123" s="2">
        <v>650.41</v>
      </c>
      <c r="BV123" s="2">
        <v>264.54000000000002</v>
      </c>
    </row>
    <row r="124" spans="2:74" x14ac:dyDescent="0.3">
      <c r="T124" s="1" t="s">
        <v>22</v>
      </c>
      <c r="U124" s="2">
        <v>88.59</v>
      </c>
      <c r="V124" s="2">
        <v>114.37</v>
      </c>
      <c r="W124" s="2">
        <v>115.01</v>
      </c>
      <c r="X124" s="2">
        <v>157.75</v>
      </c>
      <c r="Y124" s="2">
        <v>77.94</v>
      </c>
      <c r="Z124" s="2">
        <v>62.6</v>
      </c>
      <c r="AA124" s="2">
        <v>20.43</v>
      </c>
      <c r="AB124" s="2">
        <v>22.39</v>
      </c>
      <c r="AC124" s="2">
        <v>46.85</v>
      </c>
      <c r="AD124" s="2">
        <v>119.53</v>
      </c>
      <c r="AE124" s="2">
        <v>121.36</v>
      </c>
      <c r="AF124" s="2">
        <v>102.36</v>
      </c>
      <c r="AG124" s="2">
        <v>27.82</v>
      </c>
      <c r="AH124" s="2">
        <v>28.85</v>
      </c>
      <c r="AI124" s="2">
        <v>20.27</v>
      </c>
      <c r="AJ124" s="2">
        <v>23.68</v>
      </c>
      <c r="AM124" s="1" t="s">
        <v>22</v>
      </c>
      <c r="AN124" s="2">
        <v>456.21</v>
      </c>
      <c r="AO124" s="2">
        <v>590.63</v>
      </c>
      <c r="AP124" s="2">
        <v>579.39</v>
      </c>
      <c r="AQ124" s="2">
        <v>789.35</v>
      </c>
      <c r="AR124" s="2">
        <v>366.68</v>
      </c>
      <c r="AS124" s="2">
        <v>293.60000000000002</v>
      </c>
      <c r="AT124" s="2">
        <v>145.47</v>
      </c>
      <c r="AU124" s="2">
        <v>104.81</v>
      </c>
      <c r="AV124" s="2">
        <v>229.15</v>
      </c>
      <c r="AW124" s="2">
        <v>593.47</v>
      </c>
      <c r="AX124" s="2">
        <v>592.64</v>
      </c>
      <c r="AY124" s="2">
        <v>498.24</v>
      </c>
      <c r="AZ124" s="2">
        <v>250.38</v>
      </c>
      <c r="BA124" s="2">
        <v>249.35</v>
      </c>
      <c r="BB124" s="2">
        <v>145.63</v>
      </c>
      <c r="BC124" s="2">
        <v>110.85</v>
      </c>
      <c r="BF124" s="1" t="s">
        <v>22</v>
      </c>
      <c r="BG124" s="2">
        <v>219.22</v>
      </c>
      <c r="BH124" s="2">
        <v>515.23</v>
      </c>
      <c r="BI124" s="2">
        <v>406.42</v>
      </c>
      <c r="BJ124" s="2">
        <v>189.58</v>
      </c>
      <c r="BK124" s="2">
        <v>183.62</v>
      </c>
      <c r="BL124" s="2">
        <v>224.41</v>
      </c>
      <c r="BM124" s="2">
        <v>714.84</v>
      </c>
      <c r="BN124" s="2">
        <v>900.44</v>
      </c>
      <c r="BO124" s="2">
        <v>2353.33</v>
      </c>
      <c r="BP124" s="2">
        <v>349816.67</v>
      </c>
      <c r="BQ124" s="2">
        <v>2727.19</v>
      </c>
      <c r="BR124" s="2">
        <v>35992.65</v>
      </c>
      <c r="BS124" s="2">
        <v>37891.279999999999</v>
      </c>
      <c r="BT124" s="2">
        <v>37943.589999999997</v>
      </c>
      <c r="BU124" s="2">
        <v>337.19</v>
      </c>
      <c r="BV124" s="2">
        <v>292.67</v>
      </c>
    </row>
    <row r="125" spans="2:74" x14ac:dyDescent="0.3">
      <c r="T125" s="1" t="s">
        <v>23</v>
      </c>
      <c r="U125" s="2">
        <v>261.64999999999998</v>
      </c>
      <c r="V125" s="2">
        <v>412.76</v>
      </c>
      <c r="W125" s="2">
        <v>356.99</v>
      </c>
      <c r="X125" s="2">
        <v>400.98</v>
      </c>
      <c r="Y125" s="2">
        <v>339.52</v>
      </c>
      <c r="Z125" s="2">
        <v>332.81</v>
      </c>
      <c r="AA125" s="2">
        <v>141.97999999999999</v>
      </c>
      <c r="AB125" s="2">
        <v>157.52000000000001</v>
      </c>
      <c r="AC125" s="2">
        <v>282.66000000000003</v>
      </c>
      <c r="AD125" s="2">
        <v>411.69</v>
      </c>
      <c r="AE125" s="2">
        <v>416.48</v>
      </c>
      <c r="AF125" s="2">
        <v>462.59</v>
      </c>
      <c r="AG125" s="2">
        <v>368.15</v>
      </c>
      <c r="AH125" s="2">
        <v>359.06</v>
      </c>
      <c r="AI125" s="2">
        <v>138.28</v>
      </c>
      <c r="AJ125" s="2">
        <v>142.57</v>
      </c>
      <c r="AM125" s="1" t="s">
        <v>23</v>
      </c>
      <c r="AN125" s="2">
        <v>1322.35</v>
      </c>
      <c r="AO125" s="2">
        <v>2087.2399999999998</v>
      </c>
      <c r="AP125" s="2">
        <v>1743.01</v>
      </c>
      <c r="AQ125" s="2">
        <v>1958.52</v>
      </c>
      <c r="AR125" s="2">
        <v>1584.48</v>
      </c>
      <c r="AS125" s="2">
        <v>1552.19</v>
      </c>
      <c r="AT125" s="2">
        <v>656.02</v>
      </c>
      <c r="AU125" s="2">
        <v>730.48</v>
      </c>
      <c r="AV125" s="2">
        <v>1373.34</v>
      </c>
      <c r="AW125" s="2">
        <v>2000.81</v>
      </c>
      <c r="AX125" s="2">
        <v>2005.52</v>
      </c>
      <c r="AY125" s="2">
        <v>2226.91</v>
      </c>
      <c r="AZ125" s="2">
        <v>1711.85</v>
      </c>
      <c r="BA125" s="2">
        <v>1668.94</v>
      </c>
      <c r="BB125" s="2">
        <v>638.72</v>
      </c>
      <c r="BC125" s="2">
        <v>661.06</v>
      </c>
      <c r="BF125" s="1" t="s">
        <v>23</v>
      </c>
      <c r="BG125" s="2">
        <v>236.3</v>
      </c>
      <c r="BH125" s="2">
        <v>245.54</v>
      </c>
      <c r="BI125" s="2">
        <v>341.66</v>
      </c>
      <c r="BJ125" s="2">
        <v>274.25</v>
      </c>
      <c r="BK125" s="2">
        <v>261.5</v>
      </c>
      <c r="BL125" s="2">
        <v>239.22</v>
      </c>
      <c r="BM125" s="2">
        <v>1882.29</v>
      </c>
      <c r="BN125" s="2">
        <v>1099.3599999999999</v>
      </c>
      <c r="BO125" s="2">
        <v>1729.96</v>
      </c>
      <c r="BP125" s="2">
        <v>2860.01</v>
      </c>
      <c r="BQ125" s="2">
        <v>1593.2</v>
      </c>
      <c r="BR125" s="2">
        <v>2912.17</v>
      </c>
      <c r="BS125" s="2">
        <v>5809.25</v>
      </c>
      <c r="BT125" s="2">
        <v>6609.57</v>
      </c>
      <c r="BU125" s="2">
        <v>196.71</v>
      </c>
      <c r="BV125" s="2">
        <v>196.14</v>
      </c>
    </row>
    <row r="126" spans="2:74" x14ac:dyDescent="0.3">
      <c r="T126" s="1" t="s">
        <v>24</v>
      </c>
      <c r="U126" s="2">
        <v>62.53</v>
      </c>
      <c r="V126" s="2">
        <v>81.36</v>
      </c>
      <c r="W126" s="2">
        <v>114.84</v>
      </c>
      <c r="X126" s="2">
        <v>106.02</v>
      </c>
      <c r="Y126" s="2">
        <v>71.47</v>
      </c>
      <c r="Z126" s="2">
        <v>60.53</v>
      </c>
      <c r="AA126" s="2">
        <v>35.96</v>
      </c>
      <c r="AB126" s="2">
        <v>18.690000000000001</v>
      </c>
      <c r="AC126" s="2">
        <v>54.07</v>
      </c>
      <c r="AD126" s="2">
        <v>67.36</v>
      </c>
      <c r="AE126" s="2">
        <v>104.12</v>
      </c>
      <c r="AF126" s="2">
        <v>88.59</v>
      </c>
      <c r="AG126" s="2">
        <v>60.13</v>
      </c>
      <c r="AH126" s="2">
        <v>49.49</v>
      </c>
      <c r="AI126" s="2">
        <v>31.9</v>
      </c>
      <c r="AJ126" s="2">
        <v>11.96</v>
      </c>
      <c r="AM126" s="1" t="s">
        <v>24</v>
      </c>
      <c r="AN126" s="2">
        <v>251.42</v>
      </c>
      <c r="AO126" s="2">
        <v>326.83</v>
      </c>
      <c r="AP126" s="2">
        <v>453.44</v>
      </c>
      <c r="AQ126" s="2">
        <v>412.08</v>
      </c>
      <c r="AR126" s="2">
        <v>261.37</v>
      </c>
      <c r="AS126" s="2">
        <v>220.27</v>
      </c>
      <c r="AT126" s="2">
        <v>129.97</v>
      </c>
      <c r="AU126" s="2">
        <v>67.55</v>
      </c>
      <c r="AV126" s="2">
        <v>207.76</v>
      </c>
      <c r="AW126" s="2">
        <v>265.14</v>
      </c>
      <c r="AX126" s="2">
        <v>424.68</v>
      </c>
      <c r="AY126" s="2">
        <v>350.31</v>
      </c>
      <c r="AZ126" s="2">
        <v>225.88</v>
      </c>
      <c r="BA126" s="2">
        <v>179.32</v>
      </c>
      <c r="BB126" s="2">
        <v>115.24</v>
      </c>
      <c r="BC126" s="2">
        <v>43.29</v>
      </c>
      <c r="BF126" s="1" t="s">
        <v>24</v>
      </c>
      <c r="BG126" s="2">
        <v>194.79</v>
      </c>
      <c r="BH126" s="2">
        <v>205.84</v>
      </c>
      <c r="BI126" s="2">
        <v>404.14</v>
      </c>
      <c r="BJ126" s="2">
        <v>246.96</v>
      </c>
      <c r="BK126" s="2">
        <v>168.05</v>
      </c>
      <c r="BL126" s="2">
        <v>138.62</v>
      </c>
      <c r="BM126" s="2">
        <v>676.57</v>
      </c>
      <c r="BN126" s="2">
        <v>246.53</v>
      </c>
      <c r="BO126" s="2">
        <v>1919.62</v>
      </c>
      <c r="BP126" s="2">
        <v>4366.88</v>
      </c>
      <c r="BQ126" s="2">
        <v>2332.81</v>
      </c>
      <c r="BR126" s="2">
        <v>5452.97</v>
      </c>
      <c r="BS126" s="2">
        <v>4298.8900000000003</v>
      </c>
      <c r="BT126" s="2">
        <v>7657.68</v>
      </c>
      <c r="BU126" s="2">
        <v>529.01</v>
      </c>
      <c r="BV126" s="2">
        <v>220.29</v>
      </c>
    </row>
    <row r="127" spans="2:74" x14ac:dyDescent="0.3">
      <c r="T127" s="1" t="s">
        <v>25</v>
      </c>
      <c r="U127" s="2">
        <v>160.35</v>
      </c>
      <c r="V127" s="2">
        <v>170.74</v>
      </c>
      <c r="W127" s="2">
        <v>182.42</v>
      </c>
      <c r="X127" s="2">
        <v>260.49</v>
      </c>
      <c r="Y127" s="2">
        <v>145.01</v>
      </c>
      <c r="Z127" s="2">
        <v>117.61</v>
      </c>
      <c r="AA127" s="2">
        <v>25.83</v>
      </c>
      <c r="AB127" s="2">
        <v>44.29</v>
      </c>
      <c r="AC127" s="2">
        <v>184.61</v>
      </c>
      <c r="AD127" s="2">
        <v>180.76</v>
      </c>
      <c r="AE127" s="2">
        <v>182.74</v>
      </c>
      <c r="AF127" s="2">
        <v>151.74</v>
      </c>
      <c r="AG127" s="2">
        <v>138.44999999999999</v>
      </c>
      <c r="AH127" s="2">
        <v>112.33</v>
      </c>
      <c r="AI127" s="2">
        <v>92.46</v>
      </c>
      <c r="AJ127" s="2">
        <v>39.46</v>
      </c>
      <c r="AM127" s="1" t="s">
        <v>25</v>
      </c>
      <c r="AN127" s="2">
        <v>654.61</v>
      </c>
      <c r="AO127" s="2">
        <v>683.14</v>
      </c>
      <c r="AP127" s="2">
        <v>721.83</v>
      </c>
      <c r="AQ127" s="2">
        <v>1020.42</v>
      </c>
      <c r="AR127" s="2">
        <v>534.51</v>
      </c>
      <c r="AS127" s="2">
        <v>429.32</v>
      </c>
      <c r="AT127" s="2">
        <v>232.47</v>
      </c>
      <c r="AU127" s="2">
        <v>145.79</v>
      </c>
      <c r="AV127" s="2">
        <v>722.59</v>
      </c>
      <c r="AW127" s="2">
        <v>704.24</v>
      </c>
      <c r="AX127" s="2">
        <v>720.84</v>
      </c>
      <c r="AY127" s="2">
        <v>591.84</v>
      </c>
      <c r="AZ127" s="2">
        <v>507.26</v>
      </c>
      <c r="BA127" s="2">
        <v>408.48</v>
      </c>
      <c r="BB127" s="2">
        <v>334.32</v>
      </c>
      <c r="BC127" s="2">
        <v>142.69999999999999</v>
      </c>
      <c r="BF127" s="1" t="s">
        <v>25</v>
      </c>
      <c r="BG127" s="2">
        <v>315.33</v>
      </c>
      <c r="BH127" s="2">
        <v>336.11</v>
      </c>
      <c r="BI127" s="2">
        <v>448.1</v>
      </c>
      <c r="BJ127" s="2">
        <v>492.85</v>
      </c>
      <c r="BK127" s="2">
        <v>253.9</v>
      </c>
      <c r="BL127" s="2">
        <v>227.69</v>
      </c>
      <c r="BM127" s="2">
        <v>1166.9100000000001</v>
      </c>
      <c r="BN127" s="2">
        <v>736.07</v>
      </c>
      <c r="BO127" s="2">
        <v>2528.7800000000002</v>
      </c>
      <c r="BP127" s="2">
        <v>3350.2</v>
      </c>
      <c r="BQ127" s="2">
        <v>3204.08</v>
      </c>
      <c r="BR127" s="2">
        <v>4177.33</v>
      </c>
      <c r="BS127" s="2">
        <v>826879.02</v>
      </c>
      <c r="BT127" s="2">
        <v>11935.97</v>
      </c>
      <c r="BU127" s="2">
        <v>303.02999999999997</v>
      </c>
      <c r="BV127" s="2">
        <v>355.31</v>
      </c>
    </row>
    <row r="128" spans="2:74" x14ac:dyDescent="0.3">
      <c r="T128" s="1" t="s">
        <v>26</v>
      </c>
      <c r="U128" s="2">
        <v>74.150000000000006</v>
      </c>
      <c r="V128" s="2">
        <v>73.02</v>
      </c>
      <c r="W128" s="2">
        <v>61.78</v>
      </c>
      <c r="X128" s="2">
        <v>57.86</v>
      </c>
      <c r="Y128" s="2">
        <v>57.52</v>
      </c>
      <c r="Z128" s="2">
        <v>57.52</v>
      </c>
      <c r="AA128" s="2">
        <v>12.02</v>
      </c>
      <c r="AB128" s="2">
        <v>29.7</v>
      </c>
      <c r="AC128" s="2">
        <v>58.56</v>
      </c>
      <c r="AD128" s="2">
        <v>45.86</v>
      </c>
      <c r="AE128" s="2">
        <v>58.75</v>
      </c>
      <c r="AF128" s="2">
        <v>20.97</v>
      </c>
      <c r="AG128" s="2">
        <v>40.630000000000003</v>
      </c>
      <c r="AH128" s="2">
        <v>40.630000000000003</v>
      </c>
      <c r="AI128" s="2">
        <v>18.64</v>
      </c>
      <c r="AJ128" s="2">
        <v>19.34</v>
      </c>
      <c r="AM128" s="1" t="s">
        <v>26</v>
      </c>
      <c r="AN128" s="2">
        <v>293.05</v>
      </c>
      <c r="AO128" s="2">
        <v>286.98</v>
      </c>
      <c r="AP128" s="2">
        <v>232.22</v>
      </c>
      <c r="AQ128" s="2">
        <v>219.34</v>
      </c>
      <c r="AR128" s="2">
        <v>207.68</v>
      </c>
      <c r="AS128" s="2">
        <v>207.68</v>
      </c>
      <c r="AT128" s="2">
        <v>57.28</v>
      </c>
      <c r="AU128" s="2">
        <v>107.1</v>
      </c>
      <c r="AV128" s="2">
        <v>222.24</v>
      </c>
      <c r="AW128" s="2">
        <v>201.64</v>
      </c>
      <c r="AX128" s="2">
        <v>218.45</v>
      </c>
      <c r="AY128" s="2">
        <v>78.03</v>
      </c>
      <c r="AZ128" s="2">
        <v>146.57</v>
      </c>
      <c r="BA128" s="2">
        <v>146.57</v>
      </c>
      <c r="BB128" s="2">
        <v>56.96</v>
      </c>
      <c r="BC128" s="2">
        <v>69.75</v>
      </c>
      <c r="BF128" s="1" t="s">
        <v>26</v>
      </c>
      <c r="BG128" s="2">
        <v>1405.05</v>
      </c>
      <c r="BH128" s="2">
        <v>1211.19</v>
      </c>
      <c r="BI128" s="2">
        <v>1089.8699999999999</v>
      </c>
      <c r="BJ128" s="2">
        <v>15697.47</v>
      </c>
      <c r="BK128" s="2">
        <v>327.93</v>
      </c>
      <c r="BL128" s="2">
        <v>307.89999999999998</v>
      </c>
      <c r="BM128" s="2">
        <v>2656.36</v>
      </c>
      <c r="BN128" s="2">
        <v>3215.6</v>
      </c>
      <c r="BO128" s="2">
        <v>1926.82</v>
      </c>
      <c r="BP128" s="2">
        <v>1852.17</v>
      </c>
      <c r="BQ128" s="2">
        <v>1926.82</v>
      </c>
      <c r="BR128" s="2">
        <v>1852.19</v>
      </c>
      <c r="BS128" s="2">
        <v>36752.82</v>
      </c>
      <c r="BT128" s="2">
        <v>24301.9</v>
      </c>
      <c r="BU128" s="2">
        <v>581.14</v>
      </c>
      <c r="BV128" s="2">
        <v>268.52999999999997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15.76</v>
      </c>
      <c r="V135" s="2">
        <v>16.61</v>
      </c>
      <c r="W135" s="2">
        <v>19.59</v>
      </c>
      <c r="X135" s="2">
        <v>22.15</v>
      </c>
      <c r="Y135" s="2">
        <v>11.25</v>
      </c>
      <c r="Z135" s="2">
        <v>11.21</v>
      </c>
      <c r="AA135" s="2">
        <v>10.220000000000001</v>
      </c>
      <c r="AB135" s="2">
        <v>11.42</v>
      </c>
      <c r="AC135" s="2">
        <v>14.28</v>
      </c>
      <c r="AD135" s="2">
        <v>12.14</v>
      </c>
      <c r="AE135" s="2">
        <v>14.28</v>
      </c>
      <c r="AF135" s="2">
        <v>11.78</v>
      </c>
      <c r="AG135" s="2">
        <v>5</v>
      </c>
      <c r="AH135" s="2">
        <v>4.6399999999999997</v>
      </c>
      <c r="AI135" s="2">
        <v>37.090000000000003</v>
      </c>
      <c r="AJ135" s="2">
        <v>44.47</v>
      </c>
      <c r="AM135" s="1" t="s">
        <v>19</v>
      </c>
      <c r="AN135" s="2">
        <v>243.24</v>
      </c>
      <c r="AO135" s="2">
        <v>256.39</v>
      </c>
      <c r="AP135" s="2">
        <v>302.41000000000003</v>
      </c>
      <c r="AQ135" s="2">
        <v>341.85</v>
      </c>
      <c r="AR135" s="2">
        <v>198.75</v>
      </c>
      <c r="AS135" s="2">
        <v>198.79</v>
      </c>
      <c r="AT135" s="2">
        <v>157.78</v>
      </c>
      <c r="AU135" s="2">
        <v>212.58</v>
      </c>
      <c r="AV135" s="2">
        <v>265.72000000000003</v>
      </c>
      <c r="AW135" s="2">
        <v>225.86</v>
      </c>
      <c r="AX135" s="2">
        <v>265.72000000000003</v>
      </c>
      <c r="AY135" s="2">
        <v>219.22</v>
      </c>
      <c r="AZ135" s="2">
        <v>93</v>
      </c>
      <c r="BA135" s="2">
        <v>86.36</v>
      </c>
      <c r="BB135" s="2">
        <v>333.91</v>
      </c>
      <c r="BC135" s="2">
        <v>410.53</v>
      </c>
    </row>
    <row r="136" spans="20:55" x14ac:dyDescent="0.3">
      <c r="T136" s="1" t="s">
        <v>20</v>
      </c>
      <c r="U136" s="2">
        <v>24.53</v>
      </c>
      <c r="V136" s="2">
        <v>20.16</v>
      </c>
      <c r="W136" s="2">
        <v>29.31</v>
      </c>
      <c r="X136" s="2">
        <v>19.23</v>
      </c>
      <c r="Y136" s="2">
        <v>20.440000000000001</v>
      </c>
      <c r="Z136" s="2">
        <v>18.559999999999999</v>
      </c>
      <c r="AA136" s="2">
        <v>17.940000000000001</v>
      </c>
      <c r="AB136" s="2">
        <v>17.690000000000001</v>
      </c>
      <c r="AC136" s="2">
        <v>18.45</v>
      </c>
      <c r="AD136" s="2">
        <v>23.77</v>
      </c>
      <c r="AE136" s="2">
        <v>18.45</v>
      </c>
      <c r="AF136" s="2">
        <v>23.43</v>
      </c>
      <c r="AG136" s="2">
        <v>17.07</v>
      </c>
      <c r="AH136" s="2">
        <v>13.91</v>
      </c>
      <c r="AI136" s="2">
        <v>30.76</v>
      </c>
      <c r="AJ136" s="2">
        <v>28.65</v>
      </c>
      <c r="AM136" s="1" t="s">
        <v>20</v>
      </c>
      <c r="AN136" s="2">
        <v>126.47</v>
      </c>
      <c r="AO136" s="2">
        <v>98.84</v>
      </c>
      <c r="AP136" s="2">
        <v>151.69</v>
      </c>
      <c r="AQ136" s="2">
        <v>94.21</v>
      </c>
      <c r="AR136" s="2">
        <v>102.56</v>
      </c>
      <c r="AS136" s="2">
        <v>89.44</v>
      </c>
      <c r="AT136" s="2">
        <v>90.06</v>
      </c>
      <c r="AU136" s="2">
        <v>85.31</v>
      </c>
      <c r="AV136" s="2">
        <v>86.55</v>
      </c>
      <c r="AW136" s="2">
        <v>112.23</v>
      </c>
      <c r="AX136" s="2">
        <v>86.55</v>
      </c>
      <c r="AY136" s="2">
        <v>110.57</v>
      </c>
      <c r="AZ136" s="2">
        <v>79.930000000000007</v>
      </c>
      <c r="BA136" s="2">
        <v>65.09</v>
      </c>
      <c r="BB136" s="2">
        <v>144.94999999999999</v>
      </c>
      <c r="BC136" s="2">
        <v>134.35</v>
      </c>
    </row>
    <row r="137" spans="20:55" x14ac:dyDescent="0.3">
      <c r="T137" s="1" t="s">
        <v>21</v>
      </c>
      <c r="U137" s="2">
        <v>148.93</v>
      </c>
      <c r="V137" s="2">
        <v>65.540000000000006</v>
      </c>
      <c r="W137" s="2">
        <v>132.19999999999999</v>
      </c>
      <c r="X137" s="2">
        <v>132.56</v>
      </c>
      <c r="Y137" s="2">
        <v>120.88</v>
      </c>
      <c r="Z137" s="2">
        <v>124.49</v>
      </c>
      <c r="AA137" s="2">
        <v>117.72</v>
      </c>
      <c r="AB137" s="2">
        <v>128.71</v>
      </c>
      <c r="AC137" s="2">
        <v>76.959999999999994</v>
      </c>
      <c r="AD137" s="2">
        <v>89.68</v>
      </c>
      <c r="AE137" s="2">
        <v>63.78</v>
      </c>
      <c r="AF137" s="2">
        <v>73.72</v>
      </c>
      <c r="AG137" s="2">
        <v>60.93</v>
      </c>
      <c r="AH137" s="2">
        <v>25.2</v>
      </c>
      <c r="AI137" s="2">
        <v>77.52</v>
      </c>
      <c r="AJ137" s="2">
        <v>104.46</v>
      </c>
      <c r="AM137" s="1" t="s">
        <v>21</v>
      </c>
      <c r="AN137" s="2">
        <v>570.41999999999996</v>
      </c>
      <c r="AO137" s="2">
        <v>320.86</v>
      </c>
      <c r="AP137" s="2">
        <v>698.8</v>
      </c>
      <c r="AQ137" s="2">
        <v>384.94</v>
      </c>
      <c r="AR137" s="2">
        <v>586.77</v>
      </c>
      <c r="AS137" s="2">
        <v>612.4</v>
      </c>
      <c r="AT137" s="2">
        <v>607.32000000000005</v>
      </c>
      <c r="AU137" s="2">
        <v>632.16999999999996</v>
      </c>
      <c r="AV137" s="2">
        <v>362.08</v>
      </c>
      <c r="AW137" s="2">
        <v>423.03</v>
      </c>
      <c r="AX137" s="2">
        <v>299.22000000000003</v>
      </c>
      <c r="AY137" s="2">
        <v>346.28</v>
      </c>
      <c r="AZ137" s="2">
        <v>285.33999999999997</v>
      </c>
      <c r="BA137" s="2">
        <v>226.8</v>
      </c>
      <c r="BB137" s="2">
        <v>363.48</v>
      </c>
      <c r="BC137" s="2">
        <v>405.54</v>
      </c>
    </row>
    <row r="138" spans="20:55" x14ac:dyDescent="0.3">
      <c r="T138" s="1" t="s">
        <v>22</v>
      </c>
      <c r="U138" s="2">
        <v>36.909999999999997</v>
      </c>
      <c r="V138" s="2">
        <v>19.52</v>
      </c>
      <c r="W138" s="2">
        <v>45.75</v>
      </c>
      <c r="X138" s="2">
        <v>47.81</v>
      </c>
      <c r="Y138" s="2">
        <v>41.07</v>
      </c>
      <c r="Z138" s="2">
        <v>43.34</v>
      </c>
      <c r="AA138" s="2">
        <v>47.8</v>
      </c>
      <c r="AB138" s="2">
        <v>31.02</v>
      </c>
      <c r="AC138" s="2">
        <v>29.98</v>
      </c>
      <c r="AD138" s="2">
        <v>10.7</v>
      </c>
      <c r="AE138" s="2">
        <v>24.08</v>
      </c>
      <c r="AF138" s="2">
        <v>11.1</v>
      </c>
      <c r="AG138" s="2">
        <v>9.73</v>
      </c>
      <c r="AH138" s="2">
        <v>9.65</v>
      </c>
      <c r="AI138" s="2">
        <v>27.99</v>
      </c>
      <c r="AJ138" s="2">
        <v>29.59</v>
      </c>
      <c r="AM138" s="1" t="s">
        <v>22</v>
      </c>
      <c r="AN138" s="2">
        <v>190.09</v>
      </c>
      <c r="AO138" s="2">
        <v>95.48</v>
      </c>
      <c r="AP138" s="2">
        <v>236.25</v>
      </c>
      <c r="AQ138" s="2">
        <v>237.39</v>
      </c>
      <c r="AR138" s="2">
        <v>206.93</v>
      </c>
      <c r="AS138" s="2">
        <v>211.66</v>
      </c>
      <c r="AT138" s="2">
        <v>239.2</v>
      </c>
      <c r="AU138" s="2">
        <v>150.97999999999999</v>
      </c>
      <c r="AV138" s="2">
        <v>141.03</v>
      </c>
      <c r="AW138" s="2">
        <v>96.3</v>
      </c>
      <c r="AX138" s="2">
        <v>112.92</v>
      </c>
      <c r="AY138" s="2">
        <v>95.9</v>
      </c>
      <c r="AZ138" s="2">
        <v>69.27</v>
      </c>
      <c r="BA138" s="2">
        <v>69.349999999999994</v>
      </c>
      <c r="BB138" s="2">
        <v>131.01</v>
      </c>
      <c r="BC138" s="2">
        <v>138.56</v>
      </c>
    </row>
    <row r="139" spans="20:55" x14ac:dyDescent="0.3">
      <c r="T139" s="1" t="s">
        <v>23</v>
      </c>
      <c r="U139" s="2">
        <v>109.02</v>
      </c>
      <c r="V139" s="2">
        <v>117.78</v>
      </c>
      <c r="W139" s="2">
        <v>165.11</v>
      </c>
      <c r="X139" s="2">
        <v>164.67</v>
      </c>
      <c r="Y139" s="2">
        <v>127.5</v>
      </c>
      <c r="Z139" s="2">
        <v>148.74</v>
      </c>
      <c r="AA139" s="2">
        <v>121.51</v>
      </c>
      <c r="AB139" s="2">
        <v>140.18</v>
      </c>
      <c r="AC139" s="2">
        <v>130.58000000000001</v>
      </c>
      <c r="AD139" s="2">
        <v>141.6</v>
      </c>
      <c r="AE139" s="2">
        <v>128</v>
      </c>
      <c r="AF139" s="2">
        <v>138.1</v>
      </c>
      <c r="AG139" s="2">
        <v>67.61</v>
      </c>
      <c r="AH139" s="2">
        <v>65.849999999999994</v>
      </c>
      <c r="AI139" s="2">
        <v>196.9</v>
      </c>
      <c r="AJ139" s="2">
        <v>178.21</v>
      </c>
      <c r="AM139" s="1" t="s">
        <v>23</v>
      </c>
      <c r="AN139" s="2">
        <v>550.98</v>
      </c>
      <c r="AO139" s="2">
        <v>572.22</v>
      </c>
      <c r="AP139" s="2">
        <v>834.89</v>
      </c>
      <c r="AQ139" s="2">
        <v>800.33</v>
      </c>
      <c r="AR139" s="2">
        <v>622.5</v>
      </c>
      <c r="AS139" s="2">
        <v>716.26</v>
      </c>
      <c r="AT139" s="2">
        <v>593.49</v>
      </c>
      <c r="AU139" s="2">
        <v>674.82</v>
      </c>
      <c r="AV139" s="2">
        <v>609.41999999999996</v>
      </c>
      <c r="AW139" s="2">
        <v>658.4</v>
      </c>
      <c r="AX139" s="2">
        <v>597</v>
      </c>
      <c r="AY139" s="2">
        <v>641.9</v>
      </c>
      <c r="AZ139" s="2">
        <v>312.39</v>
      </c>
      <c r="BA139" s="2">
        <v>304.14999999999998</v>
      </c>
      <c r="BB139" s="2">
        <v>913.1</v>
      </c>
      <c r="BC139" s="2">
        <v>826.32</v>
      </c>
    </row>
    <row r="140" spans="20:55" x14ac:dyDescent="0.3">
      <c r="T140" s="1" t="s">
        <v>24</v>
      </c>
      <c r="U140" s="2">
        <v>26.05</v>
      </c>
      <c r="V140" s="2">
        <v>22.53</v>
      </c>
      <c r="W140" s="2">
        <v>32.54</v>
      </c>
      <c r="X140" s="2">
        <v>26.94</v>
      </c>
      <c r="Y140" s="2">
        <v>41.01</v>
      </c>
      <c r="Z140" s="2">
        <v>37.19</v>
      </c>
      <c r="AA140" s="2">
        <v>32.130000000000003</v>
      </c>
      <c r="AB140" s="2">
        <v>26.85</v>
      </c>
      <c r="AC140" s="2">
        <v>27.49</v>
      </c>
      <c r="AD140" s="2">
        <v>23.13</v>
      </c>
      <c r="AE140" s="2">
        <v>23.28</v>
      </c>
      <c r="AF140" s="2">
        <v>19.03</v>
      </c>
      <c r="AG140" s="2">
        <v>17.12</v>
      </c>
      <c r="AH140" s="2">
        <v>15.19</v>
      </c>
      <c r="AI140" s="2">
        <v>23.37</v>
      </c>
      <c r="AJ140" s="2">
        <v>14.95</v>
      </c>
      <c r="AM140" s="1" t="s">
        <v>24</v>
      </c>
      <c r="AN140" s="2">
        <v>104.76</v>
      </c>
      <c r="AO140" s="2">
        <v>86.57</v>
      </c>
      <c r="AP140" s="2">
        <v>130.72999999999999</v>
      </c>
      <c r="AQ140" s="2">
        <v>106.06</v>
      </c>
      <c r="AR140" s="2">
        <v>161.94</v>
      </c>
      <c r="AS140" s="2">
        <v>151.66999999999999</v>
      </c>
      <c r="AT140" s="2">
        <v>124.87</v>
      </c>
      <c r="AU140" s="2">
        <v>106.15</v>
      </c>
      <c r="AV140" s="2">
        <v>100.53</v>
      </c>
      <c r="AW140" s="2">
        <v>86.88</v>
      </c>
      <c r="AX140" s="2">
        <v>84.72</v>
      </c>
      <c r="AY140" s="2">
        <v>68.97</v>
      </c>
      <c r="AZ140" s="2">
        <v>61.89</v>
      </c>
      <c r="BA140" s="2">
        <v>54.87</v>
      </c>
      <c r="BB140" s="2">
        <v>84.43</v>
      </c>
      <c r="BC140" s="2">
        <v>54.11</v>
      </c>
    </row>
    <row r="141" spans="20:55" x14ac:dyDescent="0.3">
      <c r="T141" s="1" t="s">
        <v>25</v>
      </c>
      <c r="U141" s="2">
        <v>66.81</v>
      </c>
      <c r="V141" s="2">
        <v>76.92</v>
      </c>
      <c r="W141" s="2">
        <v>68.290000000000006</v>
      </c>
      <c r="X141" s="2">
        <v>72.3</v>
      </c>
      <c r="Y141" s="2">
        <v>65.150000000000006</v>
      </c>
      <c r="Z141" s="2">
        <v>65.260000000000005</v>
      </c>
      <c r="AA141" s="2">
        <v>78.94</v>
      </c>
      <c r="AB141" s="2">
        <v>45.98</v>
      </c>
      <c r="AC141" s="2">
        <v>55.77</v>
      </c>
      <c r="AD141" s="2">
        <v>53.25</v>
      </c>
      <c r="AE141" s="2">
        <v>45.24</v>
      </c>
      <c r="AF141" s="2">
        <v>43.2</v>
      </c>
      <c r="AG141" s="2">
        <v>12.3</v>
      </c>
      <c r="AH141" s="2">
        <v>44.03</v>
      </c>
      <c r="AI141" s="2">
        <v>55.36</v>
      </c>
      <c r="AJ141" s="2">
        <v>49.33</v>
      </c>
      <c r="AM141" s="1" t="s">
        <v>25</v>
      </c>
      <c r="AN141" s="2">
        <v>272.75</v>
      </c>
      <c r="AO141" s="2">
        <v>301.08</v>
      </c>
      <c r="AP141" s="2">
        <v>273.26</v>
      </c>
      <c r="AQ141" s="2">
        <v>281.7</v>
      </c>
      <c r="AR141" s="2">
        <v>257.8</v>
      </c>
      <c r="AS141" s="2">
        <v>257.44</v>
      </c>
      <c r="AT141" s="2">
        <v>309.22000000000003</v>
      </c>
      <c r="AU141" s="2">
        <v>179.35</v>
      </c>
      <c r="AV141" s="2">
        <v>205.58</v>
      </c>
      <c r="AW141" s="2">
        <v>195.1</v>
      </c>
      <c r="AX141" s="2">
        <v>165.12</v>
      </c>
      <c r="AY141" s="2">
        <v>157.11000000000001</v>
      </c>
      <c r="AZ141" s="2">
        <v>110.7</v>
      </c>
      <c r="BA141" s="2">
        <v>159.19999999999999</v>
      </c>
      <c r="BB141" s="2">
        <v>182.24</v>
      </c>
      <c r="BC141" s="2">
        <v>178.37</v>
      </c>
    </row>
    <row r="142" spans="20:55" x14ac:dyDescent="0.3">
      <c r="T142" s="1" t="s">
        <v>26</v>
      </c>
      <c r="U142" s="2">
        <v>30.9</v>
      </c>
      <c r="V142" s="2">
        <v>24.4</v>
      </c>
      <c r="W142" s="2">
        <v>29.21</v>
      </c>
      <c r="X142" s="2">
        <v>18.34</v>
      </c>
      <c r="Y142" s="2">
        <v>22.06</v>
      </c>
      <c r="Z142" s="2">
        <v>20.98</v>
      </c>
      <c r="AA142" s="2">
        <v>17.53</v>
      </c>
      <c r="AB142" s="2">
        <v>6.35</v>
      </c>
      <c r="AC142" s="2">
        <v>22.12</v>
      </c>
      <c r="AD142" s="2">
        <v>15.63</v>
      </c>
      <c r="AE142" s="2">
        <v>22.12</v>
      </c>
      <c r="AF142" s="2">
        <v>15.63</v>
      </c>
      <c r="AG142" s="2">
        <v>5.72</v>
      </c>
      <c r="AH142" s="2">
        <v>8.8800000000000008</v>
      </c>
      <c r="AI142" s="2">
        <v>37.130000000000003</v>
      </c>
      <c r="AJ142" s="2">
        <v>24.17</v>
      </c>
      <c r="AM142" s="1" t="s">
        <v>26</v>
      </c>
      <c r="AN142" s="2">
        <v>122.1</v>
      </c>
      <c r="AO142" s="2">
        <v>92.6</v>
      </c>
      <c r="AP142" s="2">
        <v>114.79</v>
      </c>
      <c r="AQ142" s="2">
        <v>80.66</v>
      </c>
      <c r="AR142" s="2">
        <v>82.94</v>
      </c>
      <c r="AS142" s="2">
        <v>78.02</v>
      </c>
      <c r="AT142" s="2">
        <v>66.47</v>
      </c>
      <c r="AU142" s="2">
        <v>23.65</v>
      </c>
      <c r="AV142" s="2">
        <v>79.88</v>
      </c>
      <c r="AW142" s="2">
        <v>56.37</v>
      </c>
      <c r="AX142" s="2">
        <v>79.88</v>
      </c>
      <c r="AY142" s="2">
        <v>56.37</v>
      </c>
      <c r="AZ142" s="2">
        <v>27.28</v>
      </c>
      <c r="BA142" s="2">
        <v>27.12</v>
      </c>
      <c r="BB142" s="2">
        <v>133.87</v>
      </c>
      <c r="BC142" s="2">
        <v>87.19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10.220000000000001</v>
      </c>
      <c r="V149" s="2">
        <v>4.26</v>
      </c>
      <c r="W149" s="2">
        <v>7.35</v>
      </c>
      <c r="X149" s="2">
        <v>7.03</v>
      </c>
      <c r="Y149" s="2">
        <v>1.86</v>
      </c>
      <c r="Z149" s="2">
        <v>1.86</v>
      </c>
      <c r="AA149" s="2">
        <v>3.75</v>
      </c>
      <c r="AB149" s="2">
        <v>2.77</v>
      </c>
      <c r="AC149" s="2">
        <v>16.350000000000001</v>
      </c>
      <c r="AD149" s="2">
        <v>8.52</v>
      </c>
      <c r="AE149" s="2">
        <v>11.51</v>
      </c>
      <c r="AF149" s="2">
        <v>3.53</v>
      </c>
      <c r="AG149" s="2">
        <v>2.78</v>
      </c>
      <c r="AH149" s="2">
        <v>1.86</v>
      </c>
      <c r="AI149" s="2">
        <v>3</v>
      </c>
      <c r="AJ149" s="2">
        <v>5.44</v>
      </c>
      <c r="AM149" s="1" t="s">
        <v>19</v>
      </c>
      <c r="AN149" s="2">
        <v>157.78</v>
      </c>
      <c r="AO149" s="2">
        <v>65.739999999999995</v>
      </c>
      <c r="AP149" s="2">
        <v>129.85</v>
      </c>
      <c r="AQ149" s="2">
        <v>108.47</v>
      </c>
      <c r="AR149" s="2">
        <v>34.54</v>
      </c>
      <c r="AS149" s="2">
        <v>34.54</v>
      </c>
      <c r="AT149" s="2">
        <v>69.75</v>
      </c>
      <c r="AU149" s="2">
        <v>25.23</v>
      </c>
      <c r="AV149" s="2">
        <v>252.45</v>
      </c>
      <c r="AW149" s="2">
        <v>131.47999999999999</v>
      </c>
      <c r="AX149" s="2">
        <v>204.09</v>
      </c>
      <c r="AY149" s="2">
        <v>65.77</v>
      </c>
      <c r="AZ149" s="2">
        <v>51.82</v>
      </c>
      <c r="BA149" s="2">
        <v>34.54</v>
      </c>
      <c r="BB149" s="2">
        <v>55.8</v>
      </c>
      <c r="BC149" s="2">
        <v>50.56</v>
      </c>
    </row>
    <row r="150" spans="20:55" x14ac:dyDescent="0.3">
      <c r="T150" s="1" t="s">
        <v>20</v>
      </c>
      <c r="U150" s="2">
        <v>30.8</v>
      </c>
      <c r="V150" s="2">
        <v>29.96</v>
      </c>
      <c r="W150" s="2">
        <v>44.2</v>
      </c>
      <c r="X150" s="2">
        <v>47.7</v>
      </c>
      <c r="Y150" s="2">
        <v>23.31</v>
      </c>
      <c r="Z150" s="2">
        <v>23.31</v>
      </c>
      <c r="AA150" s="2">
        <v>26.97</v>
      </c>
      <c r="AB150" s="2">
        <v>10.09</v>
      </c>
      <c r="AC150" s="2">
        <v>21.55</v>
      </c>
      <c r="AD150" s="2">
        <v>45.27</v>
      </c>
      <c r="AE150" s="2">
        <v>28.87</v>
      </c>
      <c r="AF150" s="2">
        <v>31.75</v>
      </c>
      <c r="AG150" s="2">
        <v>22.27</v>
      </c>
      <c r="AH150" s="2">
        <v>22.28</v>
      </c>
      <c r="AI150" s="2">
        <v>22.18</v>
      </c>
      <c r="AJ150" s="2">
        <v>21.79</v>
      </c>
      <c r="AM150" s="1" t="s">
        <v>20</v>
      </c>
      <c r="AN150" s="2">
        <v>158.80000000000001</v>
      </c>
      <c r="AO150" s="2">
        <v>155.04</v>
      </c>
      <c r="AP150" s="2">
        <v>221.8</v>
      </c>
      <c r="AQ150" s="2">
        <v>239.4</v>
      </c>
      <c r="AR150" s="2">
        <v>109.29</v>
      </c>
      <c r="AS150" s="2">
        <v>109.29</v>
      </c>
      <c r="AT150" s="2">
        <v>126.33</v>
      </c>
      <c r="AU150" s="2">
        <v>47.54</v>
      </c>
      <c r="AV150" s="2">
        <v>105.65</v>
      </c>
      <c r="AW150" s="2">
        <v>221.79</v>
      </c>
      <c r="AX150" s="2">
        <v>139.13</v>
      </c>
      <c r="AY150" s="2">
        <v>153.05000000000001</v>
      </c>
      <c r="AZ150" s="2">
        <v>105.13</v>
      </c>
      <c r="BA150" s="2">
        <v>105.12</v>
      </c>
      <c r="BB150" s="2">
        <v>103.82</v>
      </c>
      <c r="BC150" s="2">
        <v>102.21</v>
      </c>
    </row>
    <row r="151" spans="20:55" x14ac:dyDescent="0.3">
      <c r="T151" s="1" t="s">
        <v>21</v>
      </c>
      <c r="U151" s="2">
        <v>88.55</v>
      </c>
      <c r="V151" s="2">
        <v>101.47</v>
      </c>
      <c r="W151" s="2">
        <v>148.04</v>
      </c>
      <c r="X151" s="2">
        <v>135.88</v>
      </c>
      <c r="Y151" s="2">
        <v>55.26</v>
      </c>
      <c r="Z151" s="2">
        <v>46.6</v>
      </c>
      <c r="AA151" s="2">
        <v>78.739999999999995</v>
      </c>
      <c r="AB151" s="2">
        <v>18.989999999999998</v>
      </c>
      <c r="AC151" s="2">
        <v>54.78</v>
      </c>
      <c r="AD151" s="2">
        <v>198.86</v>
      </c>
      <c r="AE151" s="2">
        <v>132.56</v>
      </c>
      <c r="AF151" s="2">
        <v>133.01</v>
      </c>
      <c r="AG151" s="2">
        <v>65.819999999999993</v>
      </c>
      <c r="AH151" s="2">
        <v>54.77</v>
      </c>
      <c r="AI151" s="2">
        <v>32.76</v>
      </c>
      <c r="AJ151" s="2">
        <v>49.16</v>
      </c>
      <c r="AM151" s="1" t="s">
        <v>21</v>
      </c>
      <c r="AN151" s="2">
        <v>339.03</v>
      </c>
      <c r="AO151" s="2">
        <v>536.03</v>
      </c>
      <c r="AP151" s="2">
        <v>718.26</v>
      </c>
      <c r="AQ151" s="2">
        <v>700.39</v>
      </c>
      <c r="AR151" s="2">
        <v>259.93</v>
      </c>
      <c r="AS151" s="2">
        <v>218.6</v>
      </c>
      <c r="AT151" s="2">
        <v>368.75</v>
      </c>
      <c r="AU151" s="2">
        <v>89.01</v>
      </c>
      <c r="AV151" s="2">
        <v>268.14</v>
      </c>
      <c r="AW151" s="2">
        <v>577.39</v>
      </c>
      <c r="AX151" s="2">
        <v>651.83000000000004</v>
      </c>
      <c r="AY151" s="2">
        <v>652.92999999999995</v>
      </c>
      <c r="AZ151" s="2">
        <v>310.39</v>
      </c>
      <c r="BA151" s="2">
        <v>257.23</v>
      </c>
      <c r="BB151" s="2">
        <v>294.83999999999997</v>
      </c>
      <c r="BC151" s="2">
        <v>190.84</v>
      </c>
    </row>
    <row r="152" spans="20:55" x14ac:dyDescent="0.3">
      <c r="T152" s="1" t="s">
        <v>22</v>
      </c>
      <c r="U152" s="2">
        <v>24.59</v>
      </c>
      <c r="V152" s="2">
        <v>37.729999999999997</v>
      </c>
      <c r="W152" s="2">
        <v>50.1</v>
      </c>
      <c r="X152" s="2">
        <v>49.49</v>
      </c>
      <c r="Y152" s="2">
        <v>21.88</v>
      </c>
      <c r="Z152" s="2">
        <v>17.36</v>
      </c>
      <c r="AA152" s="2">
        <v>15.24</v>
      </c>
      <c r="AB152" s="2">
        <v>7.32</v>
      </c>
      <c r="AC152" s="2">
        <v>18.27</v>
      </c>
      <c r="AD152" s="2">
        <v>62.68</v>
      </c>
      <c r="AE152" s="2">
        <v>56.65</v>
      </c>
      <c r="AF152" s="2">
        <v>48.94</v>
      </c>
      <c r="AG152" s="2">
        <v>9.8800000000000008</v>
      </c>
      <c r="AH152" s="2">
        <v>10.31</v>
      </c>
      <c r="AI152" s="2">
        <v>15.11</v>
      </c>
      <c r="AJ152" s="2">
        <v>12.37</v>
      </c>
      <c r="AM152" s="1" t="s">
        <v>22</v>
      </c>
      <c r="AN152" s="2">
        <v>126.61</v>
      </c>
      <c r="AO152" s="2">
        <v>194.77</v>
      </c>
      <c r="AP152" s="2">
        <v>252.3</v>
      </c>
      <c r="AQ152" s="2">
        <v>247.51</v>
      </c>
      <c r="AR152" s="2">
        <v>102.92</v>
      </c>
      <c r="AS152" s="2">
        <v>81.44</v>
      </c>
      <c r="AT152" s="2">
        <v>108.67</v>
      </c>
      <c r="AU152" s="2">
        <v>34.28</v>
      </c>
      <c r="AV152" s="2">
        <v>89.37</v>
      </c>
      <c r="AW152" s="2">
        <v>311.07</v>
      </c>
      <c r="AX152" s="2">
        <v>276.55</v>
      </c>
      <c r="AY152" s="2">
        <v>238.16</v>
      </c>
      <c r="AZ152" s="2">
        <v>88.92</v>
      </c>
      <c r="BA152" s="2">
        <v>88.49</v>
      </c>
      <c r="BB152" s="2">
        <v>108.79</v>
      </c>
      <c r="BC152" s="2">
        <v>57.93</v>
      </c>
    </row>
    <row r="153" spans="20:55" x14ac:dyDescent="0.3">
      <c r="T153" s="1" t="s">
        <v>23</v>
      </c>
      <c r="U153" s="2">
        <v>71.37</v>
      </c>
      <c r="V153" s="2">
        <v>134.18</v>
      </c>
      <c r="W153" s="2">
        <v>161.86000000000001</v>
      </c>
      <c r="X153" s="2">
        <v>173.87</v>
      </c>
      <c r="Y153" s="2">
        <v>135.36000000000001</v>
      </c>
      <c r="Z153" s="2">
        <v>133.13999999999999</v>
      </c>
      <c r="AA153" s="2">
        <v>93.41</v>
      </c>
      <c r="AB153" s="2">
        <v>51.09</v>
      </c>
      <c r="AC153" s="2">
        <v>88.09</v>
      </c>
      <c r="AD153" s="2">
        <v>145.08000000000001</v>
      </c>
      <c r="AE153" s="2">
        <v>178.18</v>
      </c>
      <c r="AF153" s="2">
        <v>175.98</v>
      </c>
      <c r="AG153" s="2">
        <v>103.55</v>
      </c>
      <c r="AH153" s="2">
        <v>101.28</v>
      </c>
      <c r="AI153" s="2">
        <v>91.57</v>
      </c>
      <c r="AJ153" s="2">
        <v>50.21</v>
      </c>
      <c r="AM153" s="1" t="s">
        <v>23</v>
      </c>
      <c r="AN153" s="2">
        <v>360.63</v>
      </c>
      <c r="AO153" s="2">
        <v>678.32</v>
      </c>
      <c r="AP153" s="2">
        <v>790.14</v>
      </c>
      <c r="AQ153" s="2">
        <v>849.13</v>
      </c>
      <c r="AR153" s="2">
        <v>631.64</v>
      </c>
      <c r="AS153" s="2">
        <v>620.86</v>
      </c>
      <c r="AT153" s="2">
        <v>431.59</v>
      </c>
      <c r="AU153" s="2">
        <v>236.91</v>
      </c>
      <c r="AV153" s="2">
        <v>427.91</v>
      </c>
      <c r="AW153" s="2">
        <v>704.92</v>
      </c>
      <c r="AX153" s="2">
        <v>857.82</v>
      </c>
      <c r="AY153" s="2">
        <v>847.02</v>
      </c>
      <c r="AZ153" s="2">
        <v>481.45</v>
      </c>
      <c r="BA153" s="2">
        <v>470.72</v>
      </c>
      <c r="BB153" s="2">
        <v>422.93</v>
      </c>
      <c r="BC153" s="2">
        <v>232.76</v>
      </c>
    </row>
    <row r="154" spans="20:55" x14ac:dyDescent="0.3">
      <c r="T154" s="1" t="s">
        <v>24</v>
      </c>
      <c r="U154" s="2">
        <v>21.03</v>
      </c>
      <c r="V154" s="2">
        <v>28.51</v>
      </c>
      <c r="W154" s="2">
        <v>34.770000000000003</v>
      </c>
      <c r="X154" s="2">
        <v>27.69</v>
      </c>
      <c r="Y154" s="2">
        <v>22.89</v>
      </c>
      <c r="Z154" s="2">
        <v>19.62</v>
      </c>
      <c r="AA154" s="2">
        <v>15.02</v>
      </c>
      <c r="AB154" s="2">
        <v>6.43</v>
      </c>
      <c r="AC154" s="2">
        <v>7.31</v>
      </c>
      <c r="AD154" s="2">
        <v>37.479999999999997</v>
      </c>
      <c r="AE154" s="2">
        <v>22.22</v>
      </c>
      <c r="AF154" s="2">
        <v>39.979999999999997</v>
      </c>
      <c r="AG154" s="2">
        <v>14.22</v>
      </c>
      <c r="AH154" s="2">
        <v>11.81</v>
      </c>
      <c r="AI154" s="2">
        <v>13.67</v>
      </c>
      <c r="AJ154" s="2">
        <v>6.66</v>
      </c>
      <c r="AM154" s="1" t="s">
        <v>24</v>
      </c>
      <c r="AN154" s="2">
        <v>84.52</v>
      </c>
      <c r="AO154" s="2">
        <v>114.49</v>
      </c>
      <c r="AP154" s="2">
        <v>137.25</v>
      </c>
      <c r="AQ154" s="2">
        <v>107.61</v>
      </c>
      <c r="AR154" s="2">
        <v>83.72</v>
      </c>
      <c r="AS154" s="2">
        <v>71.38</v>
      </c>
      <c r="AT154" s="2">
        <v>54.29</v>
      </c>
      <c r="AU154" s="2">
        <v>23.25</v>
      </c>
      <c r="AV154" s="2">
        <v>28.07</v>
      </c>
      <c r="AW154" s="2">
        <v>147.52000000000001</v>
      </c>
      <c r="AX154" s="2">
        <v>90.56</v>
      </c>
      <c r="AY154" s="2">
        <v>158.02000000000001</v>
      </c>
      <c r="AZ154" s="2">
        <v>53.39</v>
      </c>
      <c r="BA154" s="2">
        <v>42.79</v>
      </c>
      <c r="BB154" s="2">
        <v>49.39</v>
      </c>
      <c r="BC154" s="2">
        <v>24.12</v>
      </c>
    </row>
    <row r="155" spans="20:55" x14ac:dyDescent="0.3">
      <c r="T155" s="1" t="s">
        <v>25</v>
      </c>
      <c r="U155" s="2">
        <v>35.130000000000003</v>
      </c>
      <c r="V155" s="2">
        <v>25.87</v>
      </c>
      <c r="W155" s="2">
        <v>42.57</v>
      </c>
      <c r="X155" s="2">
        <v>51.26</v>
      </c>
      <c r="Y155" s="2">
        <v>31.67</v>
      </c>
      <c r="Z155" s="2">
        <v>25.2</v>
      </c>
      <c r="AA155" s="2">
        <v>3.15</v>
      </c>
      <c r="AB155" s="2">
        <v>6.04</v>
      </c>
      <c r="AC155" s="2">
        <v>35.17</v>
      </c>
      <c r="AD155" s="2">
        <v>42.9</v>
      </c>
      <c r="AE155" s="2">
        <v>39.04</v>
      </c>
      <c r="AF155" s="2">
        <v>50.59</v>
      </c>
      <c r="AG155" s="2">
        <v>51.92</v>
      </c>
      <c r="AH155" s="2">
        <v>41.48</v>
      </c>
      <c r="AI155" s="2">
        <v>12.13</v>
      </c>
      <c r="AJ155" s="2">
        <v>9.57</v>
      </c>
      <c r="AM155" s="1" t="s">
        <v>25</v>
      </c>
      <c r="AN155" s="2">
        <v>143.38</v>
      </c>
      <c r="AO155" s="2">
        <v>103.5</v>
      </c>
      <c r="AP155" s="2">
        <v>168.42</v>
      </c>
      <c r="AQ155" s="2">
        <v>200.73</v>
      </c>
      <c r="AR155" s="2">
        <v>116.73</v>
      </c>
      <c r="AS155" s="2">
        <v>91.99</v>
      </c>
      <c r="AT155" s="2">
        <v>28.35</v>
      </c>
      <c r="AU155" s="2">
        <v>19.88</v>
      </c>
      <c r="AV155" s="2">
        <v>137.63</v>
      </c>
      <c r="AW155" s="2">
        <v>167.1</v>
      </c>
      <c r="AX155" s="2">
        <v>153.94999999999999</v>
      </c>
      <c r="AY155" s="2">
        <v>197.27</v>
      </c>
      <c r="AZ155" s="2">
        <v>190.22</v>
      </c>
      <c r="BA155" s="2">
        <v>150.82</v>
      </c>
      <c r="BB155" s="2">
        <v>43.84</v>
      </c>
      <c r="BC155" s="2">
        <v>34.590000000000003</v>
      </c>
    </row>
    <row r="156" spans="20:55" x14ac:dyDescent="0.3">
      <c r="T156" s="1" t="s">
        <v>26</v>
      </c>
      <c r="U156" s="2">
        <v>7.27</v>
      </c>
      <c r="V156" s="2">
        <v>7.61</v>
      </c>
      <c r="W156" s="2">
        <v>12.36</v>
      </c>
      <c r="X156" s="2">
        <v>2.0699999999999998</v>
      </c>
      <c r="Y156" s="2">
        <v>1.69</v>
      </c>
      <c r="Z156" s="2">
        <v>1.69</v>
      </c>
      <c r="AA156" s="2">
        <v>0</v>
      </c>
      <c r="AB156" s="2">
        <v>3.13</v>
      </c>
      <c r="AC156" s="2">
        <v>13.51</v>
      </c>
      <c r="AD156" s="2">
        <v>12.51</v>
      </c>
      <c r="AE156" s="2">
        <v>21.36</v>
      </c>
      <c r="AF156" s="2">
        <v>2.1</v>
      </c>
      <c r="AG156" s="2">
        <v>1.69</v>
      </c>
      <c r="AH156" s="2">
        <v>1.69</v>
      </c>
      <c r="AI156" s="2">
        <v>0</v>
      </c>
      <c r="AJ156" s="2">
        <v>4.96</v>
      </c>
      <c r="AM156" s="1" t="s">
        <v>26</v>
      </c>
      <c r="AN156" s="2">
        <v>28.73</v>
      </c>
      <c r="AO156" s="2">
        <v>29.89</v>
      </c>
      <c r="AP156" s="2">
        <v>46.44</v>
      </c>
      <c r="AQ156" s="2">
        <v>7.83</v>
      </c>
      <c r="AR156" s="2">
        <v>6.11</v>
      </c>
      <c r="AS156" s="2">
        <v>6.11</v>
      </c>
      <c r="AT156" s="2">
        <v>0</v>
      </c>
      <c r="AU156" s="2">
        <v>11.27</v>
      </c>
      <c r="AV156" s="2">
        <v>51.29</v>
      </c>
      <c r="AW156" s="2">
        <v>54.99</v>
      </c>
      <c r="AX156" s="2">
        <v>79.44</v>
      </c>
      <c r="AY156" s="2">
        <v>7.8</v>
      </c>
      <c r="AZ156" s="2">
        <v>6.11</v>
      </c>
      <c r="BA156" s="2">
        <v>6.11</v>
      </c>
      <c r="BB156" s="2">
        <v>0</v>
      </c>
      <c r="BC156" s="2">
        <v>17.89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4.26</v>
      </c>
      <c r="V163" s="2">
        <v>6.81</v>
      </c>
      <c r="W163" s="2">
        <v>1.7</v>
      </c>
      <c r="X163" s="2">
        <v>3.41</v>
      </c>
      <c r="Y163" s="2">
        <v>2.62</v>
      </c>
      <c r="Z163" s="2">
        <v>4.1100000000000003</v>
      </c>
      <c r="AA163" s="2">
        <v>2.13</v>
      </c>
      <c r="AB163" s="2">
        <v>1.07</v>
      </c>
      <c r="AC163" s="2">
        <v>0.71</v>
      </c>
      <c r="AD163" s="2">
        <v>1.07</v>
      </c>
      <c r="AE163" s="2">
        <v>0.71</v>
      </c>
      <c r="AF163" s="2">
        <v>0.71</v>
      </c>
      <c r="AG163" s="2">
        <v>1.79</v>
      </c>
      <c r="AH163" s="2">
        <v>1.43</v>
      </c>
      <c r="AI163" s="2">
        <v>3.46</v>
      </c>
      <c r="AJ163" s="2">
        <v>6.81</v>
      </c>
      <c r="AM163" s="1" t="s">
        <v>19</v>
      </c>
      <c r="AN163" s="2">
        <v>65.739999999999995</v>
      </c>
      <c r="AO163" s="2">
        <v>105.19</v>
      </c>
      <c r="AP163" s="2">
        <v>26.3</v>
      </c>
      <c r="AQ163" s="2">
        <v>52.59</v>
      </c>
      <c r="AR163" s="2">
        <v>46.38</v>
      </c>
      <c r="AS163" s="2">
        <v>72.89</v>
      </c>
      <c r="AT163" s="2">
        <v>32.869999999999997</v>
      </c>
      <c r="AU163" s="2">
        <v>19.93</v>
      </c>
      <c r="AV163" s="2">
        <v>13.29</v>
      </c>
      <c r="AW163" s="2">
        <v>19.93</v>
      </c>
      <c r="AX163" s="2">
        <v>13.29</v>
      </c>
      <c r="AY163" s="2">
        <v>13.29</v>
      </c>
      <c r="AZ163" s="2">
        <v>33.21</v>
      </c>
      <c r="BA163" s="2">
        <v>26.57</v>
      </c>
      <c r="BB163" s="2">
        <v>31.54</v>
      </c>
      <c r="BC163" s="2">
        <v>63.19</v>
      </c>
    </row>
    <row r="164" spans="20:55" x14ac:dyDescent="0.3">
      <c r="T164" s="1" t="s">
        <v>20</v>
      </c>
      <c r="U164" s="2">
        <v>12.83</v>
      </c>
      <c r="V164" s="2">
        <v>8.98</v>
      </c>
      <c r="W164" s="2">
        <v>11.98</v>
      </c>
      <c r="X164" s="2">
        <v>18.11</v>
      </c>
      <c r="Y164" s="2">
        <v>15.79</v>
      </c>
      <c r="Z164" s="2">
        <v>10.31</v>
      </c>
      <c r="AA164" s="2">
        <v>14.45</v>
      </c>
      <c r="AB164" s="2">
        <v>9.6199999999999992</v>
      </c>
      <c r="AC164" s="2">
        <v>8.9600000000000009</v>
      </c>
      <c r="AD164" s="2">
        <v>8.57</v>
      </c>
      <c r="AE164" s="2">
        <v>8.9600000000000009</v>
      </c>
      <c r="AF164" s="2">
        <v>8.57</v>
      </c>
      <c r="AG164" s="2">
        <v>12.84</v>
      </c>
      <c r="AH164" s="2">
        <v>10.56</v>
      </c>
      <c r="AI164" s="2">
        <v>12.61</v>
      </c>
      <c r="AJ164" s="2">
        <v>27.24</v>
      </c>
      <c r="AM164" s="1" t="s">
        <v>20</v>
      </c>
      <c r="AN164" s="2">
        <v>66.17</v>
      </c>
      <c r="AO164" s="2">
        <v>44.02</v>
      </c>
      <c r="AP164" s="2">
        <v>62.02</v>
      </c>
      <c r="AQ164" s="2">
        <v>88.72</v>
      </c>
      <c r="AR164" s="2">
        <v>79.209999999999994</v>
      </c>
      <c r="AS164" s="2">
        <v>49.69</v>
      </c>
      <c r="AT164" s="2">
        <v>72.55</v>
      </c>
      <c r="AU164" s="2">
        <v>46.38</v>
      </c>
      <c r="AV164" s="2">
        <v>42.04</v>
      </c>
      <c r="AW164" s="2">
        <v>40.43</v>
      </c>
      <c r="AX164" s="2">
        <v>42.04</v>
      </c>
      <c r="AY164" s="2">
        <v>40.43</v>
      </c>
      <c r="AZ164" s="2">
        <v>60.16</v>
      </c>
      <c r="BA164" s="2">
        <v>49.44</v>
      </c>
      <c r="BB164" s="2">
        <v>59.43</v>
      </c>
      <c r="BC164" s="2">
        <v>127.76</v>
      </c>
    </row>
    <row r="165" spans="20:55" x14ac:dyDescent="0.3">
      <c r="T165" s="1" t="s">
        <v>21</v>
      </c>
      <c r="U165" s="2">
        <v>36.9</v>
      </c>
      <c r="V165" s="2">
        <v>22.83</v>
      </c>
      <c r="W165" s="2">
        <v>40.590000000000003</v>
      </c>
      <c r="X165" s="2">
        <v>79.55</v>
      </c>
      <c r="Y165" s="2">
        <v>52.87</v>
      </c>
      <c r="Z165" s="2">
        <v>47.34</v>
      </c>
      <c r="AA165" s="2">
        <v>41.17</v>
      </c>
      <c r="AB165" s="2">
        <v>40.31</v>
      </c>
      <c r="AC165" s="2">
        <v>21.25</v>
      </c>
      <c r="AD165" s="2">
        <v>25.31</v>
      </c>
      <c r="AE165" s="2">
        <v>17.920000000000002</v>
      </c>
      <c r="AF165" s="2">
        <v>21.06</v>
      </c>
      <c r="AG165" s="2">
        <v>37.5</v>
      </c>
      <c r="AH165" s="2">
        <v>15.6</v>
      </c>
      <c r="AI165" s="2">
        <v>23.73</v>
      </c>
      <c r="AJ165" s="2">
        <v>61.45</v>
      </c>
      <c r="AM165" s="1" t="s">
        <v>21</v>
      </c>
      <c r="AN165" s="2">
        <v>141.26</v>
      </c>
      <c r="AO165" s="2">
        <v>111.72</v>
      </c>
      <c r="AP165" s="2">
        <v>214.41</v>
      </c>
      <c r="AQ165" s="2">
        <v>230.95</v>
      </c>
      <c r="AR165" s="2">
        <v>256.52</v>
      </c>
      <c r="AS165" s="2">
        <v>232.8</v>
      </c>
      <c r="AT165" s="2">
        <v>212.24</v>
      </c>
      <c r="AU165" s="2">
        <v>197.86</v>
      </c>
      <c r="AV165" s="2">
        <v>99.97</v>
      </c>
      <c r="AW165" s="2">
        <v>119.38</v>
      </c>
      <c r="AX165" s="2">
        <v>84.08</v>
      </c>
      <c r="AY165" s="2">
        <v>98.94</v>
      </c>
      <c r="AZ165" s="2">
        <v>175.59</v>
      </c>
      <c r="BA165" s="2">
        <v>140.4</v>
      </c>
      <c r="BB165" s="2">
        <v>111.27</v>
      </c>
      <c r="BC165" s="2">
        <v>238.55</v>
      </c>
    </row>
    <row r="166" spans="20:55" x14ac:dyDescent="0.3">
      <c r="T166" s="1" t="s">
        <v>22</v>
      </c>
      <c r="U166" s="2">
        <v>10.25</v>
      </c>
      <c r="V166" s="2">
        <v>7.61</v>
      </c>
      <c r="W166" s="2">
        <v>15.09</v>
      </c>
      <c r="X166" s="2">
        <v>25.07</v>
      </c>
      <c r="Y166" s="2">
        <v>17.89</v>
      </c>
      <c r="Z166" s="2">
        <v>20.23</v>
      </c>
      <c r="AA166" s="2">
        <v>15</v>
      </c>
      <c r="AB166" s="2">
        <v>14.83</v>
      </c>
      <c r="AC166" s="2">
        <v>8.42</v>
      </c>
      <c r="AD166" s="2">
        <v>3.8</v>
      </c>
      <c r="AE166" s="2">
        <v>6.68</v>
      </c>
      <c r="AF166" s="2">
        <v>3.97</v>
      </c>
      <c r="AG166" s="2">
        <v>7.26</v>
      </c>
      <c r="AH166" s="2">
        <v>7.2</v>
      </c>
      <c r="AI166" s="2">
        <v>9.15</v>
      </c>
      <c r="AJ166" s="2">
        <v>15.47</v>
      </c>
      <c r="AM166" s="1" t="s">
        <v>22</v>
      </c>
      <c r="AN166" s="2">
        <v>52.75</v>
      </c>
      <c r="AO166" s="2">
        <v>37.24</v>
      </c>
      <c r="AP166" s="2">
        <v>77.91</v>
      </c>
      <c r="AQ166" s="2">
        <v>124.43</v>
      </c>
      <c r="AR166" s="2">
        <v>90.11</v>
      </c>
      <c r="AS166" s="2">
        <v>98.77</v>
      </c>
      <c r="AT166" s="2">
        <v>75</v>
      </c>
      <c r="AU166" s="2">
        <v>72.17</v>
      </c>
      <c r="AV166" s="2">
        <v>39.590000000000003</v>
      </c>
      <c r="AW166" s="2">
        <v>34.200000000000003</v>
      </c>
      <c r="AX166" s="2">
        <v>31.32</v>
      </c>
      <c r="AY166" s="2">
        <v>34.03</v>
      </c>
      <c r="AZ166" s="2">
        <v>51.75</v>
      </c>
      <c r="BA166" s="2">
        <v>51.8</v>
      </c>
      <c r="BB166" s="2">
        <v>42.85</v>
      </c>
      <c r="BC166" s="2">
        <v>72.41</v>
      </c>
    </row>
    <row r="167" spans="20:55" x14ac:dyDescent="0.3">
      <c r="T167" s="1" t="s">
        <v>23</v>
      </c>
      <c r="U167" s="2">
        <v>29.74</v>
      </c>
      <c r="V167" s="2">
        <v>36.71</v>
      </c>
      <c r="W167" s="2">
        <v>53.67</v>
      </c>
      <c r="X167" s="2">
        <v>58.03</v>
      </c>
      <c r="Y167" s="2">
        <v>57.81</v>
      </c>
      <c r="Z167" s="2">
        <v>63.63</v>
      </c>
      <c r="AA167" s="2">
        <v>52.69</v>
      </c>
      <c r="AB167" s="2">
        <v>53.33</v>
      </c>
      <c r="AC167" s="2">
        <v>52.06</v>
      </c>
      <c r="AD167" s="2">
        <v>39.83</v>
      </c>
      <c r="AE167" s="2">
        <v>51.21</v>
      </c>
      <c r="AF167" s="2">
        <v>38.96</v>
      </c>
      <c r="AG167" s="2">
        <v>44.48</v>
      </c>
      <c r="AH167" s="2">
        <v>43.6</v>
      </c>
      <c r="AI167" s="2">
        <v>63.87</v>
      </c>
      <c r="AJ167" s="2">
        <v>62.76</v>
      </c>
      <c r="AM167" s="1" t="s">
        <v>23</v>
      </c>
      <c r="AN167" s="2">
        <v>150.26</v>
      </c>
      <c r="AO167" s="2">
        <v>178.29</v>
      </c>
      <c r="AP167" s="2">
        <v>271.33</v>
      </c>
      <c r="AQ167" s="2">
        <v>281.97000000000003</v>
      </c>
      <c r="AR167" s="2">
        <v>282.19</v>
      </c>
      <c r="AS167" s="2">
        <v>306.37</v>
      </c>
      <c r="AT167" s="2">
        <v>257.31</v>
      </c>
      <c r="AU167" s="2">
        <v>256.67</v>
      </c>
      <c r="AV167" s="2">
        <v>242.94</v>
      </c>
      <c r="AW167" s="2">
        <v>185.17</v>
      </c>
      <c r="AX167" s="2">
        <v>238.79</v>
      </c>
      <c r="AY167" s="2">
        <v>181.04</v>
      </c>
      <c r="AZ167" s="2">
        <v>205.52</v>
      </c>
      <c r="BA167" s="2">
        <v>201.4</v>
      </c>
      <c r="BB167" s="2">
        <v>296.13</v>
      </c>
      <c r="BC167" s="2">
        <v>290.95</v>
      </c>
    </row>
    <row r="168" spans="20:55" x14ac:dyDescent="0.3">
      <c r="T168" s="1" t="s">
        <v>24</v>
      </c>
      <c r="U168" s="2">
        <v>8.76</v>
      </c>
      <c r="V168" s="2">
        <v>3.05</v>
      </c>
      <c r="W168" s="2">
        <v>11.4</v>
      </c>
      <c r="X168" s="2">
        <v>14.99</v>
      </c>
      <c r="Y168" s="2">
        <v>12.42</v>
      </c>
      <c r="Z168" s="2">
        <v>7.94</v>
      </c>
      <c r="AA168" s="2">
        <v>8.39</v>
      </c>
      <c r="AB168" s="2">
        <v>12.11</v>
      </c>
      <c r="AC168" s="2">
        <v>8.81</v>
      </c>
      <c r="AD168" s="2">
        <v>5.47</v>
      </c>
      <c r="AE168" s="2">
        <v>7.55</v>
      </c>
      <c r="AF168" s="2">
        <v>4.54</v>
      </c>
      <c r="AG168" s="2">
        <v>7.15</v>
      </c>
      <c r="AH168" s="2">
        <v>6.51</v>
      </c>
      <c r="AI168" s="2">
        <v>8.0399999999999991</v>
      </c>
      <c r="AJ168" s="2">
        <v>8.33</v>
      </c>
      <c r="AM168" s="1" t="s">
        <v>24</v>
      </c>
      <c r="AN168" s="2">
        <v>35.22</v>
      </c>
      <c r="AO168" s="2">
        <v>11.7</v>
      </c>
      <c r="AP168" s="2">
        <v>45.8</v>
      </c>
      <c r="AQ168" s="2">
        <v>59.01</v>
      </c>
      <c r="AR168" s="2">
        <v>49.02</v>
      </c>
      <c r="AS168" s="2">
        <v>32.340000000000003</v>
      </c>
      <c r="AT168" s="2">
        <v>32.61</v>
      </c>
      <c r="AU168" s="2">
        <v>47.89</v>
      </c>
      <c r="AV168" s="2">
        <v>32.200000000000003</v>
      </c>
      <c r="AW168" s="2">
        <v>20.53</v>
      </c>
      <c r="AX168" s="2">
        <v>27.45</v>
      </c>
      <c r="AY168" s="2">
        <v>16.46</v>
      </c>
      <c r="AZ168" s="2">
        <v>25.85</v>
      </c>
      <c r="BA168" s="2">
        <v>23.52</v>
      </c>
      <c r="BB168" s="2">
        <v>29.06</v>
      </c>
      <c r="BC168" s="2">
        <v>30.15</v>
      </c>
    </row>
    <row r="169" spans="20:55" x14ac:dyDescent="0.3">
      <c r="T169" s="1" t="s">
        <v>25</v>
      </c>
      <c r="U169" s="2">
        <v>14.64</v>
      </c>
      <c r="V169" s="2">
        <v>14.66</v>
      </c>
      <c r="W169" s="2">
        <v>10.35</v>
      </c>
      <c r="X169" s="2">
        <v>17.16</v>
      </c>
      <c r="Y169" s="2">
        <v>15.21</v>
      </c>
      <c r="Z169" s="2">
        <v>13.94</v>
      </c>
      <c r="AA169" s="2">
        <v>15.53</v>
      </c>
      <c r="AB169" s="2">
        <v>15.33</v>
      </c>
      <c r="AC169" s="2">
        <v>12.18</v>
      </c>
      <c r="AD169" s="2">
        <v>19.97</v>
      </c>
      <c r="AE169" s="2">
        <v>9.69</v>
      </c>
      <c r="AF169" s="2">
        <v>15.95</v>
      </c>
      <c r="AG169" s="2">
        <v>1.5</v>
      </c>
      <c r="AH169" s="2">
        <v>5.77</v>
      </c>
      <c r="AI169" s="2">
        <v>7.55</v>
      </c>
      <c r="AJ169" s="2">
        <v>11.96</v>
      </c>
      <c r="AM169" s="1" t="s">
        <v>25</v>
      </c>
      <c r="AN169" s="2">
        <v>59.74</v>
      </c>
      <c r="AO169" s="2">
        <v>57.34</v>
      </c>
      <c r="AP169" s="2">
        <v>41.4</v>
      </c>
      <c r="AQ169" s="2">
        <v>66.84</v>
      </c>
      <c r="AR169" s="2">
        <v>60.15</v>
      </c>
      <c r="AS169" s="2">
        <v>54.98</v>
      </c>
      <c r="AT169" s="2">
        <v>60.83</v>
      </c>
      <c r="AU169" s="2">
        <v>59.78</v>
      </c>
      <c r="AV169" s="2">
        <v>44.9</v>
      </c>
      <c r="AW169" s="2">
        <v>73.16</v>
      </c>
      <c r="AX169" s="2">
        <v>35.380000000000003</v>
      </c>
      <c r="AY169" s="2">
        <v>58.01</v>
      </c>
      <c r="AZ169" s="2">
        <v>13.5</v>
      </c>
      <c r="BA169" s="2">
        <v>20.88</v>
      </c>
      <c r="BB169" s="2">
        <v>24.85</v>
      </c>
      <c r="BC169" s="2">
        <v>43.24</v>
      </c>
    </row>
    <row r="170" spans="20:55" x14ac:dyDescent="0.3">
      <c r="T170" s="1" t="s">
        <v>26</v>
      </c>
      <c r="U170" s="2">
        <v>3.03</v>
      </c>
      <c r="V170" s="2">
        <v>5.63</v>
      </c>
      <c r="W170" s="2">
        <v>3.04</v>
      </c>
      <c r="X170" s="2">
        <v>5</v>
      </c>
      <c r="Y170" s="2">
        <v>4.41</v>
      </c>
      <c r="Z170" s="2">
        <v>7.63</v>
      </c>
      <c r="AA170" s="2">
        <v>0.63</v>
      </c>
      <c r="AB170" s="2">
        <v>0.64</v>
      </c>
      <c r="AC170" s="2">
        <v>0.65</v>
      </c>
      <c r="AD170" s="2">
        <v>0.65</v>
      </c>
      <c r="AE170" s="2">
        <v>0.65</v>
      </c>
      <c r="AF170" s="2">
        <v>0.65</v>
      </c>
      <c r="AG170" s="2">
        <v>0</v>
      </c>
      <c r="AH170" s="2">
        <v>0</v>
      </c>
      <c r="AI170" s="2">
        <v>3.91</v>
      </c>
      <c r="AJ170" s="2">
        <v>6.2</v>
      </c>
      <c r="AM170" s="1" t="s">
        <v>26</v>
      </c>
      <c r="AN170" s="2">
        <v>11.97</v>
      </c>
      <c r="AO170" s="2">
        <v>21.37</v>
      </c>
      <c r="AP170" s="2">
        <v>11.96</v>
      </c>
      <c r="AQ170" s="2">
        <v>22</v>
      </c>
      <c r="AR170" s="2">
        <v>16.59</v>
      </c>
      <c r="AS170" s="2">
        <v>28.37</v>
      </c>
      <c r="AT170" s="2">
        <v>2.37</v>
      </c>
      <c r="AU170" s="2">
        <v>2.36</v>
      </c>
      <c r="AV170" s="2">
        <v>2.35</v>
      </c>
      <c r="AW170" s="2">
        <v>2.35</v>
      </c>
      <c r="AX170" s="2">
        <v>2.35</v>
      </c>
      <c r="AY170" s="2">
        <v>2.35</v>
      </c>
      <c r="AZ170" s="2">
        <v>0</v>
      </c>
      <c r="BA170" s="2">
        <v>0</v>
      </c>
      <c r="BB170" s="2">
        <v>14.09</v>
      </c>
      <c r="BC170" s="2">
        <v>22.36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253.47</v>
      </c>
      <c r="V177" s="2">
        <v>399.24</v>
      </c>
      <c r="W177" s="2">
        <v>132.19999999999999</v>
      </c>
      <c r="X177" s="2">
        <v>182.71</v>
      </c>
      <c r="Y177" s="2">
        <v>203.29</v>
      </c>
      <c r="Z177" s="2">
        <v>203.29</v>
      </c>
      <c r="AA177" s="2">
        <v>54.73</v>
      </c>
      <c r="AB177" s="2">
        <v>248.28</v>
      </c>
      <c r="AC177" s="2">
        <v>255.54</v>
      </c>
      <c r="AD177" s="2">
        <v>366.27</v>
      </c>
      <c r="AE177" s="2">
        <v>131.46</v>
      </c>
      <c r="AF177" s="2">
        <v>169.62</v>
      </c>
      <c r="AG177" s="2">
        <v>207</v>
      </c>
      <c r="AH177" s="2">
        <v>203.29</v>
      </c>
      <c r="AI177" s="2">
        <v>53.23</v>
      </c>
      <c r="AJ177" s="2">
        <v>233.48</v>
      </c>
      <c r="AM177" s="1" t="s">
        <v>19</v>
      </c>
      <c r="AN177" s="2">
        <v>3912.93</v>
      </c>
      <c r="AO177" s="2">
        <v>6163.26</v>
      </c>
      <c r="AP177" s="2">
        <v>2415.8000000000002</v>
      </c>
      <c r="AQ177" s="2">
        <v>2820.29</v>
      </c>
      <c r="AR177" s="2">
        <v>3782.51</v>
      </c>
      <c r="AS177" s="2">
        <v>3782.51</v>
      </c>
      <c r="AT177" s="2">
        <v>1018.37</v>
      </c>
      <c r="AU177" s="2">
        <v>2243.7199999999998</v>
      </c>
      <c r="AV177" s="2">
        <v>3944.46</v>
      </c>
      <c r="AW177" s="2">
        <v>5653.73</v>
      </c>
      <c r="AX177" s="2">
        <v>2357.7399999999998</v>
      </c>
      <c r="AY177" s="2">
        <v>3156.78</v>
      </c>
      <c r="AZ177" s="2">
        <v>3851.6</v>
      </c>
      <c r="BA177" s="2">
        <v>3782.51</v>
      </c>
      <c r="BB177" s="2">
        <v>990.47</v>
      </c>
      <c r="BC177" s="2">
        <v>2124.12</v>
      </c>
    </row>
    <row r="178" spans="20:55" x14ac:dyDescent="0.3">
      <c r="T178" s="1" t="s">
        <v>20</v>
      </c>
      <c r="U178" s="2">
        <v>28.71</v>
      </c>
      <c r="V178" s="2">
        <v>47.6</v>
      </c>
      <c r="W178" s="2">
        <v>25.97</v>
      </c>
      <c r="X178" s="2">
        <v>26.16</v>
      </c>
      <c r="Y178" s="2">
        <v>42.64</v>
      </c>
      <c r="Z178" s="2">
        <v>42.64</v>
      </c>
      <c r="AA178" s="2">
        <v>17.96</v>
      </c>
      <c r="AB178" s="2">
        <v>15.88</v>
      </c>
      <c r="AC178" s="2">
        <v>31</v>
      </c>
      <c r="AD178" s="2">
        <v>43.4</v>
      </c>
      <c r="AE178" s="2">
        <v>22.02</v>
      </c>
      <c r="AF178" s="2">
        <v>31.92</v>
      </c>
      <c r="AG178" s="2">
        <v>38.61</v>
      </c>
      <c r="AH178" s="2">
        <v>38.090000000000003</v>
      </c>
      <c r="AI178" s="2">
        <v>14.7</v>
      </c>
      <c r="AJ178" s="2">
        <v>20.76</v>
      </c>
      <c r="AM178" s="1" t="s">
        <v>20</v>
      </c>
      <c r="AN178" s="2">
        <v>588.09</v>
      </c>
      <c r="AO178" s="2">
        <v>974.9</v>
      </c>
      <c r="AP178" s="2">
        <v>514.42999999999995</v>
      </c>
      <c r="AQ178" s="2">
        <v>518.34</v>
      </c>
      <c r="AR178" s="2">
        <v>810.16</v>
      </c>
      <c r="AS178" s="2">
        <v>810.16</v>
      </c>
      <c r="AT178" s="2">
        <v>341.14</v>
      </c>
      <c r="AU178" s="2">
        <v>301.81</v>
      </c>
      <c r="AV178" s="2">
        <v>612.20000000000005</v>
      </c>
      <c r="AW178" s="2">
        <v>857.05</v>
      </c>
      <c r="AX178" s="2">
        <v>428.78</v>
      </c>
      <c r="AY178" s="2">
        <v>621.48</v>
      </c>
      <c r="AZ178" s="2">
        <v>733.59</v>
      </c>
      <c r="BA178" s="2">
        <v>723.71</v>
      </c>
      <c r="BB178" s="2">
        <v>279.3</v>
      </c>
      <c r="BC178" s="2">
        <v>394.44</v>
      </c>
    </row>
    <row r="179" spans="20:55" x14ac:dyDescent="0.3">
      <c r="T179" s="1" t="s">
        <v>21</v>
      </c>
      <c r="U179" s="2">
        <v>225.39</v>
      </c>
      <c r="V179" s="2">
        <v>239.15</v>
      </c>
      <c r="W179" s="2">
        <v>157.97</v>
      </c>
      <c r="X179" s="2">
        <v>161.29</v>
      </c>
      <c r="Y179" s="2">
        <v>130.34</v>
      </c>
      <c r="Z179" s="2">
        <v>108.03</v>
      </c>
      <c r="AA179" s="2">
        <v>59.78</v>
      </c>
      <c r="AB179" s="2">
        <v>43.68</v>
      </c>
      <c r="AC179" s="2">
        <v>104.96</v>
      </c>
      <c r="AD179" s="2">
        <v>384.75</v>
      </c>
      <c r="AE179" s="2">
        <v>133.28</v>
      </c>
      <c r="AF179" s="2">
        <v>184.99</v>
      </c>
      <c r="AG179" s="2">
        <v>128.81</v>
      </c>
      <c r="AH179" s="2">
        <v>105.3</v>
      </c>
      <c r="AI179" s="2">
        <v>85.68</v>
      </c>
      <c r="AJ179" s="2">
        <v>81.63</v>
      </c>
      <c r="AM179" s="1" t="s">
        <v>21</v>
      </c>
      <c r="AN179" s="2">
        <v>3259.78</v>
      </c>
      <c r="AO179" s="2">
        <v>4898.3500000000004</v>
      </c>
      <c r="AP179" s="2">
        <v>3095.25</v>
      </c>
      <c r="AQ179" s="2">
        <v>3195.39</v>
      </c>
      <c r="AR179" s="2">
        <v>2476.4</v>
      </c>
      <c r="AS179" s="2">
        <v>2052.5700000000002</v>
      </c>
      <c r="AT179" s="2">
        <v>1135.8399999999999</v>
      </c>
      <c r="AU179" s="2">
        <v>829.92</v>
      </c>
      <c r="AV179" s="2">
        <v>2072.6799999999998</v>
      </c>
      <c r="AW179" s="2">
        <v>4057.12</v>
      </c>
      <c r="AX179" s="2">
        <v>2595.0500000000002</v>
      </c>
      <c r="AY179" s="2">
        <v>3601.78</v>
      </c>
      <c r="AZ179" s="2">
        <v>2447.36</v>
      </c>
      <c r="BA179" s="2">
        <v>2000.7</v>
      </c>
      <c r="BB179" s="2">
        <v>771.12</v>
      </c>
      <c r="BC179" s="2">
        <v>1238.3699999999999</v>
      </c>
    </row>
    <row r="180" spans="20:55" x14ac:dyDescent="0.3">
      <c r="T180" s="1" t="s">
        <v>22</v>
      </c>
      <c r="U180" s="2">
        <v>66.92</v>
      </c>
      <c r="V180" s="2">
        <v>116.38</v>
      </c>
      <c r="W180" s="2">
        <v>61.08</v>
      </c>
      <c r="X180" s="2">
        <v>57.88</v>
      </c>
      <c r="Y180" s="2">
        <v>55.52</v>
      </c>
      <c r="Z180" s="2">
        <v>44.46</v>
      </c>
      <c r="AA180" s="2">
        <v>14.81</v>
      </c>
      <c r="AB180" s="2">
        <v>22.56</v>
      </c>
      <c r="AC180" s="2">
        <v>47.23</v>
      </c>
      <c r="AD180" s="2">
        <v>107.95</v>
      </c>
      <c r="AE180" s="2">
        <v>69.489999999999995</v>
      </c>
      <c r="AF180" s="2">
        <v>68.83</v>
      </c>
      <c r="AG180" s="2">
        <v>65.52</v>
      </c>
      <c r="AH180" s="2">
        <v>32.76</v>
      </c>
      <c r="AI180" s="2">
        <v>14.91</v>
      </c>
      <c r="AJ180" s="2">
        <v>21.05</v>
      </c>
      <c r="AM180" s="1" t="s">
        <v>22</v>
      </c>
      <c r="AN180" s="2">
        <v>1370.68</v>
      </c>
      <c r="AO180" s="2">
        <v>2383.62</v>
      </c>
      <c r="AP180" s="2">
        <v>1210.1199999999999</v>
      </c>
      <c r="AQ180" s="2">
        <v>1146.6199999999999</v>
      </c>
      <c r="AR180" s="2">
        <v>1054.73</v>
      </c>
      <c r="AS180" s="2">
        <v>844.74</v>
      </c>
      <c r="AT180" s="2">
        <v>281.3</v>
      </c>
      <c r="AU180" s="2">
        <v>428.64</v>
      </c>
      <c r="AV180" s="2">
        <v>932.57</v>
      </c>
      <c r="AW180" s="2">
        <v>2131.67</v>
      </c>
      <c r="AX180" s="2">
        <v>1352.91</v>
      </c>
      <c r="AY180" s="2">
        <v>1340.27</v>
      </c>
      <c r="AZ180" s="2">
        <v>589.67999999999995</v>
      </c>
      <c r="BA180" s="2">
        <v>622.44000000000005</v>
      </c>
      <c r="BB180" s="2">
        <v>283.29000000000002</v>
      </c>
      <c r="BC180" s="2">
        <v>399.89</v>
      </c>
    </row>
    <row r="181" spans="20:55" x14ac:dyDescent="0.3">
      <c r="T181" s="1" t="s">
        <v>23</v>
      </c>
      <c r="U181" s="2">
        <v>212.27</v>
      </c>
      <c r="V181" s="2">
        <v>395.68</v>
      </c>
      <c r="W181" s="2">
        <v>221.32</v>
      </c>
      <c r="X181" s="2">
        <v>188.69</v>
      </c>
      <c r="Y181" s="2">
        <v>240.5</v>
      </c>
      <c r="Z181" s="2">
        <v>235.3</v>
      </c>
      <c r="AA181" s="2">
        <v>76.13</v>
      </c>
      <c r="AB181" s="2">
        <v>151.80000000000001</v>
      </c>
      <c r="AC181" s="2">
        <v>244.09</v>
      </c>
      <c r="AD181" s="2">
        <v>390.42</v>
      </c>
      <c r="AE181" s="2">
        <v>203.8</v>
      </c>
      <c r="AF181" s="2">
        <v>228.91</v>
      </c>
      <c r="AG181" s="2">
        <v>235.3</v>
      </c>
      <c r="AH181" s="2">
        <v>230.1</v>
      </c>
      <c r="AI181" s="2">
        <v>73.540000000000006</v>
      </c>
      <c r="AJ181" s="2">
        <v>135.07</v>
      </c>
      <c r="AM181" s="1" t="s">
        <v>23</v>
      </c>
      <c r="AN181" s="2">
        <v>4347.7299999999996</v>
      </c>
      <c r="AO181" s="2">
        <v>8104.32</v>
      </c>
      <c r="AP181" s="2">
        <v>4384.68</v>
      </c>
      <c r="AQ181" s="2">
        <v>3738.31</v>
      </c>
      <c r="AR181" s="2">
        <v>4569.5</v>
      </c>
      <c r="AS181" s="2">
        <v>4470.7</v>
      </c>
      <c r="AT181" s="2">
        <v>1446.37</v>
      </c>
      <c r="AU181" s="2">
        <v>2884.2</v>
      </c>
      <c r="AV181" s="2">
        <v>4819.91</v>
      </c>
      <c r="AW181" s="2">
        <v>7709.58</v>
      </c>
      <c r="AX181" s="2">
        <v>3968.2</v>
      </c>
      <c r="AY181" s="2">
        <v>4457.09</v>
      </c>
      <c r="AZ181" s="2">
        <v>4470.7</v>
      </c>
      <c r="BA181" s="2">
        <v>4371.8999999999996</v>
      </c>
      <c r="BB181" s="2">
        <v>1396.46</v>
      </c>
      <c r="BC181" s="2">
        <v>2566.3200000000002</v>
      </c>
    </row>
    <row r="182" spans="20:55" x14ac:dyDescent="0.3">
      <c r="T182" s="1" t="s">
        <v>24</v>
      </c>
      <c r="U182" s="2">
        <v>53.42</v>
      </c>
      <c r="V182" s="2">
        <v>97.31</v>
      </c>
      <c r="W182" s="2">
        <v>49.59</v>
      </c>
      <c r="X182" s="2">
        <v>44.4</v>
      </c>
      <c r="Y182" s="2">
        <v>27.95</v>
      </c>
      <c r="Z182" s="2">
        <v>23.53</v>
      </c>
      <c r="AA182" s="2">
        <v>14.07</v>
      </c>
      <c r="AB182" s="2">
        <v>22.04</v>
      </c>
      <c r="AC182" s="2">
        <v>44.11</v>
      </c>
      <c r="AD182" s="2">
        <v>80.98</v>
      </c>
      <c r="AE182" s="2">
        <v>50.07</v>
      </c>
      <c r="AF182" s="2">
        <v>37.4</v>
      </c>
      <c r="AG182" s="2">
        <v>31.59</v>
      </c>
      <c r="AH182" s="2">
        <v>25.22</v>
      </c>
      <c r="AI182" s="2">
        <v>12.51</v>
      </c>
      <c r="AJ182" s="2">
        <v>13.97</v>
      </c>
      <c r="AM182" s="1" t="s">
        <v>24</v>
      </c>
      <c r="AN182" s="2">
        <v>1094.1099999999999</v>
      </c>
      <c r="AO182" s="2">
        <v>1993.04</v>
      </c>
      <c r="AP182" s="2">
        <v>982.53</v>
      </c>
      <c r="AQ182" s="2">
        <v>879.6</v>
      </c>
      <c r="AR182" s="2">
        <v>531.11</v>
      </c>
      <c r="AS182" s="2">
        <v>447.07</v>
      </c>
      <c r="AT182" s="2">
        <v>267.38</v>
      </c>
      <c r="AU182" s="2">
        <v>418.68</v>
      </c>
      <c r="AV182" s="2">
        <v>871.12</v>
      </c>
      <c r="AW182" s="2">
        <v>1599.02</v>
      </c>
      <c r="AX182" s="2">
        <v>974.95</v>
      </c>
      <c r="AY182" s="2">
        <v>728.2</v>
      </c>
      <c r="AZ182" s="2">
        <v>600.23</v>
      </c>
      <c r="BA182" s="2">
        <v>479.19</v>
      </c>
      <c r="BB182" s="2">
        <v>237.63</v>
      </c>
      <c r="BC182" s="2">
        <v>265.42</v>
      </c>
    </row>
    <row r="183" spans="20:55" x14ac:dyDescent="0.3">
      <c r="T183" s="1" t="s">
        <v>25</v>
      </c>
      <c r="U183" s="2">
        <v>148.49</v>
      </c>
      <c r="V183" s="2">
        <v>216</v>
      </c>
      <c r="W183" s="2">
        <v>145.31</v>
      </c>
      <c r="X183" s="2">
        <v>147.31</v>
      </c>
      <c r="Y183" s="2">
        <v>101.93</v>
      </c>
      <c r="Z183" s="2">
        <v>81.650000000000006</v>
      </c>
      <c r="AA183" s="2">
        <v>45.36</v>
      </c>
      <c r="AB183" s="2">
        <v>60.1</v>
      </c>
      <c r="AC183" s="2">
        <v>160.33000000000001</v>
      </c>
      <c r="AD183" s="2">
        <v>280.16000000000003</v>
      </c>
      <c r="AE183" s="2">
        <v>119.99</v>
      </c>
      <c r="AF183" s="2">
        <v>118.75</v>
      </c>
      <c r="AG183" s="2">
        <v>142.06</v>
      </c>
      <c r="AH183" s="2">
        <v>113.78</v>
      </c>
      <c r="AI183" s="2">
        <v>36.380000000000003</v>
      </c>
      <c r="AJ183" s="2">
        <v>60.17</v>
      </c>
      <c r="AM183" s="1" t="s">
        <v>25</v>
      </c>
      <c r="AN183" s="2">
        <v>3041.49</v>
      </c>
      <c r="AO183" s="2">
        <v>4424.25</v>
      </c>
      <c r="AP183" s="2">
        <v>2878.91</v>
      </c>
      <c r="AQ183" s="2">
        <v>2918.48</v>
      </c>
      <c r="AR183" s="2">
        <v>1936.63</v>
      </c>
      <c r="AS183" s="2">
        <v>1551.32</v>
      </c>
      <c r="AT183" s="2">
        <v>408.24</v>
      </c>
      <c r="AU183" s="2">
        <v>1019.9</v>
      </c>
      <c r="AV183" s="2">
        <v>3166.07</v>
      </c>
      <c r="AW183" s="2">
        <v>5532.34</v>
      </c>
      <c r="AX183" s="2">
        <v>2336.33</v>
      </c>
      <c r="AY183" s="2">
        <v>2312.19</v>
      </c>
      <c r="AZ183" s="2">
        <v>2699.05</v>
      </c>
      <c r="BA183" s="2">
        <v>2161.7600000000002</v>
      </c>
      <c r="BB183" s="2">
        <v>691.23</v>
      </c>
      <c r="BC183" s="2">
        <v>1143.19</v>
      </c>
    </row>
    <row r="184" spans="20:55" x14ac:dyDescent="0.3">
      <c r="T184" s="1" t="s">
        <v>26</v>
      </c>
      <c r="U184" s="2">
        <v>88.82</v>
      </c>
      <c r="V184" s="2">
        <v>166.5</v>
      </c>
      <c r="W184" s="2">
        <v>79.11</v>
      </c>
      <c r="X184" s="2">
        <v>77.55</v>
      </c>
      <c r="Y184" s="2">
        <v>105.3</v>
      </c>
      <c r="Z184" s="2">
        <v>105.3</v>
      </c>
      <c r="AA184" s="2">
        <v>15.12</v>
      </c>
      <c r="AB184" s="2">
        <v>67.44</v>
      </c>
      <c r="AC184" s="2">
        <v>98.56</v>
      </c>
      <c r="AD184" s="2">
        <v>161.22999999999999</v>
      </c>
      <c r="AE184" s="2">
        <v>72.22</v>
      </c>
      <c r="AF184" s="2">
        <v>69.16</v>
      </c>
      <c r="AG184" s="2">
        <v>69.42</v>
      </c>
      <c r="AH184" s="2">
        <v>69.430000000000007</v>
      </c>
      <c r="AI184" s="2">
        <v>20.3</v>
      </c>
      <c r="AJ184" s="2">
        <v>60.43</v>
      </c>
      <c r="AM184" s="1" t="s">
        <v>26</v>
      </c>
      <c r="AN184" s="2">
        <v>1819.18</v>
      </c>
      <c r="AO184" s="2">
        <v>3396</v>
      </c>
      <c r="AP184" s="2">
        <v>1550.49</v>
      </c>
      <c r="AQ184" s="2">
        <v>1536.15</v>
      </c>
      <c r="AR184" s="2">
        <v>2000.7</v>
      </c>
      <c r="AS184" s="2">
        <v>2000.7</v>
      </c>
      <c r="AT184" s="2">
        <v>287.27999999999997</v>
      </c>
      <c r="AU184" s="2">
        <v>1281.3599999999999</v>
      </c>
      <c r="AV184" s="2">
        <v>1946.24</v>
      </c>
      <c r="AW184" s="2">
        <v>3183.77</v>
      </c>
      <c r="AX184" s="2">
        <v>1406.18</v>
      </c>
      <c r="AY184" s="2">
        <v>1346.54</v>
      </c>
      <c r="AZ184" s="2">
        <v>1318.98</v>
      </c>
      <c r="BA184" s="2">
        <v>1318.97</v>
      </c>
      <c r="BB184" s="2">
        <v>313.60000000000002</v>
      </c>
      <c r="BC184" s="2">
        <v>1147.98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105.61</v>
      </c>
      <c r="V191" s="2">
        <v>106.47</v>
      </c>
      <c r="W191" s="2">
        <v>159.69999999999999</v>
      </c>
      <c r="X191" s="2">
        <v>146.51</v>
      </c>
      <c r="Y191" s="2">
        <v>47.21</v>
      </c>
      <c r="Z191" s="2">
        <v>46.95</v>
      </c>
      <c r="AA191" s="2">
        <v>55.37</v>
      </c>
      <c r="AB191" s="2">
        <v>51.4</v>
      </c>
      <c r="AC191" s="2">
        <v>78.19</v>
      </c>
      <c r="AD191" s="2">
        <v>79.62</v>
      </c>
      <c r="AE191" s="2">
        <v>78.19</v>
      </c>
      <c r="AF191" s="2">
        <v>78.19</v>
      </c>
      <c r="AG191" s="2">
        <v>26.06</v>
      </c>
      <c r="AH191" s="2">
        <v>25.35</v>
      </c>
      <c r="AI191" s="2">
        <v>310.35000000000002</v>
      </c>
      <c r="AJ191" s="2">
        <v>291.85000000000002</v>
      </c>
      <c r="AM191" s="1" t="s">
        <v>19</v>
      </c>
      <c r="AN191" s="2">
        <v>1630.39</v>
      </c>
      <c r="AO191" s="2">
        <v>1643.53</v>
      </c>
      <c r="AP191" s="2">
        <v>2465.3000000000002</v>
      </c>
      <c r="AQ191" s="2">
        <v>2261.4899999999998</v>
      </c>
      <c r="AR191" s="2">
        <v>862.79</v>
      </c>
      <c r="AS191" s="2">
        <v>842.05</v>
      </c>
      <c r="AT191" s="2">
        <v>854.63</v>
      </c>
      <c r="AU191" s="2">
        <v>956.6</v>
      </c>
      <c r="AV191" s="2">
        <v>1454.81</v>
      </c>
      <c r="AW191" s="2">
        <v>1481.38</v>
      </c>
      <c r="AX191" s="2">
        <v>1454.81</v>
      </c>
      <c r="AY191" s="2">
        <v>1454.81</v>
      </c>
      <c r="AZ191" s="2">
        <v>484.94</v>
      </c>
      <c r="BA191" s="2">
        <v>471.65</v>
      </c>
      <c r="BB191" s="2">
        <v>2804.65</v>
      </c>
      <c r="BC191" s="2">
        <v>2655.15</v>
      </c>
    </row>
    <row r="192" spans="20:55" x14ac:dyDescent="0.3">
      <c r="T192" s="1" t="s">
        <v>20</v>
      </c>
      <c r="U192" s="2">
        <v>11.96</v>
      </c>
      <c r="V192" s="2">
        <v>12.92</v>
      </c>
      <c r="W192" s="2">
        <v>19.04</v>
      </c>
      <c r="X192" s="2">
        <v>17.36</v>
      </c>
      <c r="Y192" s="2">
        <v>9.27</v>
      </c>
      <c r="Z192" s="2">
        <v>7.86</v>
      </c>
      <c r="AA192" s="2">
        <v>7.93</v>
      </c>
      <c r="AB192" s="2">
        <v>9.67</v>
      </c>
      <c r="AC192" s="2">
        <v>16.399999999999999</v>
      </c>
      <c r="AD192" s="2">
        <v>14.85</v>
      </c>
      <c r="AE192" s="2">
        <v>16.399999999999999</v>
      </c>
      <c r="AF192" s="2">
        <v>14.65</v>
      </c>
      <c r="AG192" s="2">
        <v>8.5500000000000007</v>
      </c>
      <c r="AH192" s="2">
        <v>7</v>
      </c>
      <c r="AI192" s="2">
        <v>19.86</v>
      </c>
      <c r="AJ192" s="2">
        <v>25.95</v>
      </c>
      <c r="AM192" s="1" t="s">
        <v>20</v>
      </c>
      <c r="AN192" s="2">
        <v>245.04</v>
      </c>
      <c r="AO192" s="2">
        <v>255.08</v>
      </c>
      <c r="AP192" s="2">
        <v>389.96</v>
      </c>
      <c r="AQ192" s="2">
        <v>342.82</v>
      </c>
      <c r="AR192" s="2">
        <v>183.73</v>
      </c>
      <c r="AS192" s="2">
        <v>153.13999999999999</v>
      </c>
      <c r="AT192" s="2">
        <v>157.07</v>
      </c>
      <c r="AU192" s="2">
        <v>188.33</v>
      </c>
      <c r="AV192" s="2">
        <v>311.60000000000002</v>
      </c>
      <c r="AW192" s="2">
        <v>282.14999999999998</v>
      </c>
      <c r="AX192" s="2">
        <v>311.60000000000002</v>
      </c>
      <c r="AY192" s="2">
        <v>278.35000000000002</v>
      </c>
      <c r="AZ192" s="2">
        <v>162.44999999999999</v>
      </c>
      <c r="BA192" s="2">
        <v>133</v>
      </c>
      <c r="BB192" s="2">
        <v>377.26</v>
      </c>
      <c r="BC192" s="2">
        <v>493.05</v>
      </c>
    </row>
    <row r="193" spans="20:55" x14ac:dyDescent="0.3">
      <c r="T193" s="1" t="s">
        <v>21</v>
      </c>
      <c r="U193" s="2">
        <v>93.91</v>
      </c>
      <c r="V193" s="2">
        <v>43.74</v>
      </c>
      <c r="W193" s="2">
        <v>95.66</v>
      </c>
      <c r="X193" s="2">
        <v>153.9</v>
      </c>
      <c r="Y193" s="2">
        <v>56.42</v>
      </c>
      <c r="Z193" s="2">
        <v>47.6</v>
      </c>
      <c r="AA193" s="2">
        <v>48.88</v>
      </c>
      <c r="AB193" s="2">
        <v>56.06</v>
      </c>
      <c r="AC193" s="2">
        <v>50.13</v>
      </c>
      <c r="AD193" s="2">
        <v>49.54</v>
      </c>
      <c r="AE193" s="2">
        <v>41.55</v>
      </c>
      <c r="AF193" s="2">
        <v>40.5</v>
      </c>
      <c r="AG193" s="2">
        <v>28.47</v>
      </c>
      <c r="AH193" s="2">
        <v>40.799999999999997</v>
      </c>
      <c r="AI193" s="2">
        <v>54.6</v>
      </c>
      <c r="AJ193" s="2">
        <v>102.04</v>
      </c>
      <c r="AM193" s="1" t="s">
        <v>21</v>
      </c>
      <c r="AN193" s="2">
        <v>1358.24</v>
      </c>
      <c r="AO193" s="2">
        <v>863.61</v>
      </c>
      <c r="AP193" s="2">
        <v>1959.34</v>
      </c>
      <c r="AQ193" s="2">
        <v>1622.85</v>
      </c>
      <c r="AR193" s="2">
        <v>1105.45</v>
      </c>
      <c r="AS193" s="2">
        <v>926.8</v>
      </c>
      <c r="AT193" s="2">
        <v>968.3</v>
      </c>
      <c r="AU193" s="2">
        <v>1091.45</v>
      </c>
      <c r="AV193" s="2">
        <v>952.46</v>
      </c>
      <c r="AW193" s="2">
        <v>941.29</v>
      </c>
      <c r="AX193" s="2">
        <v>789.45</v>
      </c>
      <c r="AY193" s="2">
        <v>769.5</v>
      </c>
      <c r="AZ193" s="2">
        <v>540.88</v>
      </c>
      <c r="BA193" s="2">
        <v>367.2</v>
      </c>
      <c r="BB193" s="2">
        <v>1037.4000000000001</v>
      </c>
      <c r="BC193" s="2">
        <v>1547.96</v>
      </c>
    </row>
    <row r="194" spans="20:55" x14ac:dyDescent="0.3">
      <c r="T194" s="1" t="s">
        <v>22</v>
      </c>
      <c r="U194" s="2">
        <v>27.88</v>
      </c>
      <c r="V194" s="2">
        <v>19.68</v>
      </c>
      <c r="W194" s="2">
        <v>46.55</v>
      </c>
      <c r="X194" s="2">
        <v>43.18</v>
      </c>
      <c r="Y194" s="2">
        <v>21.81</v>
      </c>
      <c r="Z194" s="2">
        <v>24.82</v>
      </c>
      <c r="AA194" s="2">
        <v>17.54</v>
      </c>
      <c r="AB194" s="2">
        <v>20.86</v>
      </c>
      <c r="AC194" s="2">
        <v>21.35</v>
      </c>
      <c r="AD194" s="2">
        <v>25.2</v>
      </c>
      <c r="AE194" s="2">
        <v>17.100000000000001</v>
      </c>
      <c r="AF194" s="2">
        <v>12.6</v>
      </c>
      <c r="AG194" s="2">
        <v>7.05</v>
      </c>
      <c r="AH194" s="2">
        <v>7.1</v>
      </c>
      <c r="AI194" s="2">
        <v>28.2</v>
      </c>
      <c r="AJ194" s="2">
        <v>26.31</v>
      </c>
      <c r="AM194" s="1" t="s">
        <v>22</v>
      </c>
      <c r="AN194" s="2">
        <v>571.12</v>
      </c>
      <c r="AO194" s="2">
        <v>388.57</v>
      </c>
      <c r="AP194" s="2">
        <v>953.45</v>
      </c>
      <c r="AQ194" s="2">
        <v>852.67</v>
      </c>
      <c r="AR194" s="2">
        <v>432.19</v>
      </c>
      <c r="AS194" s="2">
        <v>483.18</v>
      </c>
      <c r="AT194" s="2">
        <v>347.46</v>
      </c>
      <c r="AU194" s="2">
        <v>406.14</v>
      </c>
      <c r="AV194" s="2">
        <v>405.67</v>
      </c>
      <c r="AW194" s="2">
        <v>226.8</v>
      </c>
      <c r="AX194" s="2">
        <v>324.89999999999998</v>
      </c>
      <c r="AY194" s="2">
        <v>239.4</v>
      </c>
      <c r="AZ194" s="2">
        <v>133.94999999999999</v>
      </c>
      <c r="BA194" s="2">
        <v>134.9</v>
      </c>
      <c r="BB194" s="2">
        <v>535.79999999999995</v>
      </c>
      <c r="BC194" s="2">
        <v>499.87</v>
      </c>
    </row>
    <row r="195" spans="20:55" x14ac:dyDescent="0.3">
      <c r="T195" s="1" t="s">
        <v>23</v>
      </c>
      <c r="U195" s="2">
        <v>88.45</v>
      </c>
      <c r="V195" s="2">
        <v>101.7</v>
      </c>
      <c r="W195" s="2">
        <v>158.27000000000001</v>
      </c>
      <c r="X195" s="2">
        <v>156.16999999999999</v>
      </c>
      <c r="Y195" s="2">
        <v>79.040000000000006</v>
      </c>
      <c r="Z195" s="2">
        <v>72.790000000000006</v>
      </c>
      <c r="AA195" s="2">
        <v>57.18</v>
      </c>
      <c r="AB195" s="2">
        <v>69.37</v>
      </c>
      <c r="AC195" s="2">
        <v>92.5</v>
      </c>
      <c r="AD195" s="2">
        <v>90.5</v>
      </c>
      <c r="AE195" s="2">
        <v>90.5</v>
      </c>
      <c r="AF195" s="2">
        <v>88.5</v>
      </c>
      <c r="AG195" s="2">
        <v>36.25</v>
      </c>
      <c r="AH195" s="2">
        <v>35.020000000000003</v>
      </c>
      <c r="AI195" s="2">
        <v>189.75</v>
      </c>
      <c r="AJ195" s="2">
        <v>168.84</v>
      </c>
      <c r="AM195" s="1" t="s">
        <v>23</v>
      </c>
      <c r="AN195" s="2">
        <v>1811.55</v>
      </c>
      <c r="AO195" s="2">
        <v>2008.3</v>
      </c>
      <c r="AP195" s="2">
        <v>3241.73</v>
      </c>
      <c r="AQ195" s="2">
        <v>3083.83</v>
      </c>
      <c r="AR195" s="2">
        <v>1565.96</v>
      </c>
      <c r="AS195" s="2">
        <v>1417.21</v>
      </c>
      <c r="AT195" s="2">
        <v>1132.82</v>
      </c>
      <c r="AU195" s="2">
        <v>1350.63</v>
      </c>
      <c r="AV195" s="2">
        <v>1757.5</v>
      </c>
      <c r="AW195" s="2">
        <v>1719.5</v>
      </c>
      <c r="AX195" s="2">
        <v>1719.5</v>
      </c>
      <c r="AY195" s="2">
        <v>1681.5</v>
      </c>
      <c r="AZ195" s="2">
        <v>688.75</v>
      </c>
      <c r="BA195" s="2">
        <v>664.98</v>
      </c>
      <c r="BB195" s="2">
        <v>3605.25</v>
      </c>
      <c r="BC195" s="2">
        <v>3207.9</v>
      </c>
    </row>
    <row r="196" spans="20:55" x14ac:dyDescent="0.3">
      <c r="T196" s="1" t="s">
        <v>24</v>
      </c>
      <c r="U196" s="2">
        <v>22.26</v>
      </c>
      <c r="V196" s="2">
        <v>18.38</v>
      </c>
      <c r="W196" s="2">
        <v>38.92</v>
      </c>
      <c r="X196" s="2">
        <v>32.39</v>
      </c>
      <c r="Y196" s="2">
        <v>17.71</v>
      </c>
      <c r="Z196" s="2">
        <v>17.88</v>
      </c>
      <c r="AA196" s="2">
        <v>13.45</v>
      </c>
      <c r="AB196" s="2">
        <v>11.33</v>
      </c>
      <c r="AC196" s="2">
        <v>10.75</v>
      </c>
      <c r="AD196" s="2">
        <v>12.15</v>
      </c>
      <c r="AE196" s="2">
        <v>9.0500000000000007</v>
      </c>
      <c r="AF196" s="2">
        <v>9.6999999999999993</v>
      </c>
      <c r="AG196" s="2">
        <v>6.7</v>
      </c>
      <c r="AH196" s="2">
        <v>5.96</v>
      </c>
      <c r="AI196" s="2">
        <v>27.55</v>
      </c>
      <c r="AJ196" s="2">
        <v>17.46</v>
      </c>
      <c r="AM196" s="1" t="s">
        <v>24</v>
      </c>
      <c r="AN196" s="2">
        <v>455.88</v>
      </c>
      <c r="AO196" s="2">
        <v>362.96</v>
      </c>
      <c r="AP196" s="2">
        <v>797.22</v>
      </c>
      <c r="AQ196" s="2">
        <v>639.61</v>
      </c>
      <c r="AR196" s="2">
        <v>350.9</v>
      </c>
      <c r="AS196" s="2">
        <v>348.2</v>
      </c>
      <c r="AT196" s="2">
        <v>266.55</v>
      </c>
      <c r="AU196" s="2">
        <v>220.67</v>
      </c>
      <c r="AV196" s="2">
        <v>204.27</v>
      </c>
      <c r="AW196" s="2">
        <v>230.86</v>
      </c>
      <c r="AX196" s="2">
        <v>171.95</v>
      </c>
      <c r="AY196" s="2">
        <v>184.31</v>
      </c>
      <c r="AZ196" s="2">
        <v>127.32</v>
      </c>
      <c r="BA196" s="2">
        <v>113.16</v>
      </c>
      <c r="BB196" s="2">
        <v>523.35</v>
      </c>
      <c r="BC196" s="2">
        <v>331.77</v>
      </c>
    </row>
    <row r="197" spans="20:55" x14ac:dyDescent="0.3">
      <c r="T197" s="1" t="s">
        <v>25</v>
      </c>
      <c r="U197" s="2">
        <v>61.87</v>
      </c>
      <c r="V197" s="2">
        <v>66.81</v>
      </c>
      <c r="W197" s="2">
        <v>86.4</v>
      </c>
      <c r="X197" s="2">
        <v>112.07</v>
      </c>
      <c r="Y197" s="2">
        <v>51.9</v>
      </c>
      <c r="Z197" s="2">
        <v>42.85</v>
      </c>
      <c r="AA197" s="2">
        <v>44.64</v>
      </c>
      <c r="AB197" s="2">
        <v>35.99</v>
      </c>
      <c r="AC197" s="2">
        <v>39.200000000000003</v>
      </c>
      <c r="AD197" s="2">
        <v>54.64</v>
      </c>
      <c r="AE197" s="2">
        <v>31.4</v>
      </c>
      <c r="AF197" s="2">
        <v>43.76</v>
      </c>
      <c r="AG197" s="2">
        <v>21.6</v>
      </c>
      <c r="AH197" s="2">
        <v>17.329999999999998</v>
      </c>
      <c r="AI197" s="2">
        <v>75.13</v>
      </c>
      <c r="AJ197" s="2">
        <v>75.22</v>
      </c>
      <c r="AM197" s="1" t="s">
        <v>25</v>
      </c>
      <c r="AN197" s="2">
        <v>1267.29</v>
      </c>
      <c r="AO197" s="2">
        <v>1319.19</v>
      </c>
      <c r="AP197" s="2">
        <v>1769.7</v>
      </c>
      <c r="AQ197" s="2">
        <v>2212.9299999999998</v>
      </c>
      <c r="AR197" s="2">
        <v>1028.18</v>
      </c>
      <c r="AS197" s="2">
        <v>834.4</v>
      </c>
      <c r="AT197" s="2">
        <v>884.39</v>
      </c>
      <c r="AU197" s="2">
        <v>700.67</v>
      </c>
      <c r="AV197" s="2">
        <v>744.86</v>
      </c>
      <c r="AW197" s="2">
        <v>1038.0999999999999</v>
      </c>
      <c r="AX197" s="2">
        <v>596.66</v>
      </c>
      <c r="AY197" s="2">
        <v>831.44</v>
      </c>
      <c r="AZ197" s="2">
        <v>194.4</v>
      </c>
      <c r="BA197" s="2">
        <v>329.16</v>
      </c>
      <c r="BB197" s="2">
        <v>1274.8699999999999</v>
      </c>
      <c r="BC197" s="2">
        <v>1428.98</v>
      </c>
    </row>
    <row r="198" spans="20:55" x14ac:dyDescent="0.3">
      <c r="T198" s="1" t="s">
        <v>26</v>
      </c>
      <c r="U198" s="2">
        <v>37.01</v>
      </c>
      <c r="V198" s="2">
        <v>41.07</v>
      </c>
      <c r="W198" s="2">
        <v>66.599999999999994</v>
      </c>
      <c r="X198" s="2">
        <v>64.489999999999995</v>
      </c>
      <c r="Y198" s="2">
        <v>28.25</v>
      </c>
      <c r="Z198" s="2">
        <v>25.79</v>
      </c>
      <c r="AA198" s="2">
        <v>23.5</v>
      </c>
      <c r="AB198" s="2">
        <v>20.96</v>
      </c>
      <c r="AC198" s="2">
        <v>40.5</v>
      </c>
      <c r="AD198" s="2">
        <v>26.7</v>
      </c>
      <c r="AE198" s="2">
        <v>40.5</v>
      </c>
      <c r="AF198" s="2">
        <v>26.7</v>
      </c>
      <c r="AG198" s="2">
        <v>7.2</v>
      </c>
      <c r="AH198" s="2">
        <v>9.67</v>
      </c>
      <c r="AI198" s="2">
        <v>84.3</v>
      </c>
      <c r="AJ198" s="2">
        <v>75.540000000000006</v>
      </c>
      <c r="AM198" s="1" t="s">
        <v>26</v>
      </c>
      <c r="AN198" s="2">
        <v>757.99</v>
      </c>
      <c r="AO198" s="2">
        <v>810.93</v>
      </c>
      <c r="AP198" s="2">
        <v>1358.4</v>
      </c>
      <c r="AQ198" s="2">
        <v>1273.51</v>
      </c>
      <c r="AR198" s="2">
        <v>553.75</v>
      </c>
      <c r="AS198" s="2">
        <v>502.21</v>
      </c>
      <c r="AT198" s="2">
        <v>465.5</v>
      </c>
      <c r="AU198" s="2">
        <v>408.04</v>
      </c>
      <c r="AV198" s="2">
        <v>769.5</v>
      </c>
      <c r="AW198" s="2">
        <v>507.3</v>
      </c>
      <c r="AX198" s="2">
        <v>769.5</v>
      </c>
      <c r="AY198" s="2">
        <v>507.3</v>
      </c>
      <c r="AZ198" s="2">
        <v>136.80000000000001</v>
      </c>
      <c r="BA198" s="2">
        <v>149.33000000000001</v>
      </c>
      <c r="BB198" s="2">
        <v>1601.7</v>
      </c>
      <c r="BC198" s="2">
        <v>1434.97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0.59</v>
      </c>
      <c r="V205" s="2">
        <v>0.59</v>
      </c>
      <c r="W205" s="2">
        <v>0.59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0.59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504</v>
      </c>
      <c r="AO205" s="2">
        <v>105</v>
      </c>
      <c r="AP205" s="2">
        <v>254.8</v>
      </c>
      <c r="AQ205" s="2">
        <v>92.4</v>
      </c>
      <c r="AR205" s="2">
        <v>72.8</v>
      </c>
      <c r="AS205" s="2">
        <v>72.8</v>
      </c>
      <c r="AT205" s="2">
        <v>14.7</v>
      </c>
      <c r="AU205" s="2">
        <v>39.200000000000003</v>
      </c>
      <c r="AV205" s="2">
        <v>470.4</v>
      </c>
      <c r="AW205" s="2">
        <v>192.5</v>
      </c>
      <c r="AX205" s="2">
        <v>294</v>
      </c>
      <c r="AY205" s="2">
        <v>161.69999999999999</v>
      </c>
      <c r="AZ205" s="2">
        <v>54.6</v>
      </c>
      <c r="BA205" s="2">
        <v>54.6</v>
      </c>
      <c r="BB205" s="2">
        <v>14.7</v>
      </c>
      <c r="BC205" s="2">
        <v>72.8</v>
      </c>
    </row>
    <row r="206" spans="20:55" x14ac:dyDescent="0.3">
      <c r="T206" s="1" t="s">
        <v>20</v>
      </c>
      <c r="U206" s="2">
        <v>0.19</v>
      </c>
      <c r="V206" s="2">
        <v>0.03</v>
      </c>
      <c r="W206" s="2">
        <v>7.0000000000000007E-2</v>
      </c>
      <c r="X206" s="2">
        <v>0.23</v>
      </c>
      <c r="Y206" s="2">
        <v>0.25</v>
      </c>
      <c r="Z206" s="2">
        <v>0.17</v>
      </c>
      <c r="AA206" s="2">
        <v>0.16</v>
      </c>
      <c r="AB206" s="2">
        <v>0.04</v>
      </c>
      <c r="AC206" s="2">
        <v>0.03</v>
      </c>
      <c r="AD206" s="2">
        <v>0.03</v>
      </c>
      <c r="AE206" s="2">
        <v>0.03</v>
      </c>
      <c r="AF206" s="2">
        <v>0.03</v>
      </c>
      <c r="AG206" s="2">
        <v>0.03</v>
      </c>
      <c r="AH206" s="2">
        <v>0.02</v>
      </c>
      <c r="AI206" s="2">
        <v>0.25</v>
      </c>
      <c r="AJ206" s="2">
        <v>0.17</v>
      </c>
      <c r="AM206" s="1" t="s">
        <v>20</v>
      </c>
      <c r="AN206" s="2">
        <v>28.8</v>
      </c>
      <c r="AO206" s="2">
        <v>42.5</v>
      </c>
      <c r="AP206" s="2">
        <v>19.600000000000001</v>
      </c>
      <c r="AQ206" s="2">
        <v>23.1</v>
      </c>
      <c r="AR206" s="2">
        <v>36.4</v>
      </c>
      <c r="AS206" s="2">
        <v>36.4</v>
      </c>
      <c r="AT206" s="2">
        <v>12.6</v>
      </c>
      <c r="AU206" s="2">
        <v>13.35</v>
      </c>
      <c r="AV206" s="2">
        <v>33.6</v>
      </c>
      <c r="AW206" s="2">
        <v>23.63</v>
      </c>
      <c r="AX206" s="2">
        <v>36.4</v>
      </c>
      <c r="AY206" s="2">
        <v>26.4</v>
      </c>
      <c r="AZ206" s="2">
        <v>36.4</v>
      </c>
      <c r="BA206" s="2">
        <v>36.4</v>
      </c>
      <c r="BB206" s="2">
        <v>10.5</v>
      </c>
      <c r="BC206" s="2">
        <v>11.2</v>
      </c>
    </row>
    <row r="207" spans="20:55" x14ac:dyDescent="0.3">
      <c r="T207" s="1" t="s">
        <v>21</v>
      </c>
      <c r="U207" s="2">
        <v>0.21</v>
      </c>
      <c r="V207" s="2">
        <v>0.04</v>
      </c>
      <c r="W207" s="2">
        <v>0.11</v>
      </c>
      <c r="X207" s="2">
        <v>0.24</v>
      </c>
      <c r="Y207" s="2">
        <v>0.27</v>
      </c>
      <c r="Z207" s="2">
        <v>0.16</v>
      </c>
      <c r="AA207" s="2">
        <v>0.16</v>
      </c>
      <c r="AB207" s="2">
        <v>0.05</v>
      </c>
      <c r="AC207" s="2">
        <v>0</v>
      </c>
      <c r="AD207" s="2">
        <v>0.01</v>
      </c>
      <c r="AE207" s="2">
        <v>0</v>
      </c>
      <c r="AF207" s="2">
        <v>0.01</v>
      </c>
      <c r="AG207" s="2">
        <v>0.01</v>
      </c>
      <c r="AH207" s="2">
        <v>0.59</v>
      </c>
      <c r="AI207" s="2">
        <v>0.08</v>
      </c>
      <c r="AJ207" s="2">
        <v>0.18</v>
      </c>
      <c r="AM207" s="1" t="s">
        <v>21</v>
      </c>
      <c r="AN207" s="2">
        <v>80.680000000000007</v>
      </c>
      <c r="AO207" s="2">
        <v>105</v>
      </c>
      <c r="AP207" s="2">
        <v>64.510000000000005</v>
      </c>
      <c r="AQ207" s="2">
        <v>104.53</v>
      </c>
      <c r="AR207" s="2">
        <v>110.74</v>
      </c>
      <c r="AS207" s="2">
        <v>85.8</v>
      </c>
      <c r="AT207" s="2">
        <v>27.97</v>
      </c>
      <c r="AU207" s="2">
        <v>19.2</v>
      </c>
      <c r="AV207" s="2">
        <v>82.8</v>
      </c>
      <c r="AW207" s="2">
        <v>103.5</v>
      </c>
      <c r="AX207" s="2">
        <v>110.84</v>
      </c>
      <c r="AY207" s="2">
        <v>153.1</v>
      </c>
      <c r="AZ207" s="2">
        <v>122.67</v>
      </c>
      <c r="BA207" s="2">
        <v>101.4</v>
      </c>
      <c r="BB207" s="2">
        <v>18.899999999999999</v>
      </c>
      <c r="BC207" s="2">
        <v>38.4</v>
      </c>
    </row>
    <row r="208" spans="20:55" x14ac:dyDescent="0.3">
      <c r="T208" s="1" t="s">
        <v>22</v>
      </c>
      <c r="U208" s="2">
        <v>0.24</v>
      </c>
      <c r="V208" s="2">
        <v>0.1</v>
      </c>
      <c r="W208" s="2">
        <v>0.13</v>
      </c>
      <c r="X208" s="2">
        <v>0.28000000000000003</v>
      </c>
      <c r="Y208" s="2">
        <v>0.28999999999999998</v>
      </c>
      <c r="Z208" s="2">
        <v>0.23</v>
      </c>
      <c r="AA208" s="2">
        <v>7.0000000000000007E-2</v>
      </c>
      <c r="AB208" s="2">
        <v>0.06</v>
      </c>
      <c r="AC208" s="2">
        <v>0.02</v>
      </c>
      <c r="AD208" s="2">
        <v>0.59</v>
      </c>
      <c r="AE208" s="2">
        <v>0.02</v>
      </c>
      <c r="AF208" s="2">
        <v>0</v>
      </c>
      <c r="AG208" s="2">
        <v>0</v>
      </c>
      <c r="AH208" s="2">
        <v>0</v>
      </c>
      <c r="AI208" s="2">
        <v>0.16</v>
      </c>
      <c r="AJ208" s="2">
        <v>0.18</v>
      </c>
      <c r="AM208" s="1" t="s">
        <v>22</v>
      </c>
      <c r="AN208" s="2">
        <v>43.2</v>
      </c>
      <c r="AO208" s="2">
        <v>40</v>
      </c>
      <c r="AP208" s="2">
        <v>42</v>
      </c>
      <c r="AQ208" s="2">
        <v>36.299999999999997</v>
      </c>
      <c r="AR208" s="2">
        <v>52</v>
      </c>
      <c r="AS208" s="2">
        <v>41.6</v>
      </c>
      <c r="AT208" s="2">
        <v>4.2</v>
      </c>
      <c r="AU208" s="2">
        <v>7.2</v>
      </c>
      <c r="AV208" s="2">
        <v>30.36</v>
      </c>
      <c r="AW208" s="2">
        <v>34.5</v>
      </c>
      <c r="AX208" s="2">
        <v>58.8</v>
      </c>
      <c r="AY208" s="2">
        <v>36.299999999999997</v>
      </c>
      <c r="AZ208" s="2">
        <v>26</v>
      </c>
      <c r="BA208" s="2">
        <v>26</v>
      </c>
      <c r="BB208" s="2">
        <v>4.2</v>
      </c>
      <c r="BC208" s="2">
        <v>6.08</v>
      </c>
    </row>
    <row r="209" spans="20:55" x14ac:dyDescent="0.3">
      <c r="T209" s="1" t="s">
        <v>23</v>
      </c>
      <c r="U209" s="2">
        <v>0.22</v>
      </c>
      <c r="V209" s="2">
        <v>0.21</v>
      </c>
      <c r="W209" s="2">
        <v>0.15</v>
      </c>
      <c r="X209" s="2">
        <v>0.19</v>
      </c>
      <c r="Y209" s="2">
        <v>0.2</v>
      </c>
      <c r="Z209" s="2">
        <v>0.22</v>
      </c>
      <c r="AA209" s="2">
        <v>0.03</v>
      </c>
      <c r="AB209" s="2">
        <v>0.05</v>
      </c>
      <c r="AC209" s="2">
        <v>0.03</v>
      </c>
      <c r="AD209" s="2">
        <v>0.02</v>
      </c>
      <c r="AE209" s="2">
        <v>0.03</v>
      </c>
      <c r="AF209" s="2">
        <v>0.02</v>
      </c>
      <c r="AG209" s="2">
        <v>0.01</v>
      </c>
      <c r="AH209" s="2">
        <v>0.01</v>
      </c>
      <c r="AI209" s="2">
        <v>0.26</v>
      </c>
      <c r="AJ209" s="2">
        <v>0.26</v>
      </c>
      <c r="AM209" s="1" t="s">
        <v>23</v>
      </c>
      <c r="AN209" s="2">
        <v>132</v>
      </c>
      <c r="AO209" s="2">
        <v>187.5</v>
      </c>
      <c r="AP209" s="2">
        <v>182</v>
      </c>
      <c r="AQ209" s="2">
        <v>148.5</v>
      </c>
      <c r="AR209" s="2">
        <v>169</v>
      </c>
      <c r="AS209" s="2">
        <v>169</v>
      </c>
      <c r="AT209" s="2">
        <v>21</v>
      </c>
      <c r="AU209" s="2">
        <v>68</v>
      </c>
      <c r="AV209" s="2">
        <v>120</v>
      </c>
      <c r="AW209" s="2">
        <v>187.5</v>
      </c>
      <c r="AX209" s="2">
        <v>126</v>
      </c>
      <c r="AY209" s="2">
        <v>198</v>
      </c>
      <c r="AZ209" s="2">
        <v>156</v>
      </c>
      <c r="BA209" s="2">
        <v>156</v>
      </c>
      <c r="BB209" s="2">
        <v>21</v>
      </c>
      <c r="BC209" s="2">
        <v>60.37</v>
      </c>
    </row>
    <row r="210" spans="20:55" x14ac:dyDescent="0.3">
      <c r="T210" s="1" t="s">
        <v>24</v>
      </c>
      <c r="U210" s="2">
        <v>0.26</v>
      </c>
      <c r="V210" s="2">
        <v>0.24</v>
      </c>
      <c r="W210" s="2">
        <v>0.12</v>
      </c>
      <c r="X210" s="2">
        <v>0.2</v>
      </c>
      <c r="Y210" s="2">
        <v>0.3</v>
      </c>
      <c r="Z210" s="2">
        <v>0.37</v>
      </c>
      <c r="AA210" s="2">
        <v>7.0000000000000007E-2</v>
      </c>
      <c r="AB210" s="2">
        <v>0.21</v>
      </c>
      <c r="AC210" s="2">
        <v>0.03</v>
      </c>
      <c r="AD210" s="2">
        <v>0.01</v>
      </c>
      <c r="AE210" s="2">
        <v>0.02</v>
      </c>
      <c r="AF210" s="2">
        <v>0.01</v>
      </c>
      <c r="AG210" s="2">
        <v>0.01</v>
      </c>
      <c r="AH210" s="2">
        <v>0.01</v>
      </c>
      <c r="AI210" s="2">
        <v>0.09</v>
      </c>
      <c r="AJ210" s="2">
        <v>0.23</v>
      </c>
      <c r="AM210" s="1" t="s">
        <v>24</v>
      </c>
      <c r="AN210" s="2">
        <v>29.77</v>
      </c>
      <c r="AO210" s="2">
        <v>18.2</v>
      </c>
      <c r="AP210" s="2">
        <v>46.08</v>
      </c>
      <c r="AQ210" s="2">
        <v>26.4</v>
      </c>
      <c r="AR210" s="2">
        <v>26</v>
      </c>
      <c r="AS210" s="2">
        <v>20.8</v>
      </c>
      <c r="AT210" s="2">
        <v>12.6</v>
      </c>
      <c r="AU210" s="2">
        <v>3.92</v>
      </c>
      <c r="AV210" s="2">
        <v>14.15</v>
      </c>
      <c r="AW210" s="2">
        <v>17.5</v>
      </c>
      <c r="AX210" s="2">
        <v>42.6</v>
      </c>
      <c r="AY210" s="2">
        <v>19.8</v>
      </c>
      <c r="AZ210" s="2">
        <v>28.6</v>
      </c>
      <c r="BA210" s="2">
        <v>23.4</v>
      </c>
      <c r="BB210" s="2">
        <v>10.51</v>
      </c>
      <c r="BC210" s="2">
        <v>3.16</v>
      </c>
    </row>
    <row r="211" spans="20:55" x14ac:dyDescent="0.3">
      <c r="T211" s="1" t="s">
        <v>25</v>
      </c>
      <c r="U211" s="2">
        <v>0.16</v>
      </c>
      <c r="V211" s="2">
        <v>0.15</v>
      </c>
      <c r="W211" s="2">
        <v>0.11</v>
      </c>
      <c r="X211" s="2">
        <v>0.1</v>
      </c>
      <c r="Y211" s="2">
        <v>0.2</v>
      </c>
      <c r="Z211" s="2">
        <v>0.22</v>
      </c>
      <c r="AA211" s="2">
        <v>0.04</v>
      </c>
      <c r="AB211" s="2">
        <v>7.0000000000000007E-2</v>
      </c>
      <c r="AC211" s="2">
        <v>0.02</v>
      </c>
      <c r="AD211" s="2">
        <v>0.01</v>
      </c>
      <c r="AE211" s="2">
        <v>0.02</v>
      </c>
      <c r="AF211" s="2">
        <v>0.01</v>
      </c>
      <c r="AG211" s="2">
        <v>0.59</v>
      </c>
      <c r="AH211" s="2">
        <v>0</v>
      </c>
      <c r="AI211" s="2">
        <v>0.16</v>
      </c>
      <c r="AJ211" s="2">
        <v>0.14000000000000001</v>
      </c>
      <c r="AM211" s="1" t="s">
        <v>25</v>
      </c>
      <c r="AN211" s="2">
        <v>108.66</v>
      </c>
      <c r="AO211" s="2">
        <v>94.87</v>
      </c>
      <c r="AP211" s="2">
        <v>130.61000000000001</v>
      </c>
      <c r="AQ211" s="2">
        <v>146.99</v>
      </c>
      <c r="AR211" s="2">
        <v>85.92</v>
      </c>
      <c r="AS211" s="2">
        <v>62.51</v>
      </c>
      <c r="AT211" s="2">
        <v>18.899999999999999</v>
      </c>
      <c r="AU211" s="2">
        <v>20.16</v>
      </c>
      <c r="AV211" s="2">
        <v>144</v>
      </c>
      <c r="AW211" s="2">
        <v>90</v>
      </c>
      <c r="AX211" s="2">
        <v>114.04</v>
      </c>
      <c r="AY211" s="2">
        <v>76.27</v>
      </c>
      <c r="AZ211" s="2">
        <v>80.709999999999994</v>
      </c>
      <c r="BA211" s="2">
        <v>64.099999999999994</v>
      </c>
      <c r="BB211" s="2">
        <v>27.99</v>
      </c>
      <c r="BC211" s="2">
        <v>19.32</v>
      </c>
    </row>
    <row r="212" spans="20:55" x14ac:dyDescent="0.3">
      <c r="T212" s="1" t="s">
        <v>26</v>
      </c>
      <c r="U212" s="2">
        <v>0.04</v>
      </c>
      <c r="V212" s="2">
        <v>0.04</v>
      </c>
      <c r="W212" s="2">
        <v>0.05</v>
      </c>
      <c r="X212" s="2">
        <v>0</v>
      </c>
      <c r="Y212" s="2">
        <v>0.15</v>
      </c>
      <c r="Z212" s="2">
        <v>0.16</v>
      </c>
      <c r="AA212" s="2">
        <v>0.02</v>
      </c>
      <c r="AB212" s="2">
        <v>0.02</v>
      </c>
      <c r="AC212" s="2">
        <v>0.03</v>
      </c>
      <c r="AD212" s="2">
        <v>0.03</v>
      </c>
      <c r="AE212" s="2">
        <v>0.03</v>
      </c>
      <c r="AF212" s="2">
        <v>0.03</v>
      </c>
      <c r="AG212" s="2">
        <v>0</v>
      </c>
      <c r="AH212" s="2">
        <v>0</v>
      </c>
      <c r="AI212" s="2">
        <v>0.09</v>
      </c>
      <c r="AJ212" s="2">
        <v>0.19</v>
      </c>
      <c r="AM212" s="1" t="s">
        <v>26</v>
      </c>
      <c r="AN212" s="2">
        <v>208.8</v>
      </c>
      <c r="AO212" s="2">
        <v>90</v>
      </c>
      <c r="AP212" s="2">
        <v>126</v>
      </c>
      <c r="AQ212" s="2">
        <v>49.5</v>
      </c>
      <c r="AR212" s="2">
        <v>7.8</v>
      </c>
      <c r="AS212" s="2">
        <v>7.8</v>
      </c>
      <c r="AT212" s="2">
        <v>0</v>
      </c>
      <c r="AU212" s="2">
        <v>33.6</v>
      </c>
      <c r="AV212" s="2">
        <v>165.6</v>
      </c>
      <c r="AW212" s="2">
        <v>22.5</v>
      </c>
      <c r="AX212" s="2">
        <v>92.4</v>
      </c>
      <c r="AY212" s="2">
        <v>19.8</v>
      </c>
      <c r="AZ212" s="2">
        <v>7.8</v>
      </c>
      <c r="BA212" s="2">
        <v>7.8</v>
      </c>
      <c r="BB212" s="2">
        <v>0</v>
      </c>
      <c r="BC212" s="2">
        <v>9.14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210</v>
      </c>
      <c r="AO219" s="2">
        <v>196</v>
      </c>
      <c r="AP219" s="2">
        <v>42</v>
      </c>
      <c r="AQ219" s="2">
        <v>77</v>
      </c>
      <c r="AR219" s="2">
        <v>91</v>
      </c>
      <c r="AS219" s="2">
        <v>105</v>
      </c>
      <c r="AT219" s="2">
        <v>28</v>
      </c>
      <c r="AU219" s="2">
        <v>49</v>
      </c>
      <c r="AV219" s="2">
        <v>28</v>
      </c>
      <c r="AW219" s="2">
        <v>21</v>
      </c>
      <c r="AX219" s="2">
        <v>28</v>
      </c>
      <c r="AY219" s="2">
        <v>21</v>
      </c>
      <c r="AZ219" s="2">
        <v>7</v>
      </c>
      <c r="BA219" s="2">
        <v>7</v>
      </c>
      <c r="BB219" s="2">
        <v>49</v>
      </c>
      <c r="BC219" s="2">
        <v>91</v>
      </c>
    </row>
    <row r="220" spans="20:55" x14ac:dyDescent="0.3">
      <c r="T220" s="1" t="s">
        <v>20</v>
      </c>
      <c r="U220" s="2">
        <v>0.38</v>
      </c>
      <c r="V220" s="2">
        <v>0.03</v>
      </c>
      <c r="W220" s="2">
        <v>0.06</v>
      </c>
      <c r="X220" s="2">
        <v>0.71</v>
      </c>
      <c r="Y220" s="2">
        <v>0.21</v>
      </c>
      <c r="Z220" s="2">
        <v>0.1</v>
      </c>
      <c r="AA220" s="2">
        <v>0.32</v>
      </c>
      <c r="AB220" s="2">
        <v>7.0000000000000007E-2</v>
      </c>
      <c r="AC220" s="2">
        <v>0.03</v>
      </c>
      <c r="AD220" s="2">
        <v>0.02</v>
      </c>
      <c r="AE220" s="2">
        <v>0.03</v>
      </c>
      <c r="AF220" s="2">
        <v>0.02</v>
      </c>
      <c r="AG220" s="2">
        <v>0.02</v>
      </c>
      <c r="AH220" s="2">
        <v>0.02</v>
      </c>
      <c r="AI220" s="2">
        <v>0.2</v>
      </c>
      <c r="AJ220" s="2">
        <v>0.1</v>
      </c>
      <c r="AM220" s="1" t="s">
        <v>20</v>
      </c>
      <c r="AN220" s="2">
        <v>12</v>
      </c>
      <c r="AO220" s="2">
        <v>14</v>
      </c>
      <c r="AP220" s="2">
        <v>17</v>
      </c>
      <c r="AQ220" s="2">
        <v>9.4499999999999993</v>
      </c>
      <c r="AR220" s="2">
        <v>7</v>
      </c>
      <c r="AS220" s="2">
        <v>13</v>
      </c>
      <c r="AT220" s="2">
        <v>7</v>
      </c>
      <c r="AU220" s="2">
        <v>8</v>
      </c>
      <c r="AV220" s="2">
        <v>14</v>
      </c>
      <c r="AW220" s="2">
        <v>14</v>
      </c>
      <c r="AX220" s="2">
        <v>14</v>
      </c>
      <c r="AY220" s="2">
        <v>14</v>
      </c>
      <c r="AZ220" s="2">
        <v>6</v>
      </c>
      <c r="BA220" s="2">
        <v>5</v>
      </c>
      <c r="BB220" s="2">
        <v>16.690000000000001</v>
      </c>
      <c r="BC220" s="2">
        <v>14</v>
      </c>
    </row>
    <row r="221" spans="20:55" x14ac:dyDescent="0.3">
      <c r="T221" s="1" t="s">
        <v>21</v>
      </c>
      <c r="U221" s="2">
        <v>0.74</v>
      </c>
      <c r="V221" s="2">
        <v>0.1</v>
      </c>
      <c r="W221" s="2">
        <v>0.19</v>
      </c>
      <c r="X221" s="2">
        <v>0.96</v>
      </c>
      <c r="Y221" s="2">
        <v>0.83</v>
      </c>
      <c r="Z221" s="2">
        <v>0.12</v>
      </c>
      <c r="AA221" s="2">
        <v>0.51</v>
      </c>
      <c r="AB221" s="2">
        <v>0.09</v>
      </c>
      <c r="AC221" s="2">
        <v>0</v>
      </c>
      <c r="AD221" s="2">
        <v>0.01</v>
      </c>
      <c r="AE221" s="2">
        <v>0</v>
      </c>
      <c r="AF221" s="2">
        <v>0.01</v>
      </c>
      <c r="AG221" s="2">
        <v>0.01</v>
      </c>
      <c r="AH221" s="2">
        <v>0</v>
      </c>
      <c r="AI221" s="2">
        <v>0.06</v>
      </c>
      <c r="AJ221" s="2">
        <v>0.2</v>
      </c>
      <c r="AM221" s="1" t="s">
        <v>21</v>
      </c>
      <c r="AN221" s="2">
        <v>33.61</v>
      </c>
      <c r="AO221" s="2">
        <v>34.5</v>
      </c>
      <c r="AP221" s="2">
        <v>42</v>
      </c>
      <c r="AQ221" s="2">
        <v>41.4</v>
      </c>
      <c r="AR221" s="2">
        <v>23.04</v>
      </c>
      <c r="AS221" s="2">
        <v>39.590000000000003</v>
      </c>
      <c r="AT221" s="2">
        <v>31.68</v>
      </c>
      <c r="AU221" s="2">
        <v>46.4</v>
      </c>
      <c r="AV221" s="2">
        <v>42.59</v>
      </c>
      <c r="AW221" s="2">
        <v>47.18</v>
      </c>
      <c r="AX221" s="2">
        <v>33</v>
      </c>
      <c r="AY221" s="2">
        <v>39</v>
      </c>
      <c r="AZ221" s="2">
        <v>13.32</v>
      </c>
      <c r="BA221" s="2">
        <v>9</v>
      </c>
      <c r="BB221" s="2">
        <v>24</v>
      </c>
      <c r="BC221" s="2">
        <v>48</v>
      </c>
    </row>
    <row r="222" spans="20:55" x14ac:dyDescent="0.3">
      <c r="T222" s="1" t="s">
        <v>22</v>
      </c>
      <c r="U222" s="2">
        <v>0.6</v>
      </c>
      <c r="V222" s="2">
        <v>0.17</v>
      </c>
      <c r="W222" s="2">
        <v>0.16</v>
      </c>
      <c r="X222" s="2">
        <v>0.79</v>
      </c>
      <c r="Y222" s="2">
        <v>0.48</v>
      </c>
      <c r="Z222" s="2">
        <v>0.22</v>
      </c>
      <c r="AA222" s="2">
        <v>0.09</v>
      </c>
      <c r="AB222" s="2">
        <v>7.0000000000000007E-2</v>
      </c>
      <c r="AC222" s="2">
        <v>0.02</v>
      </c>
      <c r="AD222" s="2">
        <v>0</v>
      </c>
      <c r="AE222" s="2">
        <v>0.02</v>
      </c>
      <c r="AF222" s="2">
        <v>0</v>
      </c>
      <c r="AG222" s="2">
        <v>0</v>
      </c>
      <c r="AH222" s="2">
        <v>0</v>
      </c>
      <c r="AI222" s="2">
        <v>0.1</v>
      </c>
      <c r="AJ222" s="2">
        <v>0.13</v>
      </c>
      <c r="AM222" s="1" t="s">
        <v>22</v>
      </c>
      <c r="AN222" s="2">
        <v>18</v>
      </c>
      <c r="AO222" s="2">
        <v>12.65</v>
      </c>
      <c r="AP222" s="2">
        <v>16</v>
      </c>
      <c r="AQ222" s="2">
        <v>13.8</v>
      </c>
      <c r="AR222" s="2">
        <v>15</v>
      </c>
      <c r="AS222" s="2">
        <v>21</v>
      </c>
      <c r="AT222" s="2">
        <v>11</v>
      </c>
      <c r="AU222" s="2">
        <v>11</v>
      </c>
      <c r="AV222" s="2">
        <v>20</v>
      </c>
      <c r="AW222" s="2">
        <v>10</v>
      </c>
      <c r="AX222" s="2">
        <v>16</v>
      </c>
      <c r="AY222" s="2">
        <v>10</v>
      </c>
      <c r="AZ222" s="2">
        <v>2</v>
      </c>
      <c r="BA222" s="2">
        <v>2</v>
      </c>
      <c r="BB222" s="2">
        <v>9</v>
      </c>
      <c r="BC222" s="2">
        <v>7.59</v>
      </c>
    </row>
    <row r="223" spans="20:55" x14ac:dyDescent="0.3">
      <c r="T223" s="1" t="s">
        <v>23</v>
      </c>
      <c r="U223" s="2">
        <v>0.6</v>
      </c>
      <c r="V223" s="2">
        <v>0.52</v>
      </c>
      <c r="W223" s="2">
        <v>0.28000000000000003</v>
      </c>
      <c r="X223" s="2">
        <v>0.4</v>
      </c>
      <c r="Y223" s="2">
        <v>0.15</v>
      </c>
      <c r="Z223" s="2">
        <v>0.15</v>
      </c>
      <c r="AA223" s="2">
        <v>0.03</v>
      </c>
      <c r="AB223" s="2">
        <v>0.05</v>
      </c>
      <c r="AC223" s="2">
        <v>0.02</v>
      </c>
      <c r="AD223" s="2">
        <v>0.01</v>
      </c>
      <c r="AE223" s="2">
        <v>0.02</v>
      </c>
      <c r="AF223" s="2">
        <v>0.01</v>
      </c>
      <c r="AG223" s="2">
        <v>0.01</v>
      </c>
      <c r="AH223" s="2">
        <v>0.01</v>
      </c>
      <c r="AI223" s="2">
        <v>0.24</v>
      </c>
      <c r="AJ223" s="2">
        <v>0.25</v>
      </c>
      <c r="AM223" s="1" t="s">
        <v>23</v>
      </c>
      <c r="AN223" s="2">
        <v>55</v>
      </c>
      <c r="AO223" s="2">
        <v>50</v>
      </c>
      <c r="AP223" s="2">
        <v>75</v>
      </c>
      <c r="AQ223" s="2">
        <v>75</v>
      </c>
      <c r="AR223" s="2">
        <v>65</v>
      </c>
      <c r="AS223" s="2">
        <v>45</v>
      </c>
      <c r="AT223" s="2">
        <v>45</v>
      </c>
      <c r="AU223" s="2">
        <v>60</v>
      </c>
      <c r="AV223" s="2">
        <v>65</v>
      </c>
      <c r="AW223" s="2">
        <v>60</v>
      </c>
      <c r="AX223" s="2">
        <v>65</v>
      </c>
      <c r="AY223" s="2">
        <v>60</v>
      </c>
      <c r="AZ223" s="2">
        <v>10</v>
      </c>
      <c r="BA223" s="2">
        <v>10</v>
      </c>
      <c r="BB223" s="2">
        <v>85</v>
      </c>
      <c r="BC223" s="2">
        <v>75.459999999999994</v>
      </c>
    </row>
    <row r="224" spans="20:55" x14ac:dyDescent="0.3">
      <c r="T224" s="1" t="s">
        <v>24</v>
      </c>
      <c r="U224" s="2">
        <v>0.63</v>
      </c>
      <c r="V224" s="2">
        <v>0.59</v>
      </c>
      <c r="W224" s="2">
        <v>0.12</v>
      </c>
      <c r="X224" s="2">
        <v>0.25</v>
      </c>
      <c r="Y224" s="2">
        <v>0.31</v>
      </c>
      <c r="Z224" s="2">
        <v>0.74</v>
      </c>
      <c r="AA224" s="2">
        <v>7.0000000000000007E-2</v>
      </c>
      <c r="AB224" s="2">
        <v>0.34</v>
      </c>
      <c r="AC224" s="2">
        <v>0.01</v>
      </c>
      <c r="AD224" s="2">
        <v>0.01</v>
      </c>
      <c r="AE224" s="2">
        <v>0.01</v>
      </c>
      <c r="AF224" s="2">
        <v>0.01</v>
      </c>
      <c r="AG224" s="2">
        <v>0.01</v>
      </c>
      <c r="AH224" s="2">
        <v>0</v>
      </c>
      <c r="AI224" s="2">
        <v>0.04</v>
      </c>
      <c r="AJ224" s="2">
        <v>0.19</v>
      </c>
      <c r="AM224" s="1" t="s">
        <v>24</v>
      </c>
      <c r="AN224" s="2">
        <v>12.4</v>
      </c>
      <c r="AO224" s="2">
        <v>5.9</v>
      </c>
      <c r="AP224" s="2">
        <v>7.28</v>
      </c>
      <c r="AQ224" s="2">
        <v>7</v>
      </c>
      <c r="AR224" s="2">
        <v>16.46</v>
      </c>
      <c r="AS224" s="2">
        <v>15.22</v>
      </c>
      <c r="AT224" s="2">
        <v>8</v>
      </c>
      <c r="AU224" s="2">
        <v>6</v>
      </c>
      <c r="AV224" s="2">
        <v>10</v>
      </c>
      <c r="AW224" s="2">
        <v>11</v>
      </c>
      <c r="AX224" s="2">
        <v>8</v>
      </c>
      <c r="AY224" s="2">
        <v>9</v>
      </c>
      <c r="AZ224" s="2">
        <v>6</v>
      </c>
      <c r="BA224" s="2">
        <v>5</v>
      </c>
      <c r="BB224" s="2">
        <v>4.9000000000000004</v>
      </c>
      <c r="BC224" s="2">
        <v>3.95</v>
      </c>
    </row>
    <row r="225" spans="20:55" x14ac:dyDescent="0.3">
      <c r="T225" s="1" t="s">
        <v>25</v>
      </c>
      <c r="U225" s="2">
        <v>0.5</v>
      </c>
      <c r="V225" s="2">
        <v>0.44</v>
      </c>
      <c r="W225" s="2">
        <v>0.25</v>
      </c>
      <c r="X225" s="2">
        <v>0.16</v>
      </c>
      <c r="Y225" s="2">
        <v>0.18</v>
      </c>
      <c r="Z225" s="2">
        <v>0.26</v>
      </c>
      <c r="AA225" s="2">
        <v>0.06</v>
      </c>
      <c r="AB225" s="2">
        <v>0.11</v>
      </c>
      <c r="AC225" s="2">
        <v>0.02</v>
      </c>
      <c r="AD225" s="2">
        <v>0.01</v>
      </c>
      <c r="AE225" s="2">
        <v>0.02</v>
      </c>
      <c r="AF225" s="2">
        <v>0.01</v>
      </c>
      <c r="AG225" s="2">
        <v>0</v>
      </c>
      <c r="AH225" s="2">
        <v>0</v>
      </c>
      <c r="AI225" s="2">
        <v>0.18</v>
      </c>
      <c r="AJ225" s="2">
        <v>0.13</v>
      </c>
      <c r="AM225" s="1" t="s">
        <v>25</v>
      </c>
      <c r="AN225" s="2">
        <v>45.28</v>
      </c>
      <c r="AO225" s="2">
        <v>60</v>
      </c>
      <c r="AP225" s="2">
        <v>37.950000000000003</v>
      </c>
      <c r="AQ225" s="2">
        <v>36</v>
      </c>
      <c r="AR225" s="2">
        <v>46.65</v>
      </c>
      <c r="AS225" s="2">
        <v>40.729999999999997</v>
      </c>
      <c r="AT225" s="2">
        <v>44.54</v>
      </c>
      <c r="AU225" s="2">
        <v>23.11</v>
      </c>
      <c r="AV225" s="2">
        <v>33.04</v>
      </c>
      <c r="AW225" s="2">
        <v>31.04</v>
      </c>
      <c r="AX225" s="2">
        <v>24.04</v>
      </c>
      <c r="AY225" s="2">
        <v>24.65</v>
      </c>
      <c r="AZ225" s="2">
        <v>9</v>
      </c>
      <c r="BA225" s="2">
        <v>13.33</v>
      </c>
      <c r="BB225" s="2">
        <v>25.2</v>
      </c>
      <c r="BC225" s="2">
        <v>24.15</v>
      </c>
    </row>
    <row r="226" spans="20:55" x14ac:dyDescent="0.3">
      <c r="T226" s="1" t="s">
        <v>26</v>
      </c>
      <c r="U226" s="2">
        <v>0.04</v>
      </c>
      <c r="V226" s="2">
        <v>0.04</v>
      </c>
      <c r="W226" s="2">
        <v>0.06</v>
      </c>
      <c r="X226" s="2">
        <v>0</v>
      </c>
      <c r="Y226" s="2">
        <v>0.06</v>
      </c>
      <c r="Z226" s="2">
        <v>0.05</v>
      </c>
      <c r="AA226" s="2">
        <v>0.03</v>
      </c>
      <c r="AB226" s="2">
        <v>0.02</v>
      </c>
      <c r="AC226" s="2">
        <v>0.03</v>
      </c>
      <c r="AD226" s="2">
        <v>0.03</v>
      </c>
      <c r="AE226" s="2">
        <v>0.03</v>
      </c>
      <c r="AF226" s="2">
        <v>0.03</v>
      </c>
      <c r="AG226" s="2">
        <v>0</v>
      </c>
      <c r="AH226" s="2">
        <v>0</v>
      </c>
      <c r="AI226" s="2">
        <v>0.04</v>
      </c>
      <c r="AJ226" s="2">
        <v>0.14000000000000001</v>
      </c>
      <c r="AM226" s="1" t="s">
        <v>26</v>
      </c>
      <c r="AN226" s="2">
        <v>87</v>
      </c>
      <c r="AO226" s="2">
        <v>69</v>
      </c>
      <c r="AP226" s="2">
        <v>36</v>
      </c>
      <c r="AQ226" s="2">
        <v>9</v>
      </c>
      <c r="AR226" s="2">
        <v>45</v>
      </c>
      <c r="AS226" s="2">
        <v>33</v>
      </c>
      <c r="AT226" s="2">
        <v>15</v>
      </c>
      <c r="AU226" s="2">
        <v>6</v>
      </c>
      <c r="AV226" s="2">
        <v>3</v>
      </c>
      <c r="AW226" s="2">
        <v>3</v>
      </c>
      <c r="AX226" s="2">
        <v>3</v>
      </c>
      <c r="AY226" s="2">
        <v>3</v>
      </c>
      <c r="AZ226" s="2">
        <v>0</v>
      </c>
      <c r="BA226" s="2">
        <v>0</v>
      </c>
      <c r="BB226" s="2">
        <v>42</v>
      </c>
      <c r="BC226" s="2">
        <v>11.42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26"/>
  <sheetViews>
    <sheetView topLeftCell="AK1"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2.4</v>
      </c>
      <c r="D3">
        <v>2.5</v>
      </c>
      <c r="E3">
        <v>2.8</v>
      </c>
      <c r="F3">
        <v>3.3</v>
      </c>
      <c r="G3">
        <v>2.6</v>
      </c>
      <c r="H3">
        <v>2.6</v>
      </c>
      <c r="I3">
        <v>2.1</v>
      </c>
      <c r="J3">
        <v>0.8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7593.6</v>
      </c>
      <c r="V9" s="2">
        <v>7269.36</v>
      </c>
      <c r="W9" s="2">
        <v>6329.75</v>
      </c>
      <c r="X9" s="2">
        <v>2274.08</v>
      </c>
      <c r="Y9" s="2">
        <v>2350.83</v>
      </c>
      <c r="Z9" s="2">
        <v>2121.0700000000002</v>
      </c>
      <c r="AA9" s="2">
        <v>2191.06</v>
      </c>
      <c r="AB9" s="2">
        <v>1855.79</v>
      </c>
      <c r="AC9" s="2">
        <v>1881.29</v>
      </c>
      <c r="AD9" s="2">
        <v>2311.06</v>
      </c>
      <c r="AE9" s="2">
        <v>1881.29</v>
      </c>
      <c r="AF9" s="2">
        <v>2232.65</v>
      </c>
      <c r="AG9" s="2">
        <v>621.48</v>
      </c>
      <c r="AH9" s="2">
        <v>572.53</v>
      </c>
      <c r="AI9" s="2">
        <v>6047.78</v>
      </c>
      <c r="AJ9" s="2">
        <v>4877.47</v>
      </c>
      <c r="AM9" s="1" t="s">
        <v>19</v>
      </c>
      <c r="AN9" s="2">
        <v>40320</v>
      </c>
      <c r="AO9" s="2">
        <v>40320</v>
      </c>
      <c r="AP9" s="2">
        <v>52500</v>
      </c>
      <c r="AQ9" s="2">
        <v>42938.92</v>
      </c>
      <c r="AR9" s="2">
        <v>39651.97</v>
      </c>
      <c r="AS9" s="2">
        <v>35254.17</v>
      </c>
      <c r="AT9" s="2">
        <v>41216.15</v>
      </c>
      <c r="AU9" s="2">
        <v>35062.629999999997</v>
      </c>
      <c r="AV9" s="2">
        <v>35334.07</v>
      </c>
      <c r="AW9" s="2">
        <v>43272.66</v>
      </c>
      <c r="AX9" s="2">
        <v>35334.07</v>
      </c>
      <c r="AY9" s="2">
        <v>41811.35</v>
      </c>
      <c r="AZ9" s="2">
        <v>11635.38</v>
      </c>
      <c r="BA9" s="2">
        <v>10722.95</v>
      </c>
      <c r="BB9" s="2">
        <v>16453.02</v>
      </c>
      <c r="BC9" s="2">
        <v>13435.09</v>
      </c>
      <c r="BF9" s="1" t="s">
        <v>19</v>
      </c>
      <c r="BG9" s="2">
        <v>47913.599999999999</v>
      </c>
      <c r="BH9" s="2">
        <v>47589.36</v>
      </c>
      <c r="BI9" s="2">
        <v>58829.75</v>
      </c>
      <c r="BJ9" s="2">
        <v>45213</v>
      </c>
      <c r="BK9" s="2">
        <v>42002.8</v>
      </c>
      <c r="BL9" s="2">
        <v>37375.24</v>
      </c>
      <c r="BM9" s="2">
        <v>43407.21</v>
      </c>
      <c r="BN9" s="2">
        <v>36918.42</v>
      </c>
      <c r="BO9" s="2">
        <v>37215.360000000001</v>
      </c>
      <c r="BP9" s="2">
        <v>45583.72</v>
      </c>
      <c r="BQ9" s="2">
        <v>37215.360000000001</v>
      </c>
      <c r="BR9" s="2">
        <v>44044</v>
      </c>
      <c r="BS9" s="2">
        <v>12256.86</v>
      </c>
      <c r="BT9" s="2">
        <v>11295.48</v>
      </c>
      <c r="BU9" s="2">
        <v>22500.799999999999</v>
      </c>
      <c r="BV9" s="2">
        <v>18312.560000000001</v>
      </c>
    </row>
    <row r="10" spans="2:74" x14ac:dyDescent="0.3">
      <c r="B10" s="1" t="s">
        <v>20</v>
      </c>
      <c r="C10" s="2">
        <v>1.8</v>
      </c>
      <c r="D10" s="2">
        <v>0.89</v>
      </c>
      <c r="E10" s="2">
        <v>0.82</v>
      </c>
      <c r="F10" s="2">
        <v>1.8</v>
      </c>
      <c r="G10" s="2">
        <v>1.66</v>
      </c>
      <c r="H10" s="2">
        <v>1.44</v>
      </c>
      <c r="I10" s="2">
        <v>1.8</v>
      </c>
      <c r="J10" s="2">
        <v>1.1100000000000001</v>
      </c>
      <c r="K10" s="2">
        <v>0.93</v>
      </c>
      <c r="L10" s="2">
        <v>0.7</v>
      </c>
      <c r="M10" s="2">
        <v>0.93</v>
      </c>
      <c r="N10" s="2">
        <v>0.7</v>
      </c>
      <c r="O10" s="2">
        <v>0.98</v>
      </c>
      <c r="P10" s="2">
        <v>0.98</v>
      </c>
      <c r="Q10" s="2">
        <v>1.8</v>
      </c>
      <c r="R10" s="2">
        <v>1.8</v>
      </c>
      <c r="T10" s="1" t="s">
        <v>20</v>
      </c>
      <c r="U10" s="2">
        <v>2926.67</v>
      </c>
      <c r="V10" s="2">
        <v>1844.15</v>
      </c>
      <c r="W10" s="2">
        <v>3396.97</v>
      </c>
      <c r="X10" s="2">
        <v>1976.36</v>
      </c>
      <c r="Y10" s="2">
        <v>4120.83</v>
      </c>
      <c r="Z10" s="2">
        <v>2115.0700000000002</v>
      </c>
      <c r="AA10" s="2">
        <v>4559.13</v>
      </c>
      <c r="AB10" s="2">
        <v>2310.83</v>
      </c>
      <c r="AC10" s="2">
        <v>2102.02</v>
      </c>
      <c r="AD10" s="2">
        <v>2909.36</v>
      </c>
      <c r="AE10" s="2">
        <v>2102.02</v>
      </c>
      <c r="AF10" s="2">
        <v>2876.11</v>
      </c>
      <c r="AG10" s="2">
        <v>1418.76</v>
      </c>
      <c r="AH10" s="2">
        <v>1164.97</v>
      </c>
      <c r="AI10" s="2">
        <v>1030.22</v>
      </c>
      <c r="AJ10" s="2">
        <v>978.84</v>
      </c>
      <c r="AM10" s="1" t="s">
        <v>20</v>
      </c>
      <c r="AN10" s="2">
        <v>15334.55</v>
      </c>
      <c r="AO10" s="2">
        <v>10857.61</v>
      </c>
      <c r="AP10" s="2">
        <v>20750.78</v>
      </c>
      <c r="AQ10" s="2">
        <v>9781.2099999999991</v>
      </c>
      <c r="AR10" s="2">
        <v>23183.65</v>
      </c>
      <c r="AS10" s="2">
        <v>11572.45</v>
      </c>
      <c r="AT10" s="2">
        <v>24301.7</v>
      </c>
      <c r="AU10" s="2">
        <v>12997.54</v>
      </c>
      <c r="AV10" s="2">
        <v>12318.36</v>
      </c>
      <c r="AW10" s="2">
        <v>16123.42</v>
      </c>
      <c r="AX10" s="2">
        <v>12318.36</v>
      </c>
      <c r="AY10" s="2">
        <v>15926.83</v>
      </c>
      <c r="AZ10" s="2">
        <v>7670.88</v>
      </c>
      <c r="BA10" s="2">
        <v>6284.78</v>
      </c>
      <c r="BB10" s="2">
        <v>5396.98</v>
      </c>
      <c r="BC10" s="2">
        <v>5202.4799999999996</v>
      </c>
      <c r="BF10" s="1" t="s">
        <v>20</v>
      </c>
      <c r="BG10" s="2">
        <v>18261.22</v>
      </c>
      <c r="BH10" s="2">
        <v>12701.76</v>
      </c>
      <c r="BI10" s="2">
        <v>24147.75</v>
      </c>
      <c r="BJ10" s="2">
        <v>11757.57</v>
      </c>
      <c r="BK10" s="2">
        <v>27304.48</v>
      </c>
      <c r="BL10" s="2">
        <v>13687.52</v>
      </c>
      <c r="BM10" s="2">
        <v>28860.83</v>
      </c>
      <c r="BN10" s="2">
        <v>15308.37</v>
      </c>
      <c r="BO10" s="2">
        <v>14420.38</v>
      </c>
      <c r="BP10" s="2">
        <v>19032.78</v>
      </c>
      <c r="BQ10" s="2">
        <v>14420.38</v>
      </c>
      <c r="BR10" s="2">
        <v>18802.939999999999</v>
      </c>
      <c r="BS10" s="2">
        <v>9089.64</v>
      </c>
      <c r="BT10" s="2">
        <v>7449.75</v>
      </c>
      <c r="BU10" s="2">
        <v>6427.2</v>
      </c>
      <c r="BV10" s="2">
        <v>6181.31</v>
      </c>
    </row>
    <row r="11" spans="2:74" x14ac:dyDescent="0.3">
      <c r="B11" s="1" t="s">
        <v>21</v>
      </c>
      <c r="C11" s="2">
        <v>3.96</v>
      </c>
      <c r="D11" s="2">
        <v>1.8</v>
      </c>
      <c r="E11" s="2">
        <v>1.8</v>
      </c>
      <c r="F11" s="2">
        <v>1.8</v>
      </c>
      <c r="G11" s="2">
        <v>3.72</v>
      </c>
      <c r="H11" s="2">
        <v>1.73</v>
      </c>
      <c r="I11" s="2">
        <v>3.27</v>
      </c>
      <c r="J11" s="2">
        <v>1.4</v>
      </c>
      <c r="K11" s="2">
        <v>0.77</v>
      </c>
      <c r="L11" s="2">
        <v>0.87</v>
      </c>
      <c r="M11" s="2">
        <v>0.88</v>
      </c>
      <c r="N11" s="2">
        <v>1.01</v>
      </c>
      <c r="O11" s="2">
        <v>1.17</v>
      </c>
      <c r="P11" s="2">
        <v>0.9</v>
      </c>
      <c r="Q11" s="2">
        <v>1.8</v>
      </c>
      <c r="R11" s="2">
        <v>1.8</v>
      </c>
      <c r="T11" s="1" t="s">
        <v>21</v>
      </c>
      <c r="U11" s="2">
        <v>13242.38</v>
      </c>
      <c r="V11" s="2">
        <v>6561.83</v>
      </c>
      <c r="W11" s="2">
        <v>12411.49</v>
      </c>
      <c r="X11" s="2">
        <v>13990.11</v>
      </c>
      <c r="Y11" s="2">
        <v>17271.669999999998</v>
      </c>
      <c r="Z11" s="2">
        <v>10985.98</v>
      </c>
      <c r="AA11" s="2">
        <v>14976.18</v>
      </c>
      <c r="AB11" s="2">
        <v>11741.05</v>
      </c>
      <c r="AC11" s="2">
        <v>6138.46</v>
      </c>
      <c r="AD11" s="2">
        <v>7118.73</v>
      </c>
      <c r="AE11" s="2">
        <v>5093.28</v>
      </c>
      <c r="AF11" s="2">
        <v>5810</v>
      </c>
      <c r="AG11" s="2">
        <v>3604.97</v>
      </c>
      <c r="AH11" s="2">
        <v>1738.85</v>
      </c>
      <c r="AI11" s="2">
        <v>3021.66</v>
      </c>
      <c r="AJ11" s="2">
        <v>4864.9399999999996</v>
      </c>
      <c r="AM11" s="1" t="s">
        <v>21</v>
      </c>
      <c r="AN11" s="2">
        <v>59909.62</v>
      </c>
      <c r="AO11" s="2">
        <v>30700.65</v>
      </c>
      <c r="AP11" s="2">
        <v>80899.009999999995</v>
      </c>
      <c r="AQ11" s="2">
        <v>38986.050000000003</v>
      </c>
      <c r="AR11" s="2">
        <v>85619.46</v>
      </c>
      <c r="AS11" s="2">
        <v>63459.07</v>
      </c>
      <c r="AT11" s="2">
        <v>94330.77</v>
      </c>
      <c r="AU11" s="2">
        <v>69714.3</v>
      </c>
      <c r="AV11" s="2">
        <v>36463.760000000002</v>
      </c>
      <c r="AW11" s="2">
        <v>41280.44</v>
      </c>
      <c r="AX11" s="2">
        <v>30083.16</v>
      </c>
      <c r="AY11" s="2">
        <v>33456.76</v>
      </c>
      <c r="AZ11" s="2">
        <v>20211.759999999998</v>
      </c>
      <c r="BA11" s="2">
        <v>15535.75</v>
      </c>
      <c r="BB11" s="2">
        <v>13240.02</v>
      </c>
      <c r="BC11" s="2">
        <v>14351.62</v>
      </c>
      <c r="BF11" s="1" t="s">
        <v>21</v>
      </c>
      <c r="BG11" s="2">
        <v>73152</v>
      </c>
      <c r="BH11" s="2">
        <v>37262.480000000003</v>
      </c>
      <c r="BI11" s="2">
        <v>93310.5</v>
      </c>
      <c r="BJ11" s="2">
        <v>52976.160000000003</v>
      </c>
      <c r="BK11" s="2">
        <v>102891.13</v>
      </c>
      <c r="BL11" s="2">
        <v>74445.06</v>
      </c>
      <c r="BM11" s="2">
        <v>109306.96</v>
      </c>
      <c r="BN11" s="2">
        <v>81455.350000000006</v>
      </c>
      <c r="BO11" s="2">
        <v>42602.23</v>
      </c>
      <c r="BP11" s="2">
        <v>48399.17</v>
      </c>
      <c r="BQ11" s="2">
        <v>35176.44</v>
      </c>
      <c r="BR11" s="2">
        <v>39266.76</v>
      </c>
      <c r="BS11" s="2">
        <v>23816.73</v>
      </c>
      <c r="BT11" s="2">
        <v>17274.599999999999</v>
      </c>
      <c r="BU11" s="2">
        <v>16261.68</v>
      </c>
      <c r="BV11" s="2">
        <v>19216.560000000001</v>
      </c>
    </row>
    <row r="12" spans="2:74" x14ac:dyDescent="0.3">
      <c r="B12" s="1" t="s">
        <v>22</v>
      </c>
      <c r="C12" s="2">
        <v>1.8</v>
      </c>
      <c r="D12" s="2">
        <v>1.79</v>
      </c>
      <c r="E12" s="2">
        <v>1.36</v>
      </c>
      <c r="F12" s="2">
        <v>1.8</v>
      </c>
      <c r="G12" s="2">
        <v>2.29</v>
      </c>
      <c r="H12" s="2">
        <v>1.73</v>
      </c>
      <c r="I12" s="2">
        <v>0.89</v>
      </c>
      <c r="J12" s="2">
        <v>0.91</v>
      </c>
      <c r="K12" s="2">
        <v>0.68</v>
      </c>
      <c r="L12" s="2">
        <v>1.34</v>
      </c>
      <c r="M12" s="2">
        <v>0.78</v>
      </c>
      <c r="N12" s="2">
        <v>0.37</v>
      </c>
      <c r="O12" s="2">
        <v>0.49</v>
      </c>
      <c r="P12" s="2">
        <v>0.49</v>
      </c>
      <c r="Q12" s="2">
        <v>1.8</v>
      </c>
      <c r="R12" s="2">
        <v>1.8</v>
      </c>
      <c r="T12" s="1" t="s">
        <v>22</v>
      </c>
      <c r="U12" s="2">
        <v>3228.47</v>
      </c>
      <c r="V12" s="2">
        <v>1793.52</v>
      </c>
      <c r="W12" s="2">
        <v>3582.79</v>
      </c>
      <c r="X12" s="2">
        <v>3710.07</v>
      </c>
      <c r="Y12" s="2">
        <v>4162.8</v>
      </c>
      <c r="Z12" s="2">
        <v>3847.95</v>
      </c>
      <c r="AA12" s="2">
        <v>4385.12</v>
      </c>
      <c r="AB12" s="2">
        <v>3769.6</v>
      </c>
      <c r="AC12" s="2">
        <v>2549.8000000000002</v>
      </c>
      <c r="AD12" s="2">
        <v>1099.0999999999999</v>
      </c>
      <c r="AE12" s="2">
        <v>2050.81</v>
      </c>
      <c r="AF12" s="2">
        <v>1542.27</v>
      </c>
      <c r="AG12" s="2">
        <v>783.38</v>
      </c>
      <c r="AH12" s="2">
        <v>782.83</v>
      </c>
      <c r="AI12" s="2">
        <v>880.51</v>
      </c>
      <c r="AJ12" s="2">
        <v>860.34</v>
      </c>
      <c r="AM12" s="1" t="s">
        <v>22</v>
      </c>
      <c r="AN12" s="2">
        <v>17096.009999999998</v>
      </c>
      <c r="AO12" s="2">
        <v>11452.82</v>
      </c>
      <c r="AP12" s="2">
        <v>25434.959999999999</v>
      </c>
      <c r="AQ12" s="2">
        <v>20555.580000000002</v>
      </c>
      <c r="AR12" s="2">
        <v>25237.200000000001</v>
      </c>
      <c r="AS12" s="2">
        <v>23273.41</v>
      </c>
      <c r="AT12" s="2">
        <v>25819.45</v>
      </c>
      <c r="AU12" s="2">
        <v>22457.15</v>
      </c>
      <c r="AV12" s="2">
        <v>15249.81</v>
      </c>
      <c r="AW12" s="2">
        <v>9988.6</v>
      </c>
      <c r="AX12" s="2">
        <v>12188.35</v>
      </c>
      <c r="AY12" s="2">
        <v>9545.43</v>
      </c>
      <c r="AZ12" s="2">
        <v>4474.12</v>
      </c>
      <c r="BA12" s="2">
        <v>4476.83</v>
      </c>
      <c r="BB12" s="2">
        <v>4351.41</v>
      </c>
      <c r="BC12" s="2">
        <v>4179.66</v>
      </c>
      <c r="BF12" s="1" t="s">
        <v>22</v>
      </c>
      <c r="BG12" s="2">
        <v>20324.48</v>
      </c>
      <c r="BH12" s="2">
        <v>13246.34</v>
      </c>
      <c r="BI12" s="2">
        <v>29017.75</v>
      </c>
      <c r="BJ12" s="2">
        <v>24265.65</v>
      </c>
      <c r="BK12" s="2">
        <v>29400</v>
      </c>
      <c r="BL12" s="2">
        <v>27121.360000000001</v>
      </c>
      <c r="BM12" s="2">
        <v>30204.57</v>
      </c>
      <c r="BN12" s="2">
        <v>26226.75</v>
      </c>
      <c r="BO12" s="2">
        <v>17799.61</v>
      </c>
      <c r="BP12" s="2">
        <v>11087.7</v>
      </c>
      <c r="BQ12" s="2">
        <v>14239.16</v>
      </c>
      <c r="BR12" s="2">
        <v>11087.7</v>
      </c>
      <c r="BS12" s="2">
        <v>5257.5</v>
      </c>
      <c r="BT12" s="2">
        <v>5259.66</v>
      </c>
      <c r="BU12" s="2">
        <v>5231.92</v>
      </c>
      <c r="BV12" s="2">
        <v>5040</v>
      </c>
    </row>
    <row r="13" spans="2:74" x14ac:dyDescent="0.3">
      <c r="B13" s="1" t="s">
        <v>23</v>
      </c>
      <c r="C13" s="2">
        <v>1.8</v>
      </c>
      <c r="D13" s="2">
        <v>1.8</v>
      </c>
      <c r="E13" s="2">
        <v>1.8</v>
      </c>
      <c r="F13" s="2">
        <v>1.8</v>
      </c>
      <c r="G13" s="2">
        <v>1.5</v>
      </c>
      <c r="H13" s="2">
        <v>1.44</v>
      </c>
      <c r="I13" s="2">
        <v>0.69</v>
      </c>
      <c r="J13" s="2">
        <v>0.77</v>
      </c>
      <c r="K13" s="2">
        <v>0.63</v>
      </c>
      <c r="L13" s="2">
        <v>0.59</v>
      </c>
      <c r="M13" s="2">
        <v>0.68</v>
      </c>
      <c r="N13" s="2">
        <v>0.6</v>
      </c>
      <c r="O13" s="2">
        <v>0.77</v>
      </c>
      <c r="P13" s="2">
        <v>0.75</v>
      </c>
      <c r="Q13" s="2">
        <v>1.8</v>
      </c>
      <c r="R13" s="2">
        <v>1.8</v>
      </c>
      <c r="T13" s="1" t="s">
        <v>23</v>
      </c>
      <c r="U13" s="2">
        <v>12020.9</v>
      </c>
      <c r="V13" s="2">
        <v>13419.84</v>
      </c>
      <c r="W13" s="2">
        <v>15249.7</v>
      </c>
      <c r="X13" s="2">
        <v>16469.84</v>
      </c>
      <c r="Y13" s="2">
        <v>15469.37</v>
      </c>
      <c r="Z13" s="2">
        <v>18053.599999999999</v>
      </c>
      <c r="AA13" s="2">
        <v>15582.78</v>
      </c>
      <c r="AB13" s="2">
        <v>18987.41</v>
      </c>
      <c r="AC13" s="2">
        <v>15283.01</v>
      </c>
      <c r="AD13" s="2">
        <v>12953.08</v>
      </c>
      <c r="AE13" s="2">
        <v>15038.79</v>
      </c>
      <c r="AF13" s="2">
        <v>12690.26</v>
      </c>
      <c r="AG13" s="2">
        <v>4944.42</v>
      </c>
      <c r="AH13" s="2">
        <v>4765.25</v>
      </c>
      <c r="AI13" s="2">
        <v>5271.93</v>
      </c>
      <c r="AJ13" s="2">
        <v>5014.24</v>
      </c>
      <c r="AM13" s="1" t="s">
        <v>23</v>
      </c>
      <c r="AN13" s="2">
        <v>57722.49</v>
      </c>
      <c r="AO13" s="2">
        <v>65320.13</v>
      </c>
      <c r="AP13" s="2">
        <v>90902.8</v>
      </c>
      <c r="AQ13" s="2">
        <v>86881.7</v>
      </c>
      <c r="AR13" s="2">
        <v>89519.43</v>
      </c>
      <c r="AS13" s="2">
        <v>100711.2</v>
      </c>
      <c r="AT13" s="2">
        <v>87722.07</v>
      </c>
      <c r="AU13" s="2">
        <v>106110.64</v>
      </c>
      <c r="AV13" s="2">
        <v>85906.39</v>
      </c>
      <c r="AW13" s="2">
        <v>73967.520000000004</v>
      </c>
      <c r="AX13" s="2">
        <v>84390.41</v>
      </c>
      <c r="AY13" s="2">
        <v>72402.539999999994</v>
      </c>
      <c r="AZ13" s="2">
        <v>27020.73</v>
      </c>
      <c r="BA13" s="2">
        <v>26050.15</v>
      </c>
      <c r="BB13" s="2">
        <v>27488.07</v>
      </c>
      <c r="BC13" s="2">
        <v>25598.38</v>
      </c>
      <c r="BF13" s="1" t="s">
        <v>23</v>
      </c>
      <c r="BG13" s="2">
        <v>69743.39</v>
      </c>
      <c r="BH13" s="2">
        <v>78739.960000000006</v>
      </c>
      <c r="BI13" s="2">
        <v>106152.5</v>
      </c>
      <c r="BJ13" s="2">
        <v>103351.54</v>
      </c>
      <c r="BK13" s="2">
        <v>104988.8</v>
      </c>
      <c r="BL13" s="2">
        <v>118764.8</v>
      </c>
      <c r="BM13" s="2">
        <v>103304.85</v>
      </c>
      <c r="BN13" s="2">
        <v>125098.05</v>
      </c>
      <c r="BO13" s="2">
        <v>101189.4</v>
      </c>
      <c r="BP13" s="2">
        <v>86920.6</v>
      </c>
      <c r="BQ13" s="2">
        <v>99429.2</v>
      </c>
      <c r="BR13" s="2">
        <v>85092.800000000003</v>
      </c>
      <c r="BS13" s="2">
        <v>31965.15</v>
      </c>
      <c r="BT13" s="2">
        <v>30815.4</v>
      </c>
      <c r="BU13" s="2">
        <v>32760</v>
      </c>
      <c r="BV13" s="2">
        <v>30612.62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1.06</v>
      </c>
      <c r="F14" s="2">
        <v>1.56</v>
      </c>
      <c r="G14" s="2">
        <v>1.78</v>
      </c>
      <c r="H14" s="2">
        <v>1.71</v>
      </c>
      <c r="I14" s="2">
        <v>0.7</v>
      </c>
      <c r="J14" s="2">
        <v>1.25</v>
      </c>
      <c r="K14" s="2">
        <v>0.41</v>
      </c>
      <c r="L14" s="2">
        <v>0.35</v>
      </c>
      <c r="M14" s="2">
        <v>0.51</v>
      </c>
      <c r="N14" s="2">
        <v>0.45</v>
      </c>
      <c r="O14" s="2">
        <v>0.62</v>
      </c>
      <c r="P14" s="2">
        <v>0.54</v>
      </c>
      <c r="Q14" s="2">
        <v>1.31</v>
      </c>
      <c r="R14" s="2">
        <v>1.8</v>
      </c>
      <c r="T14" s="1" t="s">
        <v>24</v>
      </c>
      <c r="U14" s="2">
        <v>3096.67</v>
      </c>
      <c r="V14" s="2">
        <v>2837.22</v>
      </c>
      <c r="W14" s="2">
        <v>3989.43</v>
      </c>
      <c r="X14" s="2">
        <v>4839.95</v>
      </c>
      <c r="Y14" s="2">
        <v>5018.2</v>
      </c>
      <c r="Z14" s="2">
        <v>5395.58</v>
      </c>
      <c r="AA14" s="2">
        <v>4913.38</v>
      </c>
      <c r="AB14" s="2">
        <v>5866.64</v>
      </c>
      <c r="AC14" s="2">
        <v>3465.62</v>
      </c>
      <c r="AD14" s="2">
        <v>2871.62</v>
      </c>
      <c r="AE14" s="2">
        <v>2945.07</v>
      </c>
      <c r="AF14" s="2">
        <v>2314.27</v>
      </c>
      <c r="AG14" s="2">
        <v>1584.47</v>
      </c>
      <c r="AH14" s="2">
        <v>1411.5</v>
      </c>
      <c r="AI14" s="2">
        <v>956.13</v>
      </c>
      <c r="AJ14" s="2">
        <v>805.65</v>
      </c>
      <c r="AM14" s="1" t="s">
        <v>24</v>
      </c>
      <c r="AN14" s="2">
        <v>14987.52</v>
      </c>
      <c r="AO14" s="2">
        <v>12999.62</v>
      </c>
      <c r="AP14" s="2">
        <v>22321.87</v>
      </c>
      <c r="AQ14" s="2">
        <v>25272.3</v>
      </c>
      <c r="AR14" s="2">
        <v>24381.8</v>
      </c>
      <c r="AS14" s="2">
        <v>26068.62</v>
      </c>
      <c r="AT14" s="2">
        <v>22505.33</v>
      </c>
      <c r="AU14" s="2">
        <v>27133.360000000001</v>
      </c>
      <c r="AV14" s="2">
        <v>14640.72</v>
      </c>
      <c r="AW14" s="2">
        <v>12496.42</v>
      </c>
      <c r="AX14" s="2">
        <v>12292.49</v>
      </c>
      <c r="AY14" s="2">
        <v>9979.9500000000007</v>
      </c>
      <c r="AZ14" s="2">
        <v>6603.39</v>
      </c>
      <c r="BA14" s="2">
        <v>5870.17</v>
      </c>
      <c r="BB14" s="2">
        <v>4742.49</v>
      </c>
      <c r="BC14" s="2">
        <v>3478.35</v>
      </c>
      <c r="BF14" s="1" t="s">
        <v>24</v>
      </c>
      <c r="BG14" s="2">
        <v>18084.189999999999</v>
      </c>
      <c r="BH14" s="2">
        <v>15836.84</v>
      </c>
      <c r="BI14" s="2">
        <v>26311.3</v>
      </c>
      <c r="BJ14" s="2">
        <v>30112.25</v>
      </c>
      <c r="BK14" s="2">
        <v>29400</v>
      </c>
      <c r="BL14" s="2">
        <v>31464.21</v>
      </c>
      <c r="BM14" s="2">
        <v>27418.71</v>
      </c>
      <c r="BN14" s="2">
        <v>33000</v>
      </c>
      <c r="BO14" s="2">
        <v>18106.34</v>
      </c>
      <c r="BP14" s="2">
        <v>15368.04</v>
      </c>
      <c r="BQ14" s="2">
        <v>15237.56</v>
      </c>
      <c r="BR14" s="2">
        <v>12294.22</v>
      </c>
      <c r="BS14" s="2">
        <v>8187.86</v>
      </c>
      <c r="BT14" s="2">
        <v>7281.66</v>
      </c>
      <c r="BU14" s="2">
        <v>5698.62</v>
      </c>
      <c r="BV14" s="2">
        <v>4284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1.63</v>
      </c>
      <c r="G15" s="2">
        <v>1.79</v>
      </c>
      <c r="H15" s="2">
        <v>1.8</v>
      </c>
      <c r="I15" s="2">
        <v>0.99</v>
      </c>
      <c r="J15" s="2">
        <v>1.2</v>
      </c>
      <c r="K15" s="2">
        <v>0.71</v>
      </c>
      <c r="L15" s="2">
        <v>0.71</v>
      </c>
      <c r="M15" s="2">
        <v>0.9</v>
      </c>
      <c r="N15" s="2">
        <v>0.89</v>
      </c>
      <c r="O15" s="2">
        <v>1.35</v>
      </c>
      <c r="P15" s="2">
        <v>0.83</v>
      </c>
      <c r="Q15" s="2">
        <v>1.8</v>
      </c>
      <c r="R15" s="2">
        <v>1.8</v>
      </c>
      <c r="T15" s="1" t="s">
        <v>25</v>
      </c>
      <c r="U15" s="2">
        <v>15843.8</v>
      </c>
      <c r="V15" s="2">
        <v>15386.66</v>
      </c>
      <c r="W15" s="2">
        <v>11631.65</v>
      </c>
      <c r="X15" s="2">
        <v>12245.18</v>
      </c>
      <c r="Y15" s="2">
        <v>13938.37</v>
      </c>
      <c r="Z15" s="2">
        <v>16460.66</v>
      </c>
      <c r="AA15" s="2">
        <v>13879.31</v>
      </c>
      <c r="AB15" s="2">
        <v>15625.89</v>
      </c>
      <c r="AC15" s="2">
        <v>10419.24</v>
      </c>
      <c r="AD15" s="2">
        <v>9435.9500000000007</v>
      </c>
      <c r="AE15" s="2">
        <v>8490.7900000000009</v>
      </c>
      <c r="AF15" s="2">
        <v>7649.31</v>
      </c>
      <c r="AG15" s="2">
        <v>1334.47</v>
      </c>
      <c r="AH15" s="2">
        <v>4242.33</v>
      </c>
      <c r="AI15" s="2">
        <v>4026.18</v>
      </c>
      <c r="AJ15" s="2">
        <v>4107.8999999999996</v>
      </c>
      <c r="AM15" s="1" t="s">
        <v>25</v>
      </c>
      <c r="AN15" s="2">
        <v>52285.27</v>
      </c>
      <c r="AO15" s="2">
        <v>51988.78</v>
      </c>
      <c r="AP15" s="2">
        <v>51994.97</v>
      </c>
      <c r="AQ15" s="2">
        <v>66351.070000000007</v>
      </c>
      <c r="AR15" s="2">
        <v>68248.2</v>
      </c>
      <c r="AS15" s="2">
        <v>71519.490000000005</v>
      </c>
      <c r="AT15" s="2">
        <v>65955.12</v>
      </c>
      <c r="AU15" s="2">
        <v>72716.649999999994</v>
      </c>
      <c r="AV15" s="2">
        <v>45812.06</v>
      </c>
      <c r="AW15" s="2">
        <v>43795.29</v>
      </c>
      <c r="AX15" s="2">
        <v>36493.230000000003</v>
      </c>
      <c r="AY15" s="2">
        <v>34936</v>
      </c>
      <c r="AZ15" s="2">
        <v>12080.12</v>
      </c>
      <c r="BA15" s="2">
        <v>17602.810000000001</v>
      </c>
      <c r="BB15" s="2">
        <v>10359.129999999999</v>
      </c>
      <c r="BC15" s="2">
        <v>12551.18</v>
      </c>
      <c r="BF15" s="1" t="s">
        <v>25</v>
      </c>
      <c r="BG15" s="2">
        <v>68129.070000000007</v>
      </c>
      <c r="BH15" s="2">
        <v>67375.44</v>
      </c>
      <c r="BI15" s="2">
        <v>63626.62</v>
      </c>
      <c r="BJ15" s="2">
        <v>78596.25</v>
      </c>
      <c r="BK15" s="2">
        <v>82186.570000000007</v>
      </c>
      <c r="BL15" s="2">
        <v>87980.14</v>
      </c>
      <c r="BM15" s="2">
        <v>79834.429999999993</v>
      </c>
      <c r="BN15" s="2">
        <v>88342.54</v>
      </c>
      <c r="BO15" s="2">
        <v>56231.3</v>
      </c>
      <c r="BP15" s="2">
        <v>53231.24</v>
      </c>
      <c r="BQ15" s="2">
        <v>44984.02</v>
      </c>
      <c r="BR15" s="2">
        <v>42585.31</v>
      </c>
      <c r="BS15" s="2">
        <v>13414.59</v>
      </c>
      <c r="BT15" s="2">
        <v>21845.14</v>
      </c>
      <c r="BU15" s="2">
        <v>14385.31</v>
      </c>
      <c r="BV15" s="2">
        <v>16659.080000000002</v>
      </c>
    </row>
    <row r="16" spans="2:74" x14ac:dyDescent="0.3">
      <c r="B16" s="1" t="s">
        <v>26</v>
      </c>
      <c r="C16" s="2">
        <v>0.92</v>
      </c>
      <c r="D16" s="2">
        <v>0.81</v>
      </c>
      <c r="E16" s="2">
        <v>1.1200000000000001</v>
      </c>
      <c r="F16" s="2">
        <v>0.27</v>
      </c>
      <c r="G16" s="2">
        <v>1.23</v>
      </c>
      <c r="H16" s="2">
        <v>1.08</v>
      </c>
      <c r="I16" s="2">
        <v>0.89</v>
      </c>
      <c r="J16" s="2">
        <v>0.7</v>
      </c>
      <c r="K16" s="2">
        <v>0.91</v>
      </c>
      <c r="L16" s="2">
        <v>1.01</v>
      </c>
      <c r="M16" s="2">
        <v>0.91</v>
      </c>
      <c r="N16" s="2">
        <v>1.01</v>
      </c>
      <c r="O16" s="2">
        <v>0.5</v>
      </c>
      <c r="P16" s="2">
        <v>0.56999999999999995</v>
      </c>
      <c r="Q16" s="2">
        <v>1.56</v>
      </c>
      <c r="R16" s="2">
        <v>1.73</v>
      </c>
      <c r="T16" s="1" t="s">
        <v>26</v>
      </c>
      <c r="U16" s="2">
        <v>5366.77</v>
      </c>
      <c r="V16" s="2">
        <v>6997.66</v>
      </c>
      <c r="W16" s="2">
        <v>4893.82</v>
      </c>
      <c r="X16" s="2">
        <v>5857.56</v>
      </c>
      <c r="Y16" s="2">
        <v>5054.96</v>
      </c>
      <c r="Z16" s="2">
        <v>6150.82</v>
      </c>
      <c r="AA16" s="2">
        <v>4748.97</v>
      </c>
      <c r="AB16" s="2">
        <v>6550.68</v>
      </c>
      <c r="AC16" s="2">
        <v>5731.94</v>
      </c>
      <c r="AD16" s="2">
        <v>4851.6099999999997</v>
      </c>
      <c r="AE16" s="2">
        <v>5732.13</v>
      </c>
      <c r="AF16" s="2">
        <v>4851.66</v>
      </c>
      <c r="AG16" s="2">
        <v>1433.16</v>
      </c>
      <c r="AH16" s="2">
        <v>1601.38</v>
      </c>
      <c r="AI16" s="2">
        <v>2040.92</v>
      </c>
      <c r="AJ16" s="2">
        <v>1877.64</v>
      </c>
      <c r="AM16" s="1" t="s">
        <v>26</v>
      </c>
      <c r="AN16" s="2">
        <v>27329.15</v>
      </c>
      <c r="AO16" s="2">
        <v>33040.82</v>
      </c>
      <c r="AP16" s="2">
        <v>29524.43</v>
      </c>
      <c r="AQ16" s="2">
        <v>31662.69</v>
      </c>
      <c r="AR16" s="2">
        <v>24224.080000000002</v>
      </c>
      <c r="AS16" s="2">
        <v>27450.86</v>
      </c>
      <c r="AT16" s="2">
        <v>22718.58</v>
      </c>
      <c r="AU16" s="2">
        <v>28517.1</v>
      </c>
      <c r="AV16" s="2">
        <v>26843.200000000001</v>
      </c>
      <c r="AW16" s="2">
        <v>21566.99</v>
      </c>
      <c r="AX16" s="2">
        <v>26843.01</v>
      </c>
      <c r="AY16" s="2">
        <v>21566.94</v>
      </c>
      <c r="AZ16" s="2">
        <v>5232.24</v>
      </c>
      <c r="BA16" s="2">
        <v>5877.35</v>
      </c>
      <c r="BB16" s="2">
        <v>11340.04</v>
      </c>
      <c r="BC16" s="2">
        <v>9690.27</v>
      </c>
      <c r="BF16" s="1" t="s">
        <v>26</v>
      </c>
      <c r="BG16" s="2">
        <v>32695.919999999998</v>
      </c>
      <c r="BH16" s="2">
        <v>40038.480000000003</v>
      </c>
      <c r="BI16" s="2">
        <v>34418.25</v>
      </c>
      <c r="BJ16" s="2">
        <v>37520.25</v>
      </c>
      <c r="BK16" s="2">
        <v>29279.040000000001</v>
      </c>
      <c r="BL16" s="2">
        <v>33601.68</v>
      </c>
      <c r="BM16" s="2">
        <v>27467.55</v>
      </c>
      <c r="BN16" s="2">
        <v>35067.78</v>
      </c>
      <c r="BO16" s="2">
        <v>32575.14</v>
      </c>
      <c r="BP16" s="2">
        <v>26418.6</v>
      </c>
      <c r="BQ16" s="2">
        <v>32575.14</v>
      </c>
      <c r="BR16" s="2">
        <v>26418.6</v>
      </c>
      <c r="BS16" s="2">
        <v>6665.4</v>
      </c>
      <c r="BT16" s="2">
        <v>7478.73</v>
      </c>
      <c r="BU16" s="2">
        <v>13380.96</v>
      </c>
      <c r="BV16" s="2">
        <v>11567.91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0.19</v>
      </c>
      <c r="D23" s="2">
        <v>0.18</v>
      </c>
      <c r="E23" s="2">
        <v>0.12</v>
      </c>
      <c r="F23" s="2">
        <v>0.05</v>
      </c>
      <c r="G23" s="2">
        <v>0.06</v>
      </c>
      <c r="H23" s="2">
        <v>0.06</v>
      </c>
      <c r="I23" s="2">
        <v>0.05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0.27</v>
      </c>
      <c r="R23" s="2">
        <v>0.27</v>
      </c>
      <c r="T23" s="1" t="s">
        <v>19</v>
      </c>
      <c r="U23" s="2">
        <v>3164</v>
      </c>
      <c r="V23" s="2">
        <v>3028.9</v>
      </c>
      <c r="W23" s="2">
        <v>2531.9</v>
      </c>
      <c r="X23" s="2">
        <v>909.63</v>
      </c>
      <c r="Y23" s="2">
        <v>839.58</v>
      </c>
      <c r="Z23" s="2">
        <v>757.53</v>
      </c>
      <c r="AA23" s="2">
        <v>663.96</v>
      </c>
      <c r="AB23" s="2">
        <v>562.36</v>
      </c>
      <c r="AC23" s="2">
        <v>723.57</v>
      </c>
      <c r="AD23" s="2">
        <v>888.87</v>
      </c>
      <c r="AE23" s="2">
        <v>723.57</v>
      </c>
      <c r="AF23" s="2">
        <v>858.71</v>
      </c>
      <c r="AG23" s="2">
        <v>295.94</v>
      </c>
      <c r="AH23" s="2">
        <v>272.63</v>
      </c>
      <c r="AI23" s="2">
        <v>7559.73</v>
      </c>
      <c r="AJ23" s="2">
        <v>6096.84</v>
      </c>
      <c r="AM23" s="1" t="s">
        <v>19</v>
      </c>
      <c r="AN23" s="2">
        <v>16800</v>
      </c>
      <c r="AO23" s="2">
        <v>16800</v>
      </c>
      <c r="AP23" s="2">
        <v>21000</v>
      </c>
      <c r="AQ23" s="2">
        <v>17175.57</v>
      </c>
      <c r="AR23" s="2">
        <v>14161.42</v>
      </c>
      <c r="AS23" s="2">
        <v>12590.77</v>
      </c>
      <c r="AT23" s="2">
        <v>12489.74</v>
      </c>
      <c r="AU23" s="2">
        <v>10625.04</v>
      </c>
      <c r="AV23" s="2">
        <v>13590.03</v>
      </c>
      <c r="AW23" s="2">
        <v>16643.330000000002</v>
      </c>
      <c r="AX23" s="2">
        <v>13590.03</v>
      </c>
      <c r="AY23" s="2">
        <v>16081.29</v>
      </c>
      <c r="AZ23" s="2">
        <v>5540.66</v>
      </c>
      <c r="BA23" s="2">
        <v>5106.17</v>
      </c>
      <c r="BB23" s="2">
        <v>20566.27</v>
      </c>
      <c r="BC23" s="2">
        <v>16793.86</v>
      </c>
      <c r="BF23" s="1" t="s">
        <v>19</v>
      </c>
      <c r="BG23" s="2">
        <v>19964</v>
      </c>
      <c r="BH23" s="2">
        <v>19828.900000000001</v>
      </c>
      <c r="BI23" s="2">
        <v>23531.9</v>
      </c>
      <c r="BJ23" s="2">
        <v>18085.2</v>
      </c>
      <c r="BK23" s="2">
        <v>15001</v>
      </c>
      <c r="BL23" s="2">
        <v>13348.3</v>
      </c>
      <c r="BM23" s="2">
        <v>13153.7</v>
      </c>
      <c r="BN23" s="2">
        <v>11187.4</v>
      </c>
      <c r="BO23" s="2">
        <v>14313.6</v>
      </c>
      <c r="BP23" s="2">
        <v>17532.2</v>
      </c>
      <c r="BQ23" s="2">
        <v>14313.6</v>
      </c>
      <c r="BR23" s="2">
        <v>16940</v>
      </c>
      <c r="BS23" s="2">
        <v>5836.6</v>
      </c>
      <c r="BT23" s="2">
        <v>5378.8</v>
      </c>
      <c r="BU23" s="2">
        <v>28126</v>
      </c>
      <c r="BV23" s="2">
        <v>22890.7</v>
      </c>
    </row>
    <row r="24" spans="2:74" x14ac:dyDescent="0.3">
      <c r="B24" s="1" t="s">
        <v>20</v>
      </c>
      <c r="C24" s="2">
        <v>0.18</v>
      </c>
      <c r="D24" s="2">
        <v>0.17</v>
      </c>
      <c r="E24" s="2">
        <v>0.16</v>
      </c>
      <c r="F24" s="2">
        <v>0.19</v>
      </c>
      <c r="G24" s="2">
        <v>0.16</v>
      </c>
      <c r="H24" s="2">
        <v>0.17</v>
      </c>
      <c r="I24" s="2">
        <v>0.17</v>
      </c>
      <c r="J24" s="2">
        <v>0.17</v>
      </c>
      <c r="K24" s="2">
        <v>0.17</v>
      </c>
      <c r="L24" s="2">
        <v>0.17</v>
      </c>
      <c r="M24" s="2">
        <v>0.17</v>
      </c>
      <c r="N24" s="2">
        <v>0.17</v>
      </c>
      <c r="O24" s="2">
        <v>0.18</v>
      </c>
      <c r="P24" s="2">
        <v>0.18</v>
      </c>
      <c r="Q24" s="2">
        <v>0.18</v>
      </c>
      <c r="R24" s="2">
        <v>0.19</v>
      </c>
      <c r="T24" s="1" t="s">
        <v>20</v>
      </c>
      <c r="U24" s="2">
        <v>1219.45</v>
      </c>
      <c r="V24" s="2">
        <v>768.39</v>
      </c>
      <c r="W24" s="2">
        <v>1358.79</v>
      </c>
      <c r="X24" s="2">
        <v>790.54</v>
      </c>
      <c r="Y24" s="2">
        <v>1471.73</v>
      </c>
      <c r="Z24" s="2">
        <v>755.38</v>
      </c>
      <c r="AA24" s="2">
        <v>1381.56</v>
      </c>
      <c r="AB24" s="2">
        <v>700.25</v>
      </c>
      <c r="AC24" s="2">
        <v>808.47</v>
      </c>
      <c r="AD24" s="2">
        <v>1118.98</v>
      </c>
      <c r="AE24" s="2">
        <v>808.47</v>
      </c>
      <c r="AF24" s="2">
        <v>1106.2</v>
      </c>
      <c r="AG24" s="2">
        <v>675.6</v>
      </c>
      <c r="AH24" s="2">
        <v>554.75</v>
      </c>
      <c r="AI24" s="2">
        <v>1287.78</v>
      </c>
      <c r="AJ24" s="2">
        <v>1223.54</v>
      </c>
      <c r="AM24" s="1" t="s">
        <v>20</v>
      </c>
      <c r="AN24" s="2">
        <v>6389.4</v>
      </c>
      <c r="AO24" s="2">
        <v>4524.01</v>
      </c>
      <c r="AP24" s="2">
        <v>8300.31</v>
      </c>
      <c r="AQ24" s="2">
        <v>3912.48</v>
      </c>
      <c r="AR24" s="2">
        <v>8279.8700000000008</v>
      </c>
      <c r="AS24" s="2">
        <v>4133.0200000000004</v>
      </c>
      <c r="AT24" s="2">
        <v>7364.15</v>
      </c>
      <c r="AU24" s="2">
        <v>3938.65</v>
      </c>
      <c r="AV24" s="2">
        <v>4737.83</v>
      </c>
      <c r="AW24" s="2">
        <v>6201.32</v>
      </c>
      <c r="AX24" s="2">
        <v>4737.83</v>
      </c>
      <c r="AY24" s="2">
        <v>6125.7</v>
      </c>
      <c r="AZ24" s="2">
        <v>3652.8</v>
      </c>
      <c r="BA24" s="2">
        <v>2992.75</v>
      </c>
      <c r="BB24" s="2">
        <v>6746.22</v>
      </c>
      <c r="BC24" s="2">
        <v>6503.1</v>
      </c>
      <c r="BF24" s="1" t="s">
        <v>20</v>
      </c>
      <c r="BG24" s="2">
        <v>7608.84</v>
      </c>
      <c r="BH24" s="2">
        <v>5292.4</v>
      </c>
      <c r="BI24" s="2">
        <v>9659.1</v>
      </c>
      <c r="BJ24" s="2">
        <v>4703.03</v>
      </c>
      <c r="BK24" s="2">
        <v>9751.6</v>
      </c>
      <c r="BL24" s="2">
        <v>4888.3999999999996</v>
      </c>
      <c r="BM24" s="2">
        <v>8745.7099999999991</v>
      </c>
      <c r="BN24" s="2">
        <v>4638.8999999999996</v>
      </c>
      <c r="BO24" s="2">
        <v>5546.3</v>
      </c>
      <c r="BP24" s="2">
        <v>7320.3</v>
      </c>
      <c r="BQ24" s="2">
        <v>5546.3</v>
      </c>
      <c r="BR24" s="2">
        <v>7231.9</v>
      </c>
      <c r="BS24" s="2">
        <v>4328.3999999999996</v>
      </c>
      <c r="BT24" s="2">
        <v>3547.5</v>
      </c>
      <c r="BU24" s="2">
        <v>8034</v>
      </c>
      <c r="BV24" s="2">
        <v>7726.64</v>
      </c>
    </row>
    <row r="25" spans="2:74" x14ac:dyDescent="0.3">
      <c r="B25" s="1" t="s">
        <v>21</v>
      </c>
      <c r="C25" s="2">
        <v>0.21</v>
      </c>
      <c r="D25" s="2">
        <v>0.21</v>
      </c>
      <c r="E25" s="2">
        <v>0.15</v>
      </c>
      <c r="F25" s="2">
        <v>0.32</v>
      </c>
      <c r="G25" s="2">
        <v>0.18</v>
      </c>
      <c r="H25" s="2">
        <v>0.16</v>
      </c>
      <c r="I25" s="2">
        <v>0.15</v>
      </c>
      <c r="J25" s="2">
        <v>0.16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</v>
      </c>
      <c r="Q25" s="2">
        <v>0.22</v>
      </c>
      <c r="R25" s="2">
        <v>0.3</v>
      </c>
      <c r="T25" s="1" t="s">
        <v>21</v>
      </c>
      <c r="U25" s="2">
        <v>5517.66</v>
      </c>
      <c r="V25" s="2">
        <v>2734.1</v>
      </c>
      <c r="W25" s="2">
        <v>4964.6000000000004</v>
      </c>
      <c r="X25" s="2">
        <v>5596.04</v>
      </c>
      <c r="Y25" s="2">
        <v>6168.45</v>
      </c>
      <c r="Z25" s="2">
        <v>3923.57</v>
      </c>
      <c r="AA25" s="2">
        <v>4538.24</v>
      </c>
      <c r="AB25" s="2">
        <v>3557.89</v>
      </c>
      <c r="AC25" s="2">
        <v>2360.9499999999998</v>
      </c>
      <c r="AD25" s="2">
        <v>2737.97</v>
      </c>
      <c r="AE25" s="2">
        <v>1958.95</v>
      </c>
      <c r="AF25" s="2">
        <v>2234.61</v>
      </c>
      <c r="AG25" s="2">
        <v>1716.65</v>
      </c>
      <c r="AH25" s="2">
        <v>828.02</v>
      </c>
      <c r="AI25" s="2">
        <v>3777.08</v>
      </c>
      <c r="AJ25" s="2">
        <v>6081.18</v>
      </c>
      <c r="AM25" s="1" t="s">
        <v>21</v>
      </c>
      <c r="AN25" s="2">
        <v>24962.34</v>
      </c>
      <c r="AO25" s="2">
        <v>12791.94</v>
      </c>
      <c r="AP25" s="2">
        <v>32359.599999999999</v>
      </c>
      <c r="AQ25" s="2">
        <v>15594.42</v>
      </c>
      <c r="AR25" s="2">
        <v>30578.38</v>
      </c>
      <c r="AS25" s="2">
        <v>22663.96</v>
      </c>
      <c r="AT25" s="2">
        <v>28585.08</v>
      </c>
      <c r="AU25" s="2">
        <v>21125.55</v>
      </c>
      <c r="AV25" s="2">
        <v>14024.52</v>
      </c>
      <c r="AW25" s="2">
        <v>15877.09</v>
      </c>
      <c r="AX25" s="2">
        <v>11570.45</v>
      </c>
      <c r="AY25" s="2">
        <v>12867.99</v>
      </c>
      <c r="AZ25" s="2">
        <v>9624.65</v>
      </c>
      <c r="BA25" s="2">
        <v>7397.98</v>
      </c>
      <c r="BB25" s="2">
        <v>16550.02</v>
      </c>
      <c r="BC25" s="2">
        <v>17939.52</v>
      </c>
      <c r="BF25" s="1" t="s">
        <v>21</v>
      </c>
      <c r="BG25" s="2">
        <v>30480</v>
      </c>
      <c r="BH25" s="2">
        <v>15526.03</v>
      </c>
      <c r="BI25" s="2">
        <v>37324.199999999997</v>
      </c>
      <c r="BJ25" s="2">
        <v>21190.46</v>
      </c>
      <c r="BK25" s="2">
        <v>36746.83</v>
      </c>
      <c r="BL25" s="2">
        <v>26587.52</v>
      </c>
      <c r="BM25" s="2">
        <v>33123.32</v>
      </c>
      <c r="BN25" s="2">
        <v>24683.439999999999</v>
      </c>
      <c r="BO25" s="2">
        <v>16385.47</v>
      </c>
      <c r="BP25" s="2">
        <v>18615.07</v>
      </c>
      <c r="BQ25" s="2">
        <v>13529.4</v>
      </c>
      <c r="BR25" s="2">
        <v>15102.6</v>
      </c>
      <c r="BS25" s="2">
        <v>11341.3</v>
      </c>
      <c r="BT25" s="2">
        <v>8226</v>
      </c>
      <c r="BU25" s="2">
        <v>20327.099999999999</v>
      </c>
      <c r="BV25" s="2">
        <v>24020.7</v>
      </c>
    </row>
    <row r="26" spans="2:74" x14ac:dyDescent="0.3">
      <c r="B26" s="1" t="s">
        <v>22</v>
      </c>
      <c r="C26" s="2">
        <v>0.19</v>
      </c>
      <c r="D26" s="2">
        <v>0.17</v>
      </c>
      <c r="E26" s="2">
        <v>0.16</v>
      </c>
      <c r="F26" s="2">
        <v>0.19</v>
      </c>
      <c r="G26" s="2">
        <v>0.16</v>
      </c>
      <c r="H26" s="2">
        <v>0.17</v>
      </c>
      <c r="I26" s="2">
        <v>0.16</v>
      </c>
      <c r="J26" s="2">
        <v>0.17</v>
      </c>
      <c r="K26" s="2">
        <v>0.17</v>
      </c>
      <c r="L26" s="2">
        <v>0.1</v>
      </c>
      <c r="M26" s="2">
        <v>0.18</v>
      </c>
      <c r="N26" s="2">
        <v>0.17</v>
      </c>
      <c r="O26" s="2">
        <v>0.18</v>
      </c>
      <c r="P26" s="2">
        <v>0.18</v>
      </c>
      <c r="Q26" s="2">
        <v>0.22</v>
      </c>
      <c r="R26" s="2">
        <v>0.21</v>
      </c>
      <c r="T26" s="1" t="s">
        <v>22</v>
      </c>
      <c r="U26" s="2">
        <v>1345.2</v>
      </c>
      <c r="V26" s="2">
        <v>747.3</v>
      </c>
      <c r="W26" s="2">
        <v>1433.12</v>
      </c>
      <c r="X26" s="2">
        <v>1484.03</v>
      </c>
      <c r="Y26" s="2">
        <v>1486.71</v>
      </c>
      <c r="Z26" s="2">
        <v>1374.27</v>
      </c>
      <c r="AA26" s="2">
        <v>1328.82</v>
      </c>
      <c r="AB26" s="2">
        <v>1142.3</v>
      </c>
      <c r="AC26" s="2">
        <v>980.69</v>
      </c>
      <c r="AD26" s="2">
        <v>422.73</v>
      </c>
      <c r="AE26" s="2">
        <v>788.77</v>
      </c>
      <c r="AF26" s="2">
        <v>593.17999999999995</v>
      </c>
      <c r="AG26" s="2">
        <v>373.04</v>
      </c>
      <c r="AH26" s="2">
        <v>372.78</v>
      </c>
      <c r="AI26" s="2">
        <v>1100.6400000000001</v>
      </c>
      <c r="AJ26" s="2">
        <v>1075.43</v>
      </c>
      <c r="AM26" s="1" t="s">
        <v>22</v>
      </c>
      <c r="AN26" s="2">
        <v>7123.34</v>
      </c>
      <c r="AO26" s="2">
        <v>4772.01</v>
      </c>
      <c r="AP26" s="2">
        <v>10173.98</v>
      </c>
      <c r="AQ26" s="2">
        <v>8222.23</v>
      </c>
      <c r="AR26" s="2">
        <v>9013.2900000000009</v>
      </c>
      <c r="AS26" s="2">
        <v>8311.93</v>
      </c>
      <c r="AT26" s="2">
        <v>7824.08</v>
      </c>
      <c r="AU26" s="2">
        <v>6805.2</v>
      </c>
      <c r="AV26" s="2">
        <v>5865.31</v>
      </c>
      <c r="AW26" s="2">
        <v>3841.77</v>
      </c>
      <c r="AX26" s="2">
        <v>4687.83</v>
      </c>
      <c r="AY26" s="2">
        <v>3671.32</v>
      </c>
      <c r="AZ26" s="2">
        <v>2130.5300000000002</v>
      </c>
      <c r="BA26" s="2">
        <v>2131.8200000000002</v>
      </c>
      <c r="BB26" s="2">
        <v>5439.26</v>
      </c>
      <c r="BC26" s="2">
        <v>5224.57</v>
      </c>
      <c r="BF26" s="1" t="s">
        <v>22</v>
      </c>
      <c r="BG26" s="2">
        <v>8468.5300000000007</v>
      </c>
      <c r="BH26" s="2">
        <v>5519.31</v>
      </c>
      <c r="BI26" s="2">
        <v>11607.1</v>
      </c>
      <c r="BJ26" s="2">
        <v>9706.26</v>
      </c>
      <c r="BK26" s="2">
        <v>10500</v>
      </c>
      <c r="BL26" s="2">
        <v>9686.2000000000007</v>
      </c>
      <c r="BM26" s="2">
        <v>9152.9</v>
      </c>
      <c r="BN26" s="2">
        <v>7947.5</v>
      </c>
      <c r="BO26" s="2">
        <v>6846</v>
      </c>
      <c r="BP26" s="2">
        <v>4264.5</v>
      </c>
      <c r="BQ26" s="2">
        <v>5476.6</v>
      </c>
      <c r="BR26" s="2">
        <v>4264.5</v>
      </c>
      <c r="BS26" s="2">
        <v>2503.5700000000002</v>
      </c>
      <c r="BT26" s="2">
        <v>2504.6</v>
      </c>
      <c r="BU26" s="2">
        <v>6539.9</v>
      </c>
      <c r="BV26" s="2">
        <v>6300</v>
      </c>
    </row>
    <row r="27" spans="2:74" x14ac:dyDescent="0.3">
      <c r="B27" s="1" t="s">
        <v>23</v>
      </c>
      <c r="C27" s="2">
        <v>0.2</v>
      </c>
      <c r="D27" s="2">
        <v>0.2</v>
      </c>
      <c r="E27" s="2">
        <v>0.18</v>
      </c>
      <c r="F27" s="2">
        <v>0.2</v>
      </c>
      <c r="G27" s="2">
        <v>0.17</v>
      </c>
      <c r="H27" s="2">
        <v>0.17</v>
      </c>
      <c r="I27" s="2">
        <v>0.17</v>
      </c>
      <c r="J27" s="2">
        <v>0.17</v>
      </c>
      <c r="K27" s="2">
        <v>0.17</v>
      </c>
      <c r="L27" s="2">
        <v>0.18</v>
      </c>
      <c r="M27" s="2">
        <v>0.17</v>
      </c>
      <c r="N27" s="2">
        <v>0.18</v>
      </c>
      <c r="O27" s="2">
        <v>0.18</v>
      </c>
      <c r="P27" s="2">
        <v>0.18</v>
      </c>
      <c r="Q27" s="2">
        <v>0.2</v>
      </c>
      <c r="R27" s="2">
        <v>0.2</v>
      </c>
      <c r="T27" s="1" t="s">
        <v>23</v>
      </c>
      <c r="U27" s="2">
        <v>5008.71</v>
      </c>
      <c r="V27" s="2">
        <v>5591.6</v>
      </c>
      <c r="W27" s="2">
        <v>6099.88</v>
      </c>
      <c r="X27" s="2">
        <v>6587.94</v>
      </c>
      <c r="Y27" s="2">
        <v>5524.77</v>
      </c>
      <c r="Z27" s="2">
        <v>6447.71</v>
      </c>
      <c r="AA27" s="2">
        <v>4722.0600000000004</v>
      </c>
      <c r="AB27" s="2">
        <v>5753.76</v>
      </c>
      <c r="AC27" s="2">
        <v>5878.08</v>
      </c>
      <c r="AD27" s="2">
        <v>4981.95</v>
      </c>
      <c r="AE27" s="2">
        <v>5784.15</v>
      </c>
      <c r="AF27" s="2">
        <v>4880.87</v>
      </c>
      <c r="AG27" s="2">
        <v>2354.4899999999998</v>
      </c>
      <c r="AH27" s="2">
        <v>2269.17</v>
      </c>
      <c r="AI27" s="2">
        <v>6589.92</v>
      </c>
      <c r="AJ27" s="2">
        <v>6267.79</v>
      </c>
      <c r="AM27" s="1" t="s">
        <v>23</v>
      </c>
      <c r="AN27" s="2">
        <v>24051.040000000001</v>
      </c>
      <c r="AO27" s="2">
        <v>27216.720000000001</v>
      </c>
      <c r="AP27" s="2">
        <v>36361.120000000003</v>
      </c>
      <c r="AQ27" s="2">
        <v>34752.68</v>
      </c>
      <c r="AR27" s="2">
        <v>31971.23</v>
      </c>
      <c r="AS27" s="2">
        <v>35968.29</v>
      </c>
      <c r="AT27" s="2">
        <v>26582.44</v>
      </c>
      <c r="AU27" s="2">
        <v>32154.74</v>
      </c>
      <c r="AV27" s="2">
        <v>33040.92</v>
      </c>
      <c r="AW27" s="2">
        <v>28449.05</v>
      </c>
      <c r="AX27" s="2">
        <v>32457.85</v>
      </c>
      <c r="AY27" s="2">
        <v>27847.13</v>
      </c>
      <c r="AZ27" s="2">
        <v>12867.01</v>
      </c>
      <c r="BA27" s="2">
        <v>12404.83</v>
      </c>
      <c r="BB27" s="2">
        <v>34360.080000000002</v>
      </c>
      <c r="BC27" s="2">
        <v>31997.98</v>
      </c>
      <c r="BF27" s="1" t="s">
        <v>23</v>
      </c>
      <c r="BG27" s="2">
        <v>29059.75</v>
      </c>
      <c r="BH27" s="2">
        <v>32808.32</v>
      </c>
      <c r="BI27" s="2">
        <v>42461</v>
      </c>
      <c r="BJ27" s="2">
        <v>41340.61</v>
      </c>
      <c r="BK27" s="2">
        <v>37496</v>
      </c>
      <c r="BL27" s="2">
        <v>42416</v>
      </c>
      <c r="BM27" s="2">
        <v>31304.5</v>
      </c>
      <c r="BN27" s="2">
        <v>37908.5</v>
      </c>
      <c r="BO27" s="2">
        <v>38919</v>
      </c>
      <c r="BP27" s="2">
        <v>33431</v>
      </c>
      <c r="BQ27" s="2">
        <v>38242</v>
      </c>
      <c r="BR27" s="2">
        <v>32728</v>
      </c>
      <c r="BS27" s="2">
        <v>15221.5</v>
      </c>
      <c r="BT27" s="2">
        <v>14674</v>
      </c>
      <c r="BU27" s="2">
        <v>40950</v>
      </c>
      <c r="BV27" s="2">
        <v>38265.769999999997</v>
      </c>
    </row>
    <row r="28" spans="2:74" x14ac:dyDescent="0.3">
      <c r="B28" s="1" t="s">
        <v>24</v>
      </c>
      <c r="C28" s="2">
        <v>0.2</v>
      </c>
      <c r="D28" s="2">
        <v>0.21</v>
      </c>
      <c r="E28" s="2">
        <v>0.19</v>
      </c>
      <c r="F28" s="2">
        <v>0.19</v>
      </c>
      <c r="G28" s="2">
        <v>0.19</v>
      </c>
      <c r="H28" s="2">
        <v>0.19</v>
      </c>
      <c r="I28" s="2">
        <v>0.2</v>
      </c>
      <c r="J28" s="2">
        <v>0.19</v>
      </c>
      <c r="K28" s="2">
        <v>0.21</v>
      </c>
      <c r="L28" s="2">
        <v>0.21</v>
      </c>
      <c r="M28" s="2">
        <v>0.21</v>
      </c>
      <c r="N28" s="2">
        <v>0.21</v>
      </c>
      <c r="O28" s="2">
        <v>0.22</v>
      </c>
      <c r="P28" s="2">
        <v>0.22</v>
      </c>
      <c r="Q28" s="2">
        <v>0.22</v>
      </c>
      <c r="R28" s="2">
        <v>0.22</v>
      </c>
      <c r="T28" s="1" t="s">
        <v>24</v>
      </c>
      <c r="U28" s="2">
        <v>1290.28</v>
      </c>
      <c r="V28" s="2">
        <v>1182.18</v>
      </c>
      <c r="W28" s="2">
        <v>1595.77</v>
      </c>
      <c r="X28" s="2">
        <v>1935.98</v>
      </c>
      <c r="Y28" s="2">
        <v>1792.22</v>
      </c>
      <c r="Z28" s="2">
        <v>1926.99</v>
      </c>
      <c r="AA28" s="2">
        <v>1488.9</v>
      </c>
      <c r="AB28" s="2">
        <v>1777.77</v>
      </c>
      <c r="AC28" s="2">
        <v>1332.93</v>
      </c>
      <c r="AD28" s="2">
        <v>1104.47</v>
      </c>
      <c r="AE28" s="2">
        <v>1132.72</v>
      </c>
      <c r="AF28" s="2">
        <v>890.11</v>
      </c>
      <c r="AG28" s="2">
        <v>754.51</v>
      </c>
      <c r="AH28" s="2">
        <v>672.14</v>
      </c>
      <c r="AI28" s="2">
        <v>1195.1600000000001</v>
      </c>
      <c r="AJ28" s="2">
        <v>1007.06</v>
      </c>
      <c r="AM28" s="1" t="s">
        <v>24</v>
      </c>
      <c r="AN28" s="2">
        <v>6244.8</v>
      </c>
      <c r="AO28" s="2">
        <v>5416.51</v>
      </c>
      <c r="AP28" s="2">
        <v>8928.75</v>
      </c>
      <c r="AQ28" s="2">
        <v>10108.92</v>
      </c>
      <c r="AR28" s="2">
        <v>8707.7800000000007</v>
      </c>
      <c r="AS28" s="2">
        <v>9310.2199999999993</v>
      </c>
      <c r="AT28" s="2">
        <v>6819.8</v>
      </c>
      <c r="AU28" s="2">
        <v>8222.23</v>
      </c>
      <c r="AV28" s="2">
        <v>5631.05</v>
      </c>
      <c r="AW28" s="2">
        <v>4806.32</v>
      </c>
      <c r="AX28" s="2">
        <v>4727.88</v>
      </c>
      <c r="AY28" s="2">
        <v>3838.44</v>
      </c>
      <c r="AZ28" s="2">
        <v>3144.47</v>
      </c>
      <c r="BA28" s="2">
        <v>2795.32</v>
      </c>
      <c r="BB28" s="2">
        <v>5928.11</v>
      </c>
      <c r="BC28" s="2">
        <v>4347.9399999999996</v>
      </c>
      <c r="BF28" s="1" t="s">
        <v>24</v>
      </c>
      <c r="BG28" s="2">
        <v>7535.08</v>
      </c>
      <c r="BH28" s="2">
        <v>6598.68</v>
      </c>
      <c r="BI28" s="2">
        <v>10524.52</v>
      </c>
      <c r="BJ28" s="2">
        <v>12044.9</v>
      </c>
      <c r="BK28" s="2">
        <v>10500</v>
      </c>
      <c r="BL28" s="2">
        <v>11237.22</v>
      </c>
      <c r="BM28" s="2">
        <v>8308.7000000000007</v>
      </c>
      <c r="BN28" s="2">
        <v>10000</v>
      </c>
      <c r="BO28" s="2">
        <v>6963.98</v>
      </c>
      <c r="BP28" s="2">
        <v>5910.78</v>
      </c>
      <c r="BQ28" s="2">
        <v>5860.6</v>
      </c>
      <c r="BR28" s="2">
        <v>4728.55</v>
      </c>
      <c r="BS28" s="2">
        <v>3898.98</v>
      </c>
      <c r="BT28" s="2">
        <v>3467.46</v>
      </c>
      <c r="BU28" s="2">
        <v>7123.27</v>
      </c>
      <c r="BV28" s="2">
        <v>5355</v>
      </c>
    </row>
    <row r="29" spans="2:74" x14ac:dyDescent="0.3">
      <c r="B29" s="1" t="s">
        <v>25</v>
      </c>
      <c r="C29" s="2">
        <v>0.27</v>
      </c>
      <c r="D29" s="2">
        <v>0.27</v>
      </c>
      <c r="E29" s="2">
        <v>0.23</v>
      </c>
      <c r="F29" s="2">
        <v>0.2</v>
      </c>
      <c r="G29" s="2">
        <v>0.19</v>
      </c>
      <c r="H29" s="2">
        <v>0.2</v>
      </c>
      <c r="I29" s="2">
        <v>0.2</v>
      </c>
      <c r="J29" s="2">
        <v>0.19</v>
      </c>
      <c r="K29" s="2">
        <v>0.21</v>
      </c>
      <c r="L29" s="2">
        <v>0.21</v>
      </c>
      <c r="M29" s="2">
        <v>0.21</v>
      </c>
      <c r="N29" s="2">
        <v>0.21</v>
      </c>
      <c r="O29" s="2">
        <v>0.1</v>
      </c>
      <c r="P29" s="2">
        <v>0.22</v>
      </c>
      <c r="Q29" s="2">
        <v>0.35</v>
      </c>
      <c r="R29" s="2">
        <v>0.31</v>
      </c>
      <c r="T29" s="1" t="s">
        <v>25</v>
      </c>
      <c r="U29" s="2">
        <v>6601.58</v>
      </c>
      <c r="V29" s="2">
        <v>6411.11</v>
      </c>
      <c r="W29" s="2">
        <v>4652.66</v>
      </c>
      <c r="X29" s="2">
        <v>4898.07</v>
      </c>
      <c r="Y29" s="2">
        <v>4977.99</v>
      </c>
      <c r="Z29" s="2">
        <v>5878.81</v>
      </c>
      <c r="AA29" s="2">
        <v>4205.8500000000004</v>
      </c>
      <c r="AB29" s="2">
        <v>4735.12</v>
      </c>
      <c r="AC29" s="2">
        <v>4007.4</v>
      </c>
      <c r="AD29" s="2">
        <v>3629.21</v>
      </c>
      <c r="AE29" s="2">
        <v>3265.69</v>
      </c>
      <c r="AF29" s="2">
        <v>2942.04</v>
      </c>
      <c r="AG29" s="2">
        <v>635.46</v>
      </c>
      <c r="AH29" s="2">
        <v>2020.16</v>
      </c>
      <c r="AI29" s="2">
        <v>5032.7299999999996</v>
      </c>
      <c r="AJ29" s="2">
        <v>5134.88</v>
      </c>
      <c r="AM29" s="1" t="s">
        <v>25</v>
      </c>
      <c r="AN29" s="2">
        <v>21785.53</v>
      </c>
      <c r="AO29" s="2">
        <v>21661.99</v>
      </c>
      <c r="AP29" s="2">
        <v>20797.990000000002</v>
      </c>
      <c r="AQ29" s="2">
        <v>26540.43</v>
      </c>
      <c r="AR29" s="2">
        <v>24374.36</v>
      </c>
      <c r="AS29" s="2">
        <v>25542.67</v>
      </c>
      <c r="AT29" s="2">
        <v>19986.400000000001</v>
      </c>
      <c r="AU29" s="2">
        <v>22035.35</v>
      </c>
      <c r="AV29" s="2">
        <v>17620.02</v>
      </c>
      <c r="AW29" s="2">
        <v>16844.34</v>
      </c>
      <c r="AX29" s="2">
        <v>14035.86</v>
      </c>
      <c r="AY29" s="2">
        <v>13436.92</v>
      </c>
      <c r="AZ29" s="2">
        <v>5752.44</v>
      </c>
      <c r="BA29" s="2">
        <v>8382.2900000000009</v>
      </c>
      <c r="BB29" s="2">
        <v>12948.91</v>
      </c>
      <c r="BC29" s="2">
        <v>15688.98</v>
      </c>
      <c r="BF29" s="1" t="s">
        <v>25</v>
      </c>
      <c r="BG29" s="2">
        <v>28387.11</v>
      </c>
      <c r="BH29" s="2">
        <v>28073.1</v>
      </c>
      <c r="BI29" s="2">
        <v>25450.65</v>
      </c>
      <c r="BJ29" s="2">
        <v>31438.5</v>
      </c>
      <c r="BK29" s="2">
        <v>29352.35</v>
      </c>
      <c r="BL29" s="2">
        <v>31421.48</v>
      </c>
      <c r="BM29" s="2">
        <v>24192.25</v>
      </c>
      <c r="BN29" s="2">
        <v>26770.47</v>
      </c>
      <c r="BO29" s="2">
        <v>21627.42</v>
      </c>
      <c r="BP29" s="2">
        <v>20473.55</v>
      </c>
      <c r="BQ29" s="2">
        <v>17301.55</v>
      </c>
      <c r="BR29" s="2">
        <v>16378.97</v>
      </c>
      <c r="BS29" s="2">
        <v>6387.9</v>
      </c>
      <c r="BT29" s="2">
        <v>10402.450000000001</v>
      </c>
      <c r="BU29" s="2">
        <v>17981.64</v>
      </c>
      <c r="BV29" s="2">
        <v>20823.849999999999</v>
      </c>
    </row>
    <row r="30" spans="2:74" x14ac:dyDescent="0.3">
      <c r="B30" s="1" t="s">
        <v>26</v>
      </c>
      <c r="C30" s="2">
        <v>0.2</v>
      </c>
      <c r="D30" s="2">
        <v>0.21</v>
      </c>
      <c r="E30" s="2">
        <v>0.2</v>
      </c>
      <c r="F30" s="2">
        <v>0.21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0.25</v>
      </c>
      <c r="P30" s="2">
        <v>0.24</v>
      </c>
      <c r="Q30" s="2">
        <v>0.22</v>
      </c>
      <c r="R30" s="2">
        <v>0.22</v>
      </c>
      <c r="T30" s="1" t="s">
        <v>26</v>
      </c>
      <c r="U30" s="2">
        <v>2236.15</v>
      </c>
      <c r="V30" s="2">
        <v>2915.69</v>
      </c>
      <c r="W30" s="2">
        <v>1957.53</v>
      </c>
      <c r="X30" s="2">
        <v>2343.02</v>
      </c>
      <c r="Y30" s="2">
        <v>1805.34</v>
      </c>
      <c r="Z30" s="2">
        <v>2196.7199999999998</v>
      </c>
      <c r="AA30" s="2">
        <v>1439.08</v>
      </c>
      <c r="AB30" s="2">
        <v>1985.06</v>
      </c>
      <c r="AC30" s="2">
        <v>2204.59</v>
      </c>
      <c r="AD30" s="2">
        <v>1866</v>
      </c>
      <c r="AE30" s="2">
        <v>2204.66</v>
      </c>
      <c r="AF30" s="2">
        <v>1866.02</v>
      </c>
      <c r="AG30" s="2">
        <v>682.46</v>
      </c>
      <c r="AH30" s="2">
        <v>762.56</v>
      </c>
      <c r="AI30" s="2">
        <v>2551.15</v>
      </c>
      <c r="AJ30" s="2">
        <v>2347.0500000000002</v>
      </c>
      <c r="AM30" s="1" t="s">
        <v>26</v>
      </c>
      <c r="AN30" s="2">
        <v>11387.15</v>
      </c>
      <c r="AO30" s="2">
        <v>13767.01</v>
      </c>
      <c r="AP30" s="2">
        <v>11809.77</v>
      </c>
      <c r="AQ30" s="2">
        <v>12665.08</v>
      </c>
      <c r="AR30" s="2">
        <v>8651.4599999999991</v>
      </c>
      <c r="AS30" s="2">
        <v>9803.8799999999992</v>
      </c>
      <c r="AT30" s="2">
        <v>6884.42</v>
      </c>
      <c r="AU30" s="2">
        <v>8641.5400000000009</v>
      </c>
      <c r="AV30" s="2">
        <v>10324.31</v>
      </c>
      <c r="AW30" s="2">
        <v>8295</v>
      </c>
      <c r="AX30" s="2">
        <v>10324.24</v>
      </c>
      <c r="AY30" s="2">
        <v>8294.98</v>
      </c>
      <c r="AZ30" s="2">
        <v>2491.54</v>
      </c>
      <c r="BA30" s="2">
        <v>2798.74</v>
      </c>
      <c r="BB30" s="2">
        <v>14175.05</v>
      </c>
      <c r="BC30" s="2">
        <v>12112.84</v>
      </c>
      <c r="BF30" s="1" t="s">
        <v>26</v>
      </c>
      <c r="BG30" s="2">
        <v>13623.3</v>
      </c>
      <c r="BH30" s="2">
        <v>16682.7</v>
      </c>
      <c r="BI30" s="2">
        <v>13767.3</v>
      </c>
      <c r="BJ30" s="2">
        <v>15008.1</v>
      </c>
      <c r="BK30" s="2">
        <v>10456.799999999999</v>
      </c>
      <c r="BL30" s="2">
        <v>12000.6</v>
      </c>
      <c r="BM30" s="2">
        <v>8323.5</v>
      </c>
      <c r="BN30" s="2">
        <v>10626.6</v>
      </c>
      <c r="BO30" s="2">
        <v>12528.9</v>
      </c>
      <c r="BP30" s="2">
        <v>10161</v>
      </c>
      <c r="BQ30" s="2">
        <v>12528.9</v>
      </c>
      <c r="BR30" s="2">
        <v>10161</v>
      </c>
      <c r="BS30" s="2">
        <v>3174</v>
      </c>
      <c r="BT30" s="2">
        <v>3561.3</v>
      </c>
      <c r="BU30" s="2">
        <v>16726.2</v>
      </c>
      <c r="BV30" s="2">
        <v>14459.89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1518.72</v>
      </c>
      <c r="D37" s="2">
        <v>1453.87</v>
      </c>
      <c r="E37" s="2">
        <v>1265.95</v>
      </c>
      <c r="F37" s="2">
        <v>454.82</v>
      </c>
      <c r="G37" s="2">
        <v>470.17</v>
      </c>
      <c r="H37" s="2">
        <v>424.21</v>
      </c>
      <c r="I37" s="2">
        <v>438.21</v>
      </c>
      <c r="J37" s="2">
        <v>371.16</v>
      </c>
      <c r="K37" s="2">
        <v>376.26</v>
      </c>
      <c r="L37" s="2">
        <v>462.21</v>
      </c>
      <c r="M37" s="2">
        <v>376.26</v>
      </c>
      <c r="N37" s="2">
        <v>446.53</v>
      </c>
      <c r="O37" s="2">
        <v>124.3</v>
      </c>
      <c r="P37" s="2">
        <v>114.51</v>
      </c>
      <c r="Q37" s="2">
        <v>1209.56</v>
      </c>
      <c r="R37" s="2">
        <v>975.49</v>
      </c>
      <c r="T37" s="1" t="s">
        <v>19</v>
      </c>
      <c r="U37" s="2">
        <v>452</v>
      </c>
      <c r="V37" s="2">
        <v>432.7</v>
      </c>
      <c r="W37" s="2">
        <v>361.7</v>
      </c>
      <c r="X37" s="2">
        <v>129.94999999999999</v>
      </c>
      <c r="Y37" s="2">
        <v>119.94</v>
      </c>
      <c r="Z37" s="2">
        <v>108.22</v>
      </c>
      <c r="AA37" s="2">
        <v>94.85</v>
      </c>
      <c r="AB37" s="2">
        <v>80.34</v>
      </c>
      <c r="AC37" s="2">
        <v>103.37</v>
      </c>
      <c r="AD37" s="2">
        <v>126.98</v>
      </c>
      <c r="AE37" s="2">
        <v>103.37</v>
      </c>
      <c r="AF37" s="2">
        <v>122.67</v>
      </c>
      <c r="AG37" s="2">
        <v>42.28</v>
      </c>
      <c r="AH37" s="2">
        <v>38.950000000000003</v>
      </c>
      <c r="AI37" s="2">
        <v>1079.96</v>
      </c>
      <c r="AJ37" s="2">
        <v>870.98</v>
      </c>
      <c r="AM37" s="1" t="s">
        <v>19</v>
      </c>
      <c r="AN37" s="2">
        <v>2400</v>
      </c>
      <c r="AO37" s="2">
        <v>2400</v>
      </c>
      <c r="AP37" s="2">
        <v>3000</v>
      </c>
      <c r="AQ37" s="2">
        <v>2453.65</v>
      </c>
      <c r="AR37" s="2">
        <v>2023.06</v>
      </c>
      <c r="AS37" s="2">
        <v>1798.68</v>
      </c>
      <c r="AT37" s="2">
        <v>1784.25</v>
      </c>
      <c r="AU37" s="2">
        <v>1517.86</v>
      </c>
      <c r="AV37" s="2">
        <v>1941.43</v>
      </c>
      <c r="AW37" s="2">
        <v>2377.62</v>
      </c>
      <c r="AX37" s="2">
        <v>1941.43</v>
      </c>
      <c r="AY37" s="2">
        <v>2297.33</v>
      </c>
      <c r="AZ37" s="2">
        <v>791.52</v>
      </c>
      <c r="BA37" s="2">
        <v>729.45</v>
      </c>
      <c r="BB37" s="2">
        <v>2938.04</v>
      </c>
      <c r="BC37" s="2">
        <v>2399.12</v>
      </c>
      <c r="BF37" s="1" t="s">
        <v>19</v>
      </c>
      <c r="BG37" s="2">
        <v>2852</v>
      </c>
      <c r="BH37" s="2">
        <v>2832.7</v>
      </c>
      <c r="BI37" s="2">
        <v>3361.7</v>
      </c>
      <c r="BJ37" s="2">
        <v>2583.6</v>
      </c>
      <c r="BK37" s="2">
        <v>2143</v>
      </c>
      <c r="BL37" s="2">
        <v>1906.9</v>
      </c>
      <c r="BM37" s="2">
        <v>1879.1</v>
      </c>
      <c r="BN37" s="2">
        <v>1598.2</v>
      </c>
      <c r="BO37" s="2">
        <v>2044.8</v>
      </c>
      <c r="BP37" s="2">
        <v>2504.6</v>
      </c>
      <c r="BQ37" s="2">
        <v>2044.8</v>
      </c>
      <c r="BR37" s="2">
        <v>2420</v>
      </c>
      <c r="BS37" s="2">
        <v>833.8</v>
      </c>
      <c r="BT37" s="2">
        <v>768.4</v>
      </c>
      <c r="BU37" s="2">
        <v>4018</v>
      </c>
      <c r="BV37" s="2">
        <v>3270.1</v>
      </c>
    </row>
    <row r="38" spans="2:74" x14ac:dyDescent="0.3">
      <c r="B38" s="1" t="s">
        <v>20</v>
      </c>
      <c r="C38" s="2">
        <v>5268.01</v>
      </c>
      <c r="D38" s="2">
        <v>1646.12</v>
      </c>
      <c r="E38" s="2">
        <v>2787.46</v>
      </c>
      <c r="F38" s="2">
        <v>3557.45</v>
      </c>
      <c r="G38" s="2">
        <v>6856.87</v>
      </c>
      <c r="H38" s="2">
        <v>3039.04</v>
      </c>
      <c r="I38" s="2">
        <v>8206.44</v>
      </c>
      <c r="J38" s="2">
        <v>2570.9699999999998</v>
      </c>
      <c r="K38" s="2">
        <v>1956.6</v>
      </c>
      <c r="L38" s="2">
        <v>2030.99</v>
      </c>
      <c r="M38" s="2">
        <v>1956.6</v>
      </c>
      <c r="N38" s="2">
        <v>2026.55</v>
      </c>
      <c r="O38" s="2">
        <v>1386.67</v>
      </c>
      <c r="P38" s="2">
        <v>1137.8599999999999</v>
      </c>
      <c r="Q38" s="2">
        <v>1854.4</v>
      </c>
      <c r="R38" s="2">
        <v>1761.9</v>
      </c>
      <c r="T38" s="1" t="s">
        <v>20</v>
      </c>
      <c r="U38" s="2">
        <v>1219.45</v>
      </c>
      <c r="V38" s="2">
        <v>768.39</v>
      </c>
      <c r="W38" s="2">
        <v>1358.79</v>
      </c>
      <c r="X38" s="2">
        <v>790.54</v>
      </c>
      <c r="Y38" s="2">
        <v>1471.73</v>
      </c>
      <c r="Z38" s="2">
        <v>755.38</v>
      </c>
      <c r="AA38" s="2">
        <v>1381.56</v>
      </c>
      <c r="AB38" s="2">
        <v>700.25</v>
      </c>
      <c r="AC38" s="2">
        <v>808.47</v>
      </c>
      <c r="AD38" s="2">
        <v>1118.98</v>
      </c>
      <c r="AE38" s="2">
        <v>808.47</v>
      </c>
      <c r="AF38" s="2">
        <v>1106.2</v>
      </c>
      <c r="AG38" s="2">
        <v>675.6</v>
      </c>
      <c r="AH38" s="2">
        <v>554.75</v>
      </c>
      <c r="AI38" s="2">
        <v>1287.78</v>
      </c>
      <c r="AJ38" s="2">
        <v>1223.54</v>
      </c>
      <c r="AM38" s="1" t="s">
        <v>20</v>
      </c>
      <c r="AN38" s="2">
        <v>6389.4</v>
      </c>
      <c r="AO38" s="2">
        <v>4524.01</v>
      </c>
      <c r="AP38" s="2">
        <v>8300.31</v>
      </c>
      <c r="AQ38" s="2">
        <v>3912.48</v>
      </c>
      <c r="AR38" s="2">
        <v>8279.8700000000008</v>
      </c>
      <c r="AS38" s="2">
        <v>4133.0200000000004</v>
      </c>
      <c r="AT38" s="2">
        <v>7364.15</v>
      </c>
      <c r="AU38" s="2">
        <v>3938.65</v>
      </c>
      <c r="AV38" s="2">
        <v>4737.83</v>
      </c>
      <c r="AW38" s="2">
        <v>6201.32</v>
      </c>
      <c r="AX38" s="2">
        <v>4737.83</v>
      </c>
      <c r="AY38" s="2">
        <v>6125.7</v>
      </c>
      <c r="AZ38" s="2">
        <v>3652.8</v>
      </c>
      <c r="BA38" s="2">
        <v>2992.75</v>
      </c>
      <c r="BB38" s="2">
        <v>6746.22</v>
      </c>
      <c r="BC38" s="2">
        <v>6503.1</v>
      </c>
      <c r="BF38" s="1" t="s">
        <v>20</v>
      </c>
      <c r="BG38" s="2">
        <v>7608.84</v>
      </c>
      <c r="BH38" s="2">
        <v>5292.4</v>
      </c>
      <c r="BI38" s="2">
        <v>9659.1</v>
      </c>
      <c r="BJ38" s="2">
        <v>4703.03</v>
      </c>
      <c r="BK38" s="2">
        <v>9751.6</v>
      </c>
      <c r="BL38" s="2">
        <v>4888.3999999999996</v>
      </c>
      <c r="BM38" s="2">
        <v>8745.7099999999991</v>
      </c>
      <c r="BN38" s="2">
        <v>4638.8999999999996</v>
      </c>
      <c r="BO38" s="2">
        <v>5546.3</v>
      </c>
      <c r="BP38" s="2">
        <v>7320.3</v>
      </c>
      <c r="BQ38" s="2">
        <v>5546.3</v>
      </c>
      <c r="BR38" s="2">
        <v>7231.9</v>
      </c>
      <c r="BS38" s="2">
        <v>4328.3999999999996</v>
      </c>
      <c r="BT38" s="2">
        <v>3547.5</v>
      </c>
      <c r="BU38" s="2">
        <v>8034</v>
      </c>
      <c r="BV38" s="2">
        <v>7726.64</v>
      </c>
    </row>
    <row r="39" spans="2:74" x14ac:dyDescent="0.3">
      <c r="B39" s="1" t="s">
        <v>21</v>
      </c>
      <c r="C39" s="2">
        <v>52382.27</v>
      </c>
      <c r="D39" s="2">
        <v>11811.29</v>
      </c>
      <c r="E39" s="2">
        <v>22340.68</v>
      </c>
      <c r="F39" s="2">
        <v>25182.2</v>
      </c>
      <c r="G39" s="2">
        <v>64187.4</v>
      </c>
      <c r="H39" s="2">
        <v>19017.349999999999</v>
      </c>
      <c r="I39" s="2">
        <v>49041.26</v>
      </c>
      <c r="J39" s="2">
        <v>16390.009999999998</v>
      </c>
      <c r="K39" s="2">
        <v>4720.33</v>
      </c>
      <c r="L39" s="2">
        <v>6207.24</v>
      </c>
      <c r="M39" s="2">
        <v>4472.0200000000004</v>
      </c>
      <c r="N39" s="2">
        <v>5854.78</v>
      </c>
      <c r="O39" s="2">
        <v>4218.17</v>
      </c>
      <c r="P39" s="2">
        <v>1564.97</v>
      </c>
      <c r="Q39" s="2">
        <v>5438.99</v>
      </c>
      <c r="R39" s="2">
        <v>8756.9</v>
      </c>
      <c r="T39" s="1" t="s">
        <v>21</v>
      </c>
      <c r="U39" s="2">
        <v>1839.22</v>
      </c>
      <c r="V39" s="2">
        <v>911.37</v>
      </c>
      <c r="W39" s="2">
        <v>1654.87</v>
      </c>
      <c r="X39" s="2">
        <v>1865.35</v>
      </c>
      <c r="Y39" s="2">
        <v>2056.15</v>
      </c>
      <c r="Z39" s="2">
        <v>1307.8599999999999</v>
      </c>
      <c r="AA39" s="2">
        <v>1512.75</v>
      </c>
      <c r="AB39" s="2">
        <v>1185.96</v>
      </c>
      <c r="AC39" s="2">
        <v>786.98</v>
      </c>
      <c r="AD39" s="2">
        <v>912.66</v>
      </c>
      <c r="AE39" s="2">
        <v>652.98</v>
      </c>
      <c r="AF39" s="2">
        <v>744.87</v>
      </c>
      <c r="AG39" s="2">
        <v>572.22</v>
      </c>
      <c r="AH39" s="2">
        <v>276.01</v>
      </c>
      <c r="AI39" s="2">
        <v>1259.03</v>
      </c>
      <c r="AJ39" s="2">
        <v>2027.06</v>
      </c>
      <c r="AM39" s="1" t="s">
        <v>21</v>
      </c>
      <c r="AN39" s="2">
        <v>8320.7800000000007</v>
      </c>
      <c r="AO39" s="2">
        <v>4263.9799999999996</v>
      </c>
      <c r="AP39" s="2">
        <v>10786.53</v>
      </c>
      <c r="AQ39" s="2">
        <v>5198.1400000000003</v>
      </c>
      <c r="AR39" s="2">
        <v>10192.790000000001</v>
      </c>
      <c r="AS39" s="2">
        <v>7554.65</v>
      </c>
      <c r="AT39" s="2">
        <v>9528.36</v>
      </c>
      <c r="AU39" s="2">
        <v>7041.85</v>
      </c>
      <c r="AV39" s="2">
        <v>4674.84</v>
      </c>
      <c r="AW39" s="2">
        <v>5292.36</v>
      </c>
      <c r="AX39" s="2">
        <v>3856.82</v>
      </c>
      <c r="AY39" s="2">
        <v>4289.33</v>
      </c>
      <c r="AZ39" s="2">
        <v>3208.22</v>
      </c>
      <c r="BA39" s="2">
        <v>2465.9899999999998</v>
      </c>
      <c r="BB39" s="2">
        <v>5516.67</v>
      </c>
      <c r="BC39" s="2">
        <v>5979.84</v>
      </c>
      <c r="BF39" s="1" t="s">
        <v>21</v>
      </c>
      <c r="BG39" s="2">
        <v>10160</v>
      </c>
      <c r="BH39" s="2">
        <v>5175.34</v>
      </c>
      <c r="BI39" s="2">
        <v>12441.4</v>
      </c>
      <c r="BJ39" s="2">
        <v>7063.49</v>
      </c>
      <c r="BK39" s="2">
        <v>12248.94</v>
      </c>
      <c r="BL39" s="2">
        <v>8862.51</v>
      </c>
      <c r="BM39" s="2">
        <v>11041.11</v>
      </c>
      <c r="BN39" s="2">
        <v>8227.81</v>
      </c>
      <c r="BO39" s="2">
        <v>5461.82</v>
      </c>
      <c r="BP39" s="2">
        <v>6205.02</v>
      </c>
      <c r="BQ39" s="2">
        <v>4509.8</v>
      </c>
      <c r="BR39" s="2">
        <v>5034.2</v>
      </c>
      <c r="BS39" s="2">
        <v>3780.43</v>
      </c>
      <c r="BT39" s="2">
        <v>2742</v>
      </c>
      <c r="BU39" s="2">
        <v>6775.7</v>
      </c>
      <c r="BV39" s="2">
        <v>8006.9</v>
      </c>
    </row>
    <row r="40" spans="2:74" x14ac:dyDescent="0.3">
      <c r="B40" s="1" t="s">
        <v>22</v>
      </c>
      <c r="C40" s="2">
        <v>5811.25</v>
      </c>
      <c r="D40" s="2">
        <v>3217.71</v>
      </c>
      <c r="E40" s="2">
        <v>4876.71</v>
      </c>
      <c r="F40" s="2">
        <v>6678.12</v>
      </c>
      <c r="G40" s="2">
        <v>9528.7199999999993</v>
      </c>
      <c r="H40" s="2">
        <v>6653.53</v>
      </c>
      <c r="I40" s="2">
        <v>3922.37</v>
      </c>
      <c r="J40" s="2">
        <v>3424.04</v>
      </c>
      <c r="K40" s="2">
        <v>1727.95</v>
      </c>
      <c r="L40" s="2">
        <v>1477.41</v>
      </c>
      <c r="M40" s="2">
        <v>1594.28</v>
      </c>
      <c r="N40" s="2">
        <v>577.85</v>
      </c>
      <c r="O40" s="2">
        <v>381.41</v>
      </c>
      <c r="P40" s="2">
        <v>381.32</v>
      </c>
      <c r="Q40" s="2">
        <v>1584.92</v>
      </c>
      <c r="R40" s="2">
        <v>1548.61</v>
      </c>
      <c r="T40" s="1" t="s">
        <v>22</v>
      </c>
      <c r="U40" s="2">
        <v>1345.2</v>
      </c>
      <c r="V40" s="2">
        <v>747.3</v>
      </c>
      <c r="W40" s="2">
        <v>1433.12</v>
      </c>
      <c r="X40" s="2">
        <v>1484.03</v>
      </c>
      <c r="Y40" s="2">
        <v>1486.71</v>
      </c>
      <c r="Z40" s="2">
        <v>1374.27</v>
      </c>
      <c r="AA40" s="2">
        <v>1328.82</v>
      </c>
      <c r="AB40" s="2">
        <v>1142.3</v>
      </c>
      <c r="AC40" s="2">
        <v>980.69</v>
      </c>
      <c r="AD40" s="2">
        <v>422.73</v>
      </c>
      <c r="AE40" s="2">
        <v>788.77</v>
      </c>
      <c r="AF40" s="2">
        <v>593.17999999999995</v>
      </c>
      <c r="AG40" s="2">
        <v>373.04</v>
      </c>
      <c r="AH40" s="2">
        <v>372.78</v>
      </c>
      <c r="AI40" s="2">
        <v>1100.6400000000001</v>
      </c>
      <c r="AJ40" s="2">
        <v>1075.43</v>
      </c>
      <c r="AM40" s="1" t="s">
        <v>22</v>
      </c>
      <c r="AN40" s="2">
        <v>7123.34</v>
      </c>
      <c r="AO40" s="2">
        <v>4772.01</v>
      </c>
      <c r="AP40" s="2">
        <v>10173.98</v>
      </c>
      <c r="AQ40" s="2">
        <v>8222.23</v>
      </c>
      <c r="AR40" s="2">
        <v>9013.2900000000009</v>
      </c>
      <c r="AS40" s="2">
        <v>8311.93</v>
      </c>
      <c r="AT40" s="2">
        <v>7824.08</v>
      </c>
      <c r="AU40" s="2">
        <v>6805.2</v>
      </c>
      <c r="AV40" s="2">
        <v>5865.31</v>
      </c>
      <c r="AW40" s="2">
        <v>3841.77</v>
      </c>
      <c r="AX40" s="2">
        <v>4687.83</v>
      </c>
      <c r="AY40" s="2">
        <v>3671.32</v>
      </c>
      <c r="AZ40" s="2">
        <v>2130.5300000000002</v>
      </c>
      <c r="BA40" s="2">
        <v>2131.8200000000002</v>
      </c>
      <c r="BB40" s="2">
        <v>5439.26</v>
      </c>
      <c r="BC40" s="2">
        <v>5224.57</v>
      </c>
      <c r="BF40" s="1" t="s">
        <v>22</v>
      </c>
      <c r="BG40" s="2">
        <v>8468.5300000000007</v>
      </c>
      <c r="BH40" s="2">
        <v>5519.31</v>
      </c>
      <c r="BI40" s="2">
        <v>11607.1</v>
      </c>
      <c r="BJ40" s="2">
        <v>9706.26</v>
      </c>
      <c r="BK40" s="2">
        <v>10500</v>
      </c>
      <c r="BL40" s="2">
        <v>9686.2000000000007</v>
      </c>
      <c r="BM40" s="2">
        <v>9152.9</v>
      </c>
      <c r="BN40" s="2">
        <v>7947.5</v>
      </c>
      <c r="BO40" s="2">
        <v>6846</v>
      </c>
      <c r="BP40" s="2">
        <v>4264.5</v>
      </c>
      <c r="BQ40" s="2">
        <v>5476.6</v>
      </c>
      <c r="BR40" s="2">
        <v>4264.5</v>
      </c>
      <c r="BS40" s="2">
        <v>2503.5700000000002</v>
      </c>
      <c r="BT40" s="2">
        <v>2504.6</v>
      </c>
      <c r="BU40" s="2">
        <v>6539.9</v>
      </c>
      <c r="BV40" s="2">
        <v>6300</v>
      </c>
    </row>
    <row r="41" spans="2:74" x14ac:dyDescent="0.3">
      <c r="B41" s="1" t="s">
        <v>23</v>
      </c>
      <c r="C41" s="2">
        <v>21637.61</v>
      </c>
      <c r="D41" s="2">
        <v>24155.71</v>
      </c>
      <c r="E41" s="2">
        <v>27449.46</v>
      </c>
      <c r="F41" s="2">
        <v>29645.71</v>
      </c>
      <c r="G41" s="2">
        <v>23137.66</v>
      </c>
      <c r="H41" s="2">
        <v>26017.86</v>
      </c>
      <c r="I41" s="2">
        <v>10809.99</v>
      </c>
      <c r="J41" s="2">
        <v>14557.02</v>
      </c>
      <c r="K41" s="2">
        <v>9618.59</v>
      </c>
      <c r="L41" s="2">
        <v>7580.66</v>
      </c>
      <c r="M41" s="2">
        <v>10290.51</v>
      </c>
      <c r="N41" s="2">
        <v>7559.03</v>
      </c>
      <c r="O41" s="2">
        <v>3825.05</v>
      </c>
      <c r="P41" s="2">
        <v>3588.09</v>
      </c>
      <c r="Q41" s="2">
        <v>9489.48</v>
      </c>
      <c r="R41" s="2">
        <v>9025.6200000000008</v>
      </c>
      <c r="T41" s="1" t="s">
        <v>23</v>
      </c>
      <c r="U41" s="2">
        <v>1001.74</v>
      </c>
      <c r="V41" s="2">
        <v>1118.32</v>
      </c>
      <c r="W41" s="2">
        <v>1219.98</v>
      </c>
      <c r="X41" s="2">
        <v>1317.59</v>
      </c>
      <c r="Y41" s="2">
        <v>1104.95</v>
      </c>
      <c r="Z41" s="2">
        <v>1289.54</v>
      </c>
      <c r="AA41" s="2">
        <v>944.41</v>
      </c>
      <c r="AB41" s="2">
        <v>1150.75</v>
      </c>
      <c r="AC41" s="2">
        <v>1175.6199999999999</v>
      </c>
      <c r="AD41" s="2">
        <v>996.39</v>
      </c>
      <c r="AE41" s="2">
        <v>1156.83</v>
      </c>
      <c r="AF41" s="2">
        <v>976.17</v>
      </c>
      <c r="AG41" s="2">
        <v>470.9</v>
      </c>
      <c r="AH41" s="2">
        <v>453.83</v>
      </c>
      <c r="AI41" s="2">
        <v>1317.98</v>
      </c>
      <c r="AJ41" s="2">
        <v>1253.56</v>
      </c>
      <c r="AM41" s="1" t="s">
        <v>23</v>
      </c>
      <c r="AN41" s="2">
        <v>4810.21</v>
      </c>
      <c r="AO41" s="2">
        <v>5443.34</v>
      </c>
      <c r="AP41" s="2">
        <v>7272.22</v>
      </c>
      <c r="AQ41" s="2">
        <v>6950.54</v>
      </c>
      <c r="AR41" s="2">
        <v>6394.25</v>
      </c>
      <c r="AS41" s="2">
        <v>7193.66</v>
      </c>
      <c r="AT41" s="2">
        <v>5316.49</v>
      </c>
      <c r="AU41" s="2">
        <v>6430.95</v>
      </c>
      <c r="AV41" s="2">
        <v>6608.18</v>
      </c>
      <c r="AW41" s="2">
        <v>5689.81</v>
      </c>
      <c r="AX41" s="2">
        <v>6491.57</v>
      </c>
      <c r="AY41" s="2">
        <v>5569.43</v>
      </c>
      <c r="AZ41" s="2">
        <v>2573.4</v>
      </c>
      <c r="BA41" s="2">
        <v>2480.9699999999998</v>
      </c>
      <c r="BB41" s="2">
        <v>6872.02</v>
      </c>
      <c r="BC41" s="2">
        <v>6399.6</v>
      </c>
      <c r="BF41" s="1" t="s">
        <v>23</v>
      </c>
      <c r="BG41" s="2">
        <v>5811.95</v>
      </c>
      <c r="BH41" s="2">
        <v>6561.66</v>
      </c>
      <c r="BI41" s="2">
        <v>8492.2000000000007</v>
      </c>
      <c r="BJ41" s="2">
        <v>8268.1200000000008</v>
      </c>
      <c r="BK41" s="2">
        <v>7499.2</v>
      </c>
      <c r="BL41" s="2">
        <v>8483.2000000000007</v>
      </c>
      <c r="BM41" s="2">
        <v>6260.9</v>
      </c>
      <c r="BN41" s="2">
        <v>7581.7</v>
      </c>
      <c r="BO41" s="2">
        <v>7783.8</v>
      </c>
      <c r="BP41" s="2">
        <v>6686.2</v>
      </c>
      <c r="BQ41" s="2">
        <v>7648.4</v>
      </c>
      <c r="BR41" s="2">
        <v>6545.6</v>
      </c>
      <c r="BS41" s="2">
        <v>3044.3</v>
      </c>
      <c r="BT41" s="2">
        <v>2934.8</v>
      </c>
      <c r="BU41" s="2">
        <v>8190</v>
      </c>
      <c r="BV41" s="2">
        <v>7653.15</v>
      </c>
    </row>
    <row r="42" spans="2:74" x14ac:dyDescent="0.3">
      <c r="B42" s="1" t="s">
        <v>24</v>
      </c>
      <c r="C42" s="2">
        <v>5574.01</v>
      </c>
      <c r="D42" s="2">
        <v>5107</v>
      </c>
      <c r="E42" s="2">
        <v>4210.5600000000004</v>
      </c>
      <c r="F42" s="2">
        <v>7569.22</v>
      </c>
      <c r="G42" s="2">
        <v>8918.09</v>
      </c>
      <c r="H42" s="2">
        <v>9200.4599999999991</v>
      </c>
      <c r="I42" s="2">
        <v>3457.58</v>
      </c>
      <c r="J42" s="2">
        <v>7338.65</v>
      </c>
      <c r="K42" s="2">
        <v>1433.89</v>
      </c>
      <c r="L42" s="2">
        <v>991.44</v>
      </c>
      <c r="M42" s="2">
        <v>1516.66</v>
      </c>
      <c r="N42" s="2">
        <v>1051.19</v>
      </c>
      <c r="O42" s="2">
        <v>983.17</v>
      </c>
      <c r="P42" s="2">
        <v>757.68</v>
      </c>
      <c r="Q42" s="2">
        <v>1252.46</v>
      </c>
      <c r="R42" s="2">
        <v>1450.17</v>
      </c>
      <c r="T42" s="1" t="s">
        <v>24</v>
      </c>
      <c r="U42" s="2">
        <v>1290.28</v>
      </c>
      <c r="V42" s="2">
        <v>1182.18</v>
      </c>
      <c r="W42" s="2">
        <v>1595.77</v>
      </c>
      <c r="X42" s="2">
        <v>1935.98</v>
      </c>
      <c r="Y42" s="2">
        <v>1792.22</v>
      </c>
      <c r="Z42" s="2">
        <v>1926.99</v>
      </c>
      <c r="AA42" s="2">
        <v>1488.9</v>
      </c>
      <c r="AB42" s="2">
        <v>1777.77</v>
      </c>
      <c r="AC42" s="2">
        <v>1332.93</v>
      </c>
      <c r="AD42" s="2">
        <v>1104.47</v>
      </c>
      <c r="AE42" s="2">
        <v>1132.72</v>
      </c>
      <c r="AF42" s="2">
        <v>890.11</v>
      </c>
      <c r="AG42" s="2">
        <v>754.51</v>
      </c>
      <c r="AH42" s="2">
        <v>672.14</v>
      </c>
      <c r="AI42" s="2">
        <v>1195.1600000000001</v>
      </c>
      <c r="AJ42" s="2">
        <v>1007.06</v>
      </c>
      <c r="AM42" s="1" t="s">
        <v>24</v>
      </c>
      <c r="AN42" s="2">
        <v>6244.8</v>
      </c>
      <c r="AO42" s="2">
        <v>5416.51</v>
      </c>
      <c r="AP42" s="2">
        <v>8928.75</v>
      </c>
      <c r="AQ42" s="2">
        <v>10108.92</v>
      </c>
      <c r="AR42" s="2">
        <v>8707.7800000000007</v>
      </c>
      <c r="AS42" s="2">
        <v>9310.2199999999993</v>
      </c>
      <c r="AT42" s="2">
        <v>6819.8</v>
      </c>
      <c r="AU42" s="2">
        <v>8222.23</v>
      </c>
      <c r="AV42" s="2">
        <v>5631.05</v>
      </c>
      <c r="AW42" s="2">
        <v>4806.32</v>
      </c>
      <c r="AX42" s="2">
        <v>4727.88</v>
      </c>
      <c r="AY42" s="2">
        <v>3838.44</v>
      </c>
      <c r="AZ42" s="2">
        <v>3144.47</v>
      </c>
      <c r="BA42" s="2">
        <v>2795.32</v>
      </c>
      <c r="BB42" s="2">
        <v>5928.11</v>
      </c>
      <c r="BC42" s="2">
        <v>4347.9399999999996</v>
      </c>
      <c r="BF42" s="1" t="s">
        <v>24</v>
      </c>
      <c r="BG42" s="2">
        <v>7535.08</v>
      </c>
      <c r="BH42" s="2">
        <v>6598.68</v>
      </c>
      <c r="BI42" s="2">
        <v>10524.52</v>
      </c>
      <c r="BJ42" s="2">
        <v>12044.9</v>
      </c>
      <c r="BK42" s="2">
        <v>10500</v>
      </c>
      <c r="BL42" s="2">
        <v>11237.22</v>
      </c>
      <c r="BM42" s="2">
        <v>8308.7000000000007</v>
      </c>
      <c r="BN42" s="2">
        <v>10000</v>
      </c>
      <c r="BO42" s="2">
        <v>6963.98</v>
      </c>
      <c r="BP42" s="2">
        <v>5910.78</v>
      </c>
      <c r="BQ42" s="2">
        <v>5860.6</v>
      </c>
      <c r="BR42" s="2">
        <v>4728.55</v>
      </c>
      <c r="BS42" s="2">
        <v>3898.98</v>
      </c>
      <c r="BT42" s="2">
        <v>3467.46</v>
      </c>
      <c r="BU42" s="2">
        <v>7123.27</v>
      </c>
      <c r="BV42" s="2">
        <v>5355</v>
      </c>
    </row>
    <row r="43" spans="2:74" x14ac:dyDescent="0.3">
      <c r="B43" s="1" t="s">
        <v>25</v>
      </c>
      <c r="C43" s="2">
        <v>28518.82</v>
      </c>
      <c r="D43" s="2">
        <v>27695.97</v>
      </c>
      <c r="E43" s="2">
        <v>20936.86</v>
      </c>
      <c r="F43" s="2">
        <v>20012.03</v>
      </c>
      <c r="G43" s="2">
        <v>24996.31</v>
      </c>
      <c r="H43" s="2">
        <v>29629.18</v>
      </c>
      <c r="I43" s="2">
        <v>13807.81</v>
      </c>
      <c r="J43" s="2">
        <v>18806.560000000001</v>
      </c>
      <c r="K43" s="2">
        <v>7355.79</v>
      </c>
      <c r="L43" s="2">
        <v>6741.24</v>
      </c>
      <c r="M43" s="2">
        <v>7601.33</v>
      </c>
      <c r="N43" s="2">
        <v>6823.2</v>
      </c>
      <c r="O43" s="2">
        <v>1801.53</v>
      </c>
      <c r="P43" s="2">
        <v>3512.6</v>
      </c>
      <c r="Q43" s="2">
        <v>7247.13</v>
      </c>
      <c r="R43" s="2">
        <v>7394.23</v>
      </c>
      <c r="T43" s="1" t="s">
        <v>25</v>
      </c>
      <c r="U43" s="2">
        <v>2200.5300000000002</v>
      </c>
      <c r="V43" s="2">
        <v>2137.04</v>
      </c>
      <c r="W43" s="2">
        <v>1550.89</v>
      </c>
      <c r="X43" s="2">
        <v>1632.69</v>
      </c>
      <c r="Y43" s="2">
        <v>1659.33</v>
      </c>
      <c r="Z43" s="2">
        <v>1959.6</v>
      </c>
      <c r="AA43" s="2">
        <v>1401.95</v>
      </c>
      <c r="AB43" s="2">
        <v>1578.37</v>
      </c>
      <c r="AC43" s="2">
        <v>1335.8</v>
      </c>
      <c r="AD43" s="2">
        <v>1209.74</v>
      </c>
      <c r="AE43" s="2">
        <v>1088.56</v>
      </c>
      <c r="AF43" s="2">
        <v>980.68</v>
      </c>
      <c r="AG43" s="2">
        <v>211.82</v>
      </c>
      <c r="AH43" s="2">
        <v>673.39</v>
      </c>
      <c r="AI43" s="2">
        <v>1677.58</v>
      </c>
      <c r="AJ43" s="2">
        <v>1711.63</v>
      </c>
      <c r="AM43" s="1" t="s">
        <v>25</v>
      </c>
      <c r="AN43" s="2">
        <v>7261.84</v>
      </c>
      <c r="AO43" s="2">
        <v>7220.66</v>
      </c>
      <c r="AP43" s="2">
        <v>6932.66</v>
      </c>
      <c r="AQ43" s="2">
        <v>8846.81</v>
      </c>
      <c r="AR43" s="2">
        <v>8124.79</v>
      </c>
      <c r="AS43" s="2">
        <v>8514.2199999999993</v>
      </c>
      <c r="AT43" s="2">
        <v>6662.13</v>
      </c>
      <c r="AU43" s="2">
        <v>7345.12</v>
      </c>
      <c r="AV43" s="2">
        <v>5873.34</v>
      </c>
      <c r="AW43" s="2">
        <v>5614.78</v>
      </c>
      <c r="AX43" s="2">
        <v>4678.62</v>
      </c>
      <c r="AY43" s="2">
        <v>4478.97</v>
      </c>
      <c r="AZ43" s="2">
        <v>1917.48</v>
      </c>
      <c r="BA43" s="2">
        <v>2794.1</v>
      </c>
      <c r="BB43" s="2">
        <v>4316.3</v>
      </c>
      <c r="BC43" s="2">
        <v>5229.66</v>
      </c>
      <c r="BF43" s="1" t="s">
        <v>25</v>
      </c>
      <c r="BG43" s="2">
        <v>9462.3700000000008</v>
      </c>
      <c r="BH43" s="2">
        <v>9357.7000000000007</v>
      </c>
      <c r="BI43" s="2">
        <v>8483.5499999999993</v>
      </c>
      <c r="BJ43" s="2">
        <v>10479.5</v>
      </c>
      <c r="BK43" s="2">
        <v>9784.1200000000008</v>
      </c>
      <c r="BL43" s="2">
        <v>10473.83</v>
      </c>
      <c r="BM43" s="2">
        <v>8064.08</v>
      </c>
      <c r="BN43" s="2">
        <v>8923.49</v>
      </c>
      <c r="BO43" s="2">
        <v>7209.14</v>
      </c>
      <c r="BP43" s="2">
        <v>6824.52</v>
      </c>
      <c r="BQ43" s="2">
        <v>5767.18</v>
      </c>
      <c r="BR43" s="2">
        <v>5459.66</v>
      </c>
      <c r="BS43" s="2">
        <v>2129.3000000000002</v>
      </c>
      <c r="BT43" s="2">
        <v>3467.48</v>
      </c>
      <c r="BU43" s="2">
        <v>5993.88</v>
      </c>
      <c r="BV43" s="2">
        <v>6941.28</v>
      </c>
    </row>
    <row r="44" spans="2:74" x14ac:dyDescent="0.3">
      <c r="B44" s="1" t="s">
        <v>26</v>
      </c>
      <c r="C44" s="2">
        <v>4950.33</v>
      </c>
      <c r="D44" s="2">
        <v>5666.54</v>
      </c>
      <c r="E44" s="2">
        <v>5499.87</v>
      </c>
      <c r="F44" s="2">
        <v>1560.83</v>
      </c>
      <c r="G44" s="2">
        <v>6239.5</v>
      </c>
      <c r="H44" s="2">
        <v>6633.37</v>
      </c>
      <c r="I44" s="2">
        <v>4220.74</v>
      </c>
      <c r="J44" s="2">
        <v>4583.1499999999996</v>
      </c>
      <c r="K44" s="2">
        <v>5200.78</v>
      </c>
      <c r="L44" s="2">
        <v>4903.13</v>
      </c>
      <c r="M44" s="2">
        <v>5200.7299999999996</v>
      </c>
      <c r="N44" s="2">
        <v>4903.12</v>
      </c>
      <c r="O44" s="2">
        <v>715.49</v>
      </c>
      <c r="P44" s="2">
        <v>905.63</v>
      </c>
      <c r="Q44" s="2">
        <v>3179.74</v>
      </c>
      <c r="R44" s="2">
        <v>3241.93</v>
      </c>
      <c r="T44" s="1" t="s">
        <v>26</v>
      </c>
      <c r="U44" s="2">
        <v>745.38</v>
      </c>
      <c r="V44" s="2">
        <v>971.9</v>
      </c>
      <c r="W44" s="2">
        <v>652.51</v>
      </c>
      <c r="X44" s="2">
        <v>781.01</v>
      </c>
      <c r="Y44" s="2">
        <v>601.78</v>
      </c>
      <c r="Z44" s="2">
        <v>732.24</v>
      </c>
      <c r="AA44" s="2">
        <v>479.69</v>
      </c>
      <c r="AB44" s="2">
        <v>661.69</v>
      </c>
      <c r="AC44" s="2">
        <v>734.86</v>
      </c>
      <c r="AD44" s="2">
        <v>622</v>
      </c>
      <c r="AE44" s="2">
        <v>734.89</v>
      </c>
      <c r="AF44" s="2">
        <v>622.01</v>
      </c>
      <c r="AG44" s="2">
        <v>227.49</v>
      </c>
      <c r="AH44" s="2">
        <v>254.19</v>
      </c>
      <c r="AI44" s="2">
        <v>850.38</v>
      </c>
      <c r="AJ44" s="2">
        <v>782.35</v>
      </c>
      <c r="AM44" s="1" t="s">
        <v>26</v>
      </c>
      <c r="AN44" s="2">
        <v>3795.72</v>
      </c>
      <c r="AO44" s="2">
        <v>4589</v>
      </c>
      <c r="AP44" s="2">
        <v>3936.59</v>
      </c>
      <c r="AQ44" s="2">
        <v>4221.6899999999996</v>
      </c>
      <c r="AR44" s="2">
        <v>2883.82</v>
      </c>
      <c r="AS44" s="2">
        <v>3267.96</v>
      </c>
      <c r="AT44" s="2">
        <v>2294.81</v>
      </c>
      <c r="AU44" s="2">
        <v>2880.51</v>
      </c>
      <c r="AV44" s="2">
        <v>3441.44</v>
      </c>
      <c r="AW44" s="2">
        <v>2765</v>
      </c>
      <c r="AX44" s="2">
        <v>3441.41</v>
      </c>
      <c r="AY44" s="2">
        <v>2764.99</v>
      </c>
      <c r="AZ44" s="2">
        <v>830.51</v>
      </c>
      <c r="BA44" s="2">
        <v>932.91</v>
      </c>
      <c r="BB44" s="2">
        <v>4725.0200000000004</v>
      </c>
      <c r="BC44" s="2">
        <v>4037.61</v>
      </c>
      <c r="BF44" s="1" t="s">
        <v>26</v>
      </c>
      <c r="BG44" s="2">
        <v>4541.1000000000004</v>
      </c>
      <c r="BH44" s="2">
        <v>5560.9</v>
      </c>
      <c r="BI44" s="2">
        <v>4589.1000000000004</v>
      </c>
      <c r="BJ44" s="2">
        <v>5002.7</v>
      </c>
      <c r="BK44" s="2">
        <v>3485.6</v>
      </c>
      <c r="BL44" s="2">
        <v>4000.2</v>
      </c>
      <c r="BM44" s="2">
        <v>2774.5</v>
      </c>
      <c r="BN44" s="2">
        <v>3542.2</v>
      </c>
      <c r="BO44" s="2">
        <v>4176.3</v>
      </c>
      <c r="BP44" s="2">
        <v>3387</v>
      </c>
      <c r="BQ44" s="2">
        <v>4176.3</v>
      </c>
      <c r="BR44" s="2">
        <v>3387</v>
      </c>
      <c r="BS44" s="2">
        <v>1058</v>
      </c>
      <c r="BT44" s="2">
        <v>1187.0999999999999</v>
      </c>
      <c r="BU44" s="2">
        <v>5575.4</v>
      </c>
      <c r="BV44" s="2">
        <v>4819.96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1049.1500000000001</v>
      </c>
      <c r="D51" s="2">
        <v>993.2</v>
      </c>
      <c r="E51" s="2">
        <v>755.29</v>
      </c>
      <c r="F51" s="2">
        <v>194.32</v>
      </c>
      <c r="G51" s="2">
        <v>345.8</v>
      </c>
      <c r="H51" s="2">
        <v>295.69</v>
      </c>
      <c r="I51" s="2">
        <v>302.36</v>
      </c>
      <c r="J51" s="2">
        <v>217.59</v>
      </c>
      <c r="K51" s="2">
        <v>195.86</v>
      </c>
      <c r="L51" s="2">
        <v>282.48</v>
      </c>
      <c r="M51" s="2">
        <v>195.86</v>
      </c>
      <c r="N51" s="2">
        <v>270.97000000000003</v>
      </c>
      <c r="O51" s="2">
        <v>72.959999999999994</v>
      </c>
      <c r="P51" s="2">
        <v>65.319999999999993</v>
      </c>
      <c r="Q51" s="2">
        <v>645.34</v>
      </c>
      <c r="R51" s="2">
        <v>419.14</v>
      </c>
      <c r="T51" s="1" t="s">
        <v>19</v>
      </c>
      <c r="U51" s="2">
        <v>0.13</v>
      </c>
      <c r="V51" s="2">
        <v>0.12</v>
      </c>
      <c r="W51" s="2">
        <v>0.1</v>
      </c>
      <c r="X51" s="2">
        <v>0.04</v>
      </c>
      <c r="Y51" s="2">
        <v>0.03</v>
      </c>
      <c r="Z51" s="2">
        <v>0.03</v>
      </c>
      <c r="AA51" s="2">
        <v>0.03</v>
      </c>
      <c r="AB51" s="2">
        <v>0.02</v>
      </c>
      <c r="AC51" s="2">
        <v>0.03</v>
      </c>
      <c r="AD51" s="2">
        <v>0.04</v>
      </c>
      <c r="AE51" s="2">
        <v>0.03</v>
      </c>
      <c r="AF51" s="2">
        <v>0.03</v>
      </c>
      <c r="AG51" s="2">
        <v>0.01</v>
      </c>
      <c r="AH51" s="2">
        <v>0.01</v>
      </c>
      <c r="AI51" s="2">
        <v>0.3</v>
      </c>
      <c r="AJ51" s="2">
        <v>0.24</v>
      </c>
      <c r="AM51" s="1" t="s">
        <v>19</v>
      </c>
      <c r="AN51" s="2">
        <v>0.3</v>
      </c>
      <c r="AO51" s="2">
        <v>0.3</v>
      </c>
      <c r="AP51" s="2">
        <v>0.3</v>
      </c>
      <c r="AQ51" s="2">
        <v>0.25</v>
      </c>
      <c r="AR51" s="2">
        <v>0.2</v>
      </c>
      <c r="AS51" s="2">
        <v>0.18</v>
      </c>
      <c r="AT51" s="2">
        <v>0.18</v>
      </c>
      <c r="AU51" s="2">
        <v>0.15</v>
      </c>
      <c r="AV51" s="2">
        <v>0.19</v>
      </c>
      <c r="AW51" s="2">
        <v>0.24</v>
      </c>
      <c r="AX51" s="2">
        <v>0.24</v>
      </c>
      <c r="AY51" s="2">
        <v>0.28999999999999998</v>
      </c>
      <c r="AZ51" s="2">
        <v>0.13</v>
      </c>
      <c r="BA51" s="2">
        <v>0.12</v>
      </c>
      <c r="BB51" s="2">
        <v>0.49</v>
      </c>
      <c r="BC51" s="2">
        <v>0.4</v>
      </c>
      <c r="BF51" s="1" t="s">
        <v>19</v>
      </c>
      <c r="BG51" s="2">
        <v>0.36</v>
      </c>
      <c r="BH51" s="2">
        <v>0.35</v>
      </c>
      <c r="BI51" s="2">
        <v>0.34</v>
      </c>
      <c r="BJ51" s="2">
        <v>0.26</v>
      </c>
      <c r="BK51" s="2">
        <v>0.21</v>
      </c>
      <c r="BL51" s="2">
        <v>0.19</v>
      </c>
      <c r="BM51" s="2">
        <v>0.19</v>
      </c>
      <c r="BN51" s="2">
        <v>0.16</v>
      </c>
      <c r="BO51" s="2">
        <v>0.2</v>
      </c>
      <c r="BP51" s="2">
        <v>0.25</v>
      </c>
      <c r="BQ51" s="2">
        <v>0.26</v>
      </c>
      <c r="BR51" s="2">
        <v>0.3</v>
      </c>
      <c r="BS51" s="2">
        <v>0.14000000000000001</v>
      </c>
      <c r="BT51" s="2">
        <v>0.13</v>
      </c>
      <c r="BU51" s="2">
        <v>0.67</v>
      </c>
      <c r="BV51" s="2">
        <v>0.55000000000000004</v>
      </c>
    </row>
    <row r="52" spans="2:74" x14ac:dyDescent="0.3">
      <c r="B52" s="1" t="s">
        <v>20</v>
      </c>
      <c r="C52" s="2">
        <v>4487.0200000000004</v>
      </c>
      <c r="D52" s="2">
        <v>1321.61</v>
      </c>
      <c r="E52" s="2">
        <v>2345.41</v>
      </c>
      <c r="F52" s="2">
        <v>2492.94</v>
      </c>
      <c r="G52" s="2">
        <v>6104.94</v>
      </c>
      <c r="H52" s="2">
        <v>2503.6</v>
      </c>
      <c r="I52" s="2">
        <v>7333.03</v>
      </c>
      <c r="J52" s="2">
        <v>2078.48</v>
      </c>
      <c r="K52" s="2">
        <v>1561.84</v>
      </c>
      <c r="L52" s="2">
        <v>1713.55</v>
      </c>
      <c r="M52" s="2">
        <v>1561.84</v>
      </c>
      <c r="N52" s="2">
        <v>1709.77</v>
      </c>
      <c r="O52" s="2">
        <v>1092.67</v>
      </c>
      <c r="P52" s="2">
        <v>897.25</v>
      </c>
      <c r="Q52" s="2">
        <v>1562.31</v>
      </c>
      <c r="R52" s="2">
        <v>1304.99</v>
      </c>
      <c r="T52" s="1" t="s">
        <v>20</v>
      </c>
      <c r="U52" s="2">
        <v>0.34</v>
      </c>
      <c r="V52" s="2">
        <v>0.21</v>
      </c>
      <c r="W52" s="2">
        <v>0.38</v>
      </c>
      <c r="X52" s="2">
        <v>0.22</v>
      </c>
      <c r="Y52" s="2">
        <v>0.41</v>
      </c>
      <c r="Z52" s="2">
        <v>0.21</v>
      </c>
      <c r="AA52" s="2">
        <v>0.38</v>
      </c>
      <c r="AB52" s="2">
        <v>0.19</v>
      </c>
      <c r="AC52" s="2">
        <v>0.22</v>
      </c>
      <c r="AD52" s="2">
        <v>0.31</v>
      </c>
      <c r="AE52" s="2">
        <v>0.22</v>
      </c>
      <c r="AF52" s="2">
        <v>0.31</v>
      </c>
      <c r="AG52" s="2">
        <v>0.19</v>
      </c>
      <c r="AH52" s="2">
        <v>0.15</v>
      </c>
      <c r="AI52" s="2">
        <v>0.36</v>
      </c>
      <c r="AJ52" s="2">
        <v>0.34</v>
      </c>
      <c r="AM52" s="1" t="s">
        <v>20</v>
      </c>
      <c r="AN52" s="2">
        <v>0.86</v>
      </c>
      <c r="AO52" s="2">
        <v>0.62</v>
      </c>
      <c r="AP52" s="2">
        <v>0.69</v>
      </c>
      <c r="AQ52" s="2">
        <v>0.86</v>
      </c>
      <c r="AR52" s="2">
        <v>0.83</v>
      </c>
      <c r="AS52" s="2">
        <v>0.73</v>
      </c>
      <c r="AT52" s="2">
        <v>0.87</v>
      </c>
      <c r="AU52" s="2">
        <v>0.67</v>
      </c>
      <c r="AV52" s="2">
        <v>0.64</v>
      </c>
      <c r="AW52" s="2">
        <v>0.62</v>
      </c>
      <c r="AX52" s="2">
        <v>0.64</v>
      </c>
      <c r="AY52" s="2">
        <v>0.62</v>
      </c>
      <c r="AZ52" s="2">
        <v>0.64</v>
      </c>
      <c r="BA52" s="2">
        <v>0.61</v>
      </c>
      <c r="BB52" s="2">
        <v>0.86</v>
      </c>
      <c r="BC52" s="2">
        <v>0.87</v>
      </c>
      <c r="BF52" s="1" t="s">
        <v>20</v>
      </c>
      <c r="BG52" s="2">
        <v>1.03</v>
      </c>
      <c r="BH52" s="2">
        <v>0.72</v>
      </c>
      <c r="BI52" s="2">
        <v>0.8</v>
      </c>
      <c r="BJ52" s="2">
        <v>1.03</v>
      </c>
      <c r="BK52" s="2">
        <v>0.98</v>
      </c>
      <c r="BL52" s="2">
        <v>0.86</v>
      </c>
      <c r="BM52" s="2">
        <v>1.03</v>
      </c>
      <c r="BN52" s="2">
        <v>0.79</v>
      </c>
      <c r="BO52" s="2">
        <v>0.75</v>
      </c>
      <c r="BP52" s="2">
        <v>0.73</v>
      </c>
      <c r="BQ52" s="2">
        <v>0.75</v>
      </c>
      <c r="BR52" s="2">
        <v>0.73</v>
      </c>
      <c r="BS52" s="2">
        <v>0.75</v>
      </c>
      <c r="BT52" s="2">
        <v>0.73</v>
      </c>
      <c r="BU52" s="2">
        <v>1.03</v>
      </c>
      <c r="BV52" s="2">
        <v>1.03</v>
      </c>
    </row>
    <row r="53" spans="2:74" x14ac:dyDescent="0.3">
      <c r="B53" s="1" t="s">
        <v>21</v>
      </c>
      <c r="C53" s="2">
        <v>42865</v>
      </c>
      <c r="D53" s="2">
        <v>9209.5400000000009</v>
      </c>
      <c r="E53" s="2">
        <v>18022.990000000002</v>
      </c>
      <c r="F53" s="2">
        <v>17904.66</v>
      </c>
      <c r="G53" s="2">
        <v>54640.58</v>
      </c>
      <c r="H53" s="2">
        <v>15221.14</v>
      </c>
      <c r="I53" s="2">
        <v>41261.949999999997</v>
      </c>
      <c r="J53" s="2">
        <v>12675.99</v>
      </c>
      <c r="K53" s="2">
        <v>3617.85</v>
      </c>
      <c r="L53" s="2">
        <v>4823.46</v>
      </c>
      <c r="M53" s="2">
        <v>3424.49</v>
      </c>
      <c r="N53" s="2">
        <v>4536.71</v>
      </c>
      <c r="O53" s="2">
        <v>3055.88</v>
      </c>
      <c r="P53" s="2">
        <v>973.31</v>
      </c>
      <c r="Q53" s="2">
        <v>4382.57</v>
      </c>
      <c r="R53" s="2">
        <v>6466.82</v>
      </c>
      <c r="T53" s="1" t="s">
        <v>21</v>
      </c>
      <c r="U53" s="2">
        <v>0.51</v>
      </c>
      <c r="V53" s="2">
        <v>0.25</v>
      </c>
      <c r="W53" s="2">
        <v>0.46</v>
      </c>
      <c r="X53" s="2">
        <v>0.52</v>
      </c>
      <c r="Y53" s="2">
        <v>0.56999999999999995</v>
      </c>
      <c r="Z53" s="2">
        <v>0.36</v>
      </c>
      <c r="AA53" s="2">
        <v>0.42</v>
      </c>
      <c r="AB53" s="2">
        <v>0.33</v>
      </c>
      <c r="AC53" s="2">
        <v>0.22</v>
      </c>
      <c r="AD53" s="2">
        <v>0.25</v>
      </c>
      <c r="AE53" s="2">
        <v>0.18</v>
      </c>
      <c r="AF53" s="2">
        <v>0.21</v>
      </c>
      <c r="AG53" s="2">
        <v>0.16</v>
      </c>
      <c r="AH53" s="2">
        <v>0.08</v>
      </c>
      <c r="AI53" s="2">
        <v>0.35</v>
      </c>
      <c r="AJ53" s="2">
        <v>0.56000000000000005</v>
      </c>
      <c r="AM53" s="1" t="s">
        <v>21</v>
      </c>
      <c r="AN53" s="2">
        <v>1.04</v>
      </c>
      <c r="AO53" s="2">
        <v>0.73</v>
      </c>
      <c r="AP53" s="2">
        <v>0.83</v>
      </c>
      <c r="AQ53" s="2">
        <v>0.93</v>
      </c>
      <c r="AR53" s="2">
        <v>1.02</v>
      </c>
      <c r="AS53" s="2">
        <v>0.76</v>
      </c>
      <c r="AT53" s="2">
        <v>0.95</v>
      </c>
      <c r="AU53" s="2">
        <v>0.7</v>
      </c>
      <c r="AV53" s="2">
        <v>0.47</v>
      </c>
      <c r="AW53" s="2">
        <v>0.53</v>
      </c>
      <c r="AX53" s="2">
        <v>0.47</v>
      </c>
      <c r="AY53" s="2">
        <v>0.53</v>
      </c>
      <c r="AZ53" s="2">
        <v>0.53</v>
      </c>
      <c r="BA53" s="2">
        <v>0.32</v>
      </c>
      <c r="BB53" s="2">
        <v>0.82</v>
      </c>
      <c r="BC53" s="2">
        <v>0.94</v>
      </c>
      <c r="BF53" s="1" t="s">
        <v>21</v>
      </c>
      <c r="BG53" s="2">
        <v>1.27</v>
      </c>
      <c r="BH53" s="2">
        <v>0.88</v>
      </c>
      <c r="BI53" s="2">
        <v>0.96</v>
      </c>
      <c r="BJ53" s="2">
        <v>1.27</v>
      </c>
      <c r="BK53" s="2">
        <v>1.22</v>
      </c>
      <c r="BL53" s="2">
        <v>0.89</v>
      </c>
      <c r="BM53" s="2">
        <v>1.1000000000000001</v>
      </c>
      <c r="BN53" s="2">
        <v>0.82</v>
      </c>
      <c r="BO53" s="2">
        <v>0.55000000000000004</v>
      </c>
      <c r="BP53" s="2">
        <v>0.62</v>
      </c>
      <c r="BQ53" s="2">
        <v>0.55000000000000004</v>
      </c>
      <c r="BR53" s="2">
        <v>0.62</v>
      </c>
      <c r="BS53" s="2">
        <v>0.63</v>
      </c>
      <c r="BT53" s="2">
        <v>0.35</v>
      </c>
      <c r="BU53" s="2">
        <v>1</v>
      </c>
      <c r="BV53" s="2">
        <v>1.25</v>
      </c>
    </row>
    <row r="54" spans="2:74" x14ac:dyDescent="0.3">
      <c r="B54" s="1" t="s">
        <v>22</v>
      </c>
      <c r="C54" s="2">
        <v>4552.7</v>
      </c>
      <c r="D54" s="2">
        <v>2491.6</v>
      </c>
      <c r="E54" s="2">
        <v>3568.24</v>
      </c>
      <c r="F54" s="2">
        <v>4774.05</v>
      </c>
      <c r="G54" s="2">
        <v>7782.24</v>
      </c>
      <c r="H54" s="2">
        <v>5120.7</v>
      </c>
      <c r="I54" s="2">
        <v>3073.56</v>
      </c>
      <c r="J54" s="2">
        <v>2702.96</v>
      </c>
      <c r="K54" s="2">
        <v>1336.71</v>
      </c>
      <c r="L54" s="2">
        <v>960.09</v>
      </c>
      <c r="M54" s="2">
        <v>1234.21</v>
      </c>
      <c r="N54" s="2">
        <v>444.23</v>
      </c>
      <c r="O54" s="2">
        <v>261.92</v>
      </c>
      <c r="P54" s="2">
        <v>261.58999999999997</v>
      </c>
      <c r="Q54" s="2">
        <v>1153.6099999999999</v>
      </c>
      <c r="R54" s="2">
        <v>1103.43</v>
      </c>
      <c r="T54" s="1" t="s">
        <v>22</v>
      </c>
      <c r="U54" s="2">
        <v>0.37</v>
      </c>
      <c r="V54" s="2">
        <v>0.21</v>
      </c>
      <c r="W54" s="2">
        <v>0.4</v>
      </c>
      <c r="X54" s="2">
        <v>0.41</v>
      </c>
      <c r="Y54" s="2">
        <v>0.41</v>
      </c>
      <c r="Z54" s="2">
        <v>0.38</v>
      </c>
      <c r="AA54" s="2">
        <v>0.37</v>
      </c>
      <c r="AB54" s="2">
        <v>0.32</v>
      </c>
      <c r="AC54" s="2">
        <v>0.27</v>
      </c>
      <c r="AD54" s="2">
        <v>0.12</v>
      </c>
      <c r="AE54" s="2">
        <v>0.22</v>
      </c>
      <c r="AF54" s="2">
        <v>0.16</v>
      </c>
      <c r="AG54" s="2">
        <v>0.1</v>
      </c>
      <c r="AH54" s="2">
        <v>0.1</v>
      </c>
      <c r="AI54" s="2">
        <v>0.31</v>
      </c>
      <c r="AJ54" s="2">
        <v>0.3</v>
      </c>
      <c r="AM54" s="1" t="s">
        <v>22</v>
      </c>
      <c r="AN54" s="2">
        <v>0.88</v>
      </c>
      <c r="AO54" s="2">
        <v>0.82</v>
      </c>
      <c r="AP54" s="2">
        <v>0.81</v>
      </c>
      <c r="AQ54" s="2">
        <v>0.89</v>
      </c>
      <c r="AR54" s="2">
        <v>0.9</v>
      </c>
      <c r="AS54" s="2">
        <v>0.83</v>
      </c>
      <c r="AT54" s="2">
        <v>0.7</v>
      </c>
      <c r="AU54" s="2">
        <v>0.68</v>
      </c>
      <c r="AV54" s="2">
        <v>0.59</v>
      </c>
      <c r="AW54" s="2">
        <v>0.3</v>
      </c>
      <c r="AX54" s="2">
        <v>0.59</v>
      </c>
      <c r="AY54" s="2">
        <v>0.35</v>
      </c>
      <c r="AZ54" s="2">
        <v>0.36</v>
      </c>
      <c r="BA54" s="2">
        <v>0.36</v>
      </c>
      <c r="BB54" s="2">
        <v>0.87</v>
      </c>
      <c r="BC54" s="2">
        <v>0.87</v>
      </c>
      <c r="BF54" s="1" t="s">
        <v>22</v>
      </c>
      <c r="BG54" s="2">
        <v>1.05</v>
      </c>
      <c r="BH54" s="2">
        <v>0.95</v>
      </c>
      <c r="BI54" s="2">
        <v>0.92</v>
      </c>
      <c r="BJ54" s="2">
        <v>1.05</v>
      </c>
      <c r="BK54" s="2">
        <v>1.05</v>
      </c>
      <c r="BL54" s="2">
        <v>0.97</v>
      </c>
      <c r="BM54" s="2">
        <v>0.82</v>
      </c>
      <c r="BN54" s="2">
        <v>0.79</v>
      </c>
      <c r="BO54" s="2">
        <v>0.68</v>
      </c>
      <c r="BP54" s="2">
        <v>0.33</v>
      </c>
      <c r="BQ54" s="2">
        <v>0.68</v>
      </c>
      <c r="BR54" s="2">
        <v>0.41</v>
      </c>
      <c r="BS54" s="2">
        <v>0.42</v>
      </c>
      <c r="BT54" s="2">
        <v>0.42</v>
      </c>
      <c r="BU54" s="2">
        <v>1.05</v>
      </c>
      <c r="BV54" s="2">
        <v>1.05</v>
      </c>
    </row>
    <row r="55" spans="2:74" x14ac:dyDescent="0.3">
      <c r="B55" s="1" t="s">
        <v>23</v>
      </c>
      <c r="C55" s="2">
        <v>17606.580000000002</v>
      </c>
      <c r="D55" s="2">
        <v>19760.900000000001</v>
      </c>
      <c r="E55" s="2">
        <v>20590.150000000001</v>
      </c>
      <c r="F55" s="2">
        <v>22577.06</v>
      </c>
      <c r="G55" s="2">
        <v>19143.45</v>
      </c>
      <c r="H55" s="2">
        <v>21889.64</v>
      </c>
      <c r="I55" s="2">
        <v>8895.18</v>
      </c>
      <c r="J55" s="2">
        <v>12161.8</v>
      </c>
      <c r="K55" s="2">
        <v>7950.89</v>
      </c>
      <c r="L55" s="2">
        <v>6044.1</v>
      </c>
      <c r="M55" s="2">
        <v>8512.69</v>
      </c>
      <c r="N55" s="2">
        <v>6031.37</v>
      </c>
      <c r="O55" s="2">
        <v>2926.18</v>
      </c>
      <c r="P55" s="2">
        <v>2736.57</v>
      </c>
      <c r="Q55" s="2">
        <v>7116.91</v>
      </c>
      <c r="R55" s="2">
        <v>6765.9</v>
      </c>
      <c r="T55" s="1" t="s">
        <v>23</v>
      </c>
      <c r="U55" s="2">
        <v>0.28000000000000003</v>
      </c>
      <c r="V55" s="2">
        <v>0.31</v>
      </c>
      <c r="W55" s="2">
        <v>0.34</v>
      </c>
      <c r="X55" s="2">
        <v>0.37</v>
      </c>
      <c r="Y55" s="2">
        <v>0.31</v>
      </c>
      <c r="Z55" s="2">
        <v>0.36</v>
      </c>
      <c r="AA55" s="2">
        <v>0.26</v>
      </c>
      <c r="AB55" s="2">
        <v>0.32</v>
      </c>
      <c r="AC55" s="2">
        <v>0.33</v>
      </c>
      <c r="AD55" s="2">
        <v>0.28000000000000003</v>
      </c>
      <c r="AE55" s="2">
        <v>0.32</v>
      </c>
      <c r="AF55" s="2">
        <v>0.27</v>
      </c>
      <c r="AG55" s="2">
        <v>0.13</v>
      </c>
      <c r="AH55" s="2">
        <v>0.13</v>
      </c>
      <c r="AI55" s="2">
        <v>0.37</v>
      </c>
      <c r="AJ55" s="2">
        <v>0.35</v>
      </c>
      <c r="AM55" s="1" t="s">
        <v>23</v>
      </c>
      <c r="AN55" s="2">
        <v>0.87</v>
      </c>
      <c r="AO55" s="2">
        <v>0.87</v>
      </c>
      <c r="AP55" s="2">
        <v>0.87</v>
      </c>
      <c r="AQ55" s="2">
        <v>0.88</v>
      </c>
      <c r="AR55" s="2">
        <v>0.78</v>
      </c>
      <c r="AS55" s="2">
        <v>0.78</v>
      </c>
      <c r="AT55" s="2">
        <v>0.57999999999999996</v>
      </c>
      <c r="AU55" s="2">
        <v>0.64</v>
      </c>
      <c r="AV55" s="2">
        <v>0.61</v>
      </c>
      <c r="AW55" s="2">
        <v>0.56000000000000005</v>
      </c>
      <c r="AX55" s="2">
        <v>0.62</v>
      </c>
      <c r="AY55" s="2">
        <v>0.56000000000000005</v>
      </c>
      <c r="AZ55" s="2">
        <v>0.52</v>
      </c>
      <c r="BA55" s="2">
        <v>0.51</v>
      </c>
      <c r="BB55" s="2">
        <v>0.88</v>
      </c>
      <c r="BC55" s="2">
        <v>0.88</v>
      </c>
      <c r="BF55" s="1" t="s">
        <v>23</v>
      </c>
      <c r="BG55" s="2">
        <v>1.05</v>
      </c>
      <c r="BH55" s="2">
        <v>1.05</v>
      </c>
      <c r="BI55" s="2">
        <v>1.02</v>
      </c>
      <c r="BJ55" s="2">
        <v>1.05</v>
      </c>
      <c r="BK55" s="2">
        <v>0.91</v>
      </c>
      <c r="BL55" s="2">
        <v>0.92</v>
      </c>
      <c r="BM55" s="2">
        <v>0.69</v>
      </c>
      <c r="BN55" s="2">
        <v>0.76</v>
      </c>
      <c r="BO55" s="2">
        <v>0.72</v>
      </c>
      <c r="BP55" s="2">
        <v>0.65</v>
      </c>
      <c r="BQ55" s="2">
        <v>0.74</v>
      </c>
      <c r="BR55" s="2">
        <v>0.65</v>
      </c>
      <c r="BS55" s="2">
        <v>0.61</v>
      </c>
      <c r="BT55" s="2">
        <v>0.6</v>
      </c>
      <c r="BU55" s="2">
        <v>1.05</v>
      </c>
      <c r="BV55" s="2">
        <v>1.05</v>
      </c>
    </row>
    <row r="56" spans="2:74" x14ac:dyDescent="0.3">
      <c r="B56" s="1" t="s">
        <v>24</v>
      </c>
      <c r="C56" s="2">
        <v>4800.55</v>
      </c>
      <c r="D56" s="2">
        <v>4516.42</v>
      </c>
      <c r="E56" s="2">
        <v>3429.78</v>
      </c>
      <c r="F56" s="2">
        <v>6551.55</v>
      </c>
      <c r="G56" s="2">
        <v>7708.49</v>
      </c>
      <c r="H56" s="2">
        <v>8297.34</v>
      </c>
      <c r="I56" s="2">
        <v>3010.66</v>
      </c>
      <c r="J56" s="2">
        <v>6670.47</v>
      </c>
      <c r="K56" s="2">
        <v>1247.21</v>
      </c>
      <c r="L56" s="2">
        <v>853.46</v>
      </c>
      <c r="M56" s="2">
        <v>1318.99</v>
      </c>
      <c r="N56" s="2">
        <v>905.12</v>
      </c>
      <c r="O56" s="2">
        <v>832.92</v>
      </c>
      <c r="P56" s="2">
        <v>641.58000000000004</v>
      </c>
      <c r="Q56" s="2">
        <v>1023.99</v>
      </c>
      <c r="R56" s="2">
        <v>1262.55</v>
      </c>
      <c r="T56" s="1" t="s">
        <v>24</v>
      </c>
      <c r="U56" s="2">
        <v>0.36</v>
      </c>
      <c r="V56" s="2">
        <v>0.33</v>
      </c>
      <c r="W56" s="2">
        <v>0.44</v>
      </c>
      <c r="X56" s="2">
        <v>0.54</v>
      </c>
      <c r="Y56" s="2">
        <v>0.5</v>
      </c>
      <c r="Z56" s="2">
        <v>0.54</v>
      </c>
      <c r="AA56" s="2">
        <v>0.41</v>
      </c>
      <c r="AB56" s="2">
        <v>0.49</v>
      </c>
      <c r="AC56" s="2">
        <v>0.37</v>
      </c>
      <c r="AD56" s="2">
        <v>0.31</v>
      </c>
      <c r="AE56" s="2">
        <v>0.31</v>
      </c>
      <c r="AF56" s="2">
        <v>0.25</v>
      </c>
      <c r="AG56" s="2">
        <v>0.21</v>
      </c>
      <c r="AH56" s="2">
        <v>0.19</v>
      </c>
      <c r="AI56" s="2">
        <v>0.33</v>
      </c>
      <c r="AJ56" s="2">
        <v>0.28000000000000003</v>
      </c>
      <c r="AM56" s="1" t="s">
        <v>24</v>
      </c>
      <c r="AN56" s="2">
        <v>0.87</v>
      </c>
      <c r="AO56" s="2">
        <v>0.86</v>
      </c>
      <c r="AP56" s="2">
        <v>0.78</v>
      </c>
      <c r="AQ56" s="2">
        <v>0.88</v>
      </c>
      <c r="AR56" s="2">
        <v>0.87</v>
      </c>
      <c r="AS56" s="2">
        <v>0.87</v>
      </c>
      <c r="AT56" s="2">
        <v>0.68</v>
      </c>
      <c r="AU56" s="2">
        <v>0.82</v>
      </c>
      <c r="AV56" s="2">
        <v>0.56000000000000005</v>
      </c>
      <c r="AW56" s="2">
        <v>0.48</v>
      </c>
      <c r="AX56" s="2">
        <v>0.56000000000000005</v>
      </c>
      <c r="AY56" s="2">
        <v>0.48</v>
      </c>
      <c r="AZ56" s="2">
        <v>0.52</v>
      </c>
      <c r="BA56" s="2">
        <v>0.47</v>
      </c>
      <c r="BB56" s="2">
        <v>0.79</v>
      </c>
      <c r="BC56" s="2">
        <v>0.85</v>
      </c>
      <c r="BF56" s="1" t="s">
        <v>24</v>
      </c>
      <c r="BG56" s="2">
        <v>1.05</v>
      </c>
      <c r="BH56" s="2">
        <v>1.05</v>
      </c>
      <c r="BI56" s="2">
        <v>0.92</v>
      </c>
      <c r="BJ56" s="2">
        <v>1.05</v>
      </c>
      <c r="BK56" s="2">
        <v>1.05</v>
      </c>
      <c r="BL56" s="2">
        <v>1.05</v>
      </c>
      <c r="BM56" s="2">
        <v>0.83</v>
      </c>
      <c r="BN56" s="2">
        <v>1</v>
      </c>
      <c r="BO56" s="2">
        <v>0.7</v>
      </c>
      <c r="BP56" s="2">
        <v>0.59</v>
      </c>
      <c r="BQ56" s="2">
        <v>0.7</v>
      </c>
      <c r="BR56" s="2">
        <v>0.59</v>
      </c>
      <c r="BS56" s="2">
        <v>0.65</v>
      </c>
      <c r="BT56" s="2">
        <v>0.57999999999999996</v>
      </c>
      <c r="BU56" s="2">
        <v>0.94</v>
      </c>
      <c r="BV56" s="2">
        <v>1.05</v>
      </c>
    </row>
    <row r="57" spans="2:74" x14ac:dyDescent="0.3">
      <c r="B57" s="1" t="s">
        <v>25</v>
      </c>
      <c r="C57" s="2">
        <v>25300.15</v>
      </c>
      <c r="D57" s="2">
        <v>24322.29</v>
      </c>
      <c r="E57" s="2">
        <v>17763.330000000002</v>
      </c>
      <c r="F57" s="2">
        <v>17082.150000000001</v>
      </c>
      <c r="G57" s="2">
        <v>22652.27</v>
      </c>
      <c r="H57" s="2">
        <v>27365.88</v>
      </c>
      <c r="I57" s="2">
        <v>12181.17</v>
      </c>
      <c r="J57" s="2">
        <v>17444.13</v>
      </c>
      <c r="K57" s="2">
        <v>6632.32</v>
      </c>
      <c r="L57" s="2">
        <v>5863.37</v>
      </c>
      <c r="M57" s="2">
        <v>6857.85</v>
      </c>
      <c r="N57" s="2">
        <v>5937.41</v>
      </c>
      <c r="O57" s="2">
        <v>1427.22</v>
      </c>
      <c r="P57" s="2">
        <v>3078.46</v>
      </c>
      <c r="Q57" s="2">
        <v>5982.01</v>
      </c>
      <c r="R57" s="2">
        <v>6241.42</v>
      </c>
      <c r="T57" s="1" t="s">
        <v>25</v>
      </c>
      <c r="U57" s="2">
        <v>0.61</v>
      </c>
      <c r="V57" s="2">
        <v>0.59</v>
      </c>
      <c r="W57" s="2">
        <v>0.43</v>
      </c>
      <c r="X57" s="2">
        <v>0.45</v>
      </c>
      <c r="Y57" s="2">
        <v>0.46</v>
      </c>
      <c r="Z57" s="2">
        <v>0.54</v>
      </c>
      <c r="AA57" s="2">
        <v>0.39</v>
      </c>
      <c r="AB57" s="2">
        <v>0.44</v>
      </c>
      <c r="AC57" s="2">
        <v>0.37</v>
      </c>
      <c r="AD57" s="2">
        <v>0.34</v>
      </c>
      <c r="AE57" s="2">
        <v>0.3</v>
      </c>
      <c r="AF57" s="2">
        <v>0.27</v>
      </c>
      <c r="AG57" s="2">
        <v>0.06</v>
      </c>
      <c r="AH57" s="2">
        <v>0.19</v>
      </c>
      <c r="AI57" s="2">
        <v>0.47</v>
      </c>
      <c r="AJ57" s="2">
        <v>0.48</v>
      </c>
      <c r="AM57" s="1" t="s">
        <v>25</v>
      </c>
      <c r="AN57" s="2">
        <v>0.91</v>
      </c>
      <c r="AO57" s="2">
        <v>0.9</v>
      </c>
      <c r="AP57" s="2">
        <v>0.84</v>
      </c>
      <c r="AQ57" s="2">
        <v>0.81</v>
      </c>
      <c r="AR57" s="2">
        <v>0.81</v>
      </c>
      <c r="AS57" s="2">
        <v>0.85</v>
      </c>
      <c r="AT57" s="2">
        <v>0.67</v>
      </c>
      <c r="AU57" s="2">
        <v>0.73</v>
      </c>
      <c r="AV57" s="2">
        <v>0.59</v>
      </c>
      <c r="AW57" s="2">
        <v>0.56000000000000005</v>
      </c>
      <c r="AX57" s="2">
        <v>0.57999999999999996</v>
      </c>
      <c r="AY57" s="2">
        <v>0.56000000000000005</v>
      </c>
      <c r="AZ57" s="2">
        <v>0.26</v>
      </c>
      <c r="BA57" s="2">
        <v>0.47</v>
      </c>
      <c r="BB57" s="2">
        <v>0.9</v>
      </c>
      <c r="BC57" s="2">
        <v>0.89</v>
      </c>
      <c r="BF57" s="1" t="s">
        <v>25</v>
      </c>
      <c r="BG57" s="2">
        <v>1.18</v>
      </c>
      <c r="BH57" s="2">
        <v>1.1599999999999999</v>
      </c>
      <c r="BI57" s="2">
        <v>1.03</v>
      </c>
      <c r="BJ57" s="2">
        <v>0.96</v>
      </c>
      <c r="BK57" s="2">
        <v>0.98</v>
      </c>
      <c r="BL57" s="2">
        <v>1.05</v>
      </c>
      <c r="BM57" s="2">
        <v>0.81</v>
      </c>
      <c r="BN57" s="2">
        <v>0.89</v>
      </c>
      <c r="BO57" s="2">
        <v>0.72</v>
      </c>
      <c r="BP57" s="2">
        <v>0.68</v>
      </c>
      <c r="BQ57" s="2">
        <v>0.72</v>
      </c>
      <c r="BR57" s="2">
        <v>0.68</v>
      </c>
      <c r="BS57" s="2">
        <v>0.28000000000000003</v>
      </c>
      <c r="BT57" s="2">
        <v>0.57999999999999996</v>
      </c>
      <c r="BU57" s="2">
        <v>1.25</v>
      </c>
      <c r="BV57" s="2">
        <v>1.17</v>
      </c>
    </row>
    <row r="58" spans="2:74" x14ac:dyDescent="0.3">
      <c r="B58" s="1" t="s">
        <v>26</v>
      </c>
      <c r="C58" s="2">
        <v>4384.4799999999996</v>
      </c>
      <c r="D58" s="2">
        <v>5169.13</v>
      </c>
      <c r="E58" s="2">
        <v>4501.6099999999997</v>
      </c>
      <c r="F58" s="2">
        <v>1342.87</v>
      </c>
      <c r="G58" s="2">
        <v>5558.03</v>
      </c>
      <c r="H58" s="2">
        <v>6037.15</v>
      </c>
      <c r="I58" s="2">
        <v>3776.85</v>
      </c>
      <c r="J58" s="2">
        <v>4348.9399999999996</v>
      </c>
      <c r="K58" s="2">
        <v>4644.55</v>
      </c>
      <c r="L58" s="2">
        <v>4482.55</v>
      </c>
      <c r="M58" s="2">
        <v>4644.5</v>
      </c>
      <c r="N58" s="2">
        <v>4482.54</v>
      </c>
      <c r="O58" s="2">
        <v>649.41</v>
      </c>
      <c r="P58" s="2">
        <v>824.26</v>
      </c>
      <c r="Q58" s="2">
        <v>2601.1</v>
      </c>
      <c r="R58" s="2">
        <v>2789.36</v>
      </c>
      <c r="T58" s="1" t="s">
        <v>26</v>
      </c>
      <c r="U58" s="2">
        <v>0.21</v>
      </c>
      <c r="V58" s="2">
        <v>0.27</v>
      </c>
      <c r="W58" s="2">
        <v>0.18</v>
      </c>
      <c r="X58" s="2">
        <v>0.22</v>
      </c>
      <c r="Y58" s="2">
        <v>0.17</v>
      </c>
      <c r="Z58" s="2">
        <v>0.2</v>
      </c>
      <c r="AA58" s="2">
        <v>0.13</v>
      </c>
      <c r="AB58" s="2">
        <v>0.18</v>
      </c>
      <c r="AC58" s="2">
        <v>0.2</v>
      </c>
      <c r="AD58" s="2">
        <v>0.17</v>
      </c>
      <c r="AE58" s="2">
        <v>0.2</v>
      </c>
      <c r="AF58" s="2">
        <v>0.17</v>
      </c>
      <c r="AG58" s="2">
        <v>0.06</v>
      </c>
      <c r="AH58" s="2">
        <v>7.0000000000000007E-2</v>
      </c>
      <c r="AI58" s="2">
        <v>0.24</v>
      </c>
      <c r="AJ58" s="2">
        <v>0.22</v>
      </c>
      <c r="AM58" s="1" t="s">
        <v>26</v>
      </c>
      <c r="AN58" s="2">
        <v>0.63</v>
      </c>
      <c r="AO58" s="2">
        <v>0.63</v>
      </c>
      <c r="AP58" s="2">
        <v>0.68</v>
      </c>
      <c r="AQ58" s="2">
        <v>0.36</v>
      </c>
      <c r="AR58" s="2">
        <v>0.67</v>
      </c>
      <c r="AS58" s="2">
        <v>0.64</v>
      </c>
      <c r="AT58" s="2">
        <v>0.56999999999999995</v>
      </c>
      <c r="AU58" s="2">
        <v>0.53</v>
      </c>
      <c r="AV58" s="2">
        <v>0.63</v>
      </c>
      <c r="AW58" s="2">
        <v>0.65</v>
      </c>
      <c r="AX58" s="2">
        <v>0.63</v>
      </c>
      <c r="AY58" s="2">
        <v>0.65</v>
      </c>
      <c r="AZ58" s="2">
        <v>0.35</v>
      </c>
      <c r="BA58" s="2">
        <v>0.39</v>
      </c>
      <c r="BB58" s="2">
        <v>0.8</v>
      </c>
      <c r="BC58" s="2">
        <v>0.82</v>
      </c>
      <c r="BF58" s="1" t="s">
        <v>26</v>
      </c>
      <c r="BG58" s="2">
        <v>0.76</v>
      </c>
      <c r="BH58" s="2">
        <v>0.77</v>
      </c>
      <c r="BI58" s="2">
        <v>0.79</v>
      </c>
      <c r="BJ58" s="2">
        <v>0.42</v>
      </c>
      <c r="BK58" s="2">
        <v>0.81</v>
      </c>
      <c r="BL58" s="2">
        <v>0.79</v>
      </c>
      <c r="BM58" s="2">
        <v>0.69</v>
      </c>
      <c r="BN58" s="2">
        <v>0.66</v>
      </c>
      <c r="BO58" s="2">
        <v>0.77</v>
      </c>
      <c r="BP58" s="2">
        <v>0.79</v>
      </c>
      <c r="BQ58" s="2">
        <v>0.77</v>
      </c>
      <c r="BR58" s="2">
        <v>0.79</v>
      </c>
      <c r="BS58" s="2">
        <v>0.44</v>
      </c>
      <c r="BT58" s="2">
        <v>0.49</v>
      </c>
      <c r="BU58" s="2">
        <v>0.94</v>
      </c>
      <c r="BV58" s="2">
        <v>0.98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37.24</v>
      </c>
      <c r="D65" s="2">
        <v>46.69</v>
      </c>
      <c r="E65" s="2">
        <v>35.65</v>
      </c>
      <c r="F65" s="2">
        <v>33.520000000000003</v>
      </c>
      <c r="G65" s="2">
        <v>25.29</v>
      </c>
      <c r="H65" s="2">
        <v>25.93</v>
      </c>
      <c r="I65" s="2">
        <v>20.52</v>
      </c>
      <c r="J65" s="2">
        <v>27.47</v>
      </c>
      <c r="K65" s="2">
        <v>27.64</v>
      </c>
      <c r="L65" s="2">
        <v>23.52</v>
      </c>
      <c r="M65" s="2">
        <v>27.64</v>
      </c>
      <c r="N65" s="2">
        <v>22.8</v>
      </c>
      <c r="O65" s="2">
        <v>7.82</v>
      </c>
      <c r="P65" s="2">
        <v>7.28</v>
      </c>
      <c r="Q65" s="2">
        <v>59.2</v>
      </c>
      <c r="R65" s="2">
        <v>72.98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59.95</v>
      </c>
      <c r="AJ65" s="2">
        <v>59.99</v>
      </c>
      <c r="AM65" s="1" t="s">
        <v>19</v>
      </c>
      <c r="AN65" s="2">
        <v>59.96</v>
      </c>
      <c r="AO65" s="2">
        <v>59.96</v>
      </c>
      <c r="AP65" s="2">
        <v>59.96</v>
      </c>
      <c r="AQ65" s="2">
        <v>59.99</v>
      </c>
      <c r="AR65" s="2">
        <v>55</v>
      </c>
      <c r="AS65" s="2">
        <v>55</v>
      </c>
      <c r="AT65" s="2">
        <v>60</v>
      </c>
      <c r="AU65" s="2">
        <v>60</v>
      </c>
      <c r="AV65" s="2">
        <v>70</v>
      </c>
      <c r="AW65" s="2">
        <v>69.989999999999995</v>
      </c>
      <c r="AX65" s="2">
        <v>69.989999999999995</v>
      </c>
      <c r="AY65" s="2">
        <v>69.959999999999994</v>
      </c>
      <c r="AZ65" s="2">
        <v>70</v>
      </c>
      <c r="BA65" s="2">
        <v>70</v>
      </c>
      <c r="BB65" s="2">
        <v>59.18</v>
      </c>
      <c r="BC65" s="2">
        <v>59.76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0</v>
      </c>
    </row>
    <row r="66" spans="2:74" x14ac:dyDescent="0.3">
      <c r="B66" s="1" t="s">
        <v>20</v>
      </c>
      <c r="C66" s="2">
        <v>386.58</v>
      </c>
      <c r="D66" s="2">
        <v>155.47999999999999</v>
      </c>
      <c r="E66" s="2">
        <v>213.74</v>
      </c>
      <c r="F66" s="2">
        <v>303.45</v>
      </c>
      <c r="G66" s="2">
        <v>335.61</v>
      </c>
      <c r="H66" s="2">
        <v>270.20999999999998</v>
      </c>
      <c r="I66" s="2">
        <v>389.36</v>
      </c>
      <c r="J66" s="2">
        <v>235.47</v>
      </c>
      <c r="K66" s="2">
        <v>166.07</v>
      </c>
      <c r="L66" s="2">
        <v>159.47999999999999</v>
      </c>
      <c r="M66" s="2">
        <v>166.07</v>
      </c>
      <c r="N66" s="2">
        <v>158.66999999999999</v>
      </c>
      <c r="O66" s="2">
        <v>130.44</v>
      </c>
      <c r="P66" s="2">
        <v>106.31</v>
      </c>
      <c r="Q66" s="2">
        <v>141.86000000000001</v>
      </c>
      <c r="R66" s="2">
        <v>158.35</v>
      </c>
      <c r="T66" s="1" t="s">
        <v>20</v>
      </c>
      <c r="U66" s="2">
        <v>59.9</v>
      </c>
      <c r="V66" s="2">
        <v>59.99</v>
      </c>
      <c r="W66" s="2">
        <v>59.79</v>
      </c>
      <c r="X66" s="2">
        <v>59.99</v>
      </c>
      <c r="Y66" s="2">
        <v>59.66</v>
      </c>
      <c r="Z66" s="2">
        <v>59.99</v>
      </c>
      <c r="AA66" s="2">
        <v>59.77</v>
      </c>
      <c r="AB66" s="2">
        <v>60</v>
      </c>
      <c r="AC66" s="2">
        <v>69.989999999999995</v>
      </c>
      <c r="AD66" s="2">
        <v>69.930000000000007</v>
      </c>
      <c r="AE66" s="2">
        <v>69.989999999999995</v>
      </c>
      <c r="AF66" s="2">
        <v>69.930000000000007</v>
      </c>
      <c r="AG66" s="2">
        <v>70</v>
      </c>
      <c r="AH66" s="2">
        <v>70</v>
      </c>
      <c r="AI66" s="2">
        <v>59.85</v>
      </c>
      <c r="AJ66" s="2">
        <v>59.89</v>
      </c>
      <c r="AM66" s="1" t="s">
        <v>20</v>
      </c>
      <c r="AN66" s="2">
        <v>42.29</v>
      </c>
      <c r="AO66" s="2">
        <v>56.84</v>
      </c>
      <c r="AP66" s="2">
        <v>54.24</v>
      </c>
      <c r="AQ66" s="2">
        <v>42.99</v>
      </c>
      <c r="AR66" s="2">
        <v>41.6</v>
      </c>
      <c r="AS66" s="2">
        <v>47.91</v>
      </c>
      <c r="AT66" s="2">
        <v>42.09</v>
      </c>
      <c r="AU66" s="2">
        <v>54.89</v>
      </c>
      <c r="AV66" s="2">
        <v>65.37</v>
      </c>
      <c r="AW66" s="2">
        <v>66.239999999999995</v>
      </c>
      <c r="AX66" s="2">
        <v>65.37</v>
      </c>
      <c r="AY66" s="2">
        <v>66.239999999999995</v>
      </c>
      <c r="AZ66" s="2">
        <v>65.67</v>
      </c>
      <c r="BA66" s="2">
        <v>66.459999999999994</v>
      </c>
      <c r="BB66" s="2">
        <v>42.3</v>
      </c>
      <c r="BC66" s="2">
        <v>42.12</v>
      </c>
      <c r="BF66" s="1" t="s">
        <v>20</v>
      </c>
      <c r="BG66" s="2">
        <v>-1</v>
      </c>
      <c r="BH66" s="2">
        <v>-0.13</v>
      </c>
      <c r="BI66" s="2">
        <v>-0.26</v>
      </c>
      <c r="BJ66" s="2">
        <v>-0.99</v>
      </c>
      <c r="BK66" s="2">
        <v>-1.22</v>
      </c>
      <c r="BL66" s="2">
        <v>-0.71</v>
      </c>
      <c r="BM66" s="2">
        <v>-1.39</v>
      </c>
      <c r="BN66" s="2">
        <v>-0.31</v>
      </c>
      <c r="BO66" s="2">
        <v>-0.16</v>
      </c>
      <c r="BP66" s="2">
        <v>-0.12</v>
      </c>
      <c r="BQ66" s="2">
        <v>-0.16</v>
      </c>
      <c r="BR66" s="2">
        <v>-0.12</v>
      </c>
      <c r="BS66" s="2">
        <v>-0.12</v>
      </c>
      <c r="BT66" s="2">
        <v>-0.1</v>
      </c>
      <c r="BU66" s="2">
        <v>-0.33</v>
      </c>
      <c r="BV66" s="2">
        <v>-0.34</v>
      </c>
    </row>
    <row r="67" spans="2:74" x14ac:dyDescent="0.3">
      <c r="B67" s="1" t="s">
        <v>21</v>
      </c>
      <c r="C67" s="2">
        <v>5071.62</v>
      </c>
      <c r="D67" s="2">
        <v>1255.1400000000001</v>
      </c>
      <c r="E67" s="2">
        <v>2115.13</v>
      </c>
      <c r="F67" s="2">
        <v>2510.52</v>
      </c>
      <c r="G67" s="2">
        <v>4975.53</v>
      </c>
      <c r="H67" s="2">
        <v>2142.23</v>
      </c>
      <c r="I67" s="2">
        <v>4340.42</v>
      </c>
      <c r="J67" s="2">
        <v>2113.14</v>
      </c>
      <c r="K67" s="2">
        <v>571</v>
      </c>
      <c r="L67" s="2">
        <v>752.39</v>
      </c>
      <c r="M67" s="2">
        <v>541.51</v>
      </c>
      <c r="N67" s="2">
        <v>717.42</v>
      </c>
      <c r="O67" s="2">
        <v>557.89</v>
      </c>
      <c r="P67" s="2">
        <v>187.32</v>
      </c>
      <c r="Q67" s="2">
        <v>509.75</v>
      </c>
      <c r="R67" s="2">
        <v>830.15</v>
      </c>
      <c r="T67" s="1" t="s">
        <v>21</v>
      </c>
      <c r="U67" s="2">
        <v>58.64</v>
      </c>
      <c r="V67" s="2">
        <v>59.98</v>
      </c>
      <c r="W67" s="2">
        <v>59.29</v>
      </c>
      <c r="X67" s="2">
        <v>58.51</v>
      </c>
      <c r="Y67" s="2">
        <v>57.31</v>
      </c>
      <c r="Z67" s="2">
        <v>59.84</v>
      </c>
      <c r="AA67" s="2">
        <v>59.6</v>
      </c>
      <c r="AB67" s="2">
        <v>59.91</v>
      </c>
      <c r="AC67" s="2">
        <v>69.989999999999995</v>
      </c>
      <c r="AD67" s="2">
        <v>69.98</v>
      </c>
      <c r="AE67" s="2">
        <v>70</v>
      </c>
      <c r="AF67" s="2">
        <v>69.989999999999995</v>
      </c>
      <c r="AG67" s="2">
        <v>70</v>
      </c>
      <c r="AH67" s="2">
        <v>70</v>
      </c>
      <c r="AI67" s="2">
        <v>59.87</v>
      </c>
      <c r="AJ67" s="2">
        <v>57.53</v>
      </c>
      <c r="AM67" s="1" t="s">
        <v>21</v>
      </c>
      <c r="AN67" s="2">
        <v>26.48</v>
      </c>
      <c r="AO67" s="2">
        <v>52.38</v>
      </c>
      <c r="AP67" s="2">
        <v>45.24</v>
      </c>
      <c r="AQ67" s="2">
        <v>36</v>
      </c>
      <c r="AR67" s="2">
        <v>25.93</v>
      </c>
      <c r="AS67" s="2">
        <v>46.38</v>
      </c>
      <c r="AT67" s="2">
        <v>34.32</v>
      </c>
      <c r="AU67" s="2">
        <v>53.48</v>
      </c>
      <c r="AV67" s="2">
        <v>69.28</v>
      </c>
      <c r="AW67" s="2">
        <v>68.489999999999995</v>
      </c>
      <c r="AX67" s="2">
        <v>69.28</v>
      </c>
      <c r="AY67" s="2">
        <v>68.5</v>
      </c>
      <c r="AZ67" s="2">
        <v>68.400000000000006</v>
      </c>
      <c r="BA67" s="2">
        <v>69.930000000000007</v>
      </c>
      <c r="BB67" s="2">
        <v>46.33</v>
      </c>
      <c r="BC67" s="2">
        <v>35.950000000000003</v>
      </c>
      <c r="BF67" s="1" t="s">
        <v>21</v>
      </c>
      <c r="BG67" s="2">
        <v>-2.98</v>
      </c>
      <c r="BH67" s="2">
        <v>-0.35</v>
      </c>
      <c r="BI67" s="2">
        <v>-0.79</v>
      </c>
      <c r="BJ67" s="2">
        <v>-1.6</v>
      </c>
      <c r="BK67" s="2">
        <v>-3.55</v>
      </c>
      <c r="BL67" s="2">
        <v>-0.81</v>
      </c>
      <c r="BM67" s="2">
        <v>-2.4500000000000002</v>
      </c>
      <c r="BN67" s="2">
        <v>-0.4</v>
      </c>
      <c r="BO67" s="2">
        <v>-0.02</v>
      </c>
      <c r="BP67" s="2">
        <v>-0.05</v>
      </c>
      <c r="BQ67" s="2">
        <v>-0.02</v>
      </c>
      <c r="BR67" s="2">
        <v>-0.05</v>
      </c>
      <c r="BS67" s="2">
        <v>-0.04</v>
      </c>
      <c r="BT67" s="2">
        <v>0</v>
      </c>
      <c r="BU67" s="2">
        <v>-0.23</v>
      </c>
      <c r="BV67" s="2">
        <v>-0.5</v>
      </c>
    </row>
    <row r="68" spans="2:74" x14ac:dyDescent="0.3">
      <c r="B68" s="1" t="s">
        <v>22</v>
      </c>
      <c r="C68" s="2">
        <v>607.14</v>
      </c>
      <c r="D68" s="2">
        <v>302.48</v>
      </c>
      <c r="E68" s="2">
        <v>554.25</v>
      </c>
      <c r="F68" s="2">
        <v>774.39</v>
      </c>
      <c r="G68" s="2">
        <v>880.82</v>
      </c>
      <c r="H68" s="2">
        <v>747.1</v>
      </c>
      <c r="I68" s="2">
        <v>502.88</v>
      </c>
      <c r="J68" s="2">
        <v>334.09</v>
      </c>
      <c r="K68" s="2">
        <v>195.92</v>
      </c>
      <c r="L68" s="2">
        <v>139.44999999999999</v>
      </c>
      <c r="M68" s="2">
        <v>181.01</v>
      </c>
      <c r="N68" s="2">
        <v>64.83</v>
      </c>
      <c r="O68" s="2">
        <v>53.02</v>
      </c>
      <c r="P68" s="2">
        <v>53.05</v>
      </c>
      <c r="Q68" s="2">
        <v>178.07</v>
      </c>
      <c r="R68" s="2">
        <v>179.1</v>
      </c>
      <c r="T68" s="1" t="s">
        <v>22</v>
      </c>
      <c r="U68" s="2">
        <v>59.81</v>
      </c>
      <c r="V68" s="2">
        <v>60</v>
      </c>
      <c r="W68" s="2">
        <v>59.71</v>
      </c>
      <c r="X68" s="2">
        <v>59.64</v>
      </c>
      <c r="Y68" s="2">
        <v>59.64</v>
      </c>
      <c r="Z68" s="2">
        <v>59.78</v>
      </c>
      <c r="AA68" s="2">
        <v>59.82</v>
      </c>
      <c r="AB68" s="2">
        <v>59.93</v>
      </c>
      <c r="AC68" s="2">
        <v>69.97</v>
      </c>
      <c r="AD68" s="2">
        <v>70</v>
      </c>
      <c r="AE68" s="2">
        <v>69.989999999999995</v>
      </c>
      <c r="AF68" s="2">
        <v>70</v>
      </c>
      <c r="AG68" s="2">
        <v>70</v>
      </c>
      <c r="AH68" s="2">
        <v>70</v>
      </c>
      <c r="AI68" s="2">
        <v>59.95</v>
      </c>
      <c r="AJ68" s="2">
        <v>59.95</v>
      </c>
      <c r="AM68" s="1" t="s">
        <v>22</v>
      </c>
      <c r="AN68" s="2">
        <v>40.69</v>
      </c>
      <c r="AO68" s="2">
        <v>46.07</v>
      </c>
      <c r="AP68" s="2">
        <v>46.99</v>
      </c>
      <c r="AQ68" s="2">
        <v>40.130000000000003</v>
      </c>
      <c r="AR68" s="2">
        <v>35.799999999999997</v>
      </c>
      <c r="AS68" s="2">
        <v>41.36</v>
      </c>
      <c r="AT68" s="2">
        <v>53.6</v>
      </c>
      <c r="AU68" s="2">
        <v>54.58</v>
      </c>
      <c r="AV68" s="2">
        <v>67.260000000000005</v>
      </c>
      <c r="AW68" s="2">
        <v>69.95</v>
      </c>
      <c r="AX68" s="2">
        <v>67.28</v>
      </c>
      <c r="AY68" s="2">
        <v>69.86</v>
      </c>
      <c r="AZ68" s="2">
        <v>69.86</v>
      </c>
      <c r="BA68" s="2">
        <v>69.86</v>
      </c>
      <c r="BB68" s="2">
        <v>41.56</v>
      </c>
      <c r="BC68" s="2">
        <v>41.79</v>
      </c>
      <c r="BF68" s="1" t="s">
        <v>22</v>
      </c>
      <c r="BG68" s="2">
        <v>-1.1299999999999999</v>
      </c>
      <c r="BH68" s="2">
        <v>-0.73</v>
      </c>
      <c r="BI68" s="2">
        <v>-0.68</v>
      </c>
      <c r="BJ68" s="2">
        <v>-1.22</v>
      </c>
      <c r="BK68" s="2">
        <v>-1.88</v>
      </c>
      <c r="BL68" s="2">
        <v>-1.25</v>
      </c>
      <c r="BM68" s="2">
        <v>-0.38</v>
      </c>
      <c r="BN68" s="2">
        <v>-0.32</v>
      </c>
      <c r="BO68" s="2">
        <v>-0.09</v>
      </c>
      <c r="BP68" s="2">
        <v>0</v>
      </c>
      <c r="BQ68" s="2">
        <v>-0.09</v>
      </c>
      <c r="BR68" s="2">
        <v>0</v>
      </c>
      <c r="BS68" s="2">
        <v>0</v>
      </c>
      <c r="BT68" s="2">
        <v>0</v>
      </c>
      <c r="BU68" s="2">
        <v>-0.35</v>
      </c>
      <c r="BV68" s="2">
        <v>-0.35</v>
      </c>
    </row>
    <row r="69" spans="2:74" x14ac:dyDescent="0.3">
      <c r="B69" s="1" t="s">
        <v>23</v>
      </c>
      <c r="C69" s="2">
        <v>1871.53</v>
      </c>
      <c r="D69" s="2">
        <v>1971.72</v>
      </c>
      <c r="E69" s="2">
        <v>2963.85</v>
      </c>
      <c r="F69" s="2">
        <v>3005.3</v>
      </c>
      <c r="G69" s="2">
        <v>1920.03</v>
      </c>
      <c r="H69" s="2">
        <v>2143.21</v>
      </c>
      <c r="I69" s="2">
        <v>1003.79</v>
      </c>
      <c r="J69" s="2">
        <v>1273.05</v>
      </c>
      <c r="K69" s="2">
        <v>788.92</v>
      </c>
      <c r="L69" s="2">
        <v>798.53</v>
      </c>
      <c r="M69" s="2">
        <v>840.86</v>
      </c>
      <c r="N69" s="2">
        <v>792.86</v>
      </c>
      <c r="O69" s="2">
        <v>409.65</v>
      </c>
      <c r="P69" s="2">
        <v>388.19</v>
      </c>
      <c r="Q69" s="2">
        <v>1014.23</v>
      </c>
      <c r="R69" s="2">
        <v>896.53</v>
      </c>
      <c r="T69" s="1" t="s">
        <v>23</v>
      </c>
      <c r="U69" s="2">
        <v>59.97</v>
      </c>
      <c r="V69" s="2">
        <v>59.94</v>
      </c>
      <c r="W69" s="2">
        <v>59.9</v>
      </c>
      <c r="X69" s="2">
        <v>59.83</v>
      </c>
      <c r="Y69" s="2">
        <v>59.94</v>
      </c>
      <c r="Z69" s="2">
        <v>59.85</v>
      </c>
      <c r="AA69" s="2">
        <v>59.98</v>
      </c>
      <c r="AB69" s="2">
        <v>59.93</v>
      </c>
      <c r="AC69" s="2">
        <v>69.900000000000006</v>
      </c>
      <c r="AD69" s="2">
        <v>69.97</v>
      </c>
      <c r="AE69" s="2">
        <v>69.91</v>
      </c>
      <c r="AF69" s="2">
        <v>69.97</v>
      </c>
      <c r="AG69" s="2">
        <v>70</v>
      </c>
      <c r="AH69" s="2">
        <v>70</v>
      </c>
      <c r="AI69" s="2">
        <v>59.83</v>
      </c>
      <c r="AJ69" s="2">
        <v>59.88</v>
      </c>
      <c r="AM69" s="1" t="s">
        <v>23</v>
      </c>
      <c r="AN69" s="2">
        <v>41.94</v>
      </c>
      <c r="AO69" s="2">
        <v>41.76</v>
      </c>
      <c r="AP69" s="2">
        <v>41.85</v>
      </c>
      <c r="AQ69" s="2">
        <v>40.729999999999997</v>
      </c>
      <c r="AR69" s="2">
        <v>45.14</v>
      </c>
      <c r="AS69" s="2">
        <v>44.72</v>
      </c>
      <c r="AT69" s="2">
        <v>57.74</v>
      </c>
      <c r="AU69" s="2">
        <v>56.04</v>
      </c>
      <c r="AV69" s="2">
        <v>66.62</v>
      </c>
      <c r="AW69" s="2">
        <v>68</v>
      </c>
      <c r="AX69" s="2">
        <v>66.09</v>
      </c>
      <c r="AY69" s="2">
        <v>68</v>
      </c>
      <c r="AZ69" s="2">
        <v>68.66</v>
      </c>
      <c r="BA69" s="2">
        <v>68.849999999999994</v>
      </c>
      <c r="BB69" s="2">
        <v>40.880000000000003</v>
      </c>
      <c r="BC69" s="2">
        <v>41.15</v>
      </c>
      <c r="BF69" s="1" t="s">
        <v>23</v>
      </c>
      <c r="BG69" s="2">
        <v>-1.03</v>
      </c>
      <c r="BH69" s="2">
        <v>-1.05</v>
      </c>
      <c r="BI69" s="2">
        <v>-1.08</v>
      </c>
      <c r="BJ69" s="2">
        <v>-1.18</v>
      </c>
      <c r="BK69" s="2">
        <v>-0.92</v>
      </c>
      <c r="BL69" s="2">
        <v>-0.95</v>
      </c>
      <c r="BM69" s="2">
        <v>-0.13</v>
      </c>
      <c r="BN69" s="2">
        <v>-0.23</v>
      </c>
      <c r="BO69" s="2">
        <v>-0.11</v>
      </c>
      <c r="BP69" s="2">
        <v>-0.06</v>
      </c>
      <c r="BQ69" s="2">
        <v>-0.13</v>
      </c>
      <c r="BR69" s="2">
        <v>-0.06</v>
      </c>
      <c r="BS69" s="2">
        <v>-0.04</v>
      </c>
      <c r="BT69" s="2">
        <v>-0.03</v>
      </c>
      <c r="BU69" s="2">
        <v>-0.37</v>
      </c>
      <c r="BV69" s="2">
        <v>-0.36</v>
      </c>
    </row>
    <row r="70" spans="2:74" x14ac:dyDescent="0.3">
      <c r="B70" s="1" t="s">
        <v>24</v>
      </c>
      <c r="C70" s="2">
        <v>355.22</v>
      </c>
      <c r="D70" s="2">
        <v>304.32</v>
      </c>
      <c r="E70" s="2">
        <v>303.89999999999998</v>
      </c>
      <c r="F70" s="2">
        <v>360.27</v>
      </c>
      <c r="G70" s="2">
        <v>688.03</v>
      </c>
      <c r="H70" s="2">
        <v>526.97</v>
      </c>
      <c r="I70" s="2">
        <v>264.27999999999997</v>
      </c>
      <c r="J70" s="2">
        <v>352.44</v>
      </c>
      <c r="K70" s="2">
        <v>108.71</v>
      </c>
      <c r="L70" s="2">
        <v>78.709999999999994</v>
      </c>
      <c r="M70" s="2">
        <v>115.15</v>
      </c>
      <c r="N70" s="2">
        <v>83.44</v>
      </c>
      <c r="O70" s="2">
        <v>83.02</v>
      </c>
      <c r="P70" s="2">
        <v>63.74</v>
      </c>
      <c r="Q70" s="2">
        <v>90.44</v>
      </c>
      <c r="R70" s="2">
        <v>68.510000000000005</v>
      </c>
      <c r="T70" s="1" t="s">
        <v>24</v>
      </c>
      <c r="U70" s="2">
        <v>59.85</v>
      </c>
      <c r="V70" s="2">
        <v>59.91</v>
      </c>
      <c r="W70" s="2">
        <v>59.43</v>
      </c>
      <c r="X70" s="2">
        <v>58.13</v>
      </c>
      <c r="Y70" s="2">
        <v>58.84</v>
      </c>
      <c r="Z70" s="2">
        <v>58.18</v>
      </c>
      <c r="AA70" s="2">
        <v>59.63</v>
      </c>
      <c r="AB70" s="2">
        <v>58.89</v>
      </c>
      <c r="AC70" s="2">
        <v>69.790000000000006</v>
      </c>
      <c r="AD70" s="2">
        <v>69.930000000000007</v>
      </c>
      <c r="AE70" s="2">
        <v>69.92</v>
      </c>
      <c r="AF70" s="2">
        <v>69.98</v>
      </c>
      <c r="AG70" s="2">
        <v>69.989999999999995</v>
      </c>
      <c r="AH70" s="2">
        <v>70</v>
      </c>
      <c r="AI70" s="2">
        <v>59.91</v>
      </c>
      <c r="AJ70" s="2">
        <v>59.97</v>
      </c>
      <c r="AM70" s="1" t="s">
        <v>24</v>
      </c>
      <c r="AN70" s="2">
        <v>41.83</v>
      </c>
      <c r="AO70" s="2">
        <v>42.56</v>
      </c>
      <c r="AP70" s="2">
        <v>49.22</v>
      </c>
      <c r="AQ70" s="2">
        <v>41.06</v>
      </c>
      <c r="AR70" s="2">
        <v>38.299999999999997</v>
      </c>
      <c r="AS70" s="2">
        <v>38.369999999999997</v>
      </c>
      <c r="AT70" s="2">
        <v>54.52</v>
      </c>
      <c r="AU70" s="2">
        <v>45.84</v>
      </c>
      <c r="AV70" s="2">
        <v>67.84</v>
      </c>
      <c r="AW70" s="2">
        <v>69.150000000000006</v>
      </c>
      <c r="AX70" s="2">
        <v>67.87</v>
      </c>
      <c r="AY70" s="2">
        <v>69.16</v>
      </c>
      <c r="AZ70" s="2">
        <v>68.58</v>
      </c>
      <c r="BA70" s="2">
        <v>69.290000000000006</v>
      </c>
      <c r="BB70" s="2">
        <v>48.55</v>
      </c>
      <c r="BC70" s="2">
        <v>43.35</v>
      </c>
      <c r="BF70" s="1" t="s">
        <v>24</v>
      </c>
      <c r="BG70" s="2">
        <v>-1.04</v>
      </c>
      <c r="BH70" s="2">
        <v>-0.98</v>
      </c>
      <c r="BI70" s="2">
        <v>-0.52</v>
      </c>
      <c r="BJ70" s="2">
        <v>-1.07</v>
      </c>
      <c r="BK70" s="2">
        <v>-1.53</v>
      </c>
      <c r="BL70" s="2">
        <v>-1.49</v>
      </c>
      <c r="BM70" s="2">
        <v>-0.31</v>
      </c>
      <c r="BN70" s="2">
        <v>-0.96</v>
      </c>
      <c r="BO70" s="2">
        <v>-0.06</v>
      </c>
      <c r="BP70" s="2">
        <v>-0.03</v>
      </c>
      <c r="BQ70" s="2">
        <v>-7.0000000000000007E-2</v>
      </c>
      <c r="BR70" s="2">
        <v>-0.03</v>
      </c>
      <c r="BS70" s="2">
        <v>-0.04</v>
      </c>
      <c r="BT70" s="2">
        <v>-0.02</v>
      </c>
      <c r="BU70" s="2">
        <v>-0.19</v>
      </c>
      <c r="BV70" s="2">
        <v>-0.31</v>
      </c>
    </row>
    <row r="71" spans="2:74" x14ac:dyDescent="0.3">
      <c r="B71" s="1" t="s">
        <v>25</v>
      </c>
      <c r="C71" s="2">
        <v>1418.19</v>
      </c>
      <c r="D71" s="2">
        <v>1568.81</v>
      </c>
      <c r="E71" s="2">
        <v>1276.6500000000001</v>
      </c>
      <c r="F71" s="2">
        <v>1032.94</v>
      </c>
      <c r="G71" s="2">
        <v>1132.69</v>
      </c>
      <c r="H71" s="2">
        <v>1217.72</v>
      </c>
      <c r="I71" s="2">
        <v>913.9</v>
      </c>
      <c r="J71" s="2">
        <v>632.22</v>
      </c>
      <c r="K71" s="2">
        <v>373.58</v>
      </c>
      <c r="L71" s="2">
        <v>363.15</v>
      </c>
      <c r="M71" s="2">
        <v>387.94</v>
      </c>
      <c r="N71" s="2">
        <v>370.64</v>
      </c>
      <c r="O71" s="2">
        <v>130.13</v>
      </c>
      <c r="P71" s="2">
        <v>284.61</v>
      </c>
      <c r="Q71" s="2">
        <v>443.24</v>
      </c>
      <c r="R71" s="2">
        <v>373.36</v>
      </c>
      <c r="T71" s="1" t="s">
        <v>25</v>
      </c>
      <c r="U71" s="2">
        <v>55.97</v>
      </c>
      <c r="V71" s="2">
        <v>56.61</v>
      </c>
      <c r="W71" s="2">
        <v>59.53</v>
      </c>
      <c r="X71" s="2">
        <v>59.35</v>
      </c>
      <c r="Y71" s="2">
        <v>59.28</v>
      </c>
      <c r="Z71" s="2">
        <v>57.99</v>
      </c>
      <c r="AA71" s="2">
        <v>59.75</v>
      </c>
      <c r="AB71" s="2">
        <v>59.47</v>
      </c>
      <c r="AC71" s="2">
        <v>69.78</v>
      </c>
      <c r="AD71" s="2">
        <v>69.88</v>
      </c>
      <c r="AE71" s="2">
        <v>69.94</v>
      </c>
      <c r="AF71" s="2">
        <v>69.97</v>
      </c>
      <c r="AG71" s="2">
        <v>70</v>
      </c>
      <c r="AH71" s="2">
        <v>70</v>
      </c>
      <c r="AI71" s="2">
        <v>59.23</v>
      </c>
      <c r="AJ71" s="2">
        <v>59.13</v>
      </c>
      <c r="AM71" s="1" t="s">
        <v>25</v>
      </c>
      <c r="AN71" s="2">
        <v>38.479999999999997</v>
      </c>
      <c r="AO71" s="2">
        <v>39.479999999999997</v>
      </c>
      <c r="AP71" s="2">
        <v>44.02</v>
      </c>
      <c r="AQ71" s="2">
        <v>46.61</v>
      </c>
      <c r="AR71" s="2">
        <v>42.71</v>
      </c>
      <c r="AS71" s="2">
        <v>39.83</v>
      </c>
      <c r="AT71" s="2">
        <v>55.18</v>
      </c>
      <c r="AU71" s="2">
        <v>51.86</v>
      </c>
      <c r="AV71" s="2">
        <v>67.239999999999995</v>
      </c>
      <c r="AW71" s="2">
        <v>67.87</v>
      </c>
      <c r="AX71" s="2">
        <v>67.31</v>
      </c>
      <c r="AY71" s="2">
        <v>67.91</v>
      </c>
      <c r="AZ71" s="2">
        <v>69.98</v>
      </c>
      <c r="BA71" s="2">
        <v>69.290000000000006</v>
      </c>
      <c r="BB71" s="2">
        <v>39.35</v>
      </c>
      <c r="BC71" s="2">
        <v>40.51</v>
      </c>
      <c r="BF71" s="1" t="s">
        <v>25</v>
      </c>
      <c r="BG71" s="2">
        <v>-1.17</v>
      </c>
      <c r="BH71" s="2">
        <v>-1.1000000000000001</v>
      </c>
      <c r="BI71" s="2">
        <v>-0.89</v>
      </c>
      <c r="BJ71" s="2">
        <v>-0.69</v>
      </c>
      <c r="BK71" s="2">
        <v>-1.1000000000000001</v>
      </c>
      <c r="BL71" s="2">
        <v>-1.32</v>
      </c>
      <c r="BM71" s="2">
        <v>-0.27</v>
      </c>
      <c r="BN71" s="2">
        <v>-0.49</v>
      </c>
      <c r="BO71" s="2">
        <v>-0.08</v>
      </c>
      <c r="BP71" s="2">
        <v>-7.0000000000000007E-2</v>
      </c>
      <c r="BQ71" s="2">
        <v>-0.09</v>
      </c>
      <c r="BR71" s="2">
        <v>-7.0000000000000007E-2</v>
      </c>
      <c r="BS71" s="2">
        <v>0</v>
      </c>
      <c r="BT71" s="2">
        <v>-0.02</v>
      </c>
      <c r="BU71" s="2">
        <v>-0.41</v>
      </c>
      <c r="BV71" s="2">
        <v>-0.37</v>
      </c>
    </row>
    <row r="72" spans="2:74" x14ac:dyDescent="0.3">
      <c r="B72" s="1" t="s">
        <v>26</v>
      </c>
      <c r="C72" s="2">
        <v>246.24</v>
      </c>
      <c r="D72" s="2">
        <v>170.28</v>
      </c>
      <c r="E72" s="2">
        <v>295.31</v>
      </c>
      <c r="F72" s="2">
        <v>49.54</v>
      </c>
      <c r="G72" s="2">
        <v>275.08999999999997</v>
      </c>
      <c r="H72" s="2">
        <v>229.85</v>
      </c>
      <c r="I72" s="2">
        <v>186.76</v>
      </c>
      <c r="J72" s="2">
        <v>53.13</v>
      </c>
      <c r="K72" s="2">
        <v>194.45</v>
      </c>
      <c r="L72" s="2">
        <v>152.76</v>
      </c>
      <c r="M72" s="2">
        <v>194.45</v>
      </c>
      <c r="N72" s="2">
        <v>152.76</v>
      </c>
      <c r="O72" s="2">
        <v>31.86</v>
      </c>
      <c r="P72" s="2">
        <v>39.01</v>
      </c>
      <c r="Q72" s="2">
        <v>171.37</v>
      </c>
      <c r="R72" s="2">
        <v>103.35</v>
      </c>
      <c r="T72" s="1" t="s">
        <v>26</v>
      </c>
      <c r="U72" s="2">
        <v>60</v>
      </c>
      <c r="V72" s="2">
        <v>59.97</v>
      </c>
      <c r="W72" s="2">
        <v>60</v>
      </c>
      <c r="X72" s="2">
        <v>59.99</v>
      </c>
      <c r="Y72" s="2">
        <v>60</v>
      </c>
      <c r="Z72" s="2">
        <v>60</v>
      </c>
      <c r="AA72" s="2">
        <v>60</v>
      </c>
      <c r="AB72" s="2">
        <v>60</v>
      </c>
      <c r="AC72" s="2">
        <v>69.989999999999995</v>
      </c>
      <c r="AD72" s="2">
        <v>70</v>
      </c>
      <c r="AE72" s="2">
        <v>69.989999999999995</v>
      </c>
      <c r="AF72" s="2">
        <v>70</v>
      </c>
      <c r="AG72" s="2">
        <v>70</v>
      </c>
      <c r="AH72" s="2">
        <v>70</v>
      </c>
      <c r="AI72" s="2">
        <v>59.99</v>
      </c>
      <c r="AJ72" s="2">
        <v>59.99</v>
      </c>
      <c r="AM72" s="1" t="s">
        <v>26</v>
      </c>
      <c r="AN72" s="2">
        <v>56.34</v>
      </c>
      <c r="AO72" s="2">
        <v>56.31</v>
      </c>
      <c r="AP72" s="2">
        <v>54.57</v>
      </c>
      <c r="AQ72" s="2">
        <v>59.87</v>
      </c>
      <c r="AR72" s="2">
        <v>50.44</v>
      </c>
      <c r="AS72" s="2">
        <v>51.35</v>
      </c>
      <c r="AT72" s="2">
        <v>57.93</v>
      </c>
      <c r="AU72" s="2">
        <v>58.63</v>
      </c>
      <c r="AV72" s="2">
        <v>65.760000000000005</v>
      </c>
      <c r="AW72" s="2">
        <v>65.150000000000006</v>
      </c>
      <c r="AX72" s="2">
        <v>65.760000000000005</v>
      </c>
      <c r="AY72" s="2">
        <v>65.150000000000006</v>
      </c>
      <c r="AZ72" s="2">
        <v>69.88</v>
      </c>
      <c r="BA72" s="2">
        <v>69.760000000000005</v>
      </c>
      <c r="BB72" s="2">
        <v>47.63</v>
      </c>
      <c r="BC72" s="2">
        <v>45.94</v>
      </c>
      <c r="BF72" s="1" t="s">
        <v>26</v>
      </c>
      <c r="BG72" s="2">
        <v>-0.16</v>
      </c>
      <c r="BH72" s="2">
        <v>-0.16</v>
      </c>
      <c r="BI72" s="2">
        <v>-0.25</v>
      </c>
      <c r="BJ72" s="2">
        <v>0</v>
      </c>
      <c r="BK72" s="2">
        <v>-0.53</v>
      </c>
      <c r="BL72" s="2">
        <v>-0.47</v>
      </c>
      <c r="BM72" s="2">
        <v>-0.12</v>
      </c>
      <c r="BN72" s="2">
        <v>-0.08</v>
      </c>
      <c r="BO72" s="2">
        <v>-0.14000000000000001</v>
      </c>
      <c r="BP72" s="2">
        <v>-0.17</v>
      </c>
      <c r="BQ72" s="2">
        <v>-0.14000000000000001</v>
      </c>
      <c r="BR72" s="2">
        <v>-0.17</v>
      </c>
      <c r="BS72" s="2">
        <v>0</v>
      </c>
      <c r="BT72" s="2">
        <v>-0.01</v>
      </c>
      <c r="BU72" s="2">
        <v>-0.21</v>
      </c>
      <c r="BV72" s="2">
        <v>-0.24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12.15</v>
      </c>
      <c r="D79" s="2">
        <v>18.260000000000002</v>
      </c>
      <c r="E79" s="2">
        <v>3.96</v>
      </c>
      <c r="F79" s="2">
        <v>5.15</v>
      </c>
      <c r="G79" s="2">
        <v>5.92</v>
      </c>
      <c r="H79" s="2">
        <v>9.5</v>
      </c>
      <c r="I79" s="2">
        <v>4.3</v>
      </c>
      <c r="J79" s="2">
        <v>2.5499999999999998</v>
      </c>
      <c r="K79" s="2">
        <v>1.39</v>
      </c>
      <c r="L79" s="2">
        <v>2.06</v>
      </c>
      <c r="M79" s="2">
        <v>1.39</v>
      </c>
      <c r="N79" s="2">
        <v>1.39</v>
      </c>
      <c r="O79" s="2">
        <v>2.78</v>
      </c>
      <c r="P79" s="2">
        <v>2.25</v>
      </c>
      <c r="Q79" s="2">
        <v>5.61</v>
      </c>
      <c r="R79" s="2">
        <v>11.14</v>
      </c>
      <c r="T79" s="1" t="s">
        <v>19</v>
      </c>
      <c r="U79" s="2">
        <v>2.4</v>
      </c>
      <c r="V79" s="2">
        <v>2.4</v>
      </c>
      <c r="W79" s="2">
        <v>2.5</v>
      </c>
      <c r="X79" s="2">
        <v>2.5</v>
      </c>
      <c r="Y79" s="2">
        <v>2.8</v>
      </c>
      <c r="Z79" s="2">
        <v>2.8</v>
      </c>
      <c r="AA79" s="2">
        <v>3.3</v>
      </c>
      <c r="AB79" s="2">
        <v>3.3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0.8</v>
      </c>
      <c r="AJ79" s="2">
        <v>0.8</v>
      </c>
      <c r="AM79" s="1" t="s">
        <v>19</v>
      </c>
      <c r="AN79" s="2">
        <v>2.4</v>
      </c>
      <c r="AO79" s="2">
        <v>2.4</v>
      </c>
      <c r="AP79" s="2">
        <v>2.5</v>
      </c>
      <c r="AQ79" s="2">
        <v>2.5</v>
      </c>
      <c r="AR79" s="2">
        <v>3.05</v>
      </c>
      <c r="AS79" s="2">
        <v>3.05</v>
      </c>
      <c r="AT79" s="2">
        <v>3.3</v>
      </c>
      <c r="AU79" s="2">
        <v>3.3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0.81</v>
      </c>
      <c r="BC79" s="2">
        <v>0.8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202.38</v>
      </c>
      <c r="D80" s="2">
        <v>69.22</v>
      </c>
      <c r="E80" s="2">
        <v>87.45</v>
      </c>
      <c r="F80" s="2">
        <v>285.79000000000002</v>
      </c>
      <c r="G80" s="2">
        <v>259.3</v>
      </c>
      <c r="H80" s="2">
        <v>150.21</v>
      </c>
      <c r="I80" s="2">
        <v>313.77999999999997</v>
      </c>
      <c r="J80" s="2">
        <v>127.94</v>
      </c>
      <c r="K80" s="2">
        <v>80.69</v>
      </c>
      <c r="L80" s="2">
        <v>57.45</v>
      </c>
      <c r="M80" s="2">
        <v>80.69</v>
      </c>
      <c r="N80" s="2">
        <v>58.02</v>
      </c>
      <c r="O80" s="2">
        <v>98.11</v>
      </c>
      <c r="P80" s="2">
        <v>80.760000000000005</v>
      </c>
      <c r="Q80" s="2">
        <v>58.19</v>
      </c>
      <c r="R80" s="2">
        <v>150.56</v>
      </c>
      <c r="T80" s="1" t="s">
        <v>20</v>
      </c>
      <c r="U80" s="2">
        <v>2.4</v>
      </c>
      <c r="V80" s="2">
        <v>2.4</v>
      </c>
      <c r="W80" s="2">
        <v>2.5099999999999998</v>
      </c>
      <c r="X80" s="2">
        <v>2.5</v>
      </c>
      <c r="Y80" s="2">
        <v>2.82</v>
      </c>
      <c r="Z80" s="2">
        <v>2.8</v>
      </c>
      <c r="AA80" s="2">
        <v>3.31</v>
      </c>
      <c r="AB80" s="2">
        <v>3.3</v>
      </c>
      <c r="AC80" s="2">
        <v>2.23</v>
      </c>
      <c r="AD80" s="2">
        <v>2.23</v>
      </c>
      <c r="AE80" s="2">
        <v>2.23</v>
      </c>
      <c r="AF80" s="2">
        <v>2.23</v>
      </c>
      <c r="AG80" s="2">
        <v>1.8</v>
      </c>
      <c r="AH80" s="2">
        <v>1.8</v>
      </c>
      <c r="AI80" s="2">
        <v>0.8</v>
      </c>
      <c r="AJ80" s="2">
        <v>0.8</v>
      </c>
      <c r="AM80" s="1" t="s">
        <v>20</v>
      </c>
      <c r="AN80" s="2">
        <v>3.4</v>
      </c>
      <c r="AO80" s="2">
        <v>2.5299999999999998</v>
      </c>
      <c r="AP80" s="2">
        <v>2.77</v>
      </c>
      <c r="AQ80" s="2">
        <v>3.49</v>
      </c>
      <c r="AR80" s="2">
        <v>4.04</v>
      </c>
      <c r="AS80" s="2">
        <v>3.51</v>
      </c>
      <c r="AT80" s="2">
        <v>4.7</v>
      </c>
      <c r="AU80" s="2">
        <v>3.61</v>
      </c>
      <c r="AV80" s="2">
        <v>2.39</v>
      </c>
      <c r="AW80" s="2">
        <v>2.36</v>
      </c>
      <c r="AX80" s="2">
        <v>2.39</v>
      </c>
      <c r="AY80" s="2">
        <v>2.36</v>
      </c>
      <c r="AZ80" s="2">
        <v>1.92</v>
      </c>
      <c r="BA80" s="2">
        <v>1.9</v>
      </c>
      <c r="BB80" s="2">
        <v>1.1299999999999999</v>
      </c>
      <c r="BC80" s="2">
        <v>1.1399999999999999</v>
      </c>
      <c r="BF80" s="1" t="s">
        <v>20</v>
      </c>
      <c r="BG80" s="2">
        <v>-0.28999999999999998</v>
      </c>
      <c r="BH80" s="2">
        <v>-0.05</v>
      </c>
      <c r="BI80" s="2">
        <v>-0.09</v>
      </c>
      <c r="BJ80" s="2">
        <v>-0.28000000000000003</v>
      </c>
      <c r="BK80" s="2">
        <v>-0.3</v>
      </c>
      <c r="BL80" s="2">
        <v>-0.2</v>
      </c>
      <c r="BM80" s="2">
        <v>-0.3</v>
      </c>
      <c r="BN80" s="2">
        <v>-0.09</v>
      </c>
      <c r="BO80" s="2">
        <v>-7.0000000000000007E-2</v>
      </c>
      <c r="BP80" s="2">
        <v>-0.05</v>
      </c>
      <c r="BQ80" s="2">
        <v>-7.0000000000000007E-2</v>
      </c>
      <c r="BR80" s="2">
        <v>-0.05</v>
      </c>
      <c r="BS80" s="2">
        <v>-0.06</v>
      </c>
      <c r="BT80" s="2">
        <v>-0.05</v>
      </c>
      <c r="BU80" s="2">
        <v>-0.28999999999999998</v>
      </c>
      <c r="BV80" s="2">
        <v>-0.3</v>
      </c>
    </row>
    <row r="81" spans="2:74" x14ac:dyDescent="0.3">
      <c r="B81" s="1" t="s">
        <v>21</v>
      </c>
      <c r="C81" s="2">
        <v>1256.77</v>
      </c>
      <c r="D81" s="2">
        <v>437.11</v>
      </c>
      <c r="E81" s="2">
        <v>649.85</v>
      </c>
      <c r="F81" s="2">
        <v>1506.79</v>
      </c>
      <c r="G81" s="2">
        <v>2177.5500000000002</v>
      </c>
      <c r="H81" s="2">
        <v>815.41</v>
      </c>
      <c r="I81" s="2">
        <v>1519.43</v>
      </c>
      <c r="J81" s="2">
        <v>662.27</v>
      </c>
      <c r="K81" s="2">
        <v>157.69999999999999</v>
      </c>
      <c r="L81" s="2">
        <v>212.5</v>
      </c>
      <c r="M81" s="2">
        <v>152.33000000000001</v>
      </c>
      <c r="N81" s="2">
        <v>204.97</v>
      </c>
      <c r="O81" s="2">
        <v>343.48</v>
      </c>
      <c r="P81" s="2">
        <v>116.7</v>
      </c>
      <c r="Q81" s="2">
        <v>156.16999999999999</v>
      </c>
      <c r="R81" s="2">
        <v>488.47</v>
      </c>
      <c r="T81" s="1" t="s">
        <v>21</v>
      </c>
      <c r="U81" s="2">
        <v>2.46</v>
      </c>
      <c r="V81" s="2">
        <v>2.4</v>
      </c>
      <c r="W81" s="2">
        <v>2.5299999999999998</v>
      </c>
      <c r="X81" s="2">
        <v>2.56</v>
      </c>
      <c r="Y81" s="2">
        <v>2.93</v>
      </c>
      <c r="Z81" s="2">
        <v>2.81</v>
      </c>
      <c r="AA81" s="2">
        <v>3.32</v>
      </c>
      <c r="AB81" s="2">
        <v>3.3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0.8</v>
      </c>
      <c r="AJ81" s="2">
        <v>0.83</v>
      </c>
      <c r="AM81" s="1" t="s">
        <v>21</v>
      </c>
      <c r="AN81" s="2">
        <v>5.44</v>
      </c>
      <c r="AO81" s="2">
        <v>2.75</v>
      </c>
      <c r="AP81" s="2">
        <v>3.32</v>
      </c>
      <c r="AQ81" s="2">
        <v>4.17</v>
      </c>
      <c r="AR81" s="2">
        <v>6.48</v>
      </c>
      <c r="AS81" s="2">
        <v>3.62</v>
      </c>
      <c r="AT81" s="2">
        <v>5.77</v>
      </c>
      <c r="AU81" s="2">
        <v>3.7</v>
      </c>
      <c r="AV81" s="2">
        <v>2.25</v>
      </c>
      <c r="AW81" s="2">
        <v>2.2799999999999998</v>
      </c>
      <c r="AX81" s="2">
        <v>2.25</v>
      </c>
      <c r="AY81" s="2">
        <v>2.2799999999999998</v>
      </c>
      <c r="AZ81" s="2">
        <v>1.84</v>
      </c>
      <c r="BA81" s="2">
        <v>1.8</v>
      </c>
      <c r="BB81" s="2">
        <v>1.04</v>
      </c>
      <c r="BC81" s="2">
        <v>1.34</v>
      </c>
      <c r="BF81" s="1" t="s">
        <v>21</v>
      </c>
      <c r="BG81" s="2">
        <v>-0.55000000000000004</v>
      </c>
      <c r="BH81" s="2">
        <v>-0.13</v>
      </c>
      <c r="BI81" s="2">
        <v>-0.24</v>
      </c>
      <c r="BJ81" s="2">
        <v>-0.38</v>
      </c>
      <c r="BK81" s="2">
        <v>-0.55000000000000004</v>
      </c>
      <c r="BL81" s="2">
        <v>-0.22</v>
      </c>
      <c r="BM81" s="2">
        <v>-0.42</v>
      </c>
      <c r="BN81" s="2">
        <v>-0.11</v>
      </c>
      <c r="BO81" s="2">
        <v>-0.01</v>
      </c>
      <c r="BP81" s="2">
        <v>-0.02</v>
      </c>
      <c r="BQ81" s="2">
        <v>-0.01</v>
      </c>
      <c r="BR81" s="2">
        <v>-0.02</v>
      </c>
      <c r="BS81" s="2">
        <v>-0.02</v>
      </c>
      <c r="BT81" s="2">
        <v>0</v>
      </c>
      <c r="BU81" s="2">
        <v>-0.23</v>
      </c>
      <c r="BV81" s="2">
        <v>-0.38</v>
      </c>
    </row>
    <row r="82" spans="2:74" x14ac:dyDescent="0.3">
      <c r="B82" s="1" t="s">
        <v>22</v>
      </c>
      <c r="C82" s="2">
        <v>168.48</v>
      </c>
      <c r="D82" s="2">
        <v>118.05</v>
      </c>
      <c r="E82" s="2">
        <v>182.87</v>
      </c>
      <c r="F82" s="2">
        <v>406.04</v>
      </c>
      <c r="G82" s="2">
        <v>383.76</v>
      </c>
      <c r="H82" s="2">
        <v>349.02</v>
      </c>
      <c r="I82" s="2">
        <v>157.78</v>
      </c>
      <c r="J82" s="2">
        <v>159.75</v>
      </c>
      <c r="K82" s="2">
        <v>55.03</v>
      </c>
      <c r="L82" s="2">
        <v>49.49</v>
      </c>
      <c r="M82" s="2">
        <v>50.18</v>
      </c>
      <c r="N82" s="2">
        <v>23.02</v>
      </c>
      <c r="O82" s="2">
        <v>39.58</v>
      </c>
      <c r="P82" s="2">
        <v>39.6</v>
      </c>
      <c r="Q82" s="2">
        <v>58.24</v>
      </c>
      <c r="R82" s="2">
        <v>93.58</v>
      </c>
      <c r="T82" s="1" t="s">
        <v>22</v>
      </c>
      <c r="U82" s="2">
        <v>2.41</v>
      </c>
      <c r="V82" s="2">
        <v>2.4</v>
      </c>
      <c r="W82" s="2">
        <v>2.5099999999999998</v>
      </c>
      <c r="X82" s="2">
        <v>2.52</v>
      </c>
      <c r="Y82" s="2">
        <v>2.82</v>
      </c>
      <c r="Z82" s="2">
        <v>2.81</v>
      </c>
      <c r="AA82" s="2">
        <v>3.31</v>
      </c>
      <c r="AB82" s="2">
        <v>3.3</v>
      </c>
      <c r="AC82" s="2">
        <v>2.23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0.8</v>
      </c>
      <c r="AJ82" s="2">
        <v>0.8</v>
      </c>
      <c r="AM82" s="1" t="s">
        <v>22</v>
      </c>
      <c r="AN82" s="2">
        <v>3.54</v>
      </c>
      <c r="AO82" s="2">
        <v>3.13</v>
      </c>
      <c r="AP82" s="2">
        <v>3.19</v>
      </c>
      <c r="AQ82" s="2">
        <v>3.74</v>
      </c>
      <c r="AR82" s="2">
        <v>4.6900000000000004</v>
      </c>
      <c r="AS82" s="2">
        <v>4.0599999999999996</v>
      </c>
      <c r="AT82" s="2">
        <v>3.69</v>
      </c>
      <c r="AU82" s="2">
        <v>3.63</v>
      </c>
      <c r="AV82" s="2">
        <v>2.3199999999999998</v>
      </c>
      <c r="AW82" s="2">
        <v>2.23</v>
      </c>
      <c r="AX82" s="2">
        <v>2.3199999999999998</v>
      </c>
      <c r="AY82" s="2">
        <v>2.23</v>
      </c>
      <c r="AZ82" s="2">
        <v>1.8</v>
      </c>
      <c r="BA82" s="2">
        <v>1.8</v>
      </c>
      <c r="BB82" s="2">
        <v>1.1499999999999999</v>
      </c>
      <c r="BC82" s="2">
        <v>1.1499999999999999</v>
      </c>
      <c r="BF82" s="1" t="s">
        <v>22</v>
      </c>
      <c r="BG82" s="2">
        <v>-0.32</v>
      </c>
      <c r="BH82" s="2">
        <v>-0.23</v>
      </c>
      <c r="BI82" s="2">
        <v>-0.21</v>
      </c>
      <c r="BJ82" s="2">
        <v>-0.33</v>
      </c>
      <c r="BK82" s="2">
        <v>-0.4</v>
      </c>
      <c r="BL82" s="2">
        <v>-0.31</v>
      </c>
      <c r="BM82" s="2">
        <v>-0.1</v>
      </c>
      <c r="BN82" s="2">
        <v>-0.09</v>
      </c>
      <c r="BO82" s="2">
        <v>-0.04</v>
      </c>
      <c r="BP82" s="2">
        <v>0</v>
      </c>
      <c r="BQ82" s="2">
        <v>-0.04</v>
      </c>
      <c r="BR82" s="2">
        <v>0</v>
      </c>
      <c r="BS82" s="2">
        <v>0</v>
      </c>
      <c r="BT82" s="2">
        <v>0</v>
      </c>
      <c r="BU82" s="2">
        <v>-0.31</v>
      </c>
      <c r="BV82" s="2">
        <v>-0.3</v>
      </c>
    </row>
    <row r="83" spans="2:74" x14ac:dyDescent="0.3">
      <c r="B83" s="1" t="s">
        <v>23</v>
      </c>
      <c r="C83" s="2">
        <v>510.74</v>
      </c>
      <c r="D83" s="2">
        <v>614.59</v>
      </c>
      <c r="E83" s="2">
        <v>964.08</v>
      </c>
      <c r="F83" s="2">
        <v>1059.99</v>
      </c>
      <c r="G83" s="2">
        <v>871</v>
      </c>
      <c r="H83" s="2">
        <v>917.62</v>
      </c>
      <c r="I83" s="2">
        <v>435.34</v>
      </c>
      <c r="J83" s="2">
        <v>484.25</v>
      </c>
      <c r="K83" s="2">
        <v>314.36</v>
      </c>
      <c r="L83" s="2">
        <v>224.48</v>
      </c>
      <c r="M83" s="2">
        <v>336.52</v>
      </c>
      <c r="N83" s="2">
        <v>223.73</v>
      </c>
      <c r="O83" s="2">
        <v>269.64</v>
      </c>
      <c r="P83" s="2">
        <v>256.97000000000003</v>
      </c>
      <c r="Q83" s="2">
        <v>328.99</v>
      </c>
      <c r="R83" s="2">
        <v>315.66000000000003</v>
      </c>
      <c r="T83" s="1" t="s">
        <v>23</v>
      </c>
      <c r="U83" s="2">
        <v>2.4</v>
      </c>
      <c r="V83" s="2">
        <v>2.4</v>
      </c>
      <c r="W83" s="2">
        <v>2.5</v>
      </c>
      <c r="X83" s="2">
        <v>2.5099999999999998</v>
      </c>
      <c r="Y83" s="2">
        <v>2.8</v>
      </c>
      <c r="Z83" s="2">
        <v>2.81</v>
      </c>
      <c r="AA83" s="2">
        <v>3.3</v>
      </c>
      <c r="AB83" s="2">
        <v>3.3</v>
      </c>
      <c r="AC83" s="2">
        <v>2.23</v>
      </c>
      <c r="AD83" s="2">
        <v>2.23</v>
      </c>
      <c r="AE83" s="2">
        <v>2.23</v>
      </c>
      <c r="AF83" s="2">
        <v>2.23</v>
      </c>
      <c r="AG83" s="2">
        <v>1.8</v>
      </c>
      <c r="AH83" s="2">
        <v>1.8</v>
      </c>
      <c r="AI83" s="2">
        <v>0.8</v>
      </c>
      <c r="AJ83" s="2">
        <v>0.8</v>
      </c>
      <c r="AM83" s="1" t="s">
        <v>23</v>
      </c>
      <c r="AN83" s="2">
        <v>3.43</v>
      </c>
      <c r="AO83" s="2">
        <v>3.45</v>
      </c>
      <c r="AP83" s="2">
        <v>3.58</v>
      </c>
      <c r="AQ83" s="2">
        <v>3.68</v>
      </c>
      <c r="AR83" s="2">
        <v>3.72</v>
      </c>
      <c r="AS83" s="2">
        <v>3.76</v>
      </c>
      <c r="AT83" s="2">
        <v>3.43</v>
      </c>
      <c r="AU83" s="2">
        <v>3.53</v>
      </c>
      <c r="AV83" s="2">
        <v>2.34</v>
      </c>
      <c r="AW83" s="2">
        <v>2.29</v>
      </c>
      <c r="AX83" s="2">
        <v>2.36</v>
      </c>
      <c r="AY83" s="2">
        <v>2.29</v>
      </c>
      <c r="AZ83" s="2">
        <v>1.84</v>
      </c>
      <c r="BA83" s="2">
        <v>1.83</v>
      </c>
      <c r="BB83" s="2">
        <v>1.17</v>
      </c>
      <c r="BC83" s="2">
        <v>1.17</v>
      </c>
      <c r="BF83" s="1" t="s">
        <v>23</v>
      </c>
      <c r="BG83" s="2">
        <v>-0.3</v>
      </c>
      <c r="BH83" s="2">
        <v>-0.3</v>
      </c>
      <c r="BI83" s="2">
        <v>-0.3</v>
      </c>
      <c r="BJ83" s="2">
        <v>-0.32</v>
      </c>
      <c r="BK83" s="2">
        <v>-0.25</v>
      </c>
      <c r="BL83" s="2">
        <v>-0.25</v>
      </c>
      <c r="BM83" s="2">
        <v>-0.04</v>
      </c>
      <c r="BN83" s="2">
        <v>-0.06</v>
      </c>
      <c r="BO83" s="2">
        <v>-0.05</v>
      </c>
      <c r="BP83" s="2">
        <v>-0.03</v>
      </c>
      <c r="BQ83" s="2">
        <v>-0.05</v>
      </c>
      <c r="BR83" s="2">
        <v>-0.03</v>
      </c>
      <c r="BS83" s="2">
        <v>-0.02</v>
      </c>
      <c r="BT83" s="2">
        <v>-0.02</v>
      </c>
      <c r="BU83" s="2">
        <v>-0.32</v>
      </c>
      <c r="BV83" s="2">
        <v>-0.31</v>
      </c>
    </row>
    <row r="84" spans="2:74" x14ac:dyDescent="0.3">
      <c r="B84" s="1" t="s">
        <v>24</v>
      </c>
      <c r="C84" s="2">
        <v>119.45</v>
      </c>
      <c r="D84" s="2">
        <v>41.04</v>
      </c>
      <c r="E84" s="2">
        <v>106.44</v>
      </c>
      <c r="F84" s="2">
        <v>200.6</v>
      </c>
      <c r="G84" s="2">
        <v>208.35</v>
      </c>
      <c r="H84" s="2">
        <v>112.47</v>
      </c>
      <c r="I84" s="2">
        <v>69.09</v>
      </c>
      <c r="J84" s="2">
        <v>159.12</v>
      </c>
      <c r="K84" s="2">
        <v>34.85</v>
      </c>
      <c r="L84" s="2">
        <v>18.600000000000001</v>
      </c>
      <c r="M84" s="2">
        <v>37.33</v>
      </c>
      <c r="N84" s="2">
        <v>19.91</v>
      </c>
      <c r="O84" s="2">
        <v>34.659999999999997</v>
      </c>
      <c r="P84" s="2">
        <v>27.33</v>
      </c>
      <c r="Q84" s="2">
        <v>31.1</v>
      </c>
      <c r="R84" s="2">
        <v>38.22</v>
      </c>
      <c r="T84" s="1" t="s">
        <v>24</v>
      </c>
      <c r="U84" s="2">
        <v>2.41</v>
      </c>
      <c r="V84" s="2">
        <v>2.4</v>
      </c>
      <c r="W84" s="2">
        <v>2.52</v>
      </c>
      <c r="X84" s="2">
        <v>2.58</v>
      </c>
      <c r="Y84" s="2">
        <v>2.86</v>
      </c>
      <c r="Z84" s="2">
        <v>2.89</v>
      </c>
      <c r="AA84" s="2">
        <v>3.32</v>
      </c>
      <c r="AB84" s="2">
        <v>3.36</v>
      </c>
      <c r="AC84" s="2">
        <v>2.2400000000000002</v>
      </c>
      <c r="AD84" s="2">
        <v>2.23</v>
      </c>
      <c r="AE84" s="2">
        <v>2.23</v>
      </c>
      <c r="AF84" s="2">
        <v>2.23</v>
      </c>
      <c r="AG84" s="2">
        <v>1.8</v>
      </c>
      <c r="AH84" s="2">
        <v>1.8</v>
      </c>
      <c r="AI84" s="2">
        <v>0.8</v>
      </c>
      <c r="AJ84" s="2">
        <v>0.8</v>
      </c>
      <c r="AM84" s="1" t="s">
        <v>24</v>
      </c>
      <c r="AN84" s="2">
        <v>3.44</v>
      </c>
      <c r="AO84" s="2">
        <v>3.38</v>
      </c>
      <c r="AP84" s="2">
        <v>3.05</v>
      </c>
      <c r="AQ84" s="2">
        <v>3.65</v>
      </c>
      <c r="AR84" s="2">
        <v>4.3899999999999997</v>
      </c>
      <c r="AS84" s="2">
        <v>4.38</v>
      </c>
      <c r="AT84" s="2">
        <v>3.63</v>
      </c>
      <c r="AU84" s="2">
        <v>4.32</v>
      </c>
      <c r="AV84" s="2">
        <v>2.2999999999999998</v>
      </c>
      <c r="AW84" s="2">
        <v>2.2599999999999998</v>
      </c>
      <c r="AX84" s="2">
        <v>2.2999999999999998</v>
      </c>
      <c r="AY84" s="2">
        <v>2.2599999999999998</v>
      </c>
      <c r="AZ84" s="2">
        <v>1.84</v>
      </c>
      <c r="BA84" s="2">
        <v>1.82</v>
      </c>
      <c r="BB84" s="2">
        <v>0.99</v>
      </c>
      <c r="BC84" s="2">
        <v>1.1100000000000001</v>
      </c>
      <c r="BF84" s="1" t="s">
        <v>24</v>
      </c>
      <c r="BG84" s="2">
        <v>-0.3</v>
      </c>
      <c r="BH84" s="2">
        <v>-0.28999999999999998</v>
      </c>
      <c r="BI84" s="2">
        <v>-0.17</v>
      </c>
      <c r="BJ84" s="2">
        <v>-0.28999999999999998</v>
      </c>
      <c r="BK84" s="2">
        <v>-0.35</v>
      </c>
      <c r="BL84" s="2">
        <v>-0.34</v>
      </c>
      <c r="BM84" s="2">
        <v>-0.09</v>
      </c>
      <c r="BN84" s="2">
        <v>-0.22</v>
      </c>
      <c r="BO84" s="2">
        <v>-0.03</v>
      </c>
      <c r="BP84" s="2">
        <v>-0.01</v>
      </c>
      <c r="BQ84" s="2">
        <v>-0.03</v>
      </c>
      <c r="BR84" s="2">
        <v>-0.01</v>
      </c>
      <c r="BS84" s="2">
        <v>-0.02</v>
      </c>
      <c r="BT84" s="2">
        <v>-0.01</v>
      </c>
      <c r="BU84" s="2">
        <v>-0.19</v>
      </c>
      <c r="BV84" s="2">
        <v>-0.28000000000000003</v>
      </c>
    </row>
    <row r="85" spans="2:74" x14ac:dyDescent="0.3">
      <c r="B85" s="1" t="s">
        <v>25</v>
      </c>
      <c r="C85" s="2">
        <v>311.35000000000002</v>
      </c>
      <c r="D85" s="2">
        <v>299.33999999999997</v>
      </c>
      <c r="E85" s="2">
        <v>193.15</v>
      </c>
      <c r="F85" s="2">
        <v>245.44</v>
      </c>
      <c r="G85" s="2">
        <v>264.10000000000002</v>
      </c>
      <c r="H85" s="2">
        <v>260.63</v>
      </c>
      <c r="I85" s="2">
        <v>180.03</v>
      </c>
      <c r="J85" s="2">
        <v>210.81</v>
      </c>
      <c r="K85" s="2">
        <v>81.58</v>
      </c>
      <c r="L85" s="2">
        <v>136.30000000000001</v>
      </c>
      <c r="M85" s="2">
        <v>82.95</v>
      </c>
      <c r="N85" s="2">
        <v>136.71</v>
      </c>
      <c r="O85" s="2">
        <v>15.82</v>
      </c>
      <c r="P85" s="2">
        <v>37.18</v>
      </c>
      <c r="Q85" s="2">
        <v>60.37</v>
      </c>
      <c r="R85" s="2">
        <v>90.71</v>
      </c>
      <c r="T85" s="1" t="s">
        <v>25</v>
      </c>
      <c r="U85" s="2">
        <v>2.57</v>
      </c>
      <c r="V85" s="2">
        <v>2.54</v>
      </c>
      <c r="W85" s="2">
        <v>2.52</v>
      </c>
      <c r="X85" s="2">
        <v>2.5299999999999998</v>
      </c>
      <c r="Y85" s="2">
        <v>2.83</v>
      </c>
      <c r="Z85" s="2">
        <v>2.9</v>
      </c>
      <c r="AA85" s="2">
        <v>3.31</v>
      </c>
      <c r="AB85" s="2">
        <v>3.33</v>
      </c>
      <c r="AC85" s="2">
        <v>2.2400000000000002</v>
      </c>
      <c r="AD85" s="2">
        <v>2.23</v>
      </c>
      <c r="AE85" s="2">
        <v>2.23</v>
      </c>
      <c r="AF85" s="2">
        <v>2.23</v>
      </c>
      <c r="AG85" s="2">
        <v>1.8</v>
      </c>
      <c r="AH85" s="2">
        <v>1.8</v>
      </c>
      <c r="AI85" s="2">
        <v>0.81</v>
      </c>
      <c r="AJ85" s="2">
        <v>0.81</v>
      </c>
      <c r="AM85" s="1" t="s">
        <v>25</v>
      </c>
      <c r="AN85" s="2">
        <v>3.74</v>
      </c>
      <c r="AO85" s="2">
        <v>3.65</v>
      </c>
      <c r="AP85" s="2">
        <v>3.41</v>
      </c>
      <c r="AQ85" s="2">
        <v>3.22</v>
      </c>
      <c r="AR85" s="2">
        <v>3.93</v>
      </c>
      <c r="AS85" s="2">
        <v>4.22</v>
      </c>
      <c r="AT85" s="2">
        <v>3.59</v>
      </c>
      <c r="AU85" s="2">
        <v>3.82</v>
      </c>
      <c r="AV85" s="2">
        <v>2.3199999999999998</v>
      </c>
      <c r="AW85" s="2">
        <v>2.2999999999999998</v>
      </c>
      <c r="AX85" s="2">
        <v>2.3199999999999998</v>
      </c>
      <c r="AY85" s="2">
        <v>2.2999999999999998</v>
      </c>
      <c r="AZ85" s="2">
        <v>1.8</v>
      </c>
      <c r="BA85" s="2">
        <v>1.82</v>
      </c>
      <c r="BB85" s="2">
        <v>1.22</v>
      </c>
      <c r="BC85" s="2">
        <v>1.18</v>
      </c>
      <c r="BF85" s="1" t="s">
        <v>25</v>
      </c>
      <c r="BG85" s="2">
        <v>-0.31</v>
      </c>
      <c r="BH85" s="2">
        <v>-0.3</v>
      </c>
      <c r="BI85" s="2">
        <v>-0.26</v>
      </c>
      <c r="BJ85" s="2">
        <v>-0.21</v>
      </c>
      <c r="BK85" s="2">
        <v>-0.28000000000000003</v>
      </c>
      <c r="BL85" s="2">
        <v>-0.31</v>
      </c>
      <c r="BM85" s="2">
        <v>-0.08</v>
      </c>
      <c r="BN85" s="2">
        <v>-0.13</v>
      </c>
      <c r="BO85" s="2">
        <v>-0.04</v>
      </c>
      <c r="BP85" s="2">
        <v>-0.03</v>
      </c>
      <c r="BQ85" s="2">
        <v>-0.04</v>
      </c>
      <c r="BR85" s="2">
        <v>-0.03</v>
      </c>
      <c r="BS85" s="2">
        <v>0</v>
      </c>
      <c r="BT85" s="2">
        <v>-0.01</v>
      </c>
      <c r="BU85" s="2">
        <v>-0.34</v>
      </c>
      <c r="BV85" s="2">
        <v>-0.31</v>
      </c>
    </row>
    <row r="86" spans="2:74" x14ac:dyDescent="0.3">
      <c r="B86" s="1" t="s">
        <v>26</v>
      </c>
      <c r="C86" s="2">
        <v>24.1</v>
      </c>
      <c r="D86" s="2">
        <v>39.21</v>
      </c>
      <c r="E86" s="2">
        <v>30.71</v>
      </c>
      <c r="F86" s="2">
        <v>13.48</v>
      </c>
      <c r="G86" s="2">
        <v>55.15</v>
      </c>
      <c r="H86" s="2">
        <v>83.32</v>
      </c>
      <c r="I86" s="2">
        <v>6.61</v>
      </c>
      <c r="J86" s="2">
        <v>5.27</v>
      </c>
      <c r="K86" s="2">
        <v>5.52</v>
      </c>
      <c r="L86" s="2">
        <v>6.15</v>
      </c>
      <c r="M86" s="2">
        <v>5.52</v>
      </c>
      <c r="N86" s="2">
        <v>6.15</v>
      </c>
      <c r="O86" s="2">
        <v>0</v>
      </c>
      <c r="P86" s="2">
        <v>0</v>
      </c>
      <c r="Q86" s="2">
        <v>18.010000000000002</v>
      </c>
      <c r="R86" s="2">
        <v>26.37</v>
      </c>
      <c r="T86" s="1" t="s">
        <v>26</v>
      </c>
      <c r="U86" s="2">
        <v>2.4</v>
      </c>
      <c r="V86" s="2">
        <v>2.4</v>
      </c>
      <c r="W86" s="2">
        <v>2.5</v>
      </c>
      <c r="X86" s="2">
        <v>2.5</v>
      </c>
      <c r="Y86" s="2">
        <v>2.8</v>
      </c>
      <c r="Z86" s="2">
        <v>2.8</v>
      </c>
      <c r="AA86" s="2">
        <v>3.3</v>
      </c>
      <c r="AB86" s="2">
        <v>3.3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0.8</v>
      </c>
      <c r="AJ86" s="2">
        <v>0.8</v>
      </c>
      <c r="AM86" s="1" t="s">
        <v>26</v>
      </c>
      <c r="AN86" s="2">
        <v>2.56</v>
      </c>
      <c r="AO86" s="2">
        <v>2.56</v>
      </c>
      <c r="AP86" s="2">
        <v>2.75</v>
      </c>
      <c r="AQ86" s="2">
        <v>2.5099999999999998</v>
      </c>
      <c r="AR86" s="2">
        <v>3.33</v>
      </c>
      <c r="AS86" s="2">
        <v>3.27</v>
      </c>
      <c r="AT86" s="2">
        <v>3.42</v>
      </c>
      <c r="AU86" s="2">
        <v>3.38</v>
      </c>
      <c r="AV86" s="2">
        <v>2.37</v>
      </c>
      <c r="AW86" s="2">
        <v>2.39</v>
      </c>
      <c r="AX86" s="2">
        <v>2.37</v>
      </c>
      <c r="AY86" s="2">
        <v>2.39</v>
      </c>
      <c r="AZ86" s="2">
        <v>1.8</v>
      </c>
      <c r="BA86" s="2">
        <v>1.81</v>
      </c>
      <c r="BB86" s="2">
        <v>1.01</v>
      </c>
      <c r="BC86" s="2">
        <v>1.04</v>
      </c>
      <c r="BF86" s="1" t="s">
        <v>26</v>
      </c>
      <c r="BG86" s="2">
        <v>-0.06</v>
      </c>
      <c r="BH86" s="2">
        <v>-0.06</v>
      </c>
      <c r="BI86" s="2">
        <v>-0.09</v>
      </c>
      <c r="BJ86" s="2">
        <v>0</v>
      </c>
      <c r="BK86" s="2">
        <v>-0.16</v>
      </c>
      <c r="BL86" s="2">
        <v>-0.14000000000000001</v>
      </c>
      <c r="BM86" s="2">
        <v>-0.03</v>
      </c>
      <c r="BN86" s="2">
        <v>-0.02</v>
      </c>
      <c r="BO86" s="2">
        <v>-0.06</v>
      </c>
      <c r="BP86" s="2">
        <v>-7.0000000000000007E-2</v>
      </c>
      <c r="BQ86" s="2">
        <v>-0.06</v>
      </c>
      <c r="BR86" s="2">
        <v>-7.0000000000000007E-2</v>
      </c>
      <c r="BS86" s="2">
        <v>0</v>
      </c>
      <c r="BT86" s="2">
        <v>0</v>
      </c>
      <c r="BU86" s="2">
        <v>-0.21</v>
      </c>
      <c r="BV86" s="2">
        <v>-0.23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420.18</v>
      </c>
      <c r="D93" s="2">
        <v>395.72</v>
      </c>
      <c r="E93" s="2">
        <v>471.05</v>
      </c>
      <c r="F93" s="2">
        <v>221.83</v>
      </c>
      <c r="G93" s="2">
        <v>93.16</v>
      </c>
      <c r="H93" s="2">
        <v>93.08</v>
      </c>
      <c r="I93" s="2">
        <v>111.04</v>
      </c>
      <c r="J93" s="2">
        <v>123.55</v>
      </c>
      <c r="K93" s="2">
        <v>151.37</v>
      </c>
      <c r="L93" s="2">
        <v>154.15</v>
      </c>
      <c r="M93" s="2">
        <v>151.37</v>
      </c>
      <c r="N93" s="2">
        <v>151.37</v>
      </c>
      <c r="O93" s="2">
        <v>40.74</v>
      </c>
      <c r="P93" s="2">
        <v>39.659999999999997</v>
      </c>
      <c r="Q93" s="2">
        <v>499.39</v>
      </c>
      <c r="R93" s="2">
        <v>472.24</v>
      </c>
      <c r="T93" s="1" t="s">
        <v>19</v>
      </c>
      <c r="U93" s="2">
        <v>5245.74</v>
      </c>
      <c r="V93" s="2">
        <v>3776.47</v>
      </c>
      <c r="W93" s="2">
        <v>1728.98</v>
      </c>
      <c r="X93" s="2">
        <v>1511.78</v>
      </c>
      <c r="Y93" s="2">
        <v>979.3</v>
      </c>
      <c r="Z93" s="2">
        <v>979.3</v>
      </c>
      <c r="AA93" s="2">
        <v>364.79</v>
      </c>
      <c r="AB93" s="2">
        <v>3226.72</v>
      </c>
      <c r="AC93" s="2">
        <v>4966.0200000000004</v>
      </c>
      <c r="AD93" s="2">
        <v>971.58</v>
      </c>
      <c r="AE93" s="2">
        <v>1478.47</v>
      </c>
      <c r="AF93" s="2">
        <v>1087.96</v>
      </c>
      <c r="AG93" s="2">
        <v>1412.4</v>
      </c>
      <c r="AH93" s="2">
        <v>1354.85</v>
      </c>
      <c r="AI93" s="2">
        <v>326.62</v>
      </c>
      <c r="AJ93" s="2">
        <v>2095.6999999999998</v>
      </c>
      <c r="AM93" s="1" t="s">
        <v>19</v>
      </c>
      <c r="AN93" s="2">
        <v>22971.54</v>
      </c>
      <c r="AO93" s="2">
        <v>27847.78</v>
      </c>
      <c r="AP93" s="2">
        <v>27455.42</v>
      </c>
      <c r="AQ93" s="2">
        <v>28208.68</v>
      </c>
      <c r="AR93" s="2">
        <v>18250.82</v>
      </c>
      <c r="AS93" s="2">
        <v>18250.82</v>
      </c>
      <c r="AT93" s="2">
        <v>6798.52</v>
      </c>
      <c r="AU93" s="2">
        <v>8695.1200000000008</v>
      </c>
      <c r="AV93" s="2">
        <v>22443.18</v>
      </c>
      <c r="AW93" s="2">
        <v>18049.169999999998</v>
      </c>
      <c r="AX93" s="2">
        <v>22860.81</v>
      </c>
      <c r="AY93" s="2">
        <v>20210.240000000002</v>
      </c>
      <c r="AZ93" s="2">
        <v>26322.58</v>
      </c>
      <c r="BA93" s="2">
        <v>25249.91</v>
      </c>
      <c r="BB93" s="2">
        <v>6086.99</v>
      </c>
      <c r="BC93" s="2">
        <v>5656.38</v>
      </c>
      <c r="BF93" s="1" t="s">
        <v>19</v>
      </c>
      <c r="BG93" s="2">
        <v>0.48</v>
      </c>
      <c r="BH93" s="2">
        <v>0.48</v>
      </c>
      <c r="BI93" s="2">
        <v>0.5</v>
      </c>
      <c r="BJ93" s="2">
        <v>0.5</v>
      </c>
      <c r="BK93" s="2">
        <v>0.56000000000000005</v>
      </c>
      <c r="BL93" s="2">
        <v>0.56000000000000005</v>
      </c>
      <c r="BM93" s="2">
        <v>0.66</v>
      </c>
      <c r="BN93" s="2">
        <v>0.66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0.16</v>
      </c>
      <c r="BV93" s="2">
        <v>0.16</v>
      </c>
    </row>
    <row r="94" spans="2:74" x14ac:dyDescent="0.3">
      <c r="B94" s="1" t="s">
        <v>20</v>
      </c>
      <c r="C94" s="2">
        <v>192.03</v>
      </c>
      <c r="D94" s="2">
        <v>99.81</v>
      </c>
      <c r="E94" s="2">
        <v>140.86000000000001</v>
      </c>
      <c r="F94" s="2">
        <v>475.27</v>
      </c>
      <c r="G94" s="2">
        <v>157.02000000000001</v>
      </c>
      <c r="H94" s="2">
        <v>115.03</v>
      </c>
      <c r="I94" s="2">
        <v>170.26</v>
      </c>
      <c r="J94" s="2">
        <v>129.08000000000001</v>
      </c>
      <c r="K94" s="2">
        <v>148</v>
      </c>
      <c r="L94" s="2">
        <v>100.52</v>
      </c>
      <c r="M94" s="2">
        <v>148</v>
      </c>
      <c r="N94" s="2">
        <v>100.08</v>
      </c>
      <c r="O94" s="2">
        <v>65.459999999999994</v>
      </c>
      <c r="P94" s="2">
        <v>53.53</v>
      </c>
      <c r="Q94" s="2">
        <v>92.04</v>
      </c>
      <c r="R94" s="2">
        <v>148.01</v>
      </c>
      <c r="T94" s="1" t="s">
        <v>20</v>
      </c>
      <c r="U94" s="2">
        <v>2492.79</v>
      </c>
      <c r="V94" s="2">
        <v>2858.26</v>
      </c>
      <c r="W94" s="2">
        <v>3668.94</v>
      </c>
      <c r="X94" s="2">
        <v>4073.91</v>
      </c>
      <c r="Y94" s="2">
        <v>1677.92</v>
      </c>
      <c r="Z94" s="2">
        <v>1677.92</v>
      </c>
      <c r="AA94" s="2">
        <v>1117.95</v>
      </c>
      <c r="AB94" s="2">
        <v>867.95</v>
      </c>
      <c r="AC94" s="2">
        <v>1480.6</v>
      </c>
      <c r="AD94" s="2">
        <v>1384.97</v>
      </c>
      <c r="AE94" s="2">
        <v>1742.42</v>
      </c>
      <c r="AF94" s="2">
        <v>1868.17</v>
      </c>
      <c r="AG94" s="2">
        <v>2454.63</v>
      </c>
      <c r="AH94" s="2">
        <v>2426.54</v>
      </c>
      <c r="AI94" s="2">
        <v>918.63</v>
      </c>
      <c r="AJ94" s="2">
        <v>724.99</v>
      </c>
      <c r="AM94" s="1" t="s">
        <v>20</v>
      </c>
      <c r="AN94" s="2">
        <v>11733.72</v>
      </c>
      <c r="AO94" s="2">
        <v>15149.24</v>
      </c>
      <c r="AP94" s="2">
        <v>19381.78</v>
      </c>
      <c r="AQ94" s="2">
        <v>20408.560000000001</v>
      </c>
      <c r="AR94" s="2">
        <v>7914.26</v>
      </c>
      <c r="AS94" s="2">
        <v>7914.26</v>
      </c>
      <c r="AT94" s="2">
        <v>5253.87</v>
      </c>
      <c r="AU94" s="2">
        <v>3923.77</v>
      </c>
      <c r="AV94" s="2">
        <v>7291.4</v>
      </c>
      <c r="AW94" s="2">
        <v>5815.39</v>
      </c>
      <c r="AX94" s="2">
        <v>8464.98</v>
      </c>
      <c r="AY94" s="2">
        <v>9062.42</v>
      </c>
      <c r="AZ94" s="2">
        <v>11768.67</v>
      </c>
      <c r="BA94" s="2">
        <v>11625.42</v>
      </c>
      <c r="BB94" s="2">
        <v>4307.22</v>
      </c>
      <c r="BC94" s="2">
        <v>3060.86</v>
      </c>
      <c r="BF94" s="1" t="s">
        <v>20</v>
      </c>
      <c r="BG94" s="2">
        <v>4.32</v>
      </c>
      <c r="BH94" s="2">
        <v>2.14</v>
      </c>
      <c r="BI94" s="2">
        <v>2.0499999999999998</v>
      </c>
      <c r="BJ94" s="2">
        <v>4.5</v>
      </c>
      <c r="BK94" s="2">
        <v>4.66</v>
      </c>
      <c r="BL94" s="2">
        <v>4.0199999999999996</v>
      </c>
      <c r="BM94" s="2">
        <v>5.94</v>
      </c>
      <c r="BN94" s="2">
        <v>3.67</v>
      </c>
      <c r="BO94" s="2">
        <v>2.42</v>
      </c>
      <c r="BP94" s="2">
        <v>1.82</v>
      </c>
      <c r="BQ94" s="2">
        <v>2.42</v>
      </c>
      <c r="BR94" s="2">
        <v>1.83</v>
      </c>
      <c r="BS94" s="2">
        <v>2.0499999999999998</v>
      </c>
      <c r="BT94" s="2">
        <v>2.0499999999999998</v>
      </c>
      <c r="BU94" s="2">
        <v>1.44</v>
      </c>
      <c r="BV94" s="2">
        <v>1.44</v>
      </c>
    </row>
    <row r="95" spans="2:74" x14ac:dyDescent="0.3">
      <c r="B95" s="1" t="s">
        <v>21</v>
      </c>
      <c r="C95" s="2">
        <v>3188.89</v>
      </c>
      <c r="D95" s="2">
        <v>909.51</v>
      </c>
      <c r="E95" s="2">
        <v>1552.71</v>
      </c>
      <c r="F95" s="2">
        <v>3260.24</v>
      </c>
      <c r="G95" s="2">
        <v>2393.7399999999998</v>
      </c>
      <c r="H95" s="2">
        <v>838.57</v>
      </c>
      <c r="I95" s="2">
        <v>1919.46</v>
      </c>
      <c r="J95" s="2">
        <v>938.6</v>
      </c>
      <c r="K95" s="2">
        <v>373.78</v>
      </c>
      <c r="L95" s="2">
        <v>418.88</v>
      </c>
      <c r="M95" s="2">
        <v>353.7</v>
      </c>
      <c r="N95" s="2">
        <v>395.68</v>
      </c>
      <c r="O95" s="2">
        <v>260.91000000000003</v>
      </c>
      <c r="P95" s="2">
        <v>287.64</v>
      </c>
      <c r="Q95" s="2">
        <v>390.5</v>
      </c>
      <c r="R95" s="2">
        <v>971.45</v>
      </c>
      <c r="T95" s="1" t="s">
        <v>21</v>
      </c>
      <c r="U95" s="2">
        <v>10836.39</v>
      </c>
      <c r="V95" s="2">
        <v>10012.77</v>
      </c>
      <c r="W95" s="2">
        <v>14702.79</v>
      </c>
      <c r="X95" s="2">
        <v>12600.54</v>
      </c>
      <c r="Y95" s="2">
        <v>4704.76</v>
      </c>
      <c r="Z95" s="2">
        <v>3900.22</v>
      </c>
      <c r="AA95" s="2">
        <v>2611.64</v>
      </c>
      <c r="AB95" s="2">
        <v>2434.7600000000002</v>
      </c>
      <c r="AC95" s="2">
        <v>5116.41</v>
      </c>
      <c r="AD95" s="2">
        <v>9947.0300000000007</v>
      </c>
      <c r="AE95" s="2">
        <v>8792.98</v>
      </c>
      <c r="AF95" s="2">
        <v>9080.5</v>
      </c>
      <c r="AG95" s="2">
        <v>5531.76</v>
      </c>
      <c r="AH95" s="2">
        <v>4502.01</v>
      </c>
      <c r="AI95" s="2">
        <v>1081.46</v>
      </c>
      <c r="AJ95" s="2">
        <v>3592.68</v>
      </c>
      <c r="AM95" s="1" t="s">
        <v>21</v>
      </c>
      <c r="AN95" s="2">
        <v>41856.9</v>
      </c>
      <c r="AO95" s="2">
        <v>54596.73</v>
      </c>
      <c r="AP95" s="2">
        <v>65777.070000000007</v>
      </c>
      <c r="AQ95" s="2">
        <v>72391.97</v>
      </c>
      <c r="AR95" s="2">
        <v>22328.62</v>
      </c>
      <c r="AS95" s="2">
        <v>18389.84</v>
      </c>
      <c r="AT95" s="2">
        <v>12258.87</v>
      </c>
      <c r="AU95" s="2">
        <v>8812.1200000000008</v>
      </c>
      <c r="AV95" s="2">
        <v>19482.64</v>
      </c>
      <c r="AW95" s="2">
        <v>20931.03</v>
      </c>
      <c r="AX95" s="2">
        <v>44982.41</v>
      </c>
      <c r="AY95" s="2">
        <v>46071.6</v>
      </c>
      <c r="AZ95" s="2">
        <v>26429.040000000001</v>
      </c>
      <c r="BA95" s="2">
        <v>21298.05</v>
      </c>
      <c r="BB95" s="2">
        <v>9733.1200000000008</v>
      </c>
      <c r="BC95" s="2">
        <v>8190.6</v>
      </c>
      <c r="BF95" s="1" t="s">
        <v>21</v>
      </c>
      <c r="BG95" s="2">
        <v>9.49</v>
      </c>
      <c r="BH95" s="2">
        <v>4.32</v>
      </c>
      <c r="BI95" s="2">
        <v>4.5</v>
      </c>
      <c r="BJ95" s="2">
        <v>4.5</v>
      </c>
      <c r="BK95" s="2">
        <v>10.41</v>
      </c>
      <c r="BL95" s="2">
        <v>4.8499999999999996</v>
      </c>
      <c r="BM95" s="2">
        <v>10.81</v>
      </c>
      <c r="BN95" s="2">
        <v>4.6100000000000003</v>
      </c>
      <c r="BO95" s="2">
        <v>2</v>
      </c>
      <c r="BP95" s="2">
        <v>2.27</v>
      </c>
      <c r="BQ95" s="2">
        <v>2.2799999999999998</v>
      </c>
      <c r="BR95" s="2">
        <v>2.62</v>
      </c>
      <c r="BS95" s="2">
        <v>2.46</v>
      </c>
      <c r="BT95" s="2">
        <v>1.89</v>
      </c>
      <c r="BU95" s="2">
        <v>1.44</v>
      </c>
      <c r="BV95" s="2">
        <v>1.44</v>
      </c>
    </row>
    <row r="96" spans="2:74" x14ac:dyDescent="0.3">
      <c r="B96" s="1" t="s">
        <v>22</v>
      </c>
      <c r="C96" s="2">
        <v>482.93</v>
      </c>
      <c r="D96" s="2">
        <v>305.58999999999997</v>
      </c>
      <c r="E96" s="2">
        <v>571.35</v>
      </c>
      <c r="F96" s="2">
        <v>723.65</v>
      </c>
      <c r="G96" s="2">
        <v>481.89</v>
      </c>
      <c r="H96" s="2">
        <v>436.71</v>
      </c>
      <c r="I96" s="2">
        <v>188.16</v>
      </c>
      <c r="J96" s="2">
        <v>227.24</v>
      </c>
      <c r="K96" s="2">
        <v>140.29</v>
      </c>
      <c r="L96" s="2">
        <v>328.38</v>
      </c>
      <c r="M96" s="2">
        <v>128.88</v>
      </c>
      <c r="N96" s="2">
        <v>45.77</v>
      </c>
      <c r="O96" s="2">
        <v>26.89</v>
      </c>
      <c r="P96" s="2">
        <v>27.08</v>
      </c>
      <c r="Q96" s="2">
        <v>195</v>
      </c>
      <c r="R96" s="2">
        <v>172.5</v>
      </c>
      <c r="T96" s="1" t="s">
        <v>22</v>
      </c>
      <c r="U96" s="2">
        <v>2529.2800000000002</v>
      </c>
      <c r="V96" s="2">
        <v>2621.49</v>
      </c>
      <c r="W96" s="2">
        <v>3399.82</v>
      </c>
      <c r="X96" s="2">
        <v>3436.17</v>
      </c>
      <c r="Y96" s="2">
        <v>1972.47</v>
      </c>
      <c r="Z96" s="2">
        <v>1587.63</v>
      </c>
      <c r="AA96" s="2">
        <v>537.97</v>
      </c>
      <c r="AB96" s="2">
        <v>640.89</v>
      </c>
      <c r="AC96" s="2">
        <v>1388.79</v>
      </c>
      <c r="AD96" s="2">
        <v>2652.25</v>
      </c>
      <c r="AE96" s="2">
        <v>2961.46</v>
      </c>
      <c r="AF96" s="2">
        <v>2975.74</v>
      </c>
      <c r="AG96" s="2">
        <v>714.25</v>
      </c>
      <c r="AH96" s="2">
        <v>1185.6600000000001</v>
      </c>
      <c r="AI96" s="2">
        <v>537.04</v>
      </c>
      <c r="AJ96" s="2">
        <v>613.02</v>
      </c>
      <c r="AM96" s="1" t="s">
        <v>22</v>
      </c>
      <c r="AN96" s="2">
        <v>10746.13</v>
      </c>
      <c r="AO96" s="2">
        <v>13853.26</v>
      </c>
      <c r="AP96" s="2">
        <v>18038.189999999999</v>
      </c>
      <c r="AQ96" s="2">
        <v>17737.62</v>
      </c>
      <c r="AR96" s="2">
        <v>9368.4500000000007</v>
      </c>
      <c r="AS96" s="2">
        <v>7484.03</v>
      </c>
      <c r="AT96" s="2">
        <v>2518.88</v>
      </c>
      <c r="AU96" s="2">
        <v>2330.66</v>
      </c>
      <c r="AV96" s="2">
        <v>6830.76</v>
      </c>
      <c r="AW96" s="2">
        <v>11122.77</v>
      </c>
      <c r="AX96" s="2">
        <v>14970.3</v>
      </c>
      <c r="AY96" s="2">
        <v>14771.66</v>
      </c>
      <c r="AZ96" s="2">
        <v>6428.21</v>
      </c>
      <c r="BA96" s="2">
        <v>5956.8</v>
      </c>
      <c r="BB96" s="2">
        <v>2514.4699999999998</v>
      </c>
      <c r="BC96" s="2">
        <v>2247.83</v>
      </c>
      <c r="BF96" s="1" t="s">
        <v>22</v>
      </c>
      <c r="BG96" s="2">
        <v>4.32</v>
      </c>
      <c r="BH96" s="2">
        <v>4.3099999999999996</v>
      </c>
      <c r="BI96" s="2">
        <v>3.4</v>
      </c>
      <c r="BJ96" s="2">
        <v>4.5</v>
      </c>
      <c r="BK96" s="2">
        <v>6.41</v>
      </c>
      <c r="BL96" s="2">
        <v>4.84</v>
      </c>
      <c r="BM96" s="2">
        <v>2.95</v>
      </c>
      <c r="BN96" s="2">
        <v>3</v>
      </c>
      <c r="BO96" s="2">
        <v>1.76</v>
      </c>
      <c r="BP96" s="2">
        <v>3.49</v>
      </c>
      <c r="BQ96" s="2">
        <v>2.02</v>
      </c>
      <c r="BR96" s="2">
        <v>0.97</v>
      </c>
      <c r="BS96" s="2">
        <v>1.02</v>
      </c>
      <c r="BT96" s="2">
        <v>1.02</v>
      </c>
      <c r="BU96" s="2">
        <v>1.44</v>
      </c>
      <c r="BV96" s="2">
        <v>1.44</v>
      </c>
    </row>
    <row r="97" spans="2:74" x14ac:dyDescent="0.3">
      <c r="B97" s="1" t="s">
        <v>23</v>
      </c>
      <c r="C97" s="2">
        <v>1648.77</v>
      </c>
      <c r="D97" s="2">
        <v>1808.49</v>
      </c>
      <c r="E97" s="2">
        <v>2931.38</v>
      </c>
      <c r="F97" s="2">
        <v>3003.36</v>
      </c>
      <c r="G97" s="2">
        <v>1203.17</v>
      </c>
      <c r="H97" s="2">
        <v>1067.4000000000001</v>
      </c>
      <c r="I97" s="2">
        <v>475.69</v>
      </c>
      <c r="J97" s="2">
        <v>637.91</v>
      </c>
      <c r="K97" s="2">
        <v>564.41999999999996</v>
      </c>
      <c r="L97" s="2">
        <v>513.54999999999995</v>
      </c>
      <c r="M97" s="2">
        <v>600.44000000000005</v>
      </c>
      <c r="N97" s="2">
        <v>511.07</v>
      </c>
      <c r="O97" s="2">
        <v>219.58</v>
      </c>
      <c r="P97" s="2">
        <v>206.36</v>
      </c>
      <c r="Q97" s="2">
        <v>1029.3399999999999</v>
      </c>
      <c r="R97" s="2">
        <v>1047.53</v>
      </c>
      <c r="T97" s="1" t="s">
        <v>23</v>
      </c>
      <c r="U97" s="2">
        <v>9781.43</v>
      </c>
      <c r="V97" s="2">
        <v>11438.97</v>
      </c>
      <c r="W97" s="2">
        <v>12798.93</v>
      </c>
      <c r="X97" s="2">
        <v>12822.54</v>
      </c>
      <c r="Y97" s="2">
        <v>12633.2</v>
      </c>
      <c r="Z97" s="2">
        <v>12440.64</v>
      </c>
      <c r="AA97" s="2">
        <v>3782.51</v>
      </c>
      <c r="AB97" s="2">
        <v>3953.84</v>
      </c>
      <c r="AC97" s="2">
        <v>10978.28</v>
      </c>
      <c r="AD97" s="2">
        <v>12542.81</v>
      </c>
      <c r="AE97" s="2">
        <v>15189.05</v>
      </c>
      <c r="AF97" s="2">
        <v>15863.22</v>
      </c>
      <c r="AG97" s="2">
        <v>10327.56</v>
      </c>
      <c r="AH97" s="2">
        <v>10125.59</v>
      </c>
      <c r="AI97" s="2">
        <v>3634.37</v>
      </c>
      <c r="AJ97" s="2">
        <v>3758.83</v>
      </c>
      <c r="AM97" s="1" t="s">
        <v>23</v>
      </c>
      <c r="AN97" s="2">
        <v>38346.51</v>
      </c>
      <c r="AO97" s="2">
        <v>51427.28</v>
      </c>
      <c r="AP97" s="2">
        <v>63697.07</v>
      </c>
      <c r="AQ97" s="2">
        <v>63381.06</v>
      </c>
      <c r="AR97" s="2">
        <v>59953.599999999999</v>
      </c>
      <c r="AS97" s="2">
        <v>58967.06</v>
      </c>
      <c r="AT97" s="2">
        <v>17491.54</v>
      </c>
      <c r="AU97" s="2">
        <v>15475.06</v>
      </c>
      <c r="AV97" s="2">
        <v>43628.21</v>
      </c>
      <c r="AW97" s="2">
        <v>50662.37</v>
      </c>
      <c r="AX97" s="2">
        <v>75385.350000000006</v>
      </c>
      <c r="AY97" s="2">
        <v>77990.429999999993</v>
      </c>
      <c r="AZ97" s="2">
        <v>48524.74</v>
      </c>
      <c r="BA97" s="2">
        <v>47530.71</v>
      </c>
      <c r="BB97" s="2">
        <v>16804.93</v>
      </c>
      <c r="BC97" s="2">
        <v>14969.37</v>
      </c>
      <c r="BF97" s="1" t="s">
        <v>23</v>
      </c>
      <c r="BG97" s="2">
        <v>4.32</v>
      </c>
      <c r="BH97" s="2">
        <v>4.32</v>
      </c>
      <c r="BI97" s="2">
        <v>4.5</v>
      </c>
      <c r="BJ97" s="2">
        <v>4.5</v>
      </c>
      <c r="BK97" s="2">
        <v>4.1900000000000004</v>
      </c>
      <c r="BL97" s="2">
        <v>4.04</v>
      </c>
      <c r="BM97" s="2">
        <v>2.29</v>
      </c>
      <c r="BN97" s="2">
        <v>2.5299999999999998</v>
      </c>
      <c r="BO97" s="2">
        <v>1.64</v>
      </c>
      <c r="BP97" s="2">
        <v>1.52</v>
      </c>
      <c r="BQ97" s="2">
        <v>1.78</v>
      </c>
      <c r="BR97" s="2">
        <v>1.55</v>
      </c>
      <c r="BS97" s="2">
        <v>1.62</v>
      </c>
      <c r="BT97" s="2">
        <v>1.58</v>
      </c>
      <c r="BU97" s="2">
        <v>1.44</v>
      </c>
      <c r="BV97" s="2">
        <v>1.44</v>
      </c>
    </row>
    <row r="98" spans="2:74" x14ac:dyDescent="0.3">
      <c r="B98" s="1" t="s">
        <v>24</v>
      </c>
      <c r="C98" s="2">
        <v>298.79000000000002</v>
      </c>
      <c r="D98" s="2">
        <v>245.22</v>
      </c>
      <c r="E98" s="2">
        <v>370.45</v>
      </c>
      <c r="F98" s="2">
        <v>456.81</v>
      </c>
      <c r="G98" s="2">
        <v>313.22000000000003</v>
      </c>
      <c r="H98" s="2">
        <v>263.68</v>
      </c>
      <c r="I98" s="2">
        <v>113.55</v>
      </c>
      <c r="J98" s="2">
        <v>156.62</v>
      </c>
      <c r="K98" s="2">
        <v>43.12</v>
      </c>
      <c r="L98" s="2">
        <v>40.68</v>
      </c>
      <c r="M98" s="2">
        <v>45.19</v>
      </c>
      <c r="N98" s="2">
        <v>42.71</v>
      </c>
      <c r="O98" s="2">
        <v>32.57</v>
      </c>
      <c r="P98" s="2">
        <v>25.03</v>
      </c>
      <c r="Q98" s="2">
        <v>106.93</v>
      </c>
      <c r="R98" s="2">
        <v>80.89</v>
      </c>
      <c r="T98" s="1" t="s">
        <v>24</v>
      </c>
      <c r="U98" s="2">
        <v>2666.97</v>
      </c>
      <c r="V98" s="2">
        <v>3249.66</v>
      </c>
      <c r="W98" s="2">
        <v>4337.5600000000004</v>
      </c>
      <c r="X98" s="2">
        <v>4278.29</v>
      </c>
      <c r="Y98" s="2">
        <v>3014.42</v>
      </c>
      <c r="Z98" s="2">
        <v>2561.23</v>
      </c>
      <c r="AA98" s="2">
        <v>1342.33</v>
      </c>
      <c r="AB98" s="2">
        <v>781.71</v>
      </c>
      <c r="AC98" s="2">
        <v>2509.12</v>
      </c>
      <c r="AD98" s="2">
        <v>4189.2299999999996</v>
      </c>
      <c r="AE98" s="2">
        <v>4865.95</v>
      </c>
      <c r="AF98" s="2">
        <v>5332.48</v>
      </c>
      <c r="AG98" s="2">
        <v>2471.96</v>
      </c>
      <c r="AH98" s="2">
        <v>1992.7</v>
      </c>
      <c r="AI98" s="2">
        <v>1195.21</v>
      </c>
      <c r="AJ98" s="2">
        <v>701.42</v>
      </c>
      <c r="AM98" s="1" t="s">
        <v>24</v>
      </c>
      <c r="AN98" s="2">
        <v>10485.73</v>
      </c>
      <c r="AO98" s="2">
        <v>13467.9</v>
      </c>
      <c r="AP98" s="2">
        <v>18600.45</v>
      </c>
      <c r="AQ98" s="2">
        <v>17311.3</v>
      </c>
      <c r="AR98" s="2">
        <v>11271.83</v>
      </c>
      <c r="AS98" s="2">
        <v>9458.0499999999993</v>
      </c>
      <c r="AT98" s="2">
        <v>4871.3900000000003</v>
      </c>
      <c r="AU98" s="2">
        <v>2840.43</v>
      </c>
      <c r="AV98" s="2">
        <v>9539.7199999999993</v>
      </c>
      <c r="AW98" s="2">
        <v>17933.27</v>
      </c>
      <c r="AX98" s="2">
        <v>21320.15</v>
      </c>
      <c r="AY98" s="2">
        <v>22906.17</v>
      </c>
      <c r="AZ98" s="2">
        <v>9114.52</v>
      </c>
      <c r="BA98" s="2">
        <v>7276.59</v>
      </c>
      <c r="BB98" s="2">
        <v>4330.88</v>
      </c>
      <c r="BC98" s="2">
        <v>2444.46</v>
      </c>
      <c r="BF98" s="1" t="s">
        <v>24</v>
      </c>
      <c r="BG98" s="2">
        <v>4.32</v>
      </c>
      <c r="BH98" s="2">
        <v>4.32</v>
      </c>
      <c r="BI98" s="2">
        <v>2.64</v>
      </c>
      <c r="BJ98" s="2">
        <v>3.91</v>
      </c>
      <c r="BK98" s="2">
        <v>4.9800000000000004</v>
      </c>
      <c r="BL98" s="2">
        <v>4.7699999999999996</v>
      </c>
      <c r="BM98" s="2">
        <v>2.3199999999999998</v>
      </c>
      <c r="BN98" s="2">
        <v>4.13</v>
      </c>
      <c r="BO98" s="2">
        <v>1.08</v>
      </c>
      <c r="BP98" s="2">
        <v>0.9</v>
      </c>
      <c r="BQ98" s="2">
        <v>1.34</v>
      </c>
      <c r="BR98" s="2">
        <v>1.18</v>
      </c>
      <c r="BS98" s="2">
        <v>1.3</v>
      </c>
      <c r="BT98" s="2">
        <v>1.1299999999999999</v>
      </c>
      <c r="BU98" s="2">
        <v>1.05</v>
      </c>
      <c r="BV98" s="2">
        <v>1.44</v>
      </c>
    </row>
    <row r="99" spans="2:74" x14ac:dyDescent="0.3">
      <c r="B99" s="1" t="s">
        <v>25</v>
      </c>
      <c r="C99" s="2">
        <v>1489.14</v>
      </c>
      <c r="D99" s="2">
        <v>1505.53</v>
      </c>
      <c r="E99" s="2">
        <v>1703.72</v>
      </c>
      <c r="F99" s="2">
        <v>1651.51</v>
      </c>
      <c r="G99" s="2">
        <v>947.25</v>
      </c>
      <c r="H99" s="2">
        <v>784.95</v>
      </c>
      <c r="I99" s="2">
        <v>532.71</v>
      </c>
      <c r="J99" s="2">
        <v>519.4</v>
      </c>
      <c r="K99" s="2">
        <v>268.32</v>
      </c>
      <c r="L99" s="2">
        <v>378.42</v>
      </c>
      <c r="M99" s="2">
        <v>272.58999999999997</v>
      </c>
      <c r="N99" s="2">
        <v>378.44</v>
      </c>
      <c r="O99" s="2">
        <v>228.36</v>
      </c>
      <c r="P99" s="2">
        <v>112.35</v>
      </c>
      <c r="Q99" s="2">
        <v>761.51</v>
      </c>
      <c r="R99" s="2">
        <v>688.73</v>
      </c>
      <c r="T99" s="1" t="s">
        <v>25</v>
      </c>
      <c r="U99" s="2">
        <v>14055.65</v>
      </c>
      <c r="V99" s="2">
        <v>9868.57</v>
      </c>
      <c r="W99" s="2">
        <v>12631.3</v>
      </c>
      <c r="X99" s="2">
        <v>12244.24</v>
      </c>
      <c r="Y99" s="2">
        <v>9394.4699999999993</v>
      </c>
      <c r="Z99" s="2">
        <v>7660.32</v>
      </c>
      <c r="AA99" s="2">
        <v>1057.2</v>
      </c>
      <c r="AB99" s="2">
        <v>3323.34</v>
      </c>
      <c r="AC99" s="2">
        <v>13512.39</v>
      </c>
      <c r="AD99" s="2">
        <v>10452.41</v>
      </c>
      <c r="AE99" s="2">
        <v>15203.27</v>
      </c>
      <c r="AF99" s="2">
        <v>14493.88</v>
      </c>
      <c r="AG99" s="2">
        <v>8207.17</v>
      </c>
      <c r="AH99" s="2">
        <v>6656.27</v>
      </c>
      <c r="AI99" s="2">
        <v>3718</v>
      </c>
      <c r="AJ99" s="2">
        <v>3467.46</v>
      </c>
      <c r="AM99" s="1" t="s">
        <v>25</v>
      </c>
      <c r="AN99" s="2">
        <v>38593.85</v>
      </c>
      <c r="AO99" s="2">
        <v>33135.68</v>
      </c>
      <c r="AP99" s="2">
        <v>54038.29</v>
      </c>
      <c r="AQ99" s="2">
        <v>50338.82</v>
      </c>
      <c r="AR99" s="2">
        <v>35828.639999999999</v>
      </c>
      <c r="AS99" s="2">
        <v>28526.76</v>
      </c>
      <c r="AT99" s="2">
        <v>9514.83</v>
      </c>
      <c r="AU99" s="2">
        <v>6186.42</v>
      </c>
      <c r="AV99" s="2">
        <v>37449.21</v>
      </c>
      <c r="AW99" s="2">
        <v>42903.34</v>
      </c>
      <c r="AX99" s="2">
        <v>59449.58</v>
      </c>
      <c r="AY99" s="2">
        <v>61133.38</v>
      </c>
      <c r="AZ99" s="2">
        <v>30820.15</v>
      </c>
      <c r="BA99" s="2">
        <v>24547.37</v>
      </c>
      <c r="BB99" s="2">
        <v>13509.6</v>
      </c>
      <c r="BC99" s="2">
        <v>7823.7</v>
      </c>
      <c r="BF99" s="1" t="s">
        <v>25</v>
      </c>
      <c r="BG99" s="2">
        <v>4.32</v>
      </c>
      <c r="BH99" s="2">
        <v>4.32</v>
      </c>
      <c r="BI99" s="2">
        <v>4.5</v>
      </c>
      <c r="BJ99" s="2">
        <v>4.09</v>
      </c>
      <c r="BK99" s="2">
        <v>5.0199999999999996</v>
      </c>
      <c r="BL99" s="2">
        <v>5.04</v>
      </c>
      <c r="BM99" s="2">
        <v>3.28</v>
      </c>
      <c r="BN99" s="2">
        <v>3.97</v>
      </c>
      <c r="BO99" s="2">
        <v>1.84</v>
      </c>
      <c r="BP99" s="2">
        <v>1.86</v>
      </c>
      <c r="BQ99" s="2">
        <v>2.33</v>
      </c>
      <c r="BR99" s="2">
        <v>2.3199999999999998</v>
      </c>
      <c r="BS99" s="2">
        <v>2.84</v>
      </c>
      <c r="BT99" s="2">
        <v>1.74</v>
      </c>
      <c r="BU99" s="2">
        <v>1.44</v>
      </c>
      <c r="BV99" s="2">
        <v>1.44</v>
      </c>
    </row>
    <row r="100" spans="2:74" x14ac:dyDescent="0.3">
      <c r="B100" s="1" t="s">
        <v>26</v>
      </c>
      <c r="C100" s="2">
        <v>295.51</v>
      </c>
      <c r="D100" s="2">
        <v>287.91000000000003</v>
      </c>
      <c r="E100" s="2">
        <v>672.24</v>
      </c>
      <c r="F100" s="2">
        <v>154.94999999999999</v>
      </c>
      <c r="G100" s="2">
        <v>351.23</v>
      </c>
      <c r="H100" s="2">
        <v>283.04000000000002</v>
      </c>
      <c r="I100" s="2">
        <v>250.52</v>
      </c>
      <c r="J100" s="2">
        <v>175.81</v>
      </c>
      <c r="K100" s="2">
        <v>356.27</v>
      </c>
      <c r="L100" s="2">
        <v>261.67</v>
      </c>
      <c r="M100" s="2">
        <v>356.27</v>
      </c>
      <c r="N100" s="2">
        <v>261.67</v>
      </c>
      <c r="O100" s="2">
        <v>34.22</v>
      </c>
      <c r="P100" s="2">
        <v>42.37</v>
      </c>
      <c r="Q100" s="2">
        <v>389.26</v>
      </c>
      <c r="R100" s="2">
        <v>322.85000000000002</v>
      </c>
      <c r="T100" s="1" t="s">
        <v>26</v>
      </c>
      <c r="U100" s="2">
        <v>4753.32</v>
      </c>
      <c r="V100" s="2">
        <v>4005.56</v>
      </c>
      <c r="W100" s="2">
        <v>4502.8599999999997</v>
      </c>
      <c r="X100" s="2">
        <v>4249.5200000000004</v>
      </c>
      <c r="Y100" s="2">
        <v>5118.8999999999996</v>
      </c>
      <c r="Z100" s="2">
        <v>5119.0600000000004</v>
      </c>
      <c r="AA100" s="2">
        <v>1300.8</v>
      </c>
      <c r="AB100" s="2">
        <v>1669.52</v>
      </c>
      <c r="AC100" s="2">
        <v>6383.4</v>
      </c>
      <c r="AD100" s="2">
        <v>5039.57</v>
      </c>
      <c r="AE100" s="2">
        <v>5597.97</v>
      </c>
      <c r="AF100" s="2">
        <v>6215.92</v>
      </c>
      <c r="AG100" s="2">
        <v>4435.4399999999996</v>
      </c>
      <c r="AH100" s="2">
        <v>4435.49</v>
      </c>
      <c r="AI100" s="2">
        <v>1457.48</v>
      </c>
      <c r="AJ100" s="2">
        <v>1615.52</v>
      </c>
      <c r="AM100" s="1" t="s">
        <v>26</v>
      </c>
      <c r="AN100" s="2">
        <v>18853.32</v>
      </c>
      <c r="AO100" s="2">
        <v>15805.69</v>
      </c>
      <c r="AP100" s="2">
        <v>17112.86</v>
      </c>
      <c r="AQ100" s="2">
        <v>16128.64</v>
      </c>
      <c r="AR100" s="2">
        <v>18557.22</v>
      </c>
      <c r="AS100" s="2">
        <v>18557.060000000001</v>
      </c>
      <c r="AT100" s="2">
        <v>3977.34</v>
      </c>
      <c r="AU100" s="2">
        <v>6029.92</v>
      </c>
      <c r="AV100" s="2">
        <v>24434.04</v>
      </c>
      <c r="AW100" s="2">
        <v>19198.93</v>
      </c>
      <c r="AX100" s="2">
        <v>20922.509999999998</v>
      </c>
      <c r="AY100" s="2">
        <v>23241.53</v>
      </c>
      <c r="AZ100" s="2">
        <v>16051.26</v>
      </c>
      <c r="BA100" s="2">
        <v>16051.21</v>
      </c>
      <c r="BB100" s="2">
        <v>4494.13</v>
      </c>
      <c r="BC100" s="2">
        <v>5838.28</v>
      </c>
      <c r="BF100" s="1" t="s">
        <v>26</v>
      </c>
      <c r="BG100" s="2">
        <v>2.21</v>
      </c>
      <c r="BH100" s="2">
        <v>1.94</v>
      </c>
      <c r="BI100" s="2">
        <v>2.81</v>
      </c>
      <c r="BJ100" s="2">
        <v>0.67</v>
      </c>
      <c r="BK100" s="2">
        <v>3.46</v>
      </c>
      <c r="BL100" s="2">
        <v>3.02</v>
      </c>
      <c r="BM100" s="2">
        <v>2.93</v>
      </c>
      <c r="BN100" s="2">
        <v>2.31</v>
      </c>
      <c r="BO100" s="2">
        <v>2.36</v>
      </c>
      <c r="BP100" s="2">
        <v>2.63</v>
      </c>
      <c r="BQ100" s="2">
        <v>2.36</v>
      </c>
      <c r="BR100" s="2">
        <v>2.63</v>
      </c>
      <c r="BS100" s="2">
        <v>1.05</v>
      </c>
      <c r="BT100" s="2">
        <v>1.19</v>
      </c>
      <c r="BU100" s="2">
        <v>1.25</v>
      </c>
      <c r="BV100" s="2">
        <v>1.38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1.208584810150355E-2</v>
      </c>
      <c r="D107" s="2">
        <v>1.800364340137808E-2</v>
      </c>
      <c r="E107" s="2">
        <v>1.416565632603781E-2</v>
      </c>
      <c r="F107" s="2">
        <v>4.8047556961001003E-3</v>
      </c>
      <c r="G107" s="2">
        <v>3.2574975723096982E-3</v>
      </c>
      <c r="H107" s="2">
        <v>4.2161705511106692E-3</v>
      </c>
      <c r="I107" s="2">
        <v>4.6665544958489694E-3</v>
      </c>
      <c r="J107" s="2">
        <v>5.4549013867406923E-3</v>
      </c>
      <c r="K107" s="2">
        <v>1.161648017501595E-2</v>
      </c>
      <c r="L107" s="2">
        <v>1.520711764566538E-2</v>
      </c>
      <c r="M107" s="2">
        <v>1.139892009274006E-2</v>
      </c>
      <c r="N107" s="2">
        <v>1.5270028811052499E-2</v>
      </c>
      <c r="O107" s="2">
        <v>9.251409853830701E-3</v>
      </c>
      <c r="P107" s="2">
        <v>9.5722857625310763E-3</v>
      </c>
      <c r="Q107" s="2">
        <v>3.8697647990765492E-2</v>
      </c>
      <c r="R107" s="2">
        <v>2.8560804688060409E-2</v>
      </c>
      <c r="T107" s="1" t="s">
        <v>19</v>
      </c>
      <c r="U107" s="2">
        <v>2185.7199999999998</v>
      </c>
      <c r="V107" s="2">
        <v>2069.1799999999998</v>
      </c>
      <c r="W107" s="2">
        <v>1510.59</v>
      </c>
      <c r="X107" s="2">
        <v>388.63</v>
      </c>
      <c r="Y107" s="2">
        <v>617.49</v>
      </c>
      <c r="Z107" s="2">
        <v>528.02</v>
      </c>
      <c r="AA107" s="2">
        <v>458.12</v>
      </c>
      <c r="AB107" s="2">
        <v>329.69</v>
      </c>
      <c r="AC107" s="2">
        <v>376.65</v>
      </c>
      <c r="AD107" s="2">
        <v>543.23</v>
      </c>
      <c r="AE107" s="2">
        <v>376.65</v>
      </c>
      <c r="AF107" s="2">
        <v>521.1</v>
      </c>
      <c r="AG107" s="2">
        <v>173.71</v>
      </c>
      <c r="AH107" s="2">
        <v>155.53</v>
      </c>
      <c r="AI107" s="2">
        <v>4033.4</v>
      </c>
      <c r="AJ107" s="2">
        <v>2619.63</v>
      </c>
      <c r="AM107" s="1" t="s">
        <v>19</v>
      </c>
      <c r="AN107" s="2">
        <v>9571.48</v>
      </c>
      <c r="AO107" s="2">
        <v>9351.32</v>
      </c>
      <c r="AP107" s="2">
        <v>11139.11</v>
      </c>
      <c r="AQ107" s="2">
        <v>7219.67</v>
      </c>
      <c r="AR107" s="2">
        <v>9805.51</v>
      </c>
      <c r="AS107" s="2">
        <v>8164.58</v>
      </c>
      <c r="AT107" s="2">
        <v>8548.08</v>
      </c>
      <c r="AU107" s="2">
        <v>6124.31</v>
      </c>
      <c r="AV107" s="2">
        <v>7019.55</v>
      </c>
      <c r="AW107" s="2">
        <v>10124.07</v>
      </c>
      <c r="AX107" s="2">
        <v>7019.55</v>
      </c>
      <c r="AY107" s="2">
        <v>9711.5</v>
      </c>
      <c r="AZ107" s="2">
        <v>3237.39</v>
      </c>
      <c r="BA107" s="2">
        <v>2898.57</v>
      </c>
      <c r="BB107" s="2">
        <v>10868.9</v>
      </c>
      <c r="BC107" s="2">
        <v>7070.47</v>
      </c>
      <c r="BF107" s="1" t="s">
        <v>19</v>
      </c>
      <c r="BG107" s="2">
        <v>1.44</v>
      </c>
      <c r="BH107" s="2">
        <v>1.44</v>
      </c>
      <c r="BI107" s="2">
        <v>1.5</v>
      </c>
      <c r="BJ107" s="2">
        <v>1.5</v>
      </c>
      <c r="BK107" s="2">
        <v>1.68</v>
      </c>
      <c r="BL107" s="2">
        <v>1.68</v>
      </c>
      <c r="BM107" s="2">
        <v>1.98</v>
      </c>
      <c r="BN107" s="2">
        <v>1.98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0.48</v>
      </c>
      <c r="BV107" s="2">
        <v>0.48</v>
      </c>
    </row>
    <row r="108" spans="2:74" x14ac:dyDescent="0.3">
      <c r="B108" s="1" t="s">
        <v>20</v>
      </c>
      <c r="C108" s="2">
        <v>4.1922387706227443E-2</v>
      </c>
      <c r="D108" s="2">
        <v>2.0384324235231819E-2</v>
      </c>
      <c r="E108" s="2">
        <v>3.1190963610393259E-2</v>
      </c>
      <c r="F108" s="2">
        <v>3.7581192891894162E-2</v>
      </c>
      <c r="G108" s="2">
        <v>4.7506726032378072E-2</v>
      </c>
      <c r="H108" s="2">
        <v>3.0204641455051431E-2</v>
      </c>
      <c r="I108" s="2">
        <v>8.7391432137365235E-2</v>
      </c>
      <c r="J108" s="2">
        <v>3.7785288873447342E-2</v>
      </c>
      <c r="K108" s="2">
        <v>6.0407178840259958E-2</v>
      </c>
      <c r="L108" s="2">
        <v>6.6821366623763923E-2</v>
      </c>
      <c r="M108" s="2">
        <v>5.9275838657989681E-2</v>
      </c>
      <c r="N108" s="2">
        <v>6.9302122784669434E-2</v>
      </c>
      <c r="O108" s="2">
        <v>0.1032071802253533</v>
      </c>
      <c r="P108" s="2">
        <v>9.5117641059764294E-2</v>
      </c>
      <c r="Q108" s="2">
        <v>5.9328118021491731E-2</v>
      </c>
      <c r="R108" s="2">
        <v>5.1585645962432869E-2</v>
      </c>
      <c r="T108" s="1" t="s">
        <v>20</v>
      </c>
      <c r="U108" s="2">
        <v>1038.6600000000001</v>
      </c>
      <c r="V108" s="2">
        <v>616.91999999999996</v>
      </c>
      <c r="W108" s="2">
        <v>1143.3</v>
      </c>
      <c r="X108" s="2">
        <v>553.99</v>
      </c>
      <c r="Y108" s="2">
        <v>1310.3399999999999</v>
      </c>
      <c r="Z108" s="2">
        <v>622.29</v>
      </c>
      <c r="AA108" s="2">
        <v>1234.52</v>
      </c>
      <c r="AB108" s="2">
        <v>566.11</v>
      </c>
      <c r="AC108" s="2">
        <v>645.35</v>
      </c>
      <c r="AD108" s="2">
        <v>944.09</v>
      </c>
      <c r="AE108" s="2">
        <v>645.35</v>
      </c>
      <c r="AF108" s="2">
        <v>933.29</v>
      </c>
      <c r="AG108" s="2">
        <v>532.35</v>
      </c>
      <c r="AH108" s="2">
        <v>437.44</v>
      </c>
      <c r="AI108" s="2">
        <v>1084.94</v>
      </c>
      <c r="AJ108" s="2">
        <v>906.24</v>
      </c>
      <c r="AM108" s="1" t="s">
        <v>20</v>
      </c>
      <c r="AN108" s="2">
        <v>4889.05</v>
      </c>
      <c r="AO108" s="2">
        <v>3038.08</v>
      </c>
      <c r="AP108" s="2">
        <v>6059.7</v>
      </c>
      <c r="AQ108" s="2">
        <v>2326.16</v>
      </c>
      <c r="AR108" s="2">
        <v>6922.06</v>
      </c>
      <c r="AS108" s="2">
        <v>3023.21</v>
      </c>
      <c r="AT108" s="2">
        <v>6184.41</v>
      </c>
      <c r="AU108" s="2">
        <v>2746.19</v>
      </c>
      <c r="AV108" s="2">
        <v>3043.95</v>
      </c>
      <c r="AW108" s="2">
        <v>4526.41</v>
      </c>
      <c r="AX108" s="2">
        <v>3043.95</v>
      </c>
      <c r="AY108" s="2">
        <v>4471.3100000000004</v>
      </c>
      <c r="AZ108" s="2">
        <v>2501.85</v>
      </c>
      <c r="BA108" s="2">
        <v>2051.06</v>
      </c>
      <c r="BB108" s="2">
        <v>4904.71</v>
      </c>
      <c r="BC108" s="2">
        <v>3826.07</v>
      </c>
      <c r="BF108" s="1" t="s">
        <v>20</v>
      </c>
      <c r="BG108" s="2">
        <v>12.96</v>
      </c>
      <c r="BH108" s="2">
        <v>6.43</v>
      </c>
      <c r="BI108" s="2">
        <v>6.15</v>
      </c>
      <c r="BJ108" s="2">
        <v>13.5</v>
      </c>
      <c r="BK108" s="2">
        <v>13.98</v>
      </c>
      <c r="BL108" s="2">
        <v>12.07</v>
      </c>
      <c r="BM108" s="2">
        <v>17.82</v>
      </c>
      <c r="BN108" s="2">
        <v>11.01</v>
      </c>
      <c r="BO108" s="2">
        <v>7.26</v>
      </c>
      <c r="BP108" s="2">
        <v>5.45</v>
      </c>
      <c r="BQ108" s="2">
        <v>7.26</v>
      </c>
      <c r="BR108" s="2">
        <v>5.5</v>
      </c>
      <c r="BS108" s="2">
        <v>6.16</v>
      </c>
      <c r="BT108" s="2">
        <v>6.15</v>
      </c>
      <c r="BU108" s="2">
        <v>4.32</v>
      </c>
      <c r="BV108" s="2">
        <v>4.32</v>
      </c>
    </row>
    <row r="109" spans="2:74" x14ac:dyDescent="0.3">
      <c r="B109" s="1" t="s">
        <v>21</v>
      </c>
      <c r="C109" s="2">
        <v>0.41685377056465078</v>
      </c>
      <c r="D109" s="2">
        <v>0.14626221964155181</v>
      </c>
      <c r="E109" s="2">
        <v>0.24998648838420659</v>
      </c>
      <c r="F109" s="2">
        <v>0.26602682135862971</v>
      </c>
      <c r="G109" s="2">
        <v>0.44471212470568411</v>
      </c>
      <c r="H109" s="2">
        <v>0.18901108184664309</v>
      </c>
      <c r="I109" s="2">
        <v>0.52224666788776664</v>
      </c>
      <c r="J109" s="2">
        <v>0.24088233720684829</v>
      </c>
      <c r="K109" s="2">
        <v>0.1457333223423512</v>
      </c>
      <c r="L109" s="2">
        <v>0.20422368389883369</v>
      </c>
      <c r="M109" s="2">
        <v>0.13548131247843351</v>
      </c>
      <c r="N109" s="2">
        <v>0.20021646761107639</v>
      </c>
      <c r="O109" s="2">
        <v>0.31395027757950972</v>
      </c>
      <c r="P109" s="2">
        <v>0.1308212387545914</v>
      </c>
      <c r="Q109" s="2">
        <v>0.174010483519043</v>
      </c>
      <c r="R109" s="2">
        <v>0.25638818498690519</v>
      </c>
      <c r="T109" s="1" t="s">
        <v>21</v>
      </c>
      <c r="U109" s="2">
        <v>4515.16</v>
      </c>
      <c r="V109" s="2">
        <v>2131.84</v>
      </c>
      <c r="W109" s="2">
        <v>4005.11</v>
      </c>
      <c r="X109" s="2">
        <v>3978.81</v>
      </c>
      <c r="Y109" s="2">
        <v>5251</v>
      </c>
      <c r="Z109" s="2">
        <v>3140.35</v>
      </c>
      <c r="AA109" s="2">
        <v>3818.35</v>
      </c>
      <c r="AB109" s="2">
        <v>2751.67</v>
      </c>
      <c r="AC109" s="2">
        <v>1809.52</v>
      </c>
      <c r="AD109" s="2">
        <v>2127.6</v>
      </c>
      <c r="AE109" s="2">
        <v>1500.09</v>
      </c>
      <c r="AF109" s="2">
        <v>1731.54</v>
      </c>
      <c r="AG109" s="2">
        <v>1243.6400000000001</v>
      </c>
      <c r="AH109" s="2">
        <v>514.98</v>
      </c>
      <c r="AI109" s="2">
        <v>3043.45</v>
      </c>
      <c r="AJ109" s="2">
        <v>4490.8500000000004</v>
      </c>
      <c r="AM109" s="1" t="s">
        <v>21</v>
      </c>
      <c r="AN109" s="2">
        <v>17440.37</v>
      </c>
      <c r="AO109" s="2">
        <v>8117.77</v>
      </c>
      <c r="AP109" s="2">
        <v>21838.69</v>
      </c>
      <c r="AQ109" s="2">
        <v>8372.41</v>
      </c>
      <c r="AR109" s="2">
        <v>23491.81</v>
      </c>
      <c r="AS109" s="2">
        <v>16065.15</v>
      </c>
      <c r="AT109" s="2">
        <v>21936.959999999999</v>
      </c>
      <c r="AU109" s="2">
        <v>13961.09</v>
      </c>
      <c r="AV109" s="2">
        <v>8587.93</v>
      </c>
      <c r="AW109" s="2">
        <v>10165.01</v>
      </c>
      <c r="AX109" s="2">
        <v>7073.01</v>
      </c>
      <c r="AY109" s="2">
        <v>8191.56</v>
      </c>
      <c r="AZ109" s="2">
        <v>5837.56</v>
      </c>
      <c r="BA109" s="2">
        <v>4634.82</v>
      </c>
      <c r="BB109" s="2">
        <v>11015.15</v>
      </c>
      <c r="BC109" s="2">
        <v>10238.25</v>
      </c>
      <c r="BF109" s="1" t="s">
        <v>21</v>
      </c>
      <c r="BG109" s="2">
        <v>28.48</v>
      </c>
      <c r="BH109" s="2">
        <v>12.96</v>
      </c>
      <c r="BI109" s="2">
        <v>13.5</v>
      </c>
      <c r="BJ109" s="2">
        <v>13.5</v>
      </c>
      <c r="BK109" s="2">
        <v>31.22</v>
      </c>
      <c r="BL109" s="2">
        <v>14.54</v>
      </c>
      <c r="BM109" s="2">
        <v>32.42</v>
      </c>
      <c r="BN109" s="2">
        <v>13.82</v>
      </c>
      <c r="BO109" s="2">
        <v>6</v>
      </c>
      <c r="BP109" s="2">
        <v>6.8</v>
      </c>
      <c r="BQ109" s="2">
        <v>6.85</v>
      </c>
      <c r="BR109" s="2">
        <v>7.86</v>
      </c>
      <c r="BS109" s="2">
        <v>7.37</v>
      </c>
      <c r="BT109" s="2">
        <v>5.67</v>
      </c>
      <c r="BU109" s="2">
        <v>4.32</v>
      </c>
      <c r="BV109" s="2">
        <v>4.32</v>
      </c>
    </row>
    <row r="110" spans="2:74" x14ac:dyDescent="0.3">
      <c r="B110" s="1" t="s">
        <v>22</v>
      </c>
      <c r="C110" s="2">
        <v>4.6245446678691612E-2</v>
      </c>
      <c r="D110" s="2">
        <v>3.9845724452013093E-2</v>
      </c>
      <c r="E110" s="2">
        <v>5.4569136112604638E-2</v>
      </c>
      <c r="F110" s="2">
        <v>7.0548206123829199E-2</v>
      </c>
      <c r="G110" s="2">
        <v>6.6018211002868879E-2</v>
      </c>
      <c r="H110" s="2">
        <v>6.6128609054315959E-2</v>
      </c>
      <c r="I110" s="2">
        <v>4.1769821222434729E-2</v>
      </c>
      <c r="J110" s="2">
        <v>5.0322773316778743E-2</v>
      </c>
      <c r="K110" s="2">
        <v>5.3347942694995001E-2</v>
      </c>
      <c r="L110" s="2">
        <v>4.8608095196734133E-2</v>
      </c>
      <c r="M110" s="2">
        <v>4.8299235436808641E-2</v>
      </c>
      <c r="N110" s="2">
        <v>1.97607913207773E-2</v>
      </c>
      <c r="O110" s="2">
        <v>2.8387612488733449E-2</v>
      </c>
      <c r="P110" s="2">
        <v>3.187585369809056E-2</v>
      </c>
      <c r="Q110" s="2">
        <v>5.0706600956979438E-2</v>
      </c>
      <c r="R110" s="2">
        <v>4.5340852031263493E-2</v>
      </c>
      <c r="T110" s="1" t="s">
        <v>22</v>
      </c>
      <c r="U110" s="2">
        <v>1053.8699999999999</v>
      </c>
      <c r="V110" s="2">
        <v>578.66</v>
      </c>
      <c r="W110" s="2">
        <v>1048.5999999999999</v>
      </c>
      <c r="X110" s="2">
        <v>1060.9000000000001</v>
      </c>
      <c r="Y110" s="2">
        <v>1214.22</v>
      </c>
      <c r="Z110" s="2">
        <v>1057.67</v>
      </c>
      <c r="AA110" s="2">
        <v>1041.26</v>
      </c>
      <c r="AB110" s="2">
        <v>901.74</v>
      </c>
      <c r="AC110" s="2">
        <v>758.64</v>
      </c>
      <c r="AD110" s="2">
        <v>274.70999999999998</v>
      </c>
      <c r="AE110" s="2">
        <v>610.63</v>
      </c>
      <c r="AF110" s="2">
        <v>456.02</v>
      </c>
      <c r="AG110" s="2">
        <v>256.17</v>
      </c>
      <c r="AH110" s="2">
        <v>255.73</v>
      </c>
      <c r="AI110" s="2">
        <v>801.12</v>
      </c>
      <c r="AJ110" s="2">
        <v>766.27</v>
      </c>
      <c r="AM110" s="1" t="s">
        <v>22</v>
      </c>
      <c r="AN110" s="2">
        <v>4477.5600000000004</v>
      </c>
      <c r="AO110" s="2">
        <v>2846.15</v>
      </c>
      <c r="AP110" s="2">
        <v>5541.3</v>
      </c>
      <c r="AQ110" s="2">
        <v>4449.1099999999997</v>
      </c>
      <c r="AR110" s="2">
        <v>6442.21</v>
      </c>
      <c r="AS110" s="2">
        <v>5346.53</v>
      </c>
      <c r="AT110" s="2">
        <v>5375.04</v>
      </c>
      <c r="AU110" s="2">
        <v>4476.26</v>
      </c>
      <c r="AV110" s="2">
        <v>3603.25</v>
      </c>
      <c r="AW110" s="2">
        <v>2472.39</v>
      </c>
      <c r="AX110" s="2">
        <v>2878.47</v>
      </c>
      <c r="AY110" s="2">
        <v>2291.08</v>
      </c>
      <c r="AZ110" s="2">
        <v>1199.47</v>
      </c>
      <c r="BA110" s="2">
        <v>1197.3699999999999</v>
      </c>
      <c r="BB110" s="2">
        <v>2913.33</v>
      </c>
      <c r="BC110" s="2">
        <v>2809.79</v>
      </c>
      <c r="BF110" s="1" t="s">
        <v>22</v>
      </c>
      <c r="BG110" s="2">
        <v>12.96</v>
      </c>
      <c r="BH110" s="2">
        <v>12.92</v>
      </c>
      <c r="BI110" s="2">
        <v>10.210000000000001</v>
      </c>
      <c r="BJ110" s="2">
        <v>13.5</v>
      </c>
      <c r="BK110" s="2">
        <v>19.23</v>
      </c>
      <c r="BL110" s="2">
        <v>14.52</v>
      </c>
      <c r="BM110" s="2">
        <v>8.86</v>
      </c>
      <c r="BN110" s="2">
        <v>8.99</v>
      </c>
      <c r="BO110" s="2">
        <v>5.29</v>
      </c>
      <c r="BP110" s="2">
        <v>10.48</v>
      </c>
      <c r="BQ110" s="2">
        <v>6.06</v>
      </c>
      <c r="BR110" s="2">
        <v>2.92</v>
      </c>
      <c r="BS110" s="2">
        <v>3.07</v>
      </c>
      <c r="BT110" s="2">
        <v>3.07</v>
      </c>
      <c r="BU110" s="2">
        <v>4.32</v>
      </c>
      <c r="BV110" s="2">
        <v>4.32</v>
      </c>
    </row>
    <row r="111" spans="2:74" x14ac:dyDescent="0.3">
      <c r="B111" s="1" t="s">
        <v>23</v>
      </c>
      <c r="C111" s="2">
        <v>0.17219031008979549</v>
      </c>
      <c r="D111" s="2">
        <v>0.29912632418792778</v>
      </c>
      <c r="E111" s="2">
        <v>0.30715242837025297</v>
      </c>
      <c r="F111" s="2">
        <v>0.31317970622978691</v>
      </c>
      <c r="G111" s="2">
        <v>0.1603055730457647</v>
      </c>
      <c r="H111" s="2">
        <v>0.25858828206529838</v>
      </c>
      <c r="I111" s="2">
        <v>0.1151169700248338</v>
      </c>
      <c r="J111" s="2">
        <v>0.21394306656108411</v>
      </c>
      <c r="K111" s="2">
        <v>0.29695997460959628</v>
      </c>
      <c r="L111" s="2">
        <v>0.24941041615670301</v>
      </c>
      <c r="M111" s="2">
        <v>0.31175437517552362</v>
      </c>
      <c r="N111" s="2">
        <v>0.25849686669117461</v>
      </c>
      <c r="O111" s="2">
        <v>0.28469111232015393</v>
      </c>
      <c r="P111" s="2">
        <v>0.29994081583861792</v>
      </c>
      <c r="Q111" s="2">
        <v>0.30359846279259339</v>
      </c>
      <c r="R111" s="2">
        <v>0.26425588166834291</v>
      </c>
      <c r="T111" s="1" t="s">
        <v>23</v>
      </c>
      <c r="U111" s="2">
        <v>4075.6</v>
      </c>
      <c r="V111" s="2">
        <v>4574.28</v>
      </c>
      <c r="W111" s="2">
        <v>4575.59</v>
      </c>
      <c r="X111" s="2">
        <v>5017.12</v>
      </c>
      <c r="Y111" s="2">
        <v>4571.04</v>
      </c>
      <c r="Z111" s="2">
        <v>5424.66</v>
      </c>
      <c r="AA111" s="2">
        <v>3885.62</v>
      </c>
      <c r="AB111" s="2">
        <v>4807.03</v>
      </c>
      <c r="AC111" s="2">
        <v>4858.92</v>
      </c>
      <c r="AD111" s="2">
        <v>3972.14</v>
      </c>
      <c r="AE111" s="2">
        <v>4784.8599999999997</v>
      </c>
      <c r="AF111" s="2">
        <v>3894.46</v>
      </c>
      <c r="AG111" s="2">
        <v>1801.19</v>
      </c>
      <c r="AH111" s="2">
        <v>1730.65</v>
      </c>
      <c r="AI111" s="2">
        <v>4942.3</v>
      </c>
      <c r="AJ111" s="2">
        <v>4698.54</v>
      </c>
      <c r="AM111" s="1" t="s">
        <v>23</v>
      </c>
      <c r="AN111" s="2">
        <v>15977.71</v>
      </c>
      <c r="AO111" s="2">
        <v>18178.419999999998</v>
      </c>
      <c r="AP111" s="2">
        <v>20570.91</v>
      </c>
      <c r="AQ111" s="2">
        <v>20264.95</v>
      </c>
      <c r="AR111" s="2">
        <v>22748.959999999999</v>
      </c>
      <c r="AS111" s="2">
        <v>26923.34</v>
      </c>
      <c r="AT111" s="2">
        <v>19206.38</v>
      </c>
      <c r="AU111" s="2">
        <v>23633.47</v>
      </c>
      <c r="AV111" s="2">
        <v>23059.08</v>
      </c>
      <c r="AW111" s="2">
        <v>18663.36</v>
      </c>
      <c r="AX111" s="2">
        <v>22679.64</v>
      </c>
      <c r="AY111" s="2">
        <v>18281.04</v>
      </c>
      <c r="AZ111" s="2">
        <v>8329.31</v>
      </c>
      <c r="BA111" s="2">
        <v>8002.35</v>
      </c>
      <c r="BB111" s="2">
        <v>19343.830000000002</v>
      </c>
      <c r="BC111" s="2">
        <v>18711.72</v>
      </c>
      <c r="BF111" s="1" t="s">
        <v>23</v>
      </c>
      <c r="BG111" s="2">
        <v>12.96</v>
      </c>
      <c r="BH111" s="2">
        <v>12.96</v>
      </c>
      <c r="BI111" s="2">
        <v>13.5</v>
      </c>
      <c r="BJ111" s="2">
        <v>13.5</v>
      </c>
      <c r="BK111" s="2">
        <v>12.56</v>
      </c>
      <c r="BL111" s="2">
        <v>12.11</v>
      </c>
      <c r="BM111" s="2">
        <v>6.87</v>
      </c>
      <c r="BN111" s="2">
        <v>7.59</v>
      </c>
      <c r="BO111" s="2">
        <v>4.91</v>
      </c>
      <c r="BP111" s="2">
        <v>4.5599999999999996</v>
      </c>
      <c r="BQ111" s="2">
        <v>5.34</v>
      </c>
      <c r="BR111" s="2">
        <v>4.6500000000000004</v>
      </c>
      <c r="BS111" s="2">
        <v>4.87</v>
      </c>
      <c r="BT111" s="2">
        <v>4.74</v>
      </c>
      <c r="BU111" s="2">
        <v>4.32</v>
      </c>
      <c r="BV111" s="2">
        <v>4.32</v>
      </c>
    </row>
    <row r="112" spans="2:74" x14ac:dyDescent="0.3">
      <c r="B112" s="1" t="s">
        <v>24</v>
      </c>
      <c r="C112" s="2">
        <v>4.4357510387867297E-2</v>
      </c>
      <c r="D112" s="2">
        <v>6.324128488161794E-2</v>
      </c>
      <c r="E112" s="2">
        <v>4.7115088194764218E-2</v>
      </c>
      <c r="F112" s="2">
        <v>7.9961859438975422E-2</v>
      </c>
      <c r="G112" s="2">
        <v>6.1787558807749103E-2</v>
      </c>
      <c r="H112" s="2">
        <v>9.1442230283754894E-2</v>
      </c>
      <c r="I112" s="2">
        <v>3.6820212897372223E-2</v>
      </c>
      <c r="J112" s="2">
        <v>0.10785540484374551</v>
      </c>
      <c r="K112" s="2">
        <v>4.4269267948104048E-2</v>
      </c>
      <c r="L112" s="2">
        <v>3.2619252544554382E-2</v>
      </c>
      <c r="M112" s="2">
        <v>4.5947712081685903E-2</v>
      </c>
      <c r="N112" s="2">
        <v>3.5947644247621167E-2</v>
      </c>
      <c r="O112" s="2">
        <v>7.3175451536530406E-2</v>
      </c>
      <c r="P112" s="2">
        <v>6.3337083892712823E-2</v>
      </c>
      <c r="Q112" s="2">
        <v>4.0070154603751899E-2</v>
      </c>
      <c r="R112" s="2">
        <v>4.2458684491367991E-2</v>
      </c>
      <c r="T112" s="1" t="s">
        <v>24</v>
      </c>
      <c r="U112" s="2">
        <v>1111.24</v>
      </c>
      <c r="V112" s="2">
        <v>1045.47</v>
      </c>
      <c r="W112" s="2">
        <v>1299.8599999999999</v>
      </c>
      <c r="X112" s="2">
        <v>1675.69</v>
      </c>
      <c r="Y112" s="2">
        <v>1549.13</v>
      </c>
      <c r="Z112" s="2">
        <v>1737.84</v>
      </c>
      <c r="AA112" s="2">
        <v>1296.45</v>
      </c>
      <c r="AB112" s="2">
        <v>1615.9</v>
      </c>
      <c r="AC112" s="2">
        <v>1159.3900000000001</v>
      </c>
      <c r="AD112" s="2">
        <v>950.75</v>
      </c>
      <c r="AE112" s="2">
        <v>985.09</v>
      </c>
      <c r="AF112" s="2">
        <v>766.42</v>
      </c>
      <c r="AG112" s="2">
        <v>639.20000000000005</v>
      </c>
      <c r="AH112" s="2">
        <v>569.15</v>
      </c>
      <c r="AI112" s="2">
        <v>977.13</v>
      </c>
      <c r="AJ112" s="2">
        <v>876.77</v>
      </c>
      <c r="AM112" s="1" t="s">
        <v>24</v>
      </c>
      <c r="AN112" s="2">
        <v>4369.0600000000004</v>
      </c>
      <c r="AO112" s="2">
        <v>3974.88</v>
      </c>
      <c r="AP112" s="2">
        <v>5387.16</v>
      </c>
      <c r="AQ112" s="2">
        <v>7173.31</v>
      </c>
      <c r="AR112" s="2">
        <v>6643.02</v>
      </c>
      <c r="AS112" s="2">
        <v>7614.34</v>
      </c>
      <c r="AT112" s="2">
        <v>5245.85</v>
      </c>
      <c r="AU112" s="2">
        <v>6941.26</v>
      </c>
      <c r="AV112" s="2">
        <v>4335.32</v>
      </c>
      <c r="AW112" s="2">
        <v>3505.59</v>
      </c>
      <c r="AX112" s="2">
        <v>3637.71</v>
      </c>
      <c r="AY112" s="2">
        <v>2798.69</v>
      </c>
      <c r="AZ112" s="2">
        <v>2319.71</v>
      </c>
      <c r="BA112" s="2">
        <v>2062.3200000000002</v>
      </c>
      <c r="BB112" s="2">
        <v>3550.54</v>
      </c>
      <c r="BC112" s="2">
        <v>3055.57</v>
      </c>
      <c r="BF112" s="1" t="s">
        <v>24</v>
      </c>
      <c r="BG112" s="2">
        <v>12.96</v>
      </c>
      <c r="BH112" s="2">
        <v>12.96</v>
      </c>
      <c r="BI112" s="2">
        <v>7.92</v>
      </c>
      <c r="BJ112" s="2">
        <v>11.73</v>
      </c>
      <c r="BK112" s="2">
        <v>14.93</v>
      </c>
      <c r="BL112" s="2">
        <v>14.32</v>
      </c>
      <c r="BM112" s="2">
        <v>6.97</v>
      </c>
      <c r="BN112" s="2">
        <v>12.38</v>
      </c>
      <c r="BO112" s="2">
        <v>3.23</v>
      </c>
      <c r="BP112" s="2">
        <v>2.69</v>
      </c>
      <c r="BQ112" s="2">
        <v>4.0199999999999996</v>
      </c>
      <c r="BR112" s="2">
        <v>3.54</v>
      </c>
      <c r="BS112" s="2">
        <v>3.91</v>
      </c>
      <c r="BT112" s="2">
        <v>3.38</v>
      </c>
      <c r="BU112" s="2">
        <v>3.14</v>
      </c>
      <c r="BV112" s="2">
        <v>4.32</v>
      </c>
    </row>
    <row r="113" spans="2:74" x14ac:dyDescent="0.3">
      <c r="B113" s="1" t="s">
        <v>25</v>
      </c>
      <c r="C113" s="2">
        <v>0.22695040992027599</v>
      </c>
      <c r="D113" s="2">
        <v>0.34296626764103078</v>
      </c>
      <c r="E113" s="2">
        <v>0.23427810206277341</v>
      </c>
      <c r="F113" s="2">
        <v>0.21140872242431311</v>
      </c>
      <c r="G113" s="2">
        <v>0.17318293200693499</v>
      </c>
      <c r="H113" s="2">
        <v>0.2944807434279183</v>
      </c>
      <c r="I113" s="2">
        <v>0.14704113971230309</v>
      </c>
      <c r="J113" s="2">
        <v>0.27639813078947628</v>
      </c>
      <c r="K113" s="2">
        <v>0.22709931618184401</v>
      </c>
      <c r="L113" s="2">
        <v>0.2217927560149397</v>
      </c>
      <c r="M113" s="2">
        <v>0.23028478517128531</v>
      </c>
      <c r="N113" s="2">
        <v>0.23333361830912461</v>
      </c>
      <c r="O113" s="2">
        <v>0.13408441185817879</v>
      </c>
      <c r="P113" s="2">
        <v>0.29363034642796842</v>
      </c>
      <c r="Q113" s="2">
        <v>0.2318585979061116</v>
      </c>
      <c r="R113" s="2">
        <v>0.21649136213451381</v>
      </c>
      <c r="T113" s="1" t="s">
        <v>25</v>
      </c>
      <c r="U113" s="2">
        <v>5856.52</v>
      </c>
      <c r="V113" s="2">
        <v>5630.16</v>
      </c>
      <c r="W113" s="2">
        <v>3947.43</v>
      </c>
      <c r="X113" s="2">
        <v>4180.97</v>
      </c>
      <c r="Y113" s="2">
        <v>4511.18</v>
      </c>
      <c r="Z113" s="2">
        <v>5429.74</v>
      </c>
      <c r="AA113" s="2">
        <v>3710.38</v>
      </c>
      <c r="AB113" s="2">
        <v>4392.08</v>
      </c>
      <c r="AC113" s="2">
        <v>3613.26</v>
      </c>
      <c r="AD113" s="2">
        <v>3156.6</v>
      </c>
      <c r="AE113" s="2">
        <v>2946.28</v>
      </c>
      <c r="AF113" s="2">
        <v>2560.1</v>
      </c>
      <c r="AG113" s="2">
        <v>503.43</v>
      </c>
      <c r="AH113" s="2">
        <v>1770.48</v>
      </c>
      <c r="AI113" s="2">
        <v>4154.17</v>
      </c>
      <c r="AJ113" s="2">
        <v>4334.32</v>
      </c>
      <c r="AM113" s="1" t="s">
        <v>25</v>
      </c>
      <c r="AN113" s="2">
        <v>16080.77</v>
      </c>
      <c r="AO113" s="2">
        <v>15603.84</v>
      </c>
      <c r="AP113" s="2">
        <v>13254.27</v>
      </c>
      <c r="AQ113" s="2">
        <v>17161.330000000002</v>
      </c>
      <c r="AR113" s="2">
        <v>19299.39</v>
      </c>
      <c r="AS113" s="2">
        <v>21231.99</v>
      </c>
      <c r="AT113" s="2">
        <v>15254.19</v>
      </c>
      <c r="AU113" s="2">
        <v>18525.27</v>
      </c>
      <c r="AV113" s="2">
        <v>13780.25</v>
      </c>
      <c r="AW113" s="2">
        <v>11853.9</v>
      </c>
      <c r="AX113" s="2">
        <v>10971.83</v>
      </c>
      <c r="AY113" s="2">
        <v>9441.2999999999993</v>
      </c>
      <c r="AZ113" s="2">
        <v>4530.87</v>
      </c>
      <c r="BA113" s="2">
        <v>6433.14</v>
      </c>
      <c r="BB113" s="2">
        <v>7733.03</v>
      </c>
      <c r="BC113" s="2">
        <v>9779.6299999999992</v>
      </c>
      <c r="BF113" s="1" t="s">
        <v>25</v>
      </c>
      <c r="BG113" s="2">
        <v>12.96</v>
      </c>
      <c r="BH113" s="2">
        <v>12.96</v>
      </c>
      <c r="BI113" s="2">
        <v>13.5</v>
      </c>
      <c r="BJ113" s="2">
        <v>12.26</v>
      </c>
      <c r="BK113" s="2">
        <v>15.06</v>
      </c>
      <c r="BL113" s="2">
        <v>15.12</v>
      </c>
      <c r="BM113" s="2">
        <v>9.85</v>
      </c>
      <c r="BN113" s="2">
        <v>11.92</v>
      </c>
      <c r="BO113" s="2">
        <v>5.51</v>
      </c>
      <c r="BP113" s="2">
        <v>5.57</v>
      </c>
      <c r="BQ113" s="2">
        <v>6.98</v>
      </c>
      <c r="BR113" s="2">
        <v>6.96</v>
      </c>
      <c r="BS113" s="2">
        <v>8.51</v>
      </c>
      <c r="BT113" s="2">
        <v>5.22</v>
      </c>
      <c r="BU113" s="2">
        <v>4.32</v>
      </c>
      <c r="BV113" s="2">
        <v>4.32</v>
      </c>
    </row>
    <row r="114" spans="2:74" x14ac:dyDescent="0.3">
      <c r="B114" s="1" t="s">
        <v>26</v>
      </c>
      <c r="C114" s="2">
        <v>3.9394316550987733E-2</v>
      </c>
      <c r="D114" s="2">
        <v>7.0170211559248741E-2</v>
      </c>
      <c r="E114" s="2">
        <v>6.1542136938967228E-2</v>
      </c>
      <c r="F114" s="2">
        <v>1.648873583647139E-2</v>
      </c>
      <c r="G114" s="2">
        <v>4.3229376826310402E-2</v>
      </c>
      <c r="H114" s="2">
        <v>6.5928241315907174E-2</v>
      </c>
      <c r="I114" s="2">
        <v>4.494720162207521E-2</v>
      </c>
      <c r="J114" s="2">
        <v>6.7358097021878977E-2</v>
      </c>
      <c r="K114" s="2">
        <v>0.1605665172078336</v>
      </c>
      <c r="L114" s="2">
        <v>0.16131731191880591</v>
      </c>
      <c r="M114" s="2">
        <v>0.15755782090553341</v>
      </c>
      <c r="N114" s="2">
        <v>0.16767246022450391</v>
      </c>
      <c r="O114" s="2">
        <v>5.3252544137709801E-2</v>
      </c>
      <c r="P114" s="2">
        <v>7.5704734565723672E-2</v>
      </c>
      <c r="Q114" s="2">
        <v>0.10172993420926341</v>
      </c>
      <c r="R114" s="2">
        <v>9.4918584037113327E-2</v>
      </c>
      <c r="T114" s="1" t="s">
        <v>26</v>
      </c>
      <c r="U114" s="2">
        <v>1980.55</v>
      </c>
      <c r="V114" s="2">
        <v>2659.75</v>
      </c>
      <c r="W114" s="2">
        <v>1602.23</v>
      </c>
      <c r="X114" s="2">
        <v>2015.83</v>
      </c>
      <c r="Y114" s="2">
        <v>1608.17</v>
      </c>
      <c r="Z114" s="2">
        <v>1999.28</v>
      </c>
      <c r="AA114" s="2">
        <v>1287.73</v>
      </c>
      <c r="AB114" s="2">
        <v>1883.61</v>
      </c>
      <c r="AC114" s="2">
        <v>1968.81</v>
      </c>
      <c r="AD114" s="2">
        <v>1705.94</v>
      </c>
      <c r="AE114" s="2">
        <v>1968.87</v>
      </c>
      <c r="AF114" s="2">
        <v>1705.96</v>
      </c>
      <c r="AG114" s="2">
        <v>619.42999999999995</v>
      </c>
      <c r="AH114" s="2">
        <v>694.04</v>
      </c>
      <c r="AI114" s="2">
        <v>2086.9</v>
      </c>
      <c r="AJ114" s="2">
        <v>2019.4</v>
      </c>
      <c r="AM114" s="1" t="s">
        <v>26</v>
      </c>
      <c r="AN114" s="2">
        <v>7855.55</v>
      </c>
      <c r="AO114" s="2">
        <v>10180.85</v>
      </c>
      <c r="AP114" s="2">
        <v>6322.27</v>
      </c>
      <c r="AQ114" s="2">
        <v>7679.57</v>
      </c>
      <c r="AR114" s="2">
        <v>6111.73</v>
      </c>
      <c r="AS114" s="2">
        <v>7472.32</v>
      </c>
      <c r="AT114" s="2">
        <v>4887.47</v>
      </c>
      <c r="AU114" s="2">
        <v>7042.89</v>
      </c>
      <c r="AV114" s="2">
        <v>7137.39</v>
      </c>
      <c r="AW114" s="2">
        <v>6173.56</v>
      </c>
      <c r="AX114" s="2">
        <v>7137.33</v>
      </c>
      <c r="AY114" s="2">
        <v>6173.54</v>
      </c>
      <c r="AZ114" s="2">
        <v>1893.97</v>
      </c>
      <c r="BA114" s="2">
        <v>2140.06</v>
      </c>
      <c r="BB114" s="2">
        <v>7537.4</v>
      </c>
      <c r="BC114" s="2">
        <v>7297.85</v>
      </c>
      <c r="BF114" s="1" t="s">
        <v>26</v>
      </c>
      <c r="BG114" s="2">
        <v>6.64</v>
      </c>
      <c r="BH114" s="2">
        <v>5.83</v>
      </c>
      <c r="BI114" s="2">
        <v>8.43</v>
      </c>
      <c r="BJ114" s="2">
        <v>2</v>
      </c>
      <c r="BK114" s="2">
        <v>10.37</v>
      </c>
      <c r="BL114" s="2">
        <v>9.06</v>
      </c>
      <c r="BM114" s="2">
        <v>8.8000000000000007</v>
      </c>
      <c r="BN114" s="2">
        <v>6.93</v>
      </c>
      <c r="BO114" s="2">
        <v>7.08</v>
      </c>
      <c r="BP114" s="2">
        <v>7.88</v>
      </c>
      <c r="BQ114" s="2">
        <v>7.08</v>
      </c>
      <c r="BR114" s="2">
        <v>7.88</v>
      </c>
      <c r="BS114" s="2">
        <v>3.15</v>
      </c>
      <c r="BT114" s="2">
        <v>3.56</v>
      </c>
      <c r="BU114" s="2">
        <v>3.74</v>
      </c>
      <c r="BV114" s="2">
        <v>4.1399999999999997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62.07</v>
      </c>
      <c r="V121" s="2">
        <v>59.41</v>
      </c>
      <c r="W121" s="2">
        <v>42.15</v>
      </c>
      <c r="X121" s="2">
        <v>34.19</v>
      </c>
      <c r="Y121" s="2">
        <v>46.06</v>
      </c>
      <c r="Z121" s="2">
        <v>46.06</v>
      </c>
      <c r="AA121" s="2">
        <v>13.03</v>
      </c>
      <c r="AB121" s="2">
        <v>98.67</v>
      </c>
      <c r="AC121" s="2">
        <v>77.819999999999993</v>
      </c>
      <c r="AD121" s="2">
        <v>55.87</v>
      </c>
      <c r="AE121" s="2">
        <v>43.22</v>
      </c>
      <c r="AF121" s="2">
        <v>45.78</v>
      </c>
      <c r="AG121" s="2">
        <v>39.21</v>
      </c>
      <c r="AH121" s="2">
        <v>38</v>
      </c>
      <c r="AI121" s="2">
        <v>12.13</v>
      </c>
      <c r="AJ121" s="2">
        <v>121.63</v>
      </c>
      <c r="AM121" s="1" t="s">
        <v>19</v>
      </c>
      <c r="AN121" s="2">
        <v>685.53</v>
      </c>
      <c r="AO121" s="2">
        <v>908.34</v>
      </c>
      <c r="AP121" s="2">
        <v>669.33</v>
      </c>
      <c r="AQ121" s="2">
        <v>638.02</v>
      </c>
      <c r="AR121" s="2">
        <v>858.48</v>
      </c>
      <c r="AS121" s="2">
        <v>858.48</v>
      </c>
      <c r="AT121" s="2">
        <v>242.75</v>
      </c>
      <c r="AU121" s="2">
        <v>267.57</v>
      </c>
      <c r="AV121" s="2">
        <v>710.1</v>
      </c>
      <c r="AW121" s="2">
        <v>1037.8800000000001</v>
      </c>
      <c r="AX121" s="2">
        <v>668.26</v>
      </c>
      <c r="AY121" s="2">
        <v>850.5</v>
      </c>
      <c r="AZ121" s="2">
        <v>730.65</v>
      </c>
      <c r="BA121" s="2">
        <v>708.2</v>
      </c>
      <c r="BB121" s="2">
        <v>226.01</v>
      </c>
      <c r="BC121" s="2">
        <v>328.05</v>
      </c>
      <c r="BF121" s="1" t="s">
        <v>19</v>
      </c>
      <c r="BG121" s="2">
        <v>16537.2</v>
      </c>
      <c r="BH121" s="2">
        <v>16518.8</v>
      </c>
      <c r="BI121" s="2">
        <v>16479.59</v>
      </c>
      <c r="BJ121" s="2">
        <v>54992.75</v>
      </c>
      <c r="BK121" s="2">
        <v>131.88999999999999</v>
      </c>
      <c r="BL121" s="2">
        <v>131.94999999999999</v>
      </c>
      <c r="BM121" s="2">
        <v>371921.24</v>
      </c>
      <c r="BN121" s="2">
        <v>981270.19</v>
      </c>
      <c r="BO121" s="2">
        <v>261455.11</v>
      </c>
      <c r="BP121" s="2">
        <v>77495.73</v>
      </c>
      <c r="BQ121" s="2">
        <v>68538.600000000006</v>
      </c>
      <c r="BR121" s="2">
        <v>24965.02</v>
      </c>
      <c r="BS121" s="2">
        <v>2656173.54</v>
      </c>
      <c r="BT121" s="2">
        <v>4335654.01</v>
      </c>
      <c r="BU121" s="2">
        <v>924.97</v>
      </c>
      <c r="BV121" s="2">
        <v>3094.86</v>
      </c>
    </row>
    <row r="122" spans="2:74" x14ac:dyDescent="0.3">
      <c r="T122" s="1" t="s">
        <v>20</v>
      </c>
      <c r="U122" s="2">
        <v>71.59</v>
      </c>
      <c r="V122" s="2">
        <v>86.83</v>
      </c>
      <c r="W122" s="2">
        <v>67.23</v>
      </c>
      <c r="X122" s="2">
        <v>72.099999999999994</v>
      </c>
      <c r="Y122" s="2">
        <v>59.47</v>
      </c>
      <c r="Z122" s="2">
        <v>59.47</v>
      </c>
      <c r="AA122" s="2">
        <v>44.49</v>
      </c>
      <c r="AB122" s="2">
        <v>26.27</v>
      </c>
      <c r="AC122" s="2">
        <v>58.06</v>
      </c>
      <c r="AD122" s="2">
        <v>56.19</v>
      </c>
      <c r="AE122" s="2">
        <v>62.69</v>
      </c>
      <c r="AF122" s="2">
        <v>70.55</v>
      </c>
      <c r="AG122" s="2">
        <v>76.150000000000006</v>
      </c>
      <c r="AH122" s="2">
        <v>75.06</v>
      </c>
      <c r="AI122" s="2">
        <v>36.28</v>
      </c>
      <c r="AJ122" s="2">
        <v>29.32</v>
      </c>
      <c r="AM122" s="1" t="s">
        <v>20</v>
      </c>
      <c r="AN122" s="2">
        <v>335.31</v>
      </c>
      <c r="AO122" s="2">
        <v>457.17</v>
      </c>
      <c r="AP122" s="2">
        <v>349.97</v>
      </c>
      <c r="AQ122" s="2">
        <v>357.26</v>
      </c>
      <c r="AR122" s="2">
        <v>279.83</v>
      </c>
      <c r="AS122" s="2">
        <v>279.83</v>
      </c>
      <c r="AT122" s="2">
        <v>208.77</v>
      </c>
      <c r="AU122" s="2">
        <v>118.53</v>
      </c>
      <c r="AV122" s="2">
        <v>285.38</v>
      </c>
      <c r="AW122" s="2">
        <v>235.96</v>
      </c>
      <c r="AX122" s="2">
        <v>303.55</v>
      </c>
      <c r="AY122" s="2">
        <v>341.29</v>
      </c>
      <c r="AZ122" s="2">
        <v>363.51</v>
      </c>
      <c r="BA122" s="2">
        <v>358.1</v>
      </c>
      <c r="BB122" s="2">
        <v>169.94</v>
      </c>
      <c r="BC122" s="2">
        <v>123.63</v>
      </c>
      <c r="BF122" s="1" t="s">
        <v>20</v>
      </c>
      <c r="BG122" s="2">
        <v>259.04000000000002</v>
      </c>
      <c r="BH122" s="2">
        <v>963.7</v>
      </c>
      <c r="BI122" s="2">
        <v>478.81</v>
      </c>
      <c r="BJ122" s="2">
        <v>272.95</v>
      </c>
      <c r="BK122" s="2">
        <v>228.62</v>
      </c>
      <c r="BL122" s="2">
        <v>341.66</v>
      </c>
      <c r="BM122" s="2">
        <v>256.07</v>
      </c>
      <c r="BN122" s="2">
        <v>716.86</v>
      </c>
      <c r="BO122" s="2">
        <v>920.62</v>
      </c>
      <c r="BP122" s="2">
        <v>875.8</v>
      </c>
      <c r="BQ122" s="2">
        <v>920.62</v>
      </c>
      <c r="BR122" s="2">
        <v>883.61</v>
      </c>
      <c r="BS122" s="2">
        <v>1038.18</v>
      </c>
      <c r="BT122" s="2">
        <v>1282.0899999999999</v>
      </c>
      <c r="BU122" s="2">
        <v>259.52999999999997</v>
      </c>
      <c r="BV122" s="2">
        <v>255.54</v>
      </c>
    </row>
    <row r="123" spans="2:74" x14ac:dyDescent="0.3">
      <c r="T123" s="1" t="s">
        <v>21</v>
      </c>
      <c r="U123" s="2">
        <v>427.37</v>
      </c>
      <c r="V123" s="2">
        <v>391.69</v>
      </c>
      <c r="W123" s="2">
        <v>446.28</v>
      </c>
      <c r="X123" s="2">
        <v>441.83</v>
      </c>
      <c r="Y123" s="2">
        <v>247.51</v>
      </c>
      <c r="Z123" s="2">
        <v>205.58</v>
      </c>
      <c r="AA123" s="2">
        <v>158.93</v>
      </c>
      <c r="AB123" s="2">
        <v>94.4</v>
      </c>
      <c r="AC123" s="2">
        <v>232.43</v>
      </c>
      <c r="AD123" s="2">
        <v>464.91</v>
      </c>
      <c r="AE123" s="2">
        <v>412.51</v>
      </c>
      <c r="AF123" s="2">
        <v>504.59</v>
      </c>
      <c r="AG123" s="2">
        <v>287.62</v>
      </c>
      <c r="AH123" s="2">
        <v>237.31</v>
      </c>
      <c r="AI123" s="2">
        <v>69.38</v>
      </c>
      <c r="AJ123" s="2">
        <v>153.72999999999999</v>
      </c>
      <c r="AM123" s="1" t="s">
        <v>21</v>
      </c>
      <c r="AN123" s="2">
        <v>1631.14</v>
      </c>
      <c r="AO123" s="2">
        <v>2105.81</v>
      </c>
      <c r="AP123" s="2">
        <v>1954.47</v>
      </c>
      <c r="AQ123" s="2">
        <v>2457.23</v>
      </c>
      <c r="AR123" s="2">
        <v>1171.71</v>
      </c>
      <c r="AS123" s="2">
        <v>967.54</v>
      </c>
      <c r="AT123" s="2">
        <v>745.13</v>
      </c>
      <c r="AU123" s="2">
        <v>341.2</v>
      </c>
      <c r="AV123" s="2">
        <v>882.88</v>
      </c>
      <c r="AW123" s="2">
        <v>975.38</v>
      </c>
      <c r="AX123" s="2">
        <v>2087.3200000000002</v>
      </c>
      <c r="AY123" s="2">
        <v>2537.08</v>
      </c>
      <c r="AZ123" s="2">
        <v>1369.3</v>
      </c>
      <c r="BA123" s="2">
        <v>1119.8900000000001</v>
      </c>
      <c r="BB123" s="2">
        <v>588.34</v>
      </c>
      <c r="BC123" s="2">
        <v>350.03</v>
      </c>
      <c r="BF123" s="1" t="s">
        <v>21</v>
      </c>
      <c r="BG123" s="2">
        <v>190.98</v>
      </c>
      <c r="BH123" s="2">
        <v>744.37</v>
      </c>
      <c r="BI123" s="2">
        <v>343.56</v>
      </c>
      <c r="BJ123" s="2">
        <v>168.47</v>
      </c>
      <c r="BK123" s="2">
        <v>175.95</v>
      </c>
      <c r="BL123" s="2">
        <v>356.92</v>
      </c>
      <c r="BM123" s="2">
        <v>264.95</v>
      </c>
      <c r="BN123" s="2">
        <v>695.27</v>
      </c>
      <c r="BO123" s="2">
        <v>5212.41</v>
      </c>
      <c r="BP123" s="2">
        <v>2813.8</v>
      </c>
      <c r="BQ123" s="2">
        <v>5938.55</v>
      </c>
      <c r="BR123" s="2">
        <v>3241.8</v>
      </c>
      <c r="BS123" s="2">
        <v>3506.9</v>
      </c>
      <c r="BT123" s="2">
        <v>63099.16</v>
      </c>
      <c r="BU123" s="2">
        <v>368.81</v>
      </c>
      <c r="BV123" s="2">
        <v>172.51</v>
      </c>
    </row>
    <row r="124" spans="2:74" x14ac:dyDescent="0.3">
      <c r="T124" s="1" t="s">
        <v>22</v>
      </c>
      <c r="U124" s="2">
        <v>112.43</v>
      </c>
      <c r="V124" s="2">
        <v>135.72999999999999</v>
      </c>
      <c r="W124" s="2">
        <v>128.27000000000001</v>
      </c>
      <c r="X124" s="2">
        <v>187.4</v>
      </c>
      <c r="Y124" s="2">
        <v>96.37</v>
      </c>
      <c r="Z124" s="2">
        <v>77.61</v>
      </c>
      <c r="AA124" s="2">
        <v>36.299999999999997</v>
      </c>
      <c r="AB124" s="2">
        <v>32.979999999999997</v>
      </c>
      <c r="AC124" s="2">
        <v>56.2</v>
      </c>
      <c r="AD124" s="2">
        <v>143.41</v>
      </c>
      <c r="AE124" s="2">
        <v>144.02000000000001</v>
      </c>
      <c r="AF124" s="2">
        <v>122.6</v>
      </c>
      <c r="AG124" s="2">
        <v>34.58</v>
      </c>
      <c r="AH124" s="2">
        <v>57.68</v>
      </c>
      <c r="AI124" s="2">
        <v>36.299999999999997</v>
      </c>
      <c r="AJ124" s="2">
        <v>33.17</v>
      </c>
      <c r="AM124" s="1" t="s">
        <v>22</v>
      </c>
      <c r="AN124" s="2">
        <v>475.64</v>
      </c>
      <c r="AO124" s="2">
        <v>712.02</v>
      </c>
      <c r="AP124" s="2">
        <v>669.66</v>
      </c>
      <c r="AQ124" s="2">
        <v>960.01</v>
      </c>
      <c r="AR124" s="2">
        <v>456.42</v>
      </c>
      <c r="AS124" s="2">
        <v>365.17</v>
      </c>
      <c r="AT124" s="2">
        <v>169.92</v>
      </c>
      <c r="AU124" s="2">
        <v>119.8</v>
      </c>
      <c r="AV124" s="2">
        <v>275.55</v>
      </c>
      <c r="AW124" s="2">
        <v>598.51</v>
      </c>
      <c r="AX124" s="2">
        <v>720.9</v>
      </c>
      <c r="AY124" s="2">
        <v>605.04999999999995</v>
      </c>
      <c r="AZ124" s="2">
        <v>311.22000000000003</v>
      </c>
      <c r="BA124" s="2">
        <v>288.12</v>
      </c>
      <c r="BB124" s="2">
        <v>169.92</v>
      </c>
      <c r="BC124" s="2">
        <v>121.5</v>
      </c>
      <c r="BF124" s="1" t="s">
        <v>22</v>
      </c>
      <c r="BG124" s="2">
        <v>229.09</v>
      </c>
      <c r="BH124" s="2">
        <v>356.24</v>
      </c>
      <c r="BI124" s="2">
        <v>300.10000000000002</v>
      </c>
      <c r="BJ124" s="2">
        <v>220.79</v>
      </c>
      <c r="BK124" s="2">
        <v>205.07</v>
      </c>
      <c r="BL124" s="2">
        <v>232.12</v>
      </c>
      <c r="BM124" s="2">
        <v>460.73</v>
      </c>
      <c r="BN124" s="2">
        <v>555.19000000000005</v>
      </c>
      <c r="BO124" s="2">
        <v>1177.94</v>
      </c>
      <c r="BP124" s="2">
        <v>141734.21</v>
      </c>
      <c r="BQ124" s="2">
        <v>1348.26</v>
      </c>
      <c r="BR124" s="2">
        <v>13684.28</v>
      </c>
      <c r="BS124" s="2">
        <v>17010.259999999998</v>
      </c>
      <c r="BT124" s="2">
        <v>17004.25</v>
      </c>
      <c r="BU124" s="2">
        <v>243.99</v>
      </c>
      <c r="BV124" s="2">
        <v>248.21</v>
      </c>
    </row>
    <row r="125" spans="2:74" x14ac:dyDescent="0.3">
      <c r="T125" s="1" t="s">
        <v>23</v>
      </c>
      <c r="U125" s="2">
        <v>346.58</v>
      </c>
      <c r="V125" s="2">
        <v>548.86</v>
      </c>
      <c r="W125" s="2">
        <v>427.9</v>
      </c>
      <c r="X125" s="2">
        <v>482.33</v>
      </c>
      <c r="Y125" s="2">
        <v>417.84</v>
      </c>
      <c r="Z125" s="2">
        <v>409.62</v>
      </c>
      <c r="AA125" s="2">
        <v>176.51</v>
      </c>
      <c r="AB125" s="2">
        <v>187.82</v>
      </c>
      <c r="AC125" s="2">
        <v>365.13</v>
      </c>
      <c r="AD125" s="2">
        <v>556.54</v>
      </c>
      <c r="AE125" s="2">
        <v>495.72</v>
      </c>
      <c r="AF125" s="2">
        <v>553.5</v>
      </c>
      <c r="AG125" s="2">
        <v>454.82</v>
      </c>
      <c r="AH125" s="2">
        <v>443.69</v>
      </c>
      <c r="AI125" s="2">
        <v>171.85</v>
      </c>
      <c r="AJ125" s="2">
        <v>166.02</v>
      </c>
      <c r="AM125" s="1" t="s">
        <v>23</v>
      </c>
      <c r="AN125" s="2">
        <v>1354.74</v>
      </c>
      <c r="AO125" s="2">
        <v>2457.39</v>
      </c>
      <c r="AP125" s="2">
        <v>2115.9</v>
      </c>
      <c r="AQ125" s="2">
        <v>2375.4699999999998</v>
      </c>
      <c r="AR125" s="2">
        <v>1974.16</v>
      </c>
      <c r="AS125" s="2">
        <v>1932.98</v>
      </c>
      <c r="AT125" s="2">
        <v>815.74</v>
      </c>
      <c r="AU125" s="2">
        <v>734.08</v>
      </c>
      <c r="AV125" s="2">
        <v>1445.7</v>
      </c>
      <c r="AW125" s="2">
        <v>2238.1799999999998</v>
      </c>
      <c r="AX125" s="2">
        <v>2438.6799999999998</v>
      </c>
      <c r="AY125" s="2">
        <v>2705.25</v>
      </c>
      <c r="AZ125" s="2">
        <v>2130.88</v>
      </c>
      <c r="BA125" s="2">
        <v>2077.0100000000002</v>
      </c>
      <c r="BB125" s="2">
        <v>794.15</v>
      </c>
      <c r="BC125" s="2">
        <v>661.18</v>
      </c>
      <c r="BF125" s="1" t="s">
        <v>23</v>
      </c>
      <c r="BG125" s="2">
        <v>251.04</v>
      </c>
      <c r="BH125" s="2">
        <v>247.85</v>
      </c>
      <c r="BI125" s="2">
        <v>250</v>
      </c>
      <c r="BJ125" s="2">
        <v>229.74</v>
      </c>
      <c r="BK125" s="2">
        <v>273.29000000000002</v>
      </c>
      <c r="BL125" s="2">
        <v>255.01</v>
      </c>
      <c r="BM125" s="2">
        <v>1073.05</v>
      </c>
      <c r="BN125" s="2">
        <v>661.63</v>
      </c>
      <c r="BO125" s="2">
        <v>892.91</v>
      </c>
      <c r="BP125" s="2">
        <v>1415.94</v>
      </c>
      <c r="BQ125" s="2">
        <v>827.42</v>
      </c>
      <c r="BR125" s="2">
        <v>1439.54</v>
      </c>
      <c r="BS125" s="2">
        <v>2776.21</v>
      </c>
      <c r="BT125" s="2">
        <v>3148.08</v>
      </c>
      <c r="BU125" s="2">
        <v>232.35</v>
      </c>
      <c r="BV125" s="2">
        <v>236.8</v>
      </c>
    </row>
    <row r="126" spans="2:74" x14ac:dyDescent="0.3">
      <c r="T126" s="1" t="s">
        <v>24</v>
      </c>
      <c r="U126" s="2">
        <v>65.78</v>
      </c>
      <c r="V126" s="2">
        <v>95.98</v>
      </c>
      <c r="W126" s="2">
        <v>129.05000000000001</v>
      </c>
      <c r="X126" s="2">
        <v>125.19</v>
      </c>
      <c r="Y126" s="2">
        <v>87.58</v>
      </c>
      <c r="Z126" s="2">
        <v>74.53</v>
      </c>
      <c r="AA126" s="2">
        <v>44.6</v>
      </c>
      <c r="AB126" s="2">
        <v>23.01</v>
      </c>
      <c r="AC126" s="2">
        <v>56.35</v>
      </c>
      <c r="AD126" s="2">
        <v>76.790000000000006</v>
      </c>
      <c r="AE126" s="2">
        <v>103.01</v>
      </c>
      <c r="AF126" s="2">
        <v>93.92</v>
      </c>
      <c r="AG126" s="2">
        <v>75.989999999999995</v>
      </c>
      <c r="AH126" s="2">
        <v>61.24</v>
      </c>
      <c r="AI126" s="2">
        <v>39.58</v>
      </c>
      <c r="AJ126" s="2">
        <v>12.69</v>
      </c>
      <c r="AM126" s="1" t="s">
        <v>24</v>
      </c>
      <c r="AN126" s="2">
        <v>257.47000000000003</v>
      </c>
      <c r="AO126" s="2">
        <v>394.89</v>
      </c>
      <c r="AP126" s="2">
        <v>544</v>
      </c>
      <c r="AQ126" s="2">
        <v>502.47</v>
      </c>
      <c r="AR126" s="2">
        <v>326.13</v>
      </c>
      <c r="AS126" s="2">
        <v>274.39</v>
      </c>
      <c r="AT126" s="2">
        <v>161.66</v>
      </c>
      <c r="AU126" s="2">
        <v>83.5</v>
      </c>
      <c r="AV126" s="2">
        <v>213.26</v>
      </c>
      <c r="AW126" s="2">
        <v>322.95999999999998</v>
      </c>
      <c r="AX126" s="2">
        <v>441.28</v>
      </c>
      <c r="AY126" s="2">
        <v>395.71</v>
      </c>
      <c r="AZ126" s="2">
        <v>279.44</v>
      </c>
      <c r="BA126" s="2">
        <v>223.21</v>
      </c>
      <c r="BB126" s="2">
        <v>143.29</v>
      </c>
      <c r="BC126" s="2">
        <v>44.16</v>
      </c>
      <c r="BF126" s="1" t="s">
        <v>24</v>
      </c>
      <c r="BG126" s="2">
        <v>250.15</v>
      </c>
      <c r="BH126" s="2">
        <v>264.39</v>
      </c>
      <c r="BI126" s="2">
        <v>302.2</v>
      </c>
      <c r="BJ126" s="2">
        <v>218.61</v>
      </c>
      <c r="BK126" s="2">
        <v>195.03</v>
      </c>
      <c r="BL126" s="2">
        <v>192.11</v>
      </c>
      <c r="BM126" s="2">
        <v>446.97</v>
      </c>
      <c r="BN126" s="2">
        <v>258.62</v>
      </c>
      <c r="BO126" s="2">
        <v>1004.89</v>
      </c>
      <c r="BP126" s="2">
        <v>2121.59</v>
      </c>
      <c r="BQ126" s="2">
        <v>1188.1300000000001</v>
      </c>
      <c r="BR126" s="2">
        <v>2658.38</v>
      </c>
      <c r="BS126" s="2">
        <v>2104.9699999999998</v>
      </c>
      <c r="BT126" s="2">
        <v>3689.49</v>
      </c>
      <c r="BU126" s="2">
        <v>335.62</v>
      </c>
      <c r="BV126" s="2">
        <v>281.67</v>
      </c>
    </row>
    <row r="127" spans="2:74" x14ac:dyDescent="0.3">
      <c r="T127" s="1" t="s">
        <v>25</v>
      </c>
      <c r="U127" s="2">
        <v>262.63</v>
      </c>
      <c r="V127" s="2">
        <v>236.42</v>
      </c>
      <c r="W127" s="2">
        <v>210.54</v>
      </c>
      <c r="X127" s="2">
        <v>306.20999999999998</v>
      </c>
      <c r="Y127" s="2">
        <v>176.39</v>
      </c>
      <c r="Z127" s="2">
        <v>144.44</v>
      </c>
      <c r="AA127" s="2">
        <v>32.130000000000003</v>
      </c>
      <c r="AB127" s="2">
        <v>82.08</v>
      </c>
      <c r="AC127" s="2">
        <v>290.52</v>
      </c>
      <c r="AD127" s="2">
        <v>210.68</v>
      </c>
      <c r="AE127" s="2">
        <v>225.5</v>
      </c>
      <c r="AF127" s="2">
        <v>175.1</v>
      </c>
      <c r="AG127" s="2">
        <v>169.44</v>
      </c>
      <c r="AH127" s="2">
        <v>138.5</v>
      </c>
      <c r="AI127" s="2">
        <v>114.58</v>
      </c>
      <c r="AJ127" s="2">
        <v>69.14</v>
      </c>
      <c r="AM127" s="1" t="s">
        <v>25</v>
      </c>
      <c r="AN127" s="2">
        <v>716.88</v>
      </c>
      <c r="AO127" s="2">
        <v>789.96</v>
      </c>
      <c r="AP127" s="2">
        <v>884.62</v>
      </c>
      <c r="AQ127" s="2">
        <v>1245.58</v>
      </c>
      <c r="AR127" s="2">
        <v>667.93</v>
      </c>
      <c r="AS127" s="2">
        <v>535.30999999999995</v>
      </c>
      <c r="AT127" s="2">
        <v>289.17</v>
      </c>
      <c r="AU127" s="2">
        <v>152.63999999999999</v>
      </c>
      <c r="AV127" s="2">
        <v>800.28</v>
      </c>
      <c r="AW127" s="2">
        <v>853.57</v>
      </c>
      <c r="AX127" s="2">
        <v>869.31</v>
      </c>
      <c r="AY127" s="2">
        <v>725.78</v>
      </c>
      <c r="AZ127" s="2">
        <v>632.85</v>
      </c>
      <c r="BA127" s="2">
        <v>508.9</v>
      </c>
      <c r="BB127" s="2">
        <v>415.74</v>
      </c>
      <c r="BC127" s="2">
        <v>155.80000000000001</v>
      </c>
      <c r="BF127" s="1" t="s">
        <v>25</v>
      </c>
      <c r="BG127" s="2">
        <v>221.57</v>
      </c>
      <c r="BH127" s="2">
        <v>234.9</v>
      </c>
      <c r="BI127" s="2">
        <v>304.11</v>
      </c>
      <c r="BJ127" s="2">
        <v>355.04</v>
      </c>
      <c r="BK127" s="2">
        <v>274.11</v>
      </c>
      <c r="BL127" s="2">
        <v>228.9</v>
      </c>
      <c r="BM127" s="2">
        <v>717.2</v>
      </c>
      <c r="BN127" s="2">
        <v>487.4</v>
      </c>
      <c r="BO127" s="2">
        <v>1302.27</v>
      </c>
      <c r="BP127" s="2">
        <v>1685.43</v>
      </c>
      <c r="BQ127" s="2">
        <v>1600.47</v>
      </c>
      <c r="BR127" s="2">
        <v>2056.9299999999998</v>
      </c>
      <c r="BS127" s="2">
        <v>336256.68</v>
      </c>
      <c r="BT127" s="2">
        <v>5706.22</v>
      </c>
      <c r="BU127" s="2">
        <v>211.09</v>
      </c>
      <c r="BV127" s="2">
        <v>231.53</v>
      </c>
    </row>
    <row r="128" spans="2:74" x14ac:dyDescent="0.3">
      <c r="T128" s="1" t="s">
        <v>26</v>
      </c>
      <c r="U128" s="2">
        <v>88.98</v>
      </c>
      <c r="V128" s="2">
        <v>87.59</v>
      </c>
      <c r="W128" s="2">
        <v>74.290000000000006</v>
      </c>
      <c r="X128" s="2">
        <v>70.040000000000006</v>
      </c>
      <c r="Y128" s="2">
        <v>71.44</v>
      </c>
      <c r="Z128" s="2">
        <v>71.44</v>
      </c>
      <c r="AA128" s="2">
        <v>21.27</v>
      </c>
      <c r="AB128" s="2">
        <v>36.659999999999997</v>
      </c>
      <c r="AC128" s="2">
        <v>70.09</v>
      </c>
      <c r="AD128" s="2">
        <v>61.97</v>
      </c>
      <c r="AE128" s="2">
        <v>71.040000000000006</v>
      </c>
      <c r="AF128" s="2">
        <v>25.31</v>
      </c>
      <c r="AG128" s="2">
        <v>50.38</v>
      </c>
      <c r="AH128" s="2">
        <v>50.39</v>
      </c>
      <c r="AI128" s="2">
        <v>22.99</v>
      </c>
      <c r="AJ128" s="2">
        <v>19.95</v>
      </c>
      <c r="AM128" s="1" t="s">
        <v>26</v>
      </c>
      <c r="AN128" s="2">
        <v>352.38</v>
      </c>
      <c r="AO128" s="2">
        <v>345.16</v>
      </c>
      <c r="AP128" s="2">
        <v>281.87</v>
      </c>
      <c r="AQ128" s="2">
        <v>265.57</v>
      </c>
      <c r="AR128" s="2">
        <v>258.5</v>
      </c>
      <c r="AS128" s="2">
        <v>258.5</v>
      </c>
      <c r="AT128" s="2">
        <v>65.040000000000006</v>
      </c>
      <c r="AU128" s="2">
        <v>132.30000000000001</v>
      </c>
      <c r="AV128" s="2">
        <v>267.58999999999997</v>
      </c>
      <c r="AW128" s="2">
        <v>235.78</v>
      </c>
      <c r="AX128" s="2">
        <v>264.95999999999998</v>
      </c>
      <c r="AY128" s="2">
        <v>94.48</v>
      </c>
      <c r="AZ128" s="2">
        <v>182.06</v>
      </c>
      <c r="BA128" s="2">
        <v>182.05</v>
      </c>
      <c r="BB128" s="2">
        <v>70.88</v>
      </c>
      <c r="BC128" s="2">
        <v>72.03</v>
      </c>
      <c r="BF128" s="1" t="s">
        <v>26</v>
      </c>
      <c r="BG128" s="2">
        <v>853.62</v>
      </c>
      <c r="BH128" s="2">
        <v>746.81</v>
      </c>
      <c r="BI128" s="2">
        <v>678.04</v>
      </c>
      <c r="BJ128" s="2">
        <v>8020.12</v>
      </c>
      <c r="BK128" s="2">
        <v>391</v>
      </c>
      <c r="BL128" s="2">
        <v>384.14</v>
      </c>
      <c r="BM128" s="2">
        <v>1495.84</v>
      </c>
      <c r="BN128" s="2">
        <v>1796.52</v>
      </c>
      <c r="BO128" s="2">
        <v>986.87</v>
      </c>
      <c r="BP128" s="2">
        <v>951.35</v>
      </c>
      <c r="BQ128" s="2">
        <v>986.87</v>
      </c>
      <c r="BR128" s="2">
        <v>951.35</v>
      </c>
      <c r="BS128" s="2">
        <v>20351.87</v>
      </c>
      <c r="BT128" s="2">
        <v>11475.9</v>
      </c>
      <c r="BU128" s="2">
        <v>360.33</v>
      </c>
      <c r="BV128" s="2">
        <v>338.57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25.86</v>
      </c>
      <c r="V135" s="2">
        <v>32.43</v>
      </c>
      <c r="W135" s="2">
        <v>23.76</v>
      </c>
      <c r="X135" s="2">
        <v>22.35</v>
      </c>
      <c r="Y135" s="2">
        <v>15.05</v>
      </c>
      <c r="Z135" s="2">
        <v>15.44</v>
      </c>
      <c r="AA135" s="2">
        <v>10.36</v>
      </c>
      <c r="AB135" s="2">
        <v>13.87</v>
      </c>
      <c r="AC135" s="2">
        <v>17.72</v>
      </c>
      <c r="AD135" s="2">
        <v>15.08</v>
      </c>
      <c r="AE135" s="2">
        <v>17.72</v>
      </c>
      <c r="AF135" s="2">
        <v>14.62</v>
      </c>
      <c r="AG135" s="2">
        <v>6.2</v>
      </c>
      <c r="AH135" s="2">
        <v>5.77</v>
      </c>
      <c r="AI135" s="2">
        <v>123.34</v>
      </c>
      <c r="AJ135" s="2">
        <v>152.04</v>
      </c>
      <c r="AM135" s="1" t="s">
        <v>19</v>
      </c>
      <c r="AN135" s="2">
        <v>285.64</v>
      </c>
      <c r="AO135" s="2">
        <v>295.87</v>
      </c>
      <c r="AP135" s="2">
        <v>363.34</v>
      </c>
      <c r="AQ135" s="2">
        <v>415.15</v>
      </c>
      <c r="AR135" s="2">
        <v>239.05</v>
      </c>
      <c r="AS135" s="2">
        <v>238.66</v>
      </c>
      <c r="AT135" s="2">
        <v>193.34</v>
      </c>
      <c r="AU135" s="2">
        <v>257.73</v>
      </c>
      <c r="AV135" s="2">
        <v>330.18</v>
      </c>
      <c r="AW135" s="2">
        <v>281.02</v>
      </c>
      <c r="AX135" s="2">
        <v>330.18</v>
      </c>
      <c r="AY135" s="2">
        <v>272.38</v>
      </c>
      <c r="AZ135" s="2">
        <v>115.6</v>
      </c>
      <c r="BA135" s="2">
        <v>107.63</v>
      </c>
      <c r="BB135" s="2">
        <v>334.46</v>
      </c>
      <c r="BC135" s="2">
        <v>410.06</v>
      </c>
    </row>
    <row r="136" spans="20:55" x14ac:dyDescent="0.3">
      <c r="T136" s="1" t="s">
        <v>20</v>
      </c>
      <c r="U136" s="2">
        <v>29.83</v>
      </c>
      <c r="V136" s="2">
        <v>24.19</v>
      </c>
      <c r="W136" s="2">
        <v>34.729999999999997</v>
      </c>
      <c r="X136" s="2">
        <v>22.48</v>
      </c>
      <c r="Y136" s="2">
        <v>24.01</v>
      </c>
      <c r="Z136" s="2">
        <v>22.39</v>
      </c>
      <c r="AA136" s="2">
        <v>21.85</v>
      </c>
      <c r="AB136" s="2">
        <v>21.38</v>
      </c>
      <c r="AC136" s="2">
        <v>22.87</v>
      </c>
      <c r="AD136" s="2">
        <v>29.29</v>
      </c>
      <c r="AE136" s="2">
        <v>22.87</v>
      </c>
      <c r="AF136" s="2">
        <v>28.87</v>
      </c>
      <c r="AG136" s="2">
        <v>21.18</v>
      </c>
      <c r="AH136" s="2">
        <v>17.28</v>
      </c>
      <c r="AI136" s="2">
        <v>32.840000000000003</v>
      </c>
      <c r="AJ136" s="2">
        <v>36.65</v>
      </c>
      <c r="AM136" s="1" t="s">
        <v>20</v>
      </c>
      <c r="AN136" s="2">
        <v>139.71</v>
      </c>
      <c r="AO136" s="2">
        <v>118.91</v>
      </c>
      <c r="AP136" s="2">
        <v>182.87</v>
      </c>
      <c r="AQ136" s="2">
        <v>94.38</v>
      </c>
      <c r="AR136" s="2">
        <v>124.99</v>
      </c>
      <c r="AS136" s="2">
        <v>108.41</v>
      </c>
      <c r="AT136" s="2">
        <v>108.26</v>
      </c>
      <c r="AU136" s="2">
        <v>103.42</v>
      </c>
      <c r="AV136" s="2">
        <v>107.63</v>
      </c>
      <c r="AW136" s="2">
        <v>139.81</v>
      </c>
      <c r="AX136" s="2">
        <v>107.63</v>
      </c>
      <c r="AY136" s="2">
        <v>137.72999999999999</v>
      </c>
      <c r="AZ136" s="2">
        <v>99.42</v>
      </c>
      <c r="BA136" s="2">
        <v>80.92</v>
      </c>
      <c r="BB136" s="2">
        <v>148.16999999999999</v>
      </c>
      <c r="BC136" s="2">
        <v>154.53</v>
      </c>
    </row>
    <row r="137" spans="20:55" x14ac:dyDescent="0.3">
      <c r="T137" s="1" t="s">
        <v>21</v>
      </c>
      <c r="U137" s="2">
        <v>178.07</v>
      </c>
      <c r="V137" s="2">
        <v>96.85</v>
      </c>
      <c r="W137" s="2">
        <v>156.68</v>
      </c>
      <c r="X137" s="2">
        <v>185.96</v>
      </c>
      <c r="Y137" s="2">
        <v>159.38</v>
      </c>
      <c r="Z137" s="2">
        <v>147.32</v>
      </c>
      <c r="AA137" s="2">
        <v>133.88999999999999</v>
      </c>
      <c r="AB137" s="2">
        <v>152.9</v>
      </c>
      <c r="AC137" s="2">
        <v>95.2</v>
      </c>
      <c r="AD137" s="2">
        <v>110.62</v>
      </c>
      <c r="AE137" s="2">
        <v>79.069999999999993</v>
      </c>
      <c r="AF137" s="2">
        <v>91.27</v>
      </c>
      <c r="AG137" s="2">
        <v>75.680000000000007</v>
      </c>
      <c r="AH137" s="2">
        <v>33.04</v>
      </c>
      <c r="AI137" s="2">
        <v>118</v>
      </c>
      <c r="AJ137" s="2">
        <v>192.16</v>
      </c>
      <c r="AM137" s="1" t="s">
        <v>21</v>
      </c>
      <c r="AN137" s="2">
        <v>679.64</v>
      </c>
      <c r="AO137" s="2">
        <v>367.87</v>
      </c>
      <c r="AP137" s="2">
        <v>842.32</v>
      </c>
      <c r="AQ137" s="2">
        <v>390.15</v>
      </c>
      <c r="AR137" s="2">
        <v>698.03</v>
      </c>
      <c r="AS137" s="2">
        <v>745.47</v>
      </c>
      <c r="AT137" s="2">
        <v>744.62</v>
      </c>
      <c r="AU137" s="2">
        <v>768.81</v>
      </c>
      <c r="AV137" s="2">
        <v>450.66</v>
      </c>
      <c r="AW137" s="2">
        <v>526.65</v>
      </c>
      <c r="AX137" s="2">
        <v>372.13</v>
      </c>
      <c r="AY137" s="2">
        <v>430.73</v>
      </c>
      <c r="AZ137" s="2">
        <v>354.82</v>
      </c>
      <c r="BA137" s="2">
        <v>280.16000000000003</v>
      </c>
      <c r="BB137" s="2">
        <v>426.5</v>
      </c>
      <c r="BC137" s="2">
        <v>437.54</v>
      </c>
    </row>
    <row r="138" spans="20:55" x14ac:dyDescent="0.3">
      <c r="T138" s="1" t="s">
        <v>22</v>
      </c>
      <c r="U138" s="2">
        <v>46.85</v>
      </c>
      <c r="V138" s="2">
        <v>23.42</v>
      </c>
      <c r="W138" s="2">
        <v>54.29</v>
      </c>
      <c r="X138" s="2">
        <v>57.36</v>
      </c>
      <c r="Y138" s="2">
        <v>45.81</v>
      </c>
      <c r="Z138" s="2">
        <v>51.44</v>
      </c>
      <c r="AA138" s="2">
        <v>56.79</v>
      </c>
      <c r="AB138" s="2">
        <v>37.15</v>
      </c>
      <c r="AC138" s="2">
        <v>37.06</v>
      </c>
      <c r="AD138" s="2">
        <v>13.3</v>
      </c>
      <c r="AE138" s="2">
        <v>29.85</v>
      </c>
      <c r="AF138" s="2">
        <v>22.18</v>
      </c>
      <c r="AG138" s="2">
        <v>17.29</v>
      </c>
      <c r="AH138" s="2">
        <v>17.29</v>
      </c>
      <c r="AI138" s="2">
        <v>41.22</v>
      </c>
      <c r="AJ138" s="2">
        <v>41.46</v>
      </c>
      <c r="AM138" s="1" t="s">
        <v>22</v>
      </c>
      <c r="AN138" s="2">
        <v>198.18</v>
      </c>
      <c r="AO138" s="2">
        <v>114.81</v>
      </c>
      <c r="AP138" s="2">
        <v>284.81</v>
      </c>
      <c r="AQ138" s="2">
        <v>239.41</v>
      </c>
      <c r="AR138" s="2">
        <v>239.16</v>
      </c>
      <c r="AS138" s="2">
        <v>257.45999999999998</v>
      </c>
      <c r="AT138" s="2">
        <v>290.91000000000003</v>
      </c>
      <c r="AU138" s="2">
        <v>183.35</v>
      </c>
      <c r="AV138" s="2">
        <v>175.55</v>
      </c>
      <c r="AW138" s="2">
        <v>119.7</v>
      </c>
      <c r="AX138" s="2">
        <v>140.44999999999999</v>
      </c>
      <c r="AY138" s="2">
        <v>110.82</v>
      </c>
      <c r="AZ138" s="2">
        <v>80.92</v>
      </c>
      <c r="BA138" s="2">
        <v>80.91</v>
      </c>
      <c r="BB138" s="2">
        <v>149.75</v>
      </c>
      <c r="BC138" s="2">
        <v>151.88</v>
      </c>
    </row>
    <row r="139" spans="20:55" x14ac:dyDescent="0.3">
      <c r="T139" s="1" t="s">
        <v>23</v>
      </c>
      <c r="U139" s="2">
        <v>144.41</v>
      </c>
      <c r="V139" s="2">
        <v>152.13999999999999</v>
      </c>
      <c r="W139" s="2">
        <v>219.54</v>
      </c>
      <c r="X139" s="2">
        <v>222.61</v>
      </c>
      <c r="Y139" s="2">
        <v>152.82</v>
      </c>
      <c r="Z139" s="2">
        <v>177.04</v>
      </c>
      <c r="AA139" s="2">
        <v>146.16</v>
      </c>
      <c r="AB139" s="2">
        <v>167.73</v>
      </c>
      <c r="AC139" s="2">
        <v>160.71</v>
      </c>
      <c r="AD139" s="2">
        <v>174.93</v>
      </c>
      <c r="AE139" s="2">
        <v>157.55000000000001</v>
      </c>
      <c r="AF139" s="2">
        <v>170.65</v>
      </c>
      <c r="AG139" s="2">
        <v>84.05</v>
      </c>
      <c r="AH139" s="2">
        <v>81.83</v>
      </c>
      <c r="AI139" s="2">
        <v>234.78</v>
      </c>
      <c r="AJ139" s="2">
        <v>207.53</v>
      </c>
      <c r="AM139" s="1" t="s">
        <v>23</v>
      </c>
      <c r="AN139" s="2">
        <v>564.47</v>
      </c>
      <c r="AO139" s="2">
        <v>602.37</v>
      </c>
      <c r="AP139" s="2">
        <v>982.96</v>
      </c>
      <c r="AQ139" s="2">
        <v>895.27</v>
      </c>
      <c r="AR139" s="2">
        <v>755.68</v>
      </c>
      <c r="AS139" s="2">
        <v>870.96</v>
      </c>
      <c r="AT139" s="2">
        <v>719.84</v>
      </c>
      <c r="AU139" s="2">
        <v>819.77</v>
      </c>
      <c r="AV139" s="2">
        <v>759.29</v>
      </c>
      <c r="AW139" s="2">
        <v>819.57</v>
      </c>
      <c r="AX139" s="2">
        <v>743.45</v>
      </c>
      <c r="AY139" s="2">
        <v>798.85</v>
      </c>
      <c r="AZ139" s="2">
        <v>388.45</v>
      </c>
      <c r="BA139" s="2">
        <v>378.17</v>
      </c>
      <c r="BB139" s="2">
        <v>917.6</v>
      </c>
      <c r="BC139" s="2">
        <v>826.48</v>
      </c>
    </row>
    <row r="140" spans="20:55" x14ac:dyDescent="0.3">
      <c r="T140" s="1" t="s">
        <v>24</v>
      </c>
      <c r="U140" s="2">
        <v>27.41</v>
      </c>
      <c r="V140" s="2">
        <v>23.48</v>
      </c>
      <c r="W140" s="2">
        <v>38.39</v>
      </c>
      <c r="X140" s="2">
        <v>30.72</v>
      </c>
      <c r="Y140" s="2">
        <v>46.09</v>
      </c>
      <c r="Z140" s="2">
        <v>36.79</v>
      </c>
      <c r="AA140" s="2">
        <v>37.94</v>
      </c>
      <c r="AB140" s="2">
        <v>28.46</v>
      </c>
      <c r="AC140" s="2">
        <v>33.68</v>
      </c>
      <c r="AD140" s="2">
        <v>29.23</v>
      </c>
      <c r="AE140" s="2">
        <v>28.67</v>
      </c>
      <c r="AF140" s="2">
        <v>23.55</v>
      </c>
      <c r="AG140" s="2">
        <v>21.24</v>
      </c>
      <c r="AH140" s="2">
        <v>18.850000000000001</v>
      </c>
      <c r="AI140" s="2">
        <v>28.77</v>
      </c>
      <c r="AJ140" s="2">
        <v>15.86</v>
      </c>
      <c r="AM140" s="1" t="s">
        <v>24</v>
      </c>
      <c r="AN140" s="2">
        <v>107.28</v>
      </c>
      <c r="AO140" s="2">
        <v>88.86</v>
      </c>
      <c r="AP140" s="2">
        <v>157.96</v>
      </c>
      <c r="AQ140" s="2">
        <v>129.18</v>
      </c>
      <c r="AR140" s="2">
        <v>194.28</v>
      </c>
      <c r="AS140" s="2">
        <v>157.6</v>
      </c>
      <c r="AT140" s="2">
        <v>152.26</v>
      </c>
      <c r="AU140" s="2">
        <v>119.91</v>
      </c>
      <c r="AV140" s="2">
        <v>125.43</v>
      </c>
      <c r="AW140" s="2">
        <v>107.48</v>
      </c>
      <c r="AX140" s="2">
        <v>105.53</v>
      </c>
      <c r="AY140" s="2">
        <v>85.85</v>
      </c>
      <c r="AZ140" s="2">
        <v>76.98</v>
      </c>
      <c r="BA140" s="2">
        <v>68.23</v>
      </c>
      <c r="BB140" s="2">
        <v>104.37</v>
      </c>
      <c r="BC140" s="2">
        <v>55.2</v>
      </c>
    </row>
    <row r="141" spans="20:55" x14ac:dyDescent="0.3">
      <c r="T141" s="1" t="s">
        <v>25</v>
      </c>
      <c r="U141" s="2">
        <v>109.43</v>
      </c>
      <c r="V141" s="2">
        <v>121.05</v>
      </c>
      <c r="W141" s="2">
        <v>94.57</v>
      </c>
      <c r="X141" s="2">
        <v>84.27</v>
      </c>
      <c r="Y141" s="2">
        <v>75.19</v>
      </c>
      <c r="Z141" s="2">
        <v>80.540000000000006</v>
      </c>
      <c r="AA141" s="2">
        <v>92.79</v>
      </c>
      <c r="AB141" s="2">
        <v>53.06</v>
      </c>
      <c r="AC141" s="2">
        <v>67.84</v>
      </c>
      <c r="AD141" s="2">
        <v>65.17</v>
      </c>
      <c r="AE141" s="2">
        <v>55.56</v>
      </c>
      <c r="AF141" s="2">
        <v>53.27</v>
      </c>
      <c r="AG141" s="2">
        <v>15.3</v>
      </c>
      <c r="AH141" s="2">
        <v>54.56</v>
      </c>
      <c r="AI141" s="2">
        <v>102.6</v>
      </c>
      <c r="AJ141" s="2">
        <v>86.43</v>
      </c>
      <c r="AM141" s="1" t="s">
        <v>25</v>
      </c>
      <c r="AN141" s="2">
        <v>298.7</v>
      </c>
      <c r="AO141" s="2">
        <v>333.45</v>
      </c>
      <c r="AP141" s="2">
        <v>315.98</v>
      </c>
      <c r="AQ141" s="2">
        <v>341.43</v>
      </c>
      <c r="AR141" s="2">
        <v>315.93</v>
      </c>
      <c r="AS141" s="2">
        <v>310.47000000000003</v>
      </c>
      <c r="AT141" s="2">
        <v>377.45</v>
      </c>
      <c r="AU141" s="2">
        <v>219.93</v>
      </c>
      <c r="AV141" s="2">
        <v>256.89999999999998</v>
      </c>
      <c r="AW141" s="2">
        <v>243.4</v>
      </c>
      <c r="AX141" s="2">
        <v>205.89</v>
      </c>
      <c r="AY141" s="2">
        <v>195.73</v>
      </c>
      <c r="AZ141" s="2">
        <v>137.69999999999999</v>
      </c>
      <c r="BA141" s="2">
        <v>197.97</v>
      </c>
      <c r="BB141" s="2">
        <v>190.8</v>
      </c>
      <c r="BC141" s="2">
        <v>194.75</v>
      </c>
    </row>
    <row r="142" spans="20:55" x14ac:dyDescent="0.3">
      <c r="T142" s="1" t="s">
        <v>26</v>
      </c>
      <c r="U142" s="2">
        <v>37.08</v>
      </c>
      <c r="V142" s="2">
        <v>29.21</v>
      </c>
      <c r="W142" s="2">
        <v>35.04</v>
      </c>
      <c r="X142" s="2">
        <v>24.79</v>
      </c>
      <c r="Y142" s="2">
        <v>26.53</v>
      </c>
      <c r="Z142" s="2">
        <v>25.37</v>
      </c>
      <c r="AA142" s="2">
        <v>21.23</v>
      </c>
      <c r="AB142" s="2">
        <v>7.67</v>
      </c>
      <c r="AC142" s="2">
        <v>27.48</v>
      </c>
      <c r="AD142" s="2">
        <v>19.38</v>
      </c>
      <c r="AE142" s="2">
        <v>27.48</v>
      </c>
      <c r="AF142" s="2">
        <v>19.38</v>
      </c>
      <c r="AG142" s="2">
        <v>10.130000000000001</v>
      </c>
      <c r="AH142" s="2">
        <v>10.95</v>
      </c>
      <c r="AI142" s="2">
        <v>45.83</v>
      </c>
      <c r="AJ142" s="2">
        <v>24.94</v>
      </c>
      <c r="AM142" s="1" t="s">
        <v>26</v>
      </c>
      <c r="AN142" s="2">
        <v>146.82</v>
      </c>
      <c r="AO142" s="2">
        <v>111.49</v>
      </c>
      <c r="AP142" s="2">
        <v>138.06</v>
      </c>
      <c r="AQ142" s="2">
        <v>94.31</v>
      </c>
      <c r="AR142" s="2">
        <v>100.67</v>
      </c>
      <c r="AS142" s="2">
        <v>94.63</v>
      </c>
      <c r="AT142" s="2">
        <v>80.47</v>
      </c>
      <c r="AU142" s="2">
        <v>28.63</v>
      </c>
      <c r="AV142" s="2">
        <v>99.42</v>
      </c>
      <c r="AW142" s="2">
        <v>70.02</v>
      </c>
      <c r="AX142" s="2">
        <v>99.42</v>
      </c>
      <c r="AY142" s="2">
        <v>70.02</v>
      </c>
      <c r="AZ142" s="2">
        <v>30.97</v>
      </c>
      <c r="BA142" s="2">
        <v>33.75</v>
      </c>
      <c r="BB142" s="2">
        <v>165.37</v>
      </c>
      <c r="BC142" s="2">
        <v>90.04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20.239999999999998</v>
      </c>
      <c r="V149" s="2">
        <v>6.6</v>
      </c>
      <c r="W149" s="2">
        <v>9.8699999999999992</v>
      </c>
      <c r="X149" s="2">
        <v>7.17</v>
      </c>
      <c r="Y149" s="2">
        <v>2.3199999999999998</v>
      </c>
      <c r="Z149" s="2">
        <v>2.3199999999999998</v>
      </c>
      <c r="AA149" s="2">
        <v>4.6399999999999997</v>
      </c>
      <c r="AB149" s="2">
        <v>9.36</v>
      </c>
      <c r="AC149" s="2">
        <v>30.43</v>
      </c>
      <c r="AD149" s="2">
        <v>8.58</v>
      </c>
      <c r="AE149" s="2">
        <v>15.84</v>
      </c>
      <c r="AF149" s="2">
        <v>4.25</v>
      </c>
      <c r="AG149" s="2">
        <v>3.43</v>
      </c>
      <c r="AH149" s="2">
        <v>2.3199999999999998</v>
      </c>
      <c r="AI149" s="2">
        <v>3.74</v>
      </c>
      <c r="AJ149" s="2">
        <v>18.559999999999999</v>
      </c>
      <c r="AM149" s="1" t="s">
        <v>19</v>
      </c>
      <c r="AN149" s="2">
        <v>181.36</v>
      </c>
      <c r="AO149" s="2">
        <v>77.400000000000006</v>
      </c>
      <c r="AP149" s="2">
        <v>156.72999999999999</v>
      </c>
      <c r="AQ149" s="2">
        <v>133.74</v>
      </c>
      <c r="AR149" s="2">
        <v>43.18</v>
      </c>
      <c r="AS149" s="2">
        <v>43.18</v>
      </c>
      <c r="AT149" s="2">
        <v>86.5</v>
      </c>
      <c r="AU149" s="2">
        <v>25.36</v>
      </c>
      <c r="AV149" s="2">
        <v>292.13</v>
      </c>
      <c r="AW149" s="2">
        <v>159.41999999999999</v>
      </c>
      <c r="AX149" s="2">
        <v>244.84</v>
      </c>
      <c r="AY149" s="2">
        <v>78.91</v>
      </c>
      <c r="AZ149" s="2">
        <v>63.91</v>
      </c>
      <c r="BA149" s="2">
        <v>43.18</v>
      </c>
      <c r="BB149" s="2">
        <v>69.760000000000005</v>
      </c>
      <c r="BC149" s="2">
        <v>50.32</v>
      </c>
    </row>
    <row r="150" spans="20:55" x14ac:dyDescent="0.3">
      <c r="T150" s="1" t="s">
        <v>20</v>
      </c>
      <c r="U150" s="2">
        <v>37.479999999999997</v>
      </c>
      <c r="V150" s="2">
        <v>35.520000000000003</v>
      </c>
      <c r="W150" s="2">
        <v>51.94</v>
      </c>
      <c r="X150" s="2">
        <v>58.11</v>
      </c>
      <c r="Y150" s="2">
        <v>28.9</v>
      </c>
      <c r="Z150" s="2">
        <v>28.9</v>
      </c>
      <c r="AA150" s="2">
        <v>33.46</v>
      </c>
      <c r="AB150" s="2">
        <v>10.78</v>
      </c>
      <c r="AC150" s="2">
        <v>25.85</v>
      </c>
      <c r="AD150" s="2">
        <v>52.92</v>
      </c>
      <c r="AE150" s="2">
        <v>34.85</v>
      </c>
      <c r="AF150" s="2">
        <v>38.33</v>
      </c>
      <c r="AG150" s="2">
        <v>27.43</v>
      </c>
      <c r="AH150" s="2">
        <v>27.45</v>
      </c>
      <c r="AI150" s="2">
        <v>27.56</v>
      </c>
      <c r="AJ150" s="2">
        <v>27.88</v>
      </c>
      <c r="AM150" s="1" t="s">
        <v>20</v>
      </c>
      <c r="AN150" s="2">
        <v>175.5</v>
      </c>
      <c r="AO150" s="2">
        <v>186.98</v>
      </c>
      <c r="AP150" s="2">
        <v>270.33999999999997</v>
      </c>
      <c r="AQ150" s="2">
        <v>287.88</v>
      </c>
      <c r="AR150" s="2">
        <v>135.94</v>
      </c>
      <c r="AS150" s="2">
        <v>135.94</v>
      </c>
      <c r="AT150" s="2">
        <v>157.01</v>
      </c>
      <c r="AU150" s="2">
        <v>48.61</v>
      </c>
      <c r="AV150" s="2">
        <v>127.03</v>
      </c>
      <c r="AW150" s="2">
        <v>222.22</v>
      </c>
      <c r="AX150" s="2">
        <v>168.71</v>
      </c>
      <c r="AY150" s="2">
        <v>185.41</v>
      </c>
      <c r="AZ150" s="2">
        <v>130.91</v>
      </c>
      <c r="BA150" s="2">
        <v>130.88999999999999</v>
      </c>
      <c r="BB150" s="2">
        <v>129.1</v>
      </c>
      <c r="BC150" s="2">
        <v>117.55</v>
      </c>
    </row>
    <row r="151" spans="20:55" x14ac:dyDescent="0.3">
      <c r="T151" s="1" t="s">
        <v>21</v>
      </c>
      <c r="U151" s="2">
        <v>105.9</v>
      </c>
      <c r="V151" s="2">
        <v>120.34</v>
      </c>
      <c r="W151" s="2">
        <v>195.31</v>
      </c>
      <c r="X151" s="2">
        <v>154.66999999999999</v>
      </c>
      <c r="Y151" s="2">
        <v>68.36</v>
      </c>
      <c r="Z151" s="2">
        <v>57.83</v>
      </c>
      <c r="AA151" s="2">
        <v>97.85</v>
      </c>
      <c r="AB151" s="2">
        <v>28.92</v>
      </c>
      <c r="AC151" s="2">
        <v>80.95</v>
      </c>
      <c r="AD151" s="2">
        <v>279.02999999999997</v>
      </c>
      <c r="AE151" s="2">
        <v>157.02000000000001</v>
      </c>
      <c r="AF151" s="2">
        <v>158.13999999999999</v>
      </c>
      <c r="AG151" s="2">
        <v>81.239999999999995</v>
      </c>
      <c r="AH151" s="2">
        <v>67.8</v>
      </c>
      <c r="AI151" s="2">
        <v>43.22</v>
      </c>
      <c r="AJ151" s="2">
        <v>90.46</v>
      </c>
      <c r="AM151" s="1" t="s">
        <v>21</v>
      </c>
      <c r="AN151" s="2">
        <v>403.72</v>
      </c>
      <c r="AO151" s="2">
        <v>646.16</v>
      </c>
      <c r="AP151" s="2">
        <v>854.38</v>
      </c>
      <c r="AQ151" s="2">
        <v>858.14</v>
      </c>
      <c r="AR151" s="2">
        <v>323.5</v>
      </c>
      <c r="AS151" s="2">
        <v>272.11</v>
      </c>
      <c r="AT151" s="2">
        <v>458.71</v>
      </c>
      <c r="AU151" s="2">
        <v>104.52</v>
      </c>
      <c r="AV151" s="2">
        <v>307.39</v>
      </c>
      <c r="AW151" s="2">
        <v>585.29999999999995</v>
      </c>
      <c r="AX151" s="2">
        <v>793.64</v>
      </c>
      <c r="AY151" s="2">
        <v>794.17</v>
      </c>
      <c r="AZ151" s="2">
        <v>386.56</v>
      </c>
      <c r="BA151" s="2">
        <v>319.86</v>
      </c>
      <c r="BB151" s="2">
        <v>363.76</v>
      </c>
      <c r="BC151" s="2">
        <v>205.94</v>
      </c>
    </row>
    <row r="152" spans="20:55" x14ac:dyDescent="0.3">
      <c r="T152" s="1" t="s">
        <v>22</v>
      </c>
      <c r="U152" s="2">
        <v>31.2</v>
      </c>
      <c r="V152" s="2">
        <v>44.78</v>
      </c>
      <c r="W152" s="2">
        <v>55.88</v>
      </c>
      <c r="X152" s="2">
        <v>58.8</v>
      </c>
      <c r="Y152" s="2">
        <v>27.07</v>
      </c>
      <c r="Z152" s="2">
        <v>21.52</v>
      </c>
      <c r="AA152" s="2">
        <v>27.1</v>
      </c>
      <c r="AB152" s="2">
        <v>10.79</v>
      </c>
      <c r="AC152" s="2">
        <v>21.93</v>
      </c>
      <c r="AD152" s="2">
        <v>75.19</v>
      </c>
      <c r="AE152" s="2">
        <v>67.28</v>
      </c>
      <c r="AF152" s="2">
        <v>58.62</v>
      </c>
      <c r="AG152" s="2">
        <v>12.27</v>
      </c>
      <c r="AH152" s="2">
        <v>20.48</v>
      </c>
      <c r="AI152" s="2">
        <v>27.1</v>
      </c>
      <c r="AJ152" s="2">
        <v>17.329999999999998</v>
      </c>
      <c r="AM152" s="1" t="s">
        <v>22</v>
      </c>
      <c r="AN152" s="2">
        <v>131.91999999999999</v>
      </c>
      <c r="AO152" s="2">
        <v>234.72</v>
      </c>
      <c r="AP152" s="2">
        <v>291.43</v>
      </c>
      <c r="AQ152" s="2">
        <v>300.89999999999998</v>
      </c>
      <c r="AR152" s="2">
        <v>128.16</v>
      </c>
      <c r="AS152" s="2">
        <v>101.2</v>
      </c>
      <c r="AT152" s="2">
        <v>126.84</v>
      </c>
      <c r="AU152" s="2">
        <v>39.18</v>
      </c>
      <c r="AV152" s="2">
        <v>107.51</v>
      </c>
      <c r="AW152" s="2">
        <v>313.68</v>
      </c>
      <c r="AX152" s="2">
        <v>336.48</v>
      </c>
      <c r="AY152" s="2">
        <v>289.2</v>
      </c>
      <c r="AZ152" s="2">
        <v>110.45</v>
      </c>
      <c r="BA152" s="2">
        <v>102.24</v>
      </c>
      <c r="BB152" s="2">
        <v>126.83</v>
      </c>
      <c r="BC152" s="2">
        <v>63.48</v>
      </c>
    </row>
    <row r="153" spans="20:55" x14ac:dyDescent="0.3">
      <c r="T153" s="1" t="s">
        <v>23</v>
      </c>
      <c r="U153" s="2">
        <v>94.58</v>
      </c>
      <c r="V153" s="2">
        <v>178.53</v>
      </c>
      <c r="W153" s="2">
        <v>194.11</v>
      </c>
      <c r="X153" s="2">
        <v>209.18</v>
      </c>
      <c r="Y153" s="2">
        <v>166.49</v>
      </c>
      <c r="Z153" s="2">
        <v>163.93</v>
      </c>
      <c r="AA153" s="2">
        <v>116.18</v>
      </c>
      <c r="AB153" s="2">
        <v>60.92</v>
      </c>
      <c r="AC153" s="2">
        <v>113.81</v>
      </c>
      <c r="AD153" s="2">
        <v>196.29</v>
      </c>
      <c r="AE153" s="2">
        <v>212.24</v>
      </c>
      <c r="AF153" s="2">
        <v>210.54</v>
      </c>
      <c r="AG153" s="2">
        <v>127.86</v>
      </c>
      <c r="AH153" s="2">
        <v>125.2</v>
      </c>
      <c r="AI153" s="2">
        <v>113.76</v>
      </c>
      <c r="AJ153" s="2">
        <v>58.46</v>
      </c>
      <c r="AM153" s="1" t="s">
        <v>23</v>
      </c>
      <c r="AN153" s="2">
        <v>369.61</v>
      </c>
      <c r="AO153" s="2">
        <v>798.97</v>
      </c>
      <c r="AP153" s="2">
        <v>959.49</v>
      </c>
      <c r="AQ153" s="2">
        <v>1029.97</v>
      </c>
      <c r="AR153" s="2">
        <v>786.41</v>
      </c>
      <c r="AS153" s="2">
        <v>773.37</v>
      </c>
      <c r="AT153" s="2">
        <v>536.91999999999996</v>
      </c>
      <c r="AU153" s="2">
        <v>238.08</v>
      </c>
      <c r="AV153" s="2">
        <v>450.5</v>
      </c>
      <c r="AW153" s="2">
        <v>789.08</v>
      </c>
      <c r="AX153" s="2">
        <v>1043.56</v>
      </c>
      <c r="AY153" s="2">
        <v>1028.6099999999999</v>
      </c>
      <c r="AZ153" s="2">
        <v>598.84</v>
      </c>
      <c r="BA153" s="2">
        <v>585.9</v>
      </c>
      <c r="BB153" s="2">
        <v>525.69000000000005</v>
      </c>
      <c r="BC153" s="2">
        <v>232.8</v>
      </c>
    </row>
    <row r="154" spans="20:55" x14ac:dyDescent="0.3">
      <c r="T154" s="1" t="s">
        <v>24</v>
      </c>
      <c r="U154" s="2">
        <v>22.12</v>
      </c>
      <c r="V154" s="2">
        <v>33.619999999999997</v>
      </c>
      <c r="W154" s="2">
        <v>39.08</v>
      </c>
      <c r="X154" s="2">
        <v>32.729999999999997</v>
      </c>
      <c r="Y154" s="2">
        <v>28.08</v>
      </c>
      <c r="Z154" s="2">
        <v>24.16</v>
      </c>
      <c r="AA154" s="2">
        <v>18.62</v>
      </c>
      <c r="AB154" s="2">
        <v>7.91</v>
      </c>
      <c r="AC154" s="2">
        <v>7.6</v>
      </c>
      <c r="AD154" s="2">
        <v>42.76</v>
      </c>
      <c r="AE154" s="2">
        <v>21.99</v>
      </c>
      <c r="AF154" s="2">
        <v>42.4</v>
      </c>
      <c r="AG154" s="2">
        <v>17.96</v>
      </c>
      <c r="AH154" s="2">
        <v>14.61</v>
      </c>
      <c r="AI154" s="2">
        <v>16.97</v>
      </c>
      <c r="AJ154" s="2">
        <v>7.08</v>
      </c>
      <c r="AM154" s="1" t="s">
        <v>24</v>
      </c>
      <c r="AN154" s="2">
        <v>86.56</v>
      </c>
      <c r="AO154" s="2">
        <v>138.24</v>
      </c>
      <c r="AP154" s="2">
        <v>164.55</v>
      </c>
      <c r="AQ154" s="2">
        <v>131.28</v>
      </c>
      <c r="AR154" s="2">
        <v>104.53</v>
      </c>
      <c r="AS154" s="2">
        <v>88.94</v>
      </c>
      <c r="AT154" s="2">
        <v>67.489999999999995</v>
      </c>
      <c r="AU154" s="2">
        <v>28.71</v>
      </c>
      <c r="AV154" s="2">
        <v>28.75</v>
      </c>
      <c r="AW154" s="2">
        <v>179.74</v>
      </c>
      <c r="AX154" s="2">
        <v>94.07</v>
      </c>
      <c r="AY154" s="2">
        <v>178.55</v>
      </c>
      <c r="AZ154" s="2">
        <v>66.03</v>
      </c>
      <c r="BA154" s="2">
        <v>53.25</v>
      </c>
      <c r="BB154" s="2">
        <v>61.43</v>
      </c>
      <c r="BC154" s="2">
        <v>24.64</v>
      </c>
    </row>
    <row r="155" spans="20:55" x14ac:dyDescent="0.3">
      <c r="T155" s="1" t="s">
        <v>25</v>
      </c>
      <c r="U155" s="2">
        <v>57.66</v>
      </c>
      <c r="V155" s="2">
        <v>35.770000000000003</v>
      </c>
      <c r="W155" s="2">
        <v>49.09</v>
      </c>
      <c r="X155" s="2">
        <v>60.32</v>
      </c>
      <c r="Y155" s="2">
        <v>38.520000000000003</v>
      </c>
      <c r="Z155" s="2">
        <v>30.89</v>
      </c>
      <c r="AA155" s="2">
        <v>3.91</v>
      </c>
      <c r="AB155" s="2">
        <v>11.18</v>
      </c>
      <c r="AC155" s="2">
        <v>55.43</v>
      </c>
      <c r="AD155" s="2">
        <v>50.06</v>
      </c>
      <c r="AE155" s="2">
        <v>48.26</v>
      </c>
      <c r="AF155" s="2">
        <v>58.39</v>
      </c>
      <c r="AG155" s="2">
        <v>63.59</v>
      </c>
      <c r="AH155" s="2">
        <v>51.09</v>
      </c>
      <c r="AI155" s="2">
        <v>14.97</v>
      </c>
      <c r="AJ155" s="2">
        <v>16.8</v>
      </c>
      <c r="AM155" s="1" t="s">
        <v>25</v>
      </c>
      <c r="AN155" s="2">
        <v>157.34</v>
      </c>
      <c r="AO155" s="2">
        <v>119.48</v>
      </c>
      <c r="AP155" s="2">
        <v>206.11</v>
      </c>
      <c r="AQ155" s="2">
        <v>245.21</v>
      </c>
      <c r="AR155" s="2">
        <v>145.81</v>
      </c>
      <c r="AS155" s="2">
        <v>114.44</v>
      </c>
      <c r="AT155" s="2">
        <v>35.15</v>
      </c>
      <c r="AU155" s="2">
        <v>20.79</v>
      </c>
      <c r="AV155" s="2">
        <v>152.65</v>
      </c>
      <c r="AW155" s="2">
        <v>202.69</v>
      </c>
      <c r="AX155" s="2">
        <v>185.96</v>
      </c>
      <c r="AY155" s="2">
        <v>241.91</v>
      </c>
      <c r="AZ155" s="2">
        <v>237.47</v>
      </c>
      <c r="BA155" s="2">
        <v>187.68</v>
      </c>
      <c r="BB155" s="2">
        <v>54.3</v>
      </c>
      <c r="BC155" s="2">
        <v>37.85</v>
      </c>
    </row>
    <row r="156" spans="20:55" x14ac:dyDescent="0.3">
      <c r="T156" s="1" t="s">
        <v>26</v>
      </c>
      <c r="U156" s="2">
        <v>8.7100000000000009</v>
      </c>
      <c r="V156" s="2">
        <v>9.11</v>
      </c>
      <c r="W156" s="2">
        <v>14.89</v>
      </c>
      <c r="X156" s="2">
        <v>2.48</v>
      </c>
      <c r="Y156" s="2">
        <v>2.0299999999999998</v>
      </c>
      <c r="Z156" s="2">
        <v>2.0299999999999998</v>
      </c>
      <c r="AA156" s="2">
        <v>0</v>
      </c>
      <c r="AB156" s="2">
        <v>3.85</v>
      </c>
      <c r="AC156" s="2">
        <v>16.14</v>
      </c>
      <c r="AD156" s="2">
        <v>16.86</v>
      </c>
      <c r="AE156" s="2">
        <v>25.75</v>
      </c>
      <c r="AF156" s="2">
        <v>2.5099999999999998</v>
      </c>
      <c r="AG156" s="2">
        <v>2.0299999999999998</v>
      </c>
      <c r="AH156" s="2">
        <v>2.0299999999999998</v>
      </c>
      <c r="AI156" s="2">
        <v>0</v>
      </c>
      <c r="AJ156" s="2">
        <v>5.09</v>
      </c>
      <c r="AM156" s="1" t="s">
        <v>26</v>
      </c>
      <c r="AN156" s="2">
        <v>34.49</v>
      </c>
      <c r="AO156" s="2">
        <v>35.89</v>
      </c>
      <c r="AP156" s="2">
        <v>56.51</v>
      </c>
      <c r="AQ156" s="2">
        <v>9.4</v>
      </c>
      <c r="AR156" s="2">
        <v>7.33</v>
      </c>
      <c r="AS156" s="2">
        <v>7.33</v>
      </c>
      <c r="AT156" s="2">
        <v>0</v>
      </c>
      <c r="AU156" s="2">
        <v>13.91</v>
      </c>
      <c r="AV156" s="2">
        <v>61.62</v>
      </c>
      <c r="AW156" s="2">
        <v>64.14</v>
      </c>
      <c r="AX156" s="2">
        <v>96.05</v>
      </c>
      <c r="AY156" s="2">
        <v>9.3699999999999992</v>
      </c>
      <c r="AZ156" s="2">
        <v>7.33</v>
      </c>
      <c r="BA156" s="2">
        <v>7.33</v>
      </c>
      <c r="BB156" s="2">
        <v>0</v>
      </c>
      <c r="BC156" s="2">
        <v>18.38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8.44</v>
      </c>
      <c r="V163" s="2">
        <v>12.68</v>
      </c>
      <c r="W163" s="2">
        <v>2.64</v>
      </c>
      <c r="X163" s="2">
        <v>3.43</v>
      </c>
      <c r="Y163" s="2">
        <v>3.53</v>
      </c>
      <c r="Z163" s="2">
        <v>5.66</v>
      </c>
      <c r="AA163" s="2">
        <v>2.17</v>
      </c>
      <c r="AB163" s="2">
        <v>1.29</v>
      </c>
      <c r="AC163" s="2">
        <v>0.89</v>
      </c>
      <c r="AD163" s="2">
        <v>1.32</v>
      </c>
      <c r="AE163" s="2">
        <v>0.89</v>
      </c>
      <c r="AF163" s="2">
        <v>0.89</v>
      </c>
      <c r="AG163" s="2">
        <v>2.21</v>
      </c>
      <c r="AH163" s="2">
        <v>1.78</v>
      </c>
      <c r="AI163" s="2">
        <v>11.7</v>
      </c>
      <c r="AJ163" s="2">
        <v>23.2</v>
      </c>
      <c r="AM163" s="1" t="s">
        <v>19</v>
      </c>
      <c r="AN163" s="2">
        <v>75.56</v>
      </c>
      <c r="AO163" s="2">
        <v>121.72</v>
      </c>
      <c r="AP163" s="2">
        <v>30.96</v>
      </c>
      <c r="AQ163" s="2">
        <v>63.77</v>
      </c>
      <c r="AR163" s="2">
        <v>55.97</v>
      </c>
      <c r="AS163" s="2">
        <v>87.44</v>
      </c>
      <c r="AT163" s="2">
        <v>40.53</v>
      </c>
      <c r="AU163" s="2">
        <v>23.91</v>
      </c>
      <c r="AV163" s="2">
        <v>16.61</v>
      </c>
      <c r="AW163" s="2">
        <v>24.58</v>
      </c>
      <c r="AX163" s="2">
        <v>16.61</v>
      </c>
      <c r="AY163" s="2">
        <v>16.61</v>
      </c>
      <c r="AZ163" s="2">
        <v>41.19</v>
      </c>
      <c r="BA163" s="2">
        <v>33.22</v>
      </c>
      <c r="BB163" s="2">
        <v>31.7</v>
      </c>
      <c r="BC163" s="2">
        <v>62.9</v>
      </c>
    </row>
    <row r="164" spans="20:55" x14ac:dyDescent="0.3">
      <c r="T164" s="1" t="s">
        <v>20</v>
      </c>
      <c r="U164" s="2">
        <v>15.62</v>
      </c>
      <c r="V164" s="2">
        <v>10.77</v>
      </c>
      <c r="W164" s="2">
        <v>14.21</v>
      </c>
      <c r="X164" s="2">
        <v>21.17</v>
      </c>
      <c r="Y164" s="2">
        <v>18.55</v>
      </c>
      <c r="Z164" s="2">
        <v>12.45</v>
      </c>
      <c r="AA164" s="2">
        <v>17.61</v>
      </c>
      <c r="AB164" s="2">
        <v>11.62</v>
      </c>
      <c r="AC164" s="2">
        <v>11.11</v>
      </c>
      <c r="AD164" s="2">
        <v>10.55</v>
      </c>
      <c r="AE164" s="2">
        <v>11.11</v>
      </c>
      <c r="AF164" s="2">
        <v>10.56</v>
      </c>
      <c r="AG164" s="2">
        <v>15.93</v>
      </c>
      <c r="AH164" s="2">
        <v>13.12</v>
      </c>
      <c r="AI164" s="2">
        <v>13.47</v>
      </c>
      <c r="AJ164" s="2">
        <v>34.85</v>
      </c>
      <c r="AM164" s="1" t="s">
        <v>20</v>
      </c>
      <c r="AN164" s="2">
        <v>73.13</v>
      </c>
      <c r="AO164" s="2">
        <v>52.93</v>
      </c>
      <c r="AP164" s="2">
        <v>74.790000000000006</v>
      </c>
      <c r="AQ164" s="2">
        <v>88.89</v>
      </c>
      <c r="AR164" s="2">
        <v>96.55</v>
      </c>
      <c r="AS164" s="2">
        <v>60.25</v>
      </c>
      <c r="AT164" s="2">
        <v>87.24</v>
      </c>
      <c r="AU164" s="2">
        <v>56.18</v>
      </c>
      <c r="AV164" s="2">
        <v>52.29</v>
      </c>
      <c r="AW164" s="2">
        <v>50.35</v>
      </c>
      <c r="AX164" s="2">
        <v>52.29</v>
      </c>
      <c r="AY164" s="2">
        <v>50.34</v>
      </c>
      <c r="AZ164" s="2">
        <v>74.77</v>
      </c>
      <c r="BA164" s="2">
        <v>61.48</v>
      </c>
      <c r="BB164" s="2">
        <v>60.77</v>
      </c>
      <c r="BC164" s="2">
        <v>146.93</v>
      </c>
    </row>
    <row r="165" spans="20:55" x14ac:dyDescent="0.3">
      <c r="T165" s="1" t="s">
        <v>21</v>
      </c>
      <c r="U165" s="2">
        <v>44.13</v>
      </c>
      <c r="V165" s="2">
        <v>33.729999999999997</v>
      </c>
      <c r="W165" s="2">
        <v>48.14</v>
      </c>
      <c r="X165" s="2">
        <v>111.61</v>
      </c>
      <c r="Y165" s="2">
        <v>69.75</v>
      </c>
      <c r="Z165" s="2">
        <v>56.08</v>
      </c>
      <c r="AA165" s="2">
        <v>46.87</v>
      </c>
      <c r="AB165" s="2">
        <v>47.92</v>
      </c>
      <c r="AC165" s="2">
        <v>26.29</v>
      </c>
      <c r="AD165" s="2">
        <v>31.24</v>
      </c>
      <c r="AE165" s="2">
        <v>22.24</v>
      </c>
      <c r="AF165" s="2">
        <v>26.08</v>
      </c>
      <c r="AG165" s="2">
        <v>46.59</v>
      </c>
      <c r="AH165" s="2">
        <v>20.58</v>
      </c>
      <c r="AI165" s="2">
        <v>36.15</v>
      </c>
      <c r="AJ165" s="2">
        <v>113.07</v>
      </c>
      <c r="AM165" s="1" t="s">
        <v>21</v>
      </c>
      <c r="AN165" s="2">
        <v>168.22</v>
      </c>
      <c r="AO165" s="2">
        <v>128.08000000000001</v>
      </c>
      <c r="AP165" s="2">
        <v>258.45999999999998</v>
      </c>
      <c r="AQ165" s="2">
        <v>234.12</v>
      </c>
      <c r="AR165" s="2">
        <v>305.14</v>
      </c>
      <c r="AS165" s="2">
        <v>283.44</v>
      </c>
      <c r="AT165" s="2">
        <v>260.04000000000002</v>
      </c>
      <c r="AU165" s="2">
        <v>240.66</v>
      </c>
      <c r="AV165" s="2">
        <v>124.42</v>
      </c>
      <c r="AW165" s="2">
        <v>148.68</v>
      </c>
      <c r="AX165" s="2">
        <v>104.66</v>
      </c>
      <c r="AY165" s="2">
        <v>123.02</v>
      </c>
      <c r="AZ165" s="2">
        <v>218.43</v>
      </c>
      <c r="BA165" s="2">
        <v>173.22</v>
      </c>
      <c r="BB165" s="2">
        <v>130.65</v>
      </c>
      <c r="BC165" s="2">
        <v>257.43</v>
      </c>
    </row>
    <row r="166" spans="20:55" x14ac:dyDescent="0.3">
      <c r="T166" s="1" t="s">
        <v>22</v>
      </c>
      <c r="U166" s="2">
        <v>13</v>
      </c>
      <c r="V166" s="2">
        <v>9.14</v>
      </c>
      <c r="W166" s="2">
        <v>17.91</v>
      </c>
      <c r="X166" s="2">
        <v>30.08</v>
      </c>
      <c r="Y166" s="2">
        <v>19.96</v>
      </c>
      <c r="Z166" s="2">
        <v>24.03</v>
      </c>
      <c r="AA166" s="2">
        <v>17.82</v>
      </c>
      <c r="AB166" s="2">
        <v>17.77</v>
      </c>
      <c r="AC166" s="2">
        <v>10.41</v>
      </c>
      <c r="AD166" s="2">
        <v>4.72</v>
      </c>
      <c r="AE166" s="2">
        <v>8.2799999999999994</v>
      </c>
      <c r="AF166" s="2">
        <v>7.88</v>
      </c>
      <c r="AG166" s="2">
        <v>12.9</v>
      </c>
      <c r="AH166" s="2">
        <v>12.9</v>
      </c>
      <c r="AI166" s="2">
        <v>13.48</v>
      </c>
      <c r="AJ166" s="2">
        <v>21.66</v>
      </c>
      <c r="AM166" s="1" t="s">
        <v>22</v>
      </c>
      <c r="AN166" s="2">
        <v>54.97</v>
      </c>
      <c r="AO166" s="2">
        <v>44.8</v>
      </c>
      <c r="AP166" s="2">
        <v>93.89</v>
      </c>
      <c r="AQ166" s="2">
        <v>125.47</v>
      </c>
      <c r="AR166" s="2">
        <v>104.08</v>
      </c>
      <c r="AS166" s="2">
        <v>120.17</v>
      </c>
      <c r="AT166" s="2">
        <v>91.18</v>
      </c>
      <c r="AU166" s="2">
        <v>87.63</v>
      </c>
      <c r="AV166" s="2">
        <v>49.29</v>
      </c>
      <c r="AW166" s="2">
        <v>42.48</v>
      </c>
      <c r="AX166" s="2">
        <v>38.92</v>
      </c>
      <c r="AY166" s="2">
        <v>39.32</v>
      </c>
      <c r="AZ166" s="2">
        <v>60.4</v>
      </c>
      <c r="BA166" s="2">
        <v>60.4</v>
      </c>
      <c r="BB166" s="2">
        <v>48.97</v>
      </c>
      <c r="BC166" s="2">
        <v>79.349999999999994</v>
      </c>
    </row>
    <row r="167" spans="20:55" x14ac:dyDescent="0.3">
      <c r="T167" s="1" t="s">
        <v>23</v>
      </c>
      <c r="U167" s="2">
        <v>39.409999999999997</v>
      </c>
      <c r="V167" s="2">
        <v>47.42</v>
      </c>
      <c r="W167" s="2">
        <v>71.41</v>
      </c>
      <c r="X167" s="2">
        <v>78.52</v>
      </c>
      <c r="Y167" s="2">
        <v>69.33</v>
      </c>
      <c r="Z167" s="2">
        <v>75.8</v>
      </c>
      <c r="AA167" s="2">
        <v>63.39</v>
      </c>
      <c r="AB167" s="2">
        <v>63.8</v>
      </c>
      <c r="AC167" s="2">
        <v>64.040000000000006</v>
      </c>
      <c r="AD167" s="2">
        <v>49.18</v>
      </c>
      <c r="AE167" s="2">
        <v>63.05</v>
      </c>
      <c r="AF167" s="2">
        <v>48.15</v>
      </c>
      <c r="AG167" s="2">
        <v>55.32</v>
      </c>
      <c r="AH167" s="2">
        <v>54.17</v>
      </c>
      <c r="AI167" s="2">
        <v>76.16</v>
      </c>
      <c r="AJ167" s="2">
        <v>73.069999999999993</v>
      </c>
      <c r="AM167" s="1" t="s">
        <v>23</v>
      </c>
      <c r="AN167" s="2">
        <v>154</v>
      </c>
      <c r="AO167" s="2">
        <v>187.71</v>
      </c>
      <c r="AP167" s="2">
        <v>319.58999999999997</v>
      </c>
      <c r="AQ167" s="2">
        <v>315.63</v>
      </c>
      <c r="AR167" s="2">
        <v>342.67</v>
      </c>
      <c r="AS167" s="2">
        <v>372.7</v>
      </c>
      <c r="AT167" s="2">
        <v>312.11</v>
      </c>
      <c r="AU167" s="2">
        <v>311.7</v>
      </c>
      <c r="AV167" s="2">
        <v>302.45999999999998</v>
      </c>
      <c r="AW167" s="2">
        <v>230.32</v>
      </c>
      <c r="AX167" s="2">
        <v>297.45</v>
      </c>
      <c r="AY167" s="2">
        <v>225.35</v>
      </c>
      <c r="AZ167" s="2">
        <v>255.68</v>
      </c>
      <c r="BA167" s="2">
        <v>250.33</v>
      </c>
      <c r="BB167" s="2">
        <v>297.60000000000002</v>
      </c>
      <c r="BC167" s="2">
        <v>291</v>
      </c>
    </row>
    <row r="168" spans="20:55" x14ac:dyDescent="0.3">
      <c r="T168" s="1" t="s">
        <v>24</v>
      </c>
      <c r="U168" s="2">
        <v>9.2200000000000006</v>
      </c>
      <c r="V168" s="2">
        <v>3.17</v>
      </c>
      <c r="W168" s="2">
        <v>13.45</v>
      </c>
      <c r="X168" s="2">
        <v>17.100000000000001</v>
      </c>
      <c r="Y168" s="2">
        <v>13.96</v>
      </c>
      <c r="Z168" s="2">
        <v>7.85</v>
      </c>
      <c r="AA168" s="2">
        <v>9.92</v>
      </c>
      <c r="AB168" s="2">
        <v>12.85</v>
      </c>
      <c r="AC168" s="2">
        <v>10.8</v>
      </c>
      <c r="AD168" s="2">
        <v>6.91</v>
      </c>
      <c r="AE168" s="2">
        <v>9.2899999999999991</v>
      </c>
      <c r="AF168" s="2">
        <v>5.62</v>
      </c>
      <c r="AG168" s="2">
        <v>8.8699999999999992</v>
      </c>
      <c r="AH168" s="2">
        <v>8.08</v>
      </c>
      <c r="AI168" s="2">
        <v>9.89</v>
      </c>
      <c r="AJ168" s="2">
        <v>8.85</v>
      </c>
      <c r="AM168" s="1" t="s">
        <v>24</v>
      </c>
      <c r="AN168" s="2">
        <v>36.07</v>
      </c>
      <c r="AO168" s="2">
        <v>11.98</v>
      </c>
      <c r="AP168" s="2">
        <v>55.3</v>
      </c>
      <c r="AQ168" s="2">
        <v>71.900000000000006</v>
      </c>
      <c r="AR168" s="2">
        <v>58.77</v>
      </c>
      <c r="AS168" s="2">
        <v>33.6</v>
      </c>
      <c r="AT168" s="2">
        <v>39.78</v>
      </c>
      <c r="AU168" s="2">
        <v>54.11</v>
      </c>
      <c r="AV168" s="2">
        <v>40.21</v>
      </c>
      <c r="AW168" s="2">
        <v>25.39</v>
      </c>
      <c r="AX168" s="2">
        <v>34.21</v>
      </c>
      <c r="AY168" s="2">
        <v>20.48</v>
      </c>
      <c r="AZ168" s="2">
        <v>32.14</v>
      </c>
      <c r="BA168" s="2">
        <v>29.25</v>
      </c>
      <c r="BB168" s="2">
        <v>35.89</v>
      </c>
      <c r="BC168" s="2">
        <v>30.79</v>
      </c>
    </row>
    <row r="169" spans="20:55" x14ac:dyDescent="0.3">
      <c r="T169" s="1" t="s">
        <v>25</v>
      </c>
      <c r="U169" s="2">
        <v>24.02</v>
      </c>
      <c r="V169" s="2">
        <v>23.1</v>
      </c>
      <c r="W169" s="2">
        <v>14.31</v>
      </c>
      <c r="X169" s="2">
        <v>20.02</v>
      </c>
      <c r="Y169" s="2">
        <v>17.53</v>
      </c>
      <c r="Z169" s="2">
        <v>17.239999999999998</v>
      </c>
      <c r="AA169" s="2">
        <v>18.28</v>
      </c>
      <c r="AB169" s="2">
        <v>17.690000000000001</v>
      </c>
      <c r="AC169" s="2">
        <v>14.81</v>
      </c>
      <c r="AD169" s="2">
        <v>24.46</v>
      </c>
      <c r="AE169" s="2">
        <v>11.88</v>
      </c>
      <c r="AF169" s="2">
        <v>19.649999999999999</v>
      </c>
      <c r="AG169" s="2">
        <v>1.86</v>
      </c>
      <c r="AH169" s="2">
        <v>7.13</v>
      </c>
      <c r="AI169" s="2">
        <v>13.97</v>
      </c>
      <c r="AJ169" s="2">
        <v>21</v>
      </c>
      <c r="AM169" s="1" t="s">
        <v>25</v>
      </c>
      <c r="AN169" s="2">
        <v>65.56</v>
      </c>
      <c r="AO169" s="2">
        <v>63.6</v>
      </c>
      <c r="AP169" s="2">
        <v>47.79</v>
      </c>
      <c r="AQ169" s="2">
        <v>81.08</v>
      </c>
      <c r="AR169" s="2">
        <v>73.61</v>
      </c>
      <c r="AS169" s="2">
        <v>66.42</v>
      </c>
      <c r="AT169" s="2">
        <v>74.31</v>
      </c>
      <c r="AU169" s="2">
        <v>73.31</v>
      </c>
      <c r="AV169" s="2">
        <v>56.08</v>
      </c>
      <c r="AW169" s="2">
        <v>91.33</v>
      </c>
      <c r="AX169" s="2">
        <v>44.02</v>
      </c>
      <c r="AY169" s="2">
        <v>72.19</v>
      </c>
      <c r="AZ169" s="2">
        <v>16.739999999999998</v>
      </c>
      <c r="BA169" s="2">
        <v>25.86</v>
      </c>
      <c r="BB169" s="2">
        <v>25.99</v>
      </c>
      <c r="BC169" s="2">
        <v>47.31</v>
      </c>
    </row>
    <row r="170" spans="20:55" x14ac:dyDescent="0.3">
      <c r="T170" s="1" t="s">
        <v>26</v>
      </c>
      <c r="U170" s="2">
        <v>3.63</v>
      </c>
      <c r="V170" s="2">
        <v>6.73</v>
      </c>
      <c r="W170" s="2">
        <v>3.64</v>
      </c>
      <c r="X170" s="2">
        <v>6.74</v>
      </c>
      <c r="Y170" s="2">
        <v>5.32</v>
      </c>
      <c r="Z170" s="2">
        <v>9.1999999999999993</v>
      </c>
      <c r="AA170" s="2">
        <v>0.75</v>
      </c>
      <c r="AB170" s="2">
        <v>0.76</v>
      </c>
      <c r="AC170" s="2">
        <v>0.78</v>
      </c>
      <c r="AD170" s="2">
        <v>0.78</v>
      </c>
      <c r="AE170" s="2">
        <v>0.78</v>
      </c>
      <c r="AF170" s="2">
        <v>0.78</v>
      </c>
      <c r="AG170" s="2">
        <v>0</v>
      </c>
      <c r="AH170" s="2">
        <v>0</v>
      </c>
      <c r="AI170" s="2">
        <v>4.82</v>
      </c>
      <c r="AJ170" s="2">
        <v>6.36</v>
      </c>
      <c r="AM170" s="1" t="s">
        <v>26</v>
      </c>
      <c r="AN170" s="2">
        <v>14.37</v>
      </c>
      <c r="AO170" s="2">
        <v>25.67</v>
      </c>
      <c r="AP170" s="2">
        <v>14.36</v>
      </c>
      <c r="AQ170" s="2">
        <v>25.66</v>
      </c>
      <c r="AR170" s="2">
        <v>20.18</v>
      </c>
      <c r="AS170" s="2">
        <v>34.299999999999997</v>
      </c>
      <c r="AT170" s="2">
        <v>2.85</v>
      </c>
      <c r="AU170" s="2">
        <v>2.84</v>
      </c>
      <c r="AV170" s="2">
        <v>2.82</v>
      </c>
      <c r="AW170" s="2">
        <v>2.82</v>
      </c>
      <c r="AX170" s="2">
        <v>2.82</v>
      </c>
      <c r="AY170" s="2">
        <v>2.82</v>
      </c>
      <c r="AZ170" s="2">
        <v>0</v>
      </c>
      <c r="BA170" s="2">
        <v>0</v>
      </c>
      <c r="BB170" s="2">
        <v>17.38</v>
      </c>
      <c r="BC170" s="2">
        <v>22.98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700.31</v>
      </c>
      <c r="V177" s="2">
        <v>785.09</v>
      </c>
      <c r="W177" s="2">
        <v>155.26</v>
      </c>
      <c r="X177" s="2">
        <v>185.07</v>
      </c>
      <c r="Y177" s="2">
        <v>252.28</v>
      </c>
      <c r="Z177" s="2">
        <v>252.28</v>
      </c>
      <c r="AA177" s="2">
        <v>67.900000000000006</v>
      </c>
      <c r="AB177" s="2">
        <v>832.32</v>
      </c>
      <c r="AC177" s="2">
        <v>659.53</v>
      </c>
      <c r="AD177" s="2">
        <v>369.72</v>
      </c>
      <c r="AE177" s="2">
        <v>155.13999999999999</v>
      </c>
      <c r="AF177" s="2">
        <v>205.91</v>
      </c>
      <c r="AG177" s="2">
        <v>256.92</v>
      </c>
      <c r="AH177" s="2">
        <v>252.28</v>
      </c>
      <c r="AI177" s="2">
        <v>66.099999999999994</v>
      </c>
      <c r="AJ177" s="2">
        <v>787.06</v>
      </c>
      <c r="AM177" s="1" t="s">
        <v>19</v>
      </c>
      <c r="AN177" s="2">
        <v>4309.45</v>
      </c>
      <c r="AO177" s="2">
        <v>7105.66</v>
      </c>
      <c r="AP177" s="2">
        <v>2931.74</v>
      </c>
      <c r="AQ177" s="2">
        <v>3453.18</v>
      </c>
      <c r="AR177" s="2">
        <v>4701.76</v>
      </c>
      <c r="AS177" s="2">
        <v>4701.76</v>
      </c>
      <c r="AT177" s="2">
        <v>1265.3900000000001</v>
      </c>
      <c r="AU177" s="2">
        <v>2244.88</v>
      </c>
      <c r="AV177" s="2">
        <v>4390.55</v>
      </c>
      <c r="AW177" s="2">
        <v>6868.28</v>
      </c>
      <c r="AX177" s="2">
        <v>2861.3</v>
      </c>
      <c r="AY177" s="2">
        <v>3825.04</v>
      </c>
      <c r="AZ177" s="2">
        <v>4788.12</v>
      </c>
      <c r="BA177" s="2">
        <v>4701.76</v>
      </c>
      <c r="BB177" s="2">
        <v>1231.9100000000001</v>
      </c>
      <c r="BC177" s="2">
        <v>2124.38</v>
      </c>
    </row>
    <row r="178" spans="20:55" x14ac:dyDescent="0.3">
      <c r="T178" s="1" t="s">
        <v>20</v>
      </c>
      <c r="U178" s="2">
        <v>35.56</v>
      </c>
      <c r="V178" s="2">
        <v>57.22</v>
      </c>
      <c r="W178" s="2">
        <v>31.46</v>
      </c>
      <c r="X178" s="2">
        <v>31.53</v>
      </c>
      <c r="Y178" s="2">
        <v>53</v>
      </c>
      <c r="Z178" s="2">
        <v>53</v>
      </c>
      <c r="AA178" s="2">
        <v>22.32</v>
      </c>
      <c r="AB178" s="2">
        <v>17.04</v>
      </c>
      <c r="AC178" s="2">
        <v>37.270000000000003</v>
      </c>
      <c r="AD178" s="2">
        <v>88.01</v>
      </c>
      <c r="AE178" s="2">
        <v>26.69</v>
      </c>
      <c r="AF178" s="2">
        <v>38.67</v>
      </c>
      <c r="AG178" s="2">
        <v>48</v>
      </c>
      <c r="AH178" s="2">
        <v>47.35</v>
      </c>
      <c r="AI178" s="2">
        <v>18.27</v>
      </c>
      <c r="AJ178" s="2">
        <v>27.41</v>
      </c>
      <c r="AM178" s="1" t="s">
        <v>20</v>
      </c>
      <c r="AN178" s="2">
        <v>657.18</v>
      </c>
      <c r="AO178" s="2">
        <v>1172.03</v>
      </c>
      <c r="AP178" s="2">
        <v>623.17999999999995</v>
      </c>
      <c r="AQ178" s="2">
        <v>624.66999999999996</v>
      </c>
      <c r="AR178" s="2">
        <v>1007.02</v>
      </c>
      <c r="AS178" s="2">
        <v>1007.02</v>
      </c>
      <c r="AT178" s="2">
        <v>424.14</v>
      </c>
      <c r="AU178" s="2">
        <v>310.14999999999998</v>
      </c>
      <c r="AV178" s="2">
        <v>736.01</v>
      </c>
      <c r="AW178" s="2">
        <v>839.46</v>
      </c>
      <c r="AX178" s="2">
        <v>519.59</v>
      </c>
      <c r="AY178" s="2">
        <v>753</v>
      </c>
      <c r="AZ178" s="2">
        <v>911.92</v>
      </c>
      <c r="BA178" s="2">
        <v>899.57</v>
      </c>
      <c r="BB178" s="2">
        <v>347.13</v>
      </c>
      <c r="BC178" s="2">
        <v>459.56</v>
      </c>
    </row>
    <row r="179" spans="20:55" x14ac:dyDescent="0.3">
      <c r="T179" s="1" t="s">
        <v>21</v>
      </c>
      <c r="U179" s="2">
        <v>268.72000000000003</v>
      </c>
      <c r="V179" s="2">
        <v>287.54000000000002</v>
      </c>
      <c r="W179" s="2">
        <v>214.7</v>
      </c>
      <c r="X179" s="2">
        <v>195.39</v>
      </c>
      <c r="Y179" s="2">
        <v>162.03</v>
      </c>
      <c r="Z179" s="2">
        <v>134.28</v>
      </c>
      <c r="AA179" s="2">
        <v>74.33</v>
      </c>
      <c r="AB179" s="2">
        <v>72.31</v>
      </c>
      <c r="AC179" s="2">
        <v>168.43</v>
      </c>
      <c r="AD179" s="2">
        <v>603.75</v>
      </c>
      <c r="AE179" s="2">
        <v>161.47999999999999</v>
      </c>
      <c r="AF179" s="2">
        <v>224.12</v>
      </c>
      <c r="AG179" s="2">
        <v>160.13</v>
      </c>
      <c r="AH179" s="2">
        <v>130.88</v>
      </c>
      <c r="AI179" s="2">
        <v>106.53</v>
      </c>
      <c r="AJ179" s="2">
        <v>179.9</v>
      </c>
      <c r="AM179" s="1" t="s">
        <v>21</v>
      </c>
      <c r="AN179" s="2">
        <v>3886.71</v>
      </c>
      <c r="AO179" s="2">
        <v>5889.46</v>
      </c>
      <c r="AP179" s="2">
        <v>3726.94</v>
      </c>
      <c r="AQ179" s="2">
        <v>3870.96</v>
      </c>
      <c r="AR179" s="2">
        <v>3078.5</v>
      </c>
      <c r="AS179" s="2">
        <v>2551.2600000000002</v>
      </c>
      <c r="AT179" s="2">
        <v>1412.16</v>
      </c>
      <c r="AU179" s="2">
        <v>1006.49</v>
      </c>
      <c r="AV179" s="2">
        <v>2449.71</v>
      </c>
      <c r="AW179" s="2">
        <v>4342.62</v>
      </c>
      <c r="AX179" s="2">
        <v>3144.07</v>
      </c>
      <c r="AY179" s="2">
        <v>4363.8900000000003</v>
      </c>
      <c r="AZ179" s="2">
        <v>3042.49</v>
      </c>
      <c r="BA179" s="2">
        <v>2486.8000000000002</v>
      </c>
      <c r="BB179" s="2">
        <v>958.8</v>
      </c>
      <c r="BC179" s="2">
        <v>1450.18</v>
      </c>
    </row>
    <row r="180" spans="20:55" x14ac:dyDescent="0.3">
      <c r="T180" s="1" t="s">
        <v>22</v>
      </c>
      <c r="U180" s="2">
        <v>89.43</v>
      </c>
      <c r="V180" s="2">
        <v>139.91999999999999</v>
      </c>
      <c r="W180" s="2">
        <v>70.17</v>
      </c>
      <c r="X180" s="2">
        <v>70.12</v>
      </c>
      <c r="Y180" s="2">
        <v>69.010000000000005</v>
      </c>
      <c r="Z180" s="2">
        <v>55.26</v>
      </c>
      <c r="AA180" s="2">
        <v>18.41</v>
      </c>
      <c r="AB180" s="2">
        <v>36.11</v>
      </c>
      <c r="AC180" s="2">
        <v>56.78</v>
      </c>
      <c r="AD180" s="2">
        <v>134.01</v>
      </c>
      <c r="AE180" s="2">
        <v>84.19</v>
      </c>
      <c r="AF180" s="2">
        <v>83.39</v>
      </c>
      <c r="AG180" s="2">
        <v>81.430000000000007</v>
      </c>
      <c r="AH180" s="2">
        <v>40.72</v>
      </c>
      <c r="AI180" s="2">
        <v>18.53</v>
      </c>
      <c r="AJ180" s="2">
        <v>31.94</v>
      </c>
      <c r="AM180" s="1" t="s">
        <v>22</v>
      </c>
      <c r="AN180" s="2">
        <v>1462.52</v>
      </c>
      <c r="AO180" s="2">
        <v>2865.83</v>
      </c>
      <c r="AP180" s="2">
        <v>1390.25</v>
      </c>
      <c r="AQ180" s="2">
        <v>1389.14</v>
      </c>
      <c r="AR180" s="2">
        <v>1311.13</v>
      </c>
      <c r="AS180" s="2">
        <v>1050</v>
      </c>
      <c r="AT180" s="2">
        <v>349.73</v>
      </c>
      <c r="AU180" s="2">
        <v>505.96</v>
      </c>
      <c r="AV180" s="2">
        <v>1121.19</v>
      </c>
      <c r="AW180" s="2">
        <v>2196.25</v>
      </c>
      <c r="AX180" s="2">
        <v>1639.21</v>
      </c>
      <c r="AY180" s="2">
        <v>1623.7</v>
      </c>
      <c r="AZ180" s="2">
        <v>732.89</v>
      </c>
      <c r="BA180" s="2">
        <v>773.6</v>
      </c>
      <c r="BB180" s="2">
        <v>352.12</v>
      </c>
      <c r="BC180" s="2">
        <v>452.01</v>
      </c>
    </row>
    <row r="181" spans="20:55" x14ac:dyDescent="0.3">
      <c r="T181" s="1" t="s">
        <v>23</v>
      </c>
      <c r="U181" s="2">
        <v>305.33</v>
      </c>
      <c r="V181" s="2">
        <v>542.85</v>
      </c>
      <c r="W181" s="2">
        <v>268.14</v>
      </c>
      <c r="X181" s="2">
        <v>228.57</v>
      </c>
      <c r="Y181" s="2">
        <v>298.94</v>
      </c>
      <c r="Z181" s="2">
        <v>292.5</v>
      </c>
      <c r="AA181" s="2">
        <v>94.61</v>
      </c>
      <c r="AB181" s="2">
        <v>190.62</v>
      </c>
      <c r="AC181" s="2">
        <v>334.91</v>
      </c>
      <c r="AD181" s="2">
        <v>556.17999999999995</v>
      </c>
      <c r="AE181" s="2">
        <v>246.89</v>
      </c>
      <c r="AF181" s="2">
        <v>277.35000000000002</v>
      </c>
      <c r="AG181" s="2">
        <v>292.5</v>
      </c>
      <c r="AH181" s="2">
        <v>286</v>
      </c>
      <c r="AI181" s="2">
        <v>91.35</v>
      </c>
      <c r="AJ181" s="2">
        <v>193.99</v>
      </c>
      <c r="AM181" s="1" t="s">
        <v>23</v>
      </c>
      <c r="AN181" s="2">
        <v>4592.8</v>
      </c>
      <c r="AO181" s="2">
        <v>9677.15</v>
      </c>
      <c r="AP181" s="2">
        <v>5312.26</v>
      </c>
      <c r="AQ181" s="2">
        <v>4528.38</v>
      </c>
      <c r="AR181" s="2">
        <v>5679.76</v>
      </c>
      <c r="AS181" s="2">
        <v>5557.5</v>
      </c>
      <c r="AT181" s="2">
        <v>1797.49</v>
      </c>
      <c r="AU181" s="2">
        <v>2961.54</v>
      </c>
      <c r="AV181" s="2">
        <v>5203.46</v>
      </c>
      <c r="AW181" s="2">
        <v>8829.01</v>
      </c>
      <c r="AX181" s="2">
        <v>4807.1099999999997</v>
      </c>
      <c r="AY181" s="2">
        <v>5400.3</v>
      </c>
      <c r="AZ181" s="2">
        <v>5557.5</v>
      </c>
      <c r="BA181" s="2">
        <v>5434</v>
      </c>
      <c r="BB181" s="2">
        <v>1735.65</v>
      </c>
      <c r="BC181" s="2">
        <v>2586.75</v>
      </c>
    </row>
    <row r="182" spans="20:55" x14ac:dyDescent="0.3">
      <c r="T182" s="1" t="s">
        <v>24</v>
      </c>
      <c r="U182" s="2">
        <v>55.33</v>
      </c>
      <c r="V182" s="2">
        <v>117</v>
      </c>
      <c r="W182" s="2">
        <v>58.75</v>
      </c>
      <c r="X182" s="2">
        <v>53.79</v>
      </c>
      <c r="Y182" s="2">
        <v>34.74</v>
      </c>
      <c r="Z182" s="2">
        <v>29.25</v>
      </c>
      <c r="AA182" s="2">
        <v>17.5</v>
      </c>
      <c r="AB182" s="2">
        <v>27.21</v>
      </c>
      <c r="AC182" s="2">
        <v>45.41</v>
      </c>
      <c r="AD182" s="2">
        <v>97.36</v>
      </c>
      <c r="AE182" s="2">
        <v>51.54</v>
      </c>
      <c r="AF182" s="2">
        <v>41.73</v>
      </c>
      <c r="AG182" s="2">
        <v>39.270000000000003</v>
      </c>
      <c r="AH182" s="2">
        <v>31.34</v>
      </c>
      <c r="AI182" s="2">
        <v>15.54</v>
      </c>
      <c r="AJ182" s="2">
        <v>14.98</v>
      </c>
      <c r="AM182" s="1" t="s">
        <v>24</v>
      </c>
      <c r="AN182" s="2">
        <v>1125.98</v>
      </c>
      <c r="AO182" s="2">
        <v>2396.36</v>
      </c>
      <c r="AP182" s="2">
        <v>1163.9100000000001</v>
      </c>
      <c r="AQ182" s="2">
        <v>1065.57</v>
      </c>
      <c r="AR182" s="2">
        <v>660.06</v>
      </c>
      <c r="AS182" s="2">
        <v>555.75</v>
      </c>
      <c r="AT182" s="2">
        <v>332.42</v>
      </c>
      <c r="AU182" s="2">
        <v>517</v>
      </c>
      <c r="AV182" s="2">
        <v>896.74</v>
      </c>
      <c r="AW182" s="2">
        <v>1922.64</v>
      </c>
      <c r="AX182" s="2">
        <v>1003.61</v>
      </c>
      <c r="AY182" s="2">
        <v>812.61</v>
      </c>
      <c r="AZ182" s="2">
        <v>746.21</v>
      </c>
      <c r="BA182" s="2">
        <v>595.53</v>
      </c>
      <c r="BB182" s="2">
        <v>295.33999999999997</v>
      </c>
      <c r="BC182" s="2">
        <v>272.61</v>
      </c>
    </row>
    <row r="183" spans="20:55" x14ac:dyDescent="0.3">
      <c r="T183" s="1" t="s">
        <v>25</v>
      </c>
      <c r="U183" s="2">
        <v>275.77</v>
      </c>
      <c r="V183" s="2">
        <v>315.51</v>
      </c>
      <c r="W183" s="2">
        <v>176.07</v>
      </c>
      <c r="X183" s="2">
        <v>178.49</v>
      </c>
      <c r="Y183" s="2">
        <v>126.69</v>
      </c>
      <c r="Z183" s="2">
        <v>101.49</v>
      </c>
      <c r="AA183" s="2">
        <v>56.39</v>
      </c>
      <c r="AB183" s="2">
        <v>141.02000000000001</v>
      </c>
      <c r="AC183" s="2">
        <v>278.8</v>
      </c>
      <c r="AD183" s="2">
        <v>336.85</v>
      </c>
      <c r="AE183" s="2">
        <v>145.36000000000001</v>
      </c>
      <c r="AF183" s="2">
        <v>143.85</v>
      </c>
      <c r="AG183" s="2">
        <v>176.56</v>
      </c>
      <c r="AH183" s="2">
        <v>141.41999999999999</v>
      </c>
      <c r="AI183" s="2">
        <v>45.23</v>
      </c>
      <c r="AJ183" s="2">
        <v>127.54</v>
      </c>
      <c r="AM183" s="1" t="s">
        <v>25</v>
      </c>
      <c r="AN183" s="2">
        <v>3559.2</v>
      </c>
      <c r="AO183" s="2">
        <v>5263.14</v>
      </c>
      <c r="AP183" s="2">
        <v>3488.17</v>
      </c>
      <c r="AQ183" s="2">
        <v>3536.16</v>
      </c>
      <c r="AR183" s="2">
        <v>2407.06</v>
      </c>
      <c r="AS183" s="2">
        <v>1928.39</v>
      </c>
      <c r="AT183" s="2">
        <v>507.46</v>
      </c>
      <c r="AU183" s="2">
        <v>1192.71</v>
      </c>
      <c r="AV183" s="2">
        <v>3720.8</v>
      </c>
      <c r="AW183" s="2">
        <v>6651.65</v>
      </c>
      <c r="AX183" s="2">
        <v>2830.3</v>
      </c>
      <c r="AY183" s="2">
        <v>2800.93</v>
      </c>
      <c r="AZ183" s="2">
        <v>3354.65</v>
      </c>
      <c r="BA183" s="2">
        <v>2686.97</v>
      </c>
      <c r="BB183" s="2">
        <v>859.39</v>
      </c>
      <c r="BC183" s="2">
        <v>1358.44</v>
      </c>
    </row>
    <row r="184" spans="20:55" x14ac:dyDescent="0.3">
      <c r="T184" s="1" t="s">
        <v>26</v>
      </c>
      <c r="U184" s="2">
        <v>106.79</v>
      </c>
      <c r="V184" s="2">
        <v>199.39</v>
      </c>
      <c r="W184" s="2">
        <v>94.85</v>
      </c>
      <c r="X184" s="2">
        <v>93.96</v>
      </c>
      <c r="Y184" s="2">
        <v>130.88</v>
      </c>
      <c r="Z184" s="2">
        <v>130.88999999999999</v>
      </c>
      <c r="AA184" s="2">
        <v>22.85</v>
      </c>
      <c r="AB184" s="2">
        <v>83.28</v>
      </c>
      <c r="AC184" s="2">
        <v>118.51</v>
      </c>
      <c r="AD184" s="2">
        <v>193.84</v>
      </c>
      <c r="AE184" s="2">
        <v>87.48</v>
      </c>
      <c r="AF184" s="2">
        <v>83.76</v>
      </c>
      <c r="AG184" s="2">
        <v>86.31</v>
      </c>
      <c r="AH184" s="2">
        <v>86.31</v>
      </c>
      <c r="AI184" s="2">
        <v>24.97</v>
      </c>
      <c r="AJ184" s="2">
        <v>62.33</v>
      </c>
      <c r="AM184" s="1" t="s">
        <v>26</v>
      </c>
      <c r="AN184" s="2">
        <v>2187.13</v>
      </c>
      <c r="AO184" s="2">
        <v>4083.86</v>
      </c>
      <c r="AP184" s="2">
        <v>1879.15</v>
      </c>
      <c r="AQ184" s="2">
        <v>1861.29</v>
      </c>
      <c r="AR184" s="2">
        <v>2486.8000000000002</v>
      </c>
      <c r="AS184" s="2">
        <v>2486.79</v>
      </c>
      <c r="AT184" s="2">
        <v>353.26</v>
      </c>
      <c r="AU184" s="2">
        <v>1582.32</v>
      </c>
      <c r="AV184" s="2">
        <v>2340.29</v>
      </c>
      <c r="AW184" s="2">
        <v>3827.66</v>
      </c>
      <c r="AX184" s="2">
        <v>1703.4</v>
      </c>
      <c r="AY184" s="2">
        <v>1630.92</v>
      </c>
      <c r="AZ184" s="2">
        <v>1639.83</v>
      </c>
      <c r="BA184" s="2">
        <v>1639.83</v>
      </c>
      <c r="BB184" s="2">
        <v>390.2</v>
      </c>
      <c r="BC184" s="2">
        <v>1184.23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291.79000000000002</v>
      </c>
      <c r="V191" s="2">
        <v>274.8</v>
      </c>
      <c r="W191" s="2">
        <v>314.04000000000002</v>
      </c>
      <c r="X191" s="2">
        <v>147.88999999999999</v>
      </c>
      <c r="Y191" s="2">
        <v>55.45</v>
      </c>
      <c r="Z191" s="2">
        <v>55.41</v>
      </c>
      <c r="AA191" s="2">
        <v>56.08</v>
      </c>
      <c r="AB191" s="2">
        <v>62.4</v>
      </c>
      <c r="AC191" s="2">
        <v>97.03</v>
      </c>
      <c r="AD191" s="2">
        <v>98.81</v>
      </c>
      <c r="AE191" s="2">
        <v>97.03</v>
      </c>
      <c r="AF191" s="2">
        <v>97.03</v>
      </c>
      <c r="AG191" s="2">
        <v>32.33</v>
      </c>
      <c r="AH191" s="2">
        <v>31.48</v>
      </c>
      <c r="AI191" s="2">
        <v>1040.4000000000001</v>
      </c>
      <c r="AJ191" s="2">
        <v>983.83</v>
      </c>
      <c r="AM191" s="1" t="s">
        <v>19</v>
      </c>
      <c r="AN191" s="2">
        <v>1795.61</v>
      </c>
      <c r="AO191" s="2">
        <v>1829.4</v>
      </c>
      <c r="AP191" s="2">
        <v>2842.26</v>
      </c>
      <c r="AQ191" s="2">
        <v>2747.31</v>
      </c>
      <c r="AR191" s="2">
        <v>1047.05</v>
      </c>
      <c r="AS191" s="2">
        <v>1021.89</v>
      </c>
      <c r="AT191" s="2">
        <v>1046.42</v>
      </c>
      <c r="AU191" s="2">
        <v>1159.0999999999999</v>
      </c>
      <c r="AV191" s="2">
        <v>1808.37</v>
      </c>
      <c r="AW191" s="2">
        <v>1841.59</v>
      </c>
      <c r="AX191" s="2">
        <v>1808.37</v>
      </c>
      <c r="AY191" s="2">
        <v>1808.37</v>
      </c>
      <c r="AZ191" s="2">
        <v>602.57000000000005</v>
      </c>
      <c r="BA191" s="2">
        <v>586.62</v>
      </c>
      <c r="BB191" s="2">
        <v>2806.1</v>
      </c>
      <c r="BC191" s="2">
        <v>2655.47</v>
      </c>
    </row>
    <row r="192" spans="20:55" x14ac:dyDescent="0.3">
      <c r="T192" s="1" t="s">
        <v>20</v>
      </c>
      <c r="U192" s="2">
        <v>14.82</v>
      </c>
      <c r="V192" s="2">
        <v>15.53</v>
      </c>
      <c r="W192" s="2">
        <v>22.89</v>
      </c>
      <c r="X192" s="2">
        <v>35.21</v>
      </c>
      <c r="Y192" s="2">
        <v>11.23</v>
      </c>
      <c r="Z192" s="2">
        <v>9.5299999999999994</v>
      </c>
      <c r="AA192" s="2">
        <v>9.5500000000000007</v>
      </c>
      <c r="AB192" s="2">
        <v>11.72</v>
      </c>
      <c r="AC192" s="2">
        <v>20.39</v>
      </c>
      <c r="AD192" s="2">
        <v>18.46</v>
      </c>
      <c r="AE192" s="2">
        <v>20.39</v>
      </c>
      <c r="AF192" s="2">
        <v>18.21</v>
      </c>
      <c r="AG192" s="2">
        <v>10.63</v>
      </c>
      <c r="AH192" s="2">
        <v>8.6999999999999993</v>
      </c>
      <c r="AI192" s="2">
        <v>21.3</v>
      </c>
      <c r="AJ192" s="2">
        <v>34.26</v>
      </c>
      <c r="AM192" s="1" t="s">
        <v>20</v>
      </c>
      <c r="AN192" s="2">
        <v>273.82</v>
      </c>
      <c r="AO192" s="2">
        <v>306.67</v>
      </c>
      <c r="AP192" s="2">
        <v>468.81</v>
      </c>
      <c r="AQ192" s="2">
        <v>335.79</v>
      </c>
      <c r="AR192" s="2">
        <v>222.57</v>
      </c>
      <c r="AS192" s="2">
        <v>185.57</v>
      </c>
      <c r="AT192" s="2">
        <v>189.29</v>
      </c>
      <c r="AU192" s="2">
        <v>228.18</v>
      </c>
      <c r="AV192" s="2">
        <v>387.31</v>
      </c>
      <c r="AW192" s="2">
        <v>350.74</v>
      </c>
      <c r="AX192" s="2">
        <v>387.31</v>
      </c>
      <c r="AY192" s="2">
        <v>345.99</v>
      </c>
      <c r="AZ192" s="2">
        <v>201.97</v>
      </c>
      <c r="BA192" s="2">
        <v>165.3</v>
      </c>
      <c r="BB192" s="2">
        <v>387.68</v>
      </c>
      <c r="BC192" s="2">
        <v>574.45000000000005</v>
      </c>
    </row>
    <row r="193" spans="20:55" x14ac:dyDescent="0.3">
      <c r="T193" s="1" t="s">
        <v>21</v>
      </c>
      <c r="U193" s="2">
        <v>111.97</v>
      </c>
      <c r="V193" s="2">
        <v>70.180000000000007</v>
      </c>
      <c r="W193" s="2">
        <v>115.02</v>
      </c>
      <c r="X193" s="2">
        <v>241.5</v>
      </c>
      <c r="Y193" s="2">
        <v>76.680000000000007</v>
      </c>
      <c r="Z193" s="2">
        <v>57.67</v>
      </c>
      <c r="AA193" s="2">
        <v>59.21</v>
      </c>
      <c r="AB193" s="2">
        <v>67.92</v>
      </c>
      <c r="AC193" s="2">
        <v>62.32</v>
      </c>
      <c r="AD193" s="2">
        <v>61.59</v>
      </c>
      <c r="AE193" s="2">
        <v>51.65</v>
      </c>
      <c r="AF193" s="2">
        <v>50.34</v>
      </c>
      <c r="AG193" s="2">
        <v>35.39</v>
      </c>
      <c r="AH193" s="2">
        <v>50.73</v>
      </c>
      <c r="AI193" s="2">
        <v>90.39</v>
      </c>
      <c r="AJ193" s="2">
        <v>224.87</v>
      </c>
      <c r="AM193" s="1" t="s">
        <v>21</v>
      </c>
      <c r="AN193" s="2">
        <v>1619.46</v>
      </c>
      <c r="AO193" s="2">
        <v>1020.71</v>
      </c>
      <c r="AP193" s="2">
        <v>2355.7800000000002</v>
      </c>
      <c r="AQ193" s="2">
        <v>1737.05</v>
      </c>
      <c r="AR193" s="2">
        <v>1331.05</v>
      </c>
      <c r="AS193" s="2">
        <v>1122.8800000000001</v>
      </c>
      <c r="AT193" s="2">
        <v>1173.02</v>
      </c>
      <c r="AU193" s="2">
        <v>1322.39</v>
      </c>
      <c r="AV193" s="2">
        <v>1184.04</v>
      </c>
      <c r="AW193" s="2">
        <v>1170.19</v>
      </c>
      <c r="AX193" s="2">
        <v>981.25</v>
      </c>
      <c r="AY193" s="2">
        <v>956.46</v>
      </c>
      <c r="AZ193" s="2">
        <v>672.46</v>
      </c>
      <c r="BA193" s="2">
        <v>456.57</v>
      </c>
      <c r="BB193" s="2">
        <v>1258.1099999999999</v>
      </c>
      <c r="BC193" s="2">
        <v>1812.73</v>
      </c>
    </row>
    <row r="194" spans="20:55" x14ac:dyDescent="0.3">
      <c r="T194" s="1" t="s">
        <v>22</v>
      </c>
      <c r="U194" s="2">
        <v>37.26</v>
      </c>
      <c r="V194" s="2">
        <v>23.66</v>
      </c>
      <c r="W194" s="2">
        <v>55.97</v>
      </c>
      <c r="X194" s="2">
        <v>53.6</v>
      </c>
      <c r="Y194" s="2">
        <v>25.06</v>
      </c>
      <c r="Z194" s="2">
        <v>30.07</v>
      </c>
      <c r="AA194" s="2">
        <v>21.25</v>
      </c>
      <c r="AB194" s="2">
        <v>25.27</v>
      </c>
      <c r="AC194" s="2">
        <v>26.54</v>
      </c>
      <c r="AD194" s="2">
        <v>31.32</v>
      </c>
      <c r="AE194" s="2">
        <v>21.26</v>
      </c>
      <c r="AF194" s="2">
        <v>15.66</v>
      </c>
      <c r="AG194" s="2">
        <v>8.77</v>
      </c>
      <c r="AH194" s="2">
        <v>8.83</v>
      </c>
      <c r="AI194" s="2">
        <v>45.14</v>
      </c>
      <c r="AJ194" s="2">
        <v>39.93</v>
      </c>
      <c r="AM194" s="1" t="s">
        <v>22</v>
      </c>
      <c r="AN194" s="2">
        <v>609.38</v>
      </c>
      <c r="AO194" s="2">
        <v>467.16</v>
      </c>
      <c r="AP194" s="2">
        <v>1146.33</v>
      </c>
      <c r="AQ194" s="2">
        <v>878.5</v>
      </c>
      <c r="AR194" s="2">
        <v>496.52</v>
      </c>
      <c r="AS194" s="2">
        <v>585.42999999999995</v>
      </c>
      <c r="AT194" s="2">
        <v>420.95</v>
      </c>
      <c r="AU194" s="2">
        <v>492.03</v>
      </c>
      <c r="AV194" s="2">
        <v>504.28</v>
      </c>
      <c r="AW194" s="2">
        <v>281.88</v>
      </c>
      <c r="AX194" s="2">
        <v>403.84</v>
      </c>
      <c r="AY194" s="2">
        <v>297.54000000000002</v>
      </c>
      <c r="AZ194" s="2">
        <v>166.54</v>
      </c>
      <c r="BA194" s="2">
        <v>167.67</v>
      </c>
      <c r="BB194" s="2">
        <v>632.45000000000005</v>
      </c>
      <c r="BC194" s="2">
        <v>565.02</v>
      </c>
    </row>
    <row r="195" spans="20:55" x14ac:dyDescent="0.3">
      <c r="T195" s="1" t="s">
        <v>23</v>
      </c>
      <c r="U195" s="2">
        <v>127.22</v>
      </c>
      <c r="V195" s="2">
        <v>139.54</v>
      </c>
      <c r="W195" s="2">
        <v>217.14</v>
      </c>
      <c r="X195" s="2">
        <v>222.47</v>
      </c>
      <c r="Y195" s="2">
        <v>95.76</v>
      </c>
      <c r="Z195" s="2">
        <v>88.17</v>
      </c>
      <c r="AA195" s="2">
        <v>69.260000000000005</v>
      </c>
      <c r="AB195" s="2">
        <v>84.05</v>
      </c>
      <c r="AC195" s="2">
        <v>114.98</v>
      </c>
      <c r="AD195" s="2">
        <v>112.5</v>
      </c>
      <c r="AE195" s="2">
        <v>112.5</v>
      </c>
      <c r="AF195" s="2">
        <v>110</v>
      </c>
      <c r="AG195" s="2">
        <v>45.05</v>
      </c>
      <c r="AH195" s="2">
        <v>43.5</v>
      </c>
      <c r="AI195" s="2">
        <v>238.27</v>
      </c>
      <c r="AJ195" s="2">
        <v>242.48</v>
      </c>
      <c r="AM195" s="1" t="s">
        <v>23</v>
      </c>
      <c r="AN195" s="2">
        <v>1913.67</v>
      </c>
      <c r="AO195" s="2">
        <v>2168.11</v>
      </c>
      <c r="AP195" s="2">
        <v>3870.86</v>
      </c>
      <c r="AQ195" s="2">
        <v>3531.61</v>
      </c>
      <c r="AR195" s="2">
        <v>1897.24</v>
      </c>
      <c r="AS195" s="2">
        <v>1716.83</v>
      </c>
      <c r="AT195" s="2">
        <v>1372.24</v>
      </c>
      <c r="AU195" s="2">
        <v>1636.45</v>
      </c>
      <c r="AV195" s="2">
        <v>2184.52</v>
      </c>
      <c r="AW195" s="2">
        <v>2137.5</v>
      </c>
      <c r="AX195" s="2">
        <v>2137.5</v>
      </c>
      <c r="AY195" s="2">
        <v>2090</v>
      </c>
      <c r="AZ195" s="2">
        <v>855.95</v>
      </c>
      <c r="BA195" s="2">
        <v>826.5</v>
      </c>
      <c r="BB195" s="2">
        <v>3701.93</v>
      </c>
      <c r="BC195" s="2">
        <v>3233.43</v>
      </c>
    </row>
    <row r="196" spans="20:55" x14ac:dyDescent="0.3">
      <c r="T196" s="1" t="s">
        <v>24</v>
      </c>
      <c r="U196" s="2">
        <v>23.05</v>
      </c>
      <c r="V196" s="2">
        <v>18.920000000000002</v>
      </c>
      <c r="W196" s="2">
        <v>46.8</v>
      </c>
      <c r="X196" s="2">
        <v>38.950000000000003</v>
      </c>
      <c r="Y196" s="2">
        <v>20.98</v>
      </c>
      <c r="Z196" s="2">
        <v>18.41</v>
      </c>
      <c r="AA196" s="2">
        <v>16.3</v>
      </c>
      <c r="AB196" s="2">
        <v>12.65</v>
      </c>
      <c r="AC196" s="2">
        <v>13.36</v>
      </c>
      <c r="AD196" s="2">
        <v>15.11</v>
      </c>
      <c r="AE196" s="2">
        <v>11.25</v>
      </c>
      <c r="AF196" s="2">
        <v>12.06</v>
      </c>
      <c r="AG196" s="2">
        <v>8.33</v>
      </c>
      <c r="AH196" s="2">
        <v>7.4</v>
      </c>
      <c r="AI196" s="2">
        <v>34.01</v>
      </c>
      <c r="AJ196" s="2">
        <v>18.73</v>
      </c>
      <c r="AM196" s="1" t="s">
        <v>24</v>
      </c>
      <c r="AN196" s="2">
        <v>469.16</v>
      </c>
      <c r="AO196" s="2">
        <v>373.64</v>
      </c>
      <c r="AP196" s="2">
        <v>958.54</v>
      </c>
      <c r="AQ196" s="2">
        <v>769.05</v>
      </c>
      <c r="AR196" s="2">
        <v>415.68</v>
      </c>
      <c r="AS196" s="2">
        <v>358.43</v>
      </c>
      <c r="AT196" s="2">
        <v>322.89999999999998</v>
      </c>
      <c r="AU196" s="2">
        <v>246.25</v>
      </c>
      <c r="AV196" s="2">
        <v>253.87</v>
      </c>
      <c r="AW196" s="2">
        <v>287</v>
      </c>
      <c r="AX196" s="2">
        <v>213.75</v>
      </c>
      <c r="AY196" s="2">
        <v>229.05</v>
      </c>
      <c r="AZ196" s="2">
        <v>158.30000000000001</v>
      </c>
      <c r="BA196" s="2">
        <v>140.63999999999999</v>
      </c>
      <c r="BB196" s="2">
        <v>646.25</v>
      </c>
      <c r="BC196" s="2">
        <v>340.76</v>
      </c>
    </row>
    <row r="197" spans="20:55" x14ac:dyDescent="0.3">
      <c r="T197" s="1" t="s">
        <v>25</v>
      </c>
      <c r="U197" s="2">
        <v>114.9</v>
      </c>
      <c r="V197" s="2">
        <v>116.17</v>
      </c>
      <c r="W197" s="2">
        <v>126.2</v>
      </c>
      <c r="X197" s="2">
        <v>134.74</v>
      </c>
      <c r="Y197" s="2">
        <v>62.88</v>
      </c>
      <c r="Z197" s="2">
        <v>51.91</v>
      </c>
      <c r="AA197" s="2">
        <v>54.09</v>
      </c>
      <c r="AB197" s="2">
        <v>43.59</v>
      </c>
      <c r="AC197" s="2">
        <v>48.73</v>
      </c>
      <c r="AD197" s="2">
        <v>67.91</v>
      </c>
      <c r="AE197" s="2">
        <v>39.04</v>
      </c>
      <c r="AF197" s="2">
        <v>54.39</v>
      </c>
      <c r="AG197" s="2">
        <v>26.85</v>
      </c>
      <c r="AH197" s="2">
        <v>21.54</v>
      </c>
      <c r="AI197" s="2">
        <v>176.27</v>
      </c>
      <c r="AJ197" s="2">
        <v>159.43</v>
      </c>
      <c r="AM197" s="1" t="s">
        <v>25</v>
      </c>
      <c r="AN197" s="2">
        <v>1483</v>
      </c>
      <c r="AO197" s="2">
        <v>1550.33</v>
      </c>
      <c r="AP197" s="2">
        <v>2105.2600000000002</v>
      </c>
      <c r="AQ197" s="2">
        <v>2660.66</v>
      </c>
      <c r="AR197" s="2">
        <v>1245.77</v>
      </c>
      <c r="AS197" s="2">
        <v>1010.82</v>
      </c>
      <c r="AT197" s="2">
        <v>1071.56</v>
      </c>
      <c r="AU197" s="2">
        <v>848.77</v>
      </c>
      <c r="AV197" s="2">
        <v>925.79</v>
      </c>
      <c r="AW197" s="2">
        <v>1290.25</v>
      </c>
      <c r="AX197" s="2">
        <v>741.69</v>
      </c>
      <c r="AY197" s="2">
        <v>1033.45</v>
      </c>
      <c r="AZ197" s="2">
        <v>241.65</v>
      </c>
      <c r="BA197" s="2">
        <v>409.23</v>
      </c>
      <c r="BB197" s="2">
        <v>1490.89</v>
      </c>
      <c r="BC197" s="2">
        <v>1698.05</v>
      </c>
    </row>
    <row r="198" spans="20:55" x14ac:dyDescent="0.3">
      <c r="T198" s="1" t="s">
        <v>26</v>
      </c>
      <c r="U198" s="2">
        <v>44.5</v>
      </c>
      <c r="V198" s="2">
        <v>49.38</v>
      </c>
      <c r="W198" s="2">
        <v>79.760000000000005</v>
      </c>
      <c r="X198" s="2">
        <v>77.53</v>
      </c>
      <c r="Y198" s="2">
        <v>33.880000000000003</v>
      </c>
      <c r="Z198" s="2">
        <v>31.24</v>
      </c>
      <c r="AA198" s="2">
        <v>28.47</v>
      </c>
      <c r="AB198" s="2">
        <v>25.38</v>
      </c>
      <c r="AC198" s="2">
        <v>50.34</v>
      </c>
      <c r="AD198" s="2">
        <v>33.200000000000003</v>
      </c>
      <c r="AE198" s="2">
        <v>50.34</v>
      </c>
      <c r="AF198" s="2">
        <v>33.200000000000003</v>
      </c>
      <c r="AG198" s="2">
        <v>10.88</v>
      </c>
      <c r="AH198" s="2">
        <v>11.89</v>
      </c>
      <c r="AI198" s="2">
        <v>104.1</v>
      </c>
      <c r="AJ198" s="2">
        <v>77.91</v>
      </c>
      <c r="AM198" s="1" t="s">
        <v>26</v>
      </c>
      <c r="AN198" s="2">
        <v>911.3</v>
      </c>
      <c r="AO198" s="2">
        <v>975.12</v>
      </c>
      <c r="AP198" s="2">
        <v>1633.54</v>
      </c>
      <c r="AQ198" s="2">
        <v>1531.07</v>
      </c>
      <c r="AR198" s="2">
        <v>671.12</v>
      </c>
      <c r="AS198" s="2">
        <v>608.36</v>
      </c>
      <c r="AT198" s="2">
        <v>564.03</v>
      </c>
      <c r="AU198" s="2">
        <v>494.22</v>
      </c>
      <c r="AV198" s="2">
        <v>956.46</v>
      </c>
      <c r="AW198" s="2">
        <v>630.70000000000005</v>
      </c>
      <c r="AX198" s="2">
        <v>956.46</v>
      </c>
      <c r="AY198" s="2">
        <v>630.70000000000005</v>
      </c>
      <c r="AZ198" s="2">
        <v>168.22</v>
      </c>
      <c r="BA198" s="2">
        <v>185.81</v>
      </c>
      <c r="BB198" s="2">
        <v>1977.9</v>
      </c>
      <c r="BC198" s="2">
        <v>1480.29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0.59</v>
      </c>
      <c r="V205" s="2">
        <v>0.59</v>
      </c>
      <c r="W205" s="2">
        <v>0.59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0.59</v>
      </c>
      <c r="AG205" s="2">
        <v>0.59</v>
      </c>
      <c r="AH205" s="2">
        <v>0.59</v>
      </c>
      <c r="AI205" s="2">
        <v>0.04</v>
      </c>
      <c r="AJ205" s="2">
        <v>0.01</v>
      </c>
      <c r="AM205" s="1" t="s">
        <v>19</v>
      </c>
      <c r="AN205" s="2">
        <v>606.48</v>
      </c>
      <c r="AO205" s="2">
        <v>126</v>
      </c>
      <c r="AP205" s="2">
        <v>307.72000000000003</v>
      </c>
      <c r="AQ205" s="2">
        <v>110.88</v>
      </c>
      <c r="AR205" s="2">
        <v>91</v>
      </c>
      <c r="AS205" s="2">
        <v>91</v>
      </c>
      <c r="AT205" s="2">
        <v>17.64</v>
      </c>
      <c r="AU205" s="2">
        <v>48.16</v>
      </c>
      <c r="AV205" s="2">
        <v>566.16</v>
      </c>
      <c r="AW205" s="2">
        <v>231</v>
      </c>
      <c r="AX205" s="2">
        <v>356.72</v>
      </c>
      <c r="AY205" s="2">
        <v>196.35</v>
      </c>
      <c r="AZ205" s="2">
        <v>67.34</v>
      </c>
      <c r="BA205" s="2">
        <v>67.34</v>
      </c>
      <c r="BB205" s="2">
        <v>17.64</v>
      </c>
      <c r="BC205" s="2">
        <v>90.16</v>
      </c>
    </row>
    <row r="206" spans="20:55" x14ac:dyDescent="0.3">
      <c r="T206" s="1" t="s">
        <v>20</v>
      </c>
      <c r="U206" s="2">
        <v>0.27</v>
      </c>
      <c r="V206" s="2">
        <v>7.0000000000000007E-2</v>
      </c>
      <c r="W206" s="2">
        <v>0.15</v>
      </c>
      <c r="X206" s="2">
        <v>0.23</v>
      </c>
      <c r="Y206" s="2">
        <v>0.32</v>
      </c>
      <c r="Z206" s="2">
        <v>0.21</v>
      </c>
      <c r="AA206" s="2">
        <v>0.28000000000000003</v>
      </c>
      <c r="AB206" s="2">
        <v>0.1</v>
      </c>
      <c r="AC206" s="2">
        <v>0.08</v>
      </c>
      <c r="AD206" s="2">
        <v>0.08</v>
      </c>
      <c r="AE206" s="2">
        <v>0.08</v>
      </c>
      <c r="AF206" s="2">
        <v>0.08</v>
      </c>
      <c r="AG206" s="2">
        <v>7.0000000000000007E-2</v>
      </c>
      <c r="AH206" s="2">
        <v>0.06</v>
      </c>
      <c r="AI206" s="2">
        <v>0.27</v>
      </c>
      <c r="AJ206" s="2">
        <v>0.27</v>
      </c>
      <c r="AM206" s="1" t="s">
        <v>20</v>
      </c>
      <c r="AN206" s="2">
        <v>32.28</v>
      </c>
      <c r="AO206" s="2">
        <v>51</v>
      </c>
      <c r="AP206" s="2">
        <v>23.8</v>
      </c>
      <c r="AQ206" s="2">
        <v>27.9</v>
      </c>
      <c r="AR206" s="2">
        <v>45.24</v>
      </c>
      <c r="AS206" s="2">
        <v>45.24</v>
      </c>
      <c r="AT206" s="2">
        <v>15.75</v>
      </c>
      <c r="AU206" s="2">
        <v>13.78</v>
      </c>
      <c r="AV206" s="2">
        <v>40.32</v>
      </c>
      <c r="AW206" s="2">
        <v>24.3</v>
      </c>
      <c r="AX206" s="2">
        <v>43.96</v>
      </c>
      <c r="AY206" s="2">
        <v>32.01</v>
      </c>
      <c r="AZ206" s="2">
        <v>45.24</v>
      </c>
      <c r="BA206" s="2">
        <v>45.24</v>
      </c>
      <c r="BB206" s="2">
        <v>13.02</v>
      </c>
      <c r="BC206" s="2">
        <v>13.14</v>
      </c>
    </row>
    <row r="207" spans="20:55" x14ac:dyDescent="0.3">
      <c r="T207" s="1" t="s">
        <v>21</v>
      </c>
      <c r="U207" s="2">
        <v>0.33</v>
      </c>
      <c r="V207" s="2">
        <v>0.09</v>
      </c>
      <c r="W207" s="2">
        <v>0.21</v>
      </c>
      <c r="X207" s="2">
        <v>0.3</v>
      </c>
      <c r="Y207" s="2">
        <v>0.39</v>
      </c>
      <c r="Z207" s="2">
        <v>0.21</v>
      </c>
      <c r="AA207" s="2">
        <v>0.28999999999999998</v>
      </c>
      <c r="AB207" s="2">
        <v>0.11</v>
      </c>
      <c r="AC207" s="2">
        <v>0.01</v>
      </c>
      <c r="AD207" s="2">
        <v>0.03</v>
      </c>
      <c r="AE207" s="2">
        <v>0.01</v>
      </c>
      <c r="AF207" s="2">
        <v>0.02</v>
      </c>
      <c r="AG207" s="2">
        <v>0.02</v>
      </c>
      <c r="AH207" s="2">
        <v>0</v>
      </c>
      <c r="AI207" s="2">
        <v>0.18</v>
      </c>
      <c r="AJ207" s="2">
        <v>0.31</v>
      </c>
      <c r="AM207" s="1" t="s">
        <v>21</v>
      </c>
      <c r="AN207" s="2">
        <v>96.01</v>
      </c>
      <c r="AO207" s="2">
        <v>126</v>
      </c>
      <c r="AP207" s="2">
        <v>78.34</v>
      </c>
      <c r="AQ207" s="2">
        <v>126.6</v>
      </c>
      <c r="AR207" s="2">
        <v>138</v>
      </c>
      <c r="AS207" s="2">
        <v>106.86</v>
      </c>
      <c r="AT207" s="2">
        <v>34.96</v>
      </c>
      <c r="AU207" s="2">
        <v>23.76</v>
      </c>
      <c r="AV207" s="2">
        <v>99.36</v>
      </c>
      <c r="AW207" s="2">
        <v>115.03</v>
      </c>
      <c r="AX207" s="2">
        <v>133.86000000000001</v>
      </c>
      <c r="AY207" s="2">
        <v>185.77</v>
      </c>
      <c r="AZ207" s="2">
        <v>152.12</v>
      </c>
      <c r="BA207" s="2">
        <v>126.36</v>
      </c>
      <c r="BB207" s="2">
        <v>23.31</v>
      </c>
      <c r="BC207" s="2">
        <v>47.52</v>
      </c>
    </row>
    <row r="208" spans="20:55" x14ac:dyDescent="0.3">
      <c r="T208" s="1" t="s">
        <v>22</v>
      </c>
      <c r="U208" s="2">
        <v>0.28999999999999998</v>
      </c>
      <c r="V208" s="2">
        <v>0.2</v>
      </c>
      <c r="W208" s="2">
        <v>0.24</v>
      </c>
      <c r="X208" s="2">
        <v>0.31</v>
      </c>
      <c r="Y208" s="2">
        <v>0.36</v>
      </c>
      <c r="Z208" s="2">
        <v>0.32</v>
      </c>
      <c r="AA208" s="2">
        <v>0.16</v>
      </c>
      <c r="AB208" s="2">
        <v>0.13</v>
      </c>
      <c r="AC208" s="2">
        <v>0.06</v>
      </c>
      <c r="AD208" s="2">
        <v>0.59</v>
      </c>
      <c r="AE208" s="2">
        <v>0.05</v>
      </c>
      <c r="AF208" s="2">
        <v>0.01</v>
      </c>
      <c r="AG208" s="2">
        <v>0</v>
      </c>
      <c r="AH208" s="2">
        <v>0</v>
      </c>
      <c r="AI208" s="2">
        <v>0.27</v>
      </c>
      <c r="AJ208" s="2">
        <v>0.26</v>
      </c>
      <c r="AM208" s="1" t="s">
        <v>22</v>
      </c>
      <c r="AN208" s="2">
        <v>46.55</v>
      </c>
      <c r="AO208" s="2">
        <v>48</v>
      </c>
      <c r="AP208" s="2">
        <v>48.33</v>
      </c>
      <c r="AQ208" s="2">
        <v>43.89</v>
      </c>
      <c r="AR208" s="2">
        <v>64.739999999999995</v>
      </c>
      <c r="AS208" s="2">
        <v>51.74</v>
      </c>
      <c r="AT208" s="2">
        <v>5.25</v>
      </c>
      <c r="AU208" s="2">
        <v>8.64</v>
      </c>
      <c r="AV208" s="2">
        <v>36.43</v>
      </c>
      <c r="AW208" s="2">
        <v>35.83</v>
      </c>
      <c r="AX208" s="2">
        <v>71.12</v>
      </c>
      <c r="AY208" s="2">
        <v>43.89</v>
      </c>
      <c r="AZ208" s="2">
        <v>32.24</v>
      </c>
      <c r="BA208" s="2">
        <v>32.24</v>
      </c>
      <c r="BB208" s="2">
        <v>5.25</v>
      </c>
      <c r="BC208" s="2">
        <v>6.95</v>
      </c>
    </row>
    <row r="209" spans="20:55" x14ac:dyDescent="0.3">
      <c r="T209" s="1" t="s">
        <v>23</v>
      </c>
      <c r="U209" s="2">
        <v>0.26</v>
      </c>
      <c r="V209" s="2">
        <v>0.27</v>
      </c>
      <c r="W209" s="2">
        <v>0.27</v>
      </c>
      <c r="X209" s="2">
        <v>0.28999999999999998</v>
      </c>
      <c r="Y209" s="2">
        <v>0.26</v>
      </c>
      <c r="Z209" s="2">
        <v>0.28000000000000003</v>
      </c>
      <c r="AA209" s="2">
        <v>7.0000000000000007E-2</v>
      </c>
      <c r="AB209" s="2">
        <v>0.11</v>
      </c>
      <c r="AC209" s="2">
        <v>0.08</v>
      </c>
      <c r="AD209" s="2">
        <v>0.05</v>
      </c>
      <c r="AE209" s="2">
        <v>0.09</v>
      </c>
      <c r="AF209" s="2">
        <v>0.05</v>
      </c>
      <c r="AG209" s="2">
        <v>0.03</v>
      </c>
      <c r="AH209" s="2">
        <v>0.02</v>
      </c>
      <c r="AI209" s="2">
        <v>0.28999999999999998</v>
      </c>
      <c r="AJ209" s="2">
        <v>0.28000000000000003</v>
      </c>
      <c r="AM209" s="1" t="s">
        <v>23</v>
      </c>
      <c r="AN209" s="2">
        <v>141.51</v>
      </c>
      <c r="AO209" s="2">
        <v>225</v>
      </c>
      <c r="AP209" s="2">
        <v>219.8</v>
      </c>
      <c r="AQ209" s="2">
        <v>179.85</v>
      </c>
      <c r="AR209" s="2">
        <v>210.6</v>
      </c>
      <c r="AS209" s="2">
        <v>210.6</v>
      </c>
      <c r="AT209" s="2">
        <v>26.25</v>
      </c>
      <c r="AU209" s="2">
        <v>70.63</v>
      </c>
      <c r="AV209" s="2">
        <v>130.97999999999999</v>
      </c>
      <c r="AW209" s="2">
        <v>216.83</v>
      </c>
      <c r="AX209" s="2">
        <v>152.6</v>
      </c>
      <c r="AY209" s="2">
        <v>239.25</v>
      </c>
      <c r="AZ209" s="2">
        <v>193.7</v>
      </c>
      <c r="BA209" s="2">
        <v>193.7</v>
      </c>
      <c r="BB209" s="2">
        <v>26.25</v>
      </c>
      <c r="BC209" s="2">
        <v>62.28</v>
      </c>
    </row>
    <row r="210" spans="20:55" x14ac:dyDescent="0.3">
      <c r="T210" s="1" t="s">
        <v>24</v>
      </c>
      <c r="U210" s="2">
        <v>0.28000000000000003</v>
      </c>
      <c r="V210" s="2">
        <v>0.26</v>
      </c>
      <c r="W210" s="2">
        <v>0.23</v>
      </c>
      <c r="X210" s="2">
        <v>0.33</v>
      </c>
      <c r="Y210" s="2">
        <v>0.37</v>
      </c>
      <c r="Z210" s="2">
        <v>0.38</v>
      </c>
      <c r="AA210" s="2">
        <v>0.16</v>
      </c>
      <c r="AB210" s="2">
        <v>0.28000000000000003</v>
      </c>
      <c r="AC210" s="2">
        <v>7.0000000000000007E-2</v>
      </c>
      <c r="AD210" s="2">
        <v>0.03</v>
      </c>
      <c r="AE210" s="2">
        <v>0.06</v>
      </c>
      <c r="AF210" s="2">
        <v>0.03</v>
      </c>
      <c r="AG210" s="2">
        <v>0.03</v>
      </c>
      <c r="AH210" s="2">
        <v>0.02</v>
      </c>
      <c r="AI210" s="2">
        <v>0.21</v>
      </c>
      <c r="AJ210" s="2">
        <v>0.24</v>
      </c>
      <c r="AM210" s="1" t="s">
        <v>24</v>
      </c>
      <c r="AN210" s="2">
        <v>30.59</v>
      </c>
      <c r="AO210" s="2">
        <v>21.84</v>
      </c>
      <c r="AP210" s="2">
        <v>54.66</v>
      </c>
      <c r="AQ210" s="2">
        <v>32.01</v>
      </c>
      <c r="AR210" s="2">
        <v>32.24</v>
      </c>
      <c r="AS210" s="2">
        <v>25.74</v>
      </c>
      <c r="AT210" s="2">
        <v>15.75</v>
      </c>
      <c r="AU210" s="2">
        <v>4.82</v>
      </c>
      <c r="AV210" s="2">
        <v>14.54</v>
      </c>
      <c r="AW210" s="2">
        <v>21</v>
      </c>
      <c r="AX210" s="2">
        <v>43.87</v>
      </c>
      <c r="AY210" s="2">
        <v>22.19</v>
      </c>
      <c r="AZ210" s="2">
        <v>35.619999999999997</v>
      </c>
      <c r="BA210" s="2">
        <v>29.12</v>
      </c>
      <c r="BB210" s="2">
        <v>13.03</v>
      </c>
      <c r="BC210" s="2">
        <v>3.22</v>
      </c>
    </row>
    <row r="211" spans="20:55" x14ac:dyDescent="0.3">
      <c r="T211" s="1" t="s">
        <v>25</v>
      </c>
      <c r="U211" s="2">
        <v>0.28000000000000003</v>
      </c>
      <c r="V211" s="2">
        <v>0.27</v>
      </c>
      <c r="W211" s="2">
        <v>0.22</v>
      </c>
      <c r="X211" s="2">
        <v>0.2</v>
      </c>
      <c r="Y211" s="2">
        <v>0.26</v>
      </c>
      <c r="Z211" s="2">
        <v>0.31</v>
      </c>
      <c r="AA211" s="2">
        <v>0.1</v>
      </c>
      <c r="AB211" s="2">
        <v>0.15</v>
      </c>
      <c r="AC211" s="2">
        <v>0.05</v>
      </c>
      <c r="AD211" s="2">
        <v>0.04</v>
      </c>
      <c r="AE211" s="2">
        <v>0.04</v>
      </c>
      <c r="AF211" s="2">
        <v>0.03</v>
      </c>
      <c r="AG211" s="2">
        <v>0.59</v>
      </c>
      <c r="AH211" s="2">
        <v>0.01</v>
      </c>
      <c r="AI211" s="2">
        <v>0.26</v>
      </c>
      <c r="AJ211" s="2">
        <v>0.26</v>
      </c>
      <c r="AM211" s="1" t="s">
        <v>25</v>
      </c>
      <c r="AN211" s="2">
        <v>130.38999999999999</v>
      </c>
      <c r="AO211" s="2">
        <v>113.85</v>
      </c>
      <c r="AP211" s="2">
        <v>157.74</v>
      </c>
      <c r="AQ211" s="2">
        <v>178.49</v>
      </c>
      <c r="AR211" s="2">
        <v>107</v>
      </c>
      <c r="AS211" s="2">
        <v>77.349999999999994</v>
      </c>
      <c r="AT211" s="2">
        <v>23.31</v>
      </c>
      <c r="AU211" s="2">
        <v>24.77</v>
      </c>
      <c r="AV211" s="2">
        <v>172.8</v>
      </c>
      <c r="AW211" s="2">
        <v>108</v>
      </c>
      <c r="AX211" s="2">
        <v>137.72999999999999</v>
      </c>
      <c r="AY211" s="2">
        <v>92.47</v>
      </c>
      <c r="AZ211" s="2">
        <v>100.08</v>
      </c>
      <c r="BA211" s="2">
        <v>79.319999999999993</v>
      </c>
      <c r="BB211" s="2">
        <v>34.979999999999997</v>
      </c>
      <c r="BC211" s="2">
        <v>23.74</v>
      </c>
    </row>
    <row r="212" spans="20:55" x14ac:dyDescent="0.3">
      <c r="T212" s="1" t="s">
        <v>26</v>
      </c>
      <c r="U212" s="2">
        <v>0.08</v>
      </c>
      <c r="V212" s="2">
        <v>0.09</v>
      </c>
      <c r="W212" s="2">
        <v>0.1</v>
      </c>
      <c r="X212" s="2">
        <v>0.01</v>
      </c>
      <c r="Y212" s="2">
        <v>0.18</v>
      </c>
      <c r="Z212" s="2">
        <v>0.18</v>
      </c>
      <c r="AA212" s="2">
        <v>0.05</v>
      </c>
      <c r="AB212" s="2">
        <v>0.04</v>
      </c>
      <c r="AC212" s="2">
        <v>7.0000000000000007E-2</v>
      </c>
      <c r="AD212" s="2">
        <v>7.0000000000000007E-2</v>
      </c>
      <c r="AE212" s="2">
        <v>7.0000000000000007E-2</v>
      </c>
      <c r="AF212" s="2">
        <v>7.0000000000000007E-2</v>
      </c>
      <c r="AG212" s="2">
        <v>0</v>
      </c>
      <c r="AH212" s="2">
        <v>0.01</v>
      </c>
      <c r="AI212" s="2">
        <v>0.19</v>
      </c>
      <c r="AJ212" s="2">
        <v>0.21</v>
      </c>
      <c r="AM212" s="1" t="s">
        <v>26</v>
      </c>
      <c r="AN212" s="2">
        <v>251.28</v>
      </c>
      <c r="AO212" s="2">
        <v>108</v>
      </c>
      <c r="AP212" s="2">
        <v>152.88</v>
      </c>
      <c r="AQ212" s="2">
        <v>60.39</v>
      </c>
      <c r="AR212" s="2">
        <v>9.36</v>
      </c>
      <c r="AS212" s="2">
        <v>9.36</v>
      </c>
      <c r="AT212" s="2">
        <v>0</v>
      </c>
      <c r="AU212" s="2">
        <v>41.52</v>
      </c>
      <c r="AV212" s="2">
        <v>199.44</v>
      </c>
      <c r="AW212" s="2">
        <v>27</v>
      </c>
      <c r="AX212" s="2">
        <v>111.72</v>
      </c>
      <c r="AY212" s="2">
        <v>23.76</v>
      </c>
      <c r="AZ212" s="2">
        <v>9.36</v>
      </c>
      <c r="BA212" s="2">
        <v>9.36</v>
      </c>
      <c r="BB212" s="2">
        <v>0</v>
      </c>
      <c r="BC212" s="2">
        <v>9.35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252.7</v>
      </c>
      <c r="AO219" s="2">
        <v>235.9</v>
      </c>
      <c r="AP219" s="2">
        <v>50.4</v>
      </c>
      <c r="AQ219" s="2">
        <v>92.4</v>
      </c>
      <c r="AR219" s="2">
        <v>109.9</v>
      </c>
      <c r="AS219" s="2">
        <v>127.4</v>
      </c>
      <c r="AT219" s="2">
        <v>33.6</v>
      </c>
      <c r="AU219" s="2">
        <v>59.5</v>
      </c>
      <c r="AV219" s="2">
        <v>35</v>
      </c>
      <c r="AW219" s="2">
        <v>25.9</v>
      </c>
      <c r="AX219" s="2">
        <v>35</v>
      </c>
      <c r="AY219" s="2">
        <v>25.9</v>
      </c>
      <c r="AZ219" s="2">
        <v>8.4</v>
      </c>
      <c r="BA219" s="2">
        <v>8.4</v>
      </c>
      <c r="BB219" s="2">
        <v>60.2</v>
      </c>
      <c r="BC219" s="2">
        <v>112.7</v>
      </c>
    </row>
    <row r="220" spans="20:55" x14ac:dyDescent="0.3">
      <c r="T220" s="1" t="s">
        <v>20</v>
      </c>
      <c r="U220" s="2">
        <v>0.7</v>
      </c>
      <c r="V220" s="2">
        <v>0.09</v>
      </c>
      <c r="W220" s="2">
        <v>0.19</v>
      </c>
      <c r="X220" s="2">
        <v>0.69</v>
      </c>
      <c r="Y220" s="2">
        <v>0.69</v>
      </c>
      <c r="Z220" s="2">
        <v>0.32</v>
      </c>
      <c r="AA220" s="2">
        <v>0.98</v>
      </c>
      <c r="AB220" s="2">
        <v>0.22</v>
      </c>
      <c r="AC220" s="2">
        <v>0.11</v>
      </c>
      <c r="AD220" s="2">
        <v>0.09</v>
      </c>
      <c r="AE220" s="2">
        <v>0.11</v>
      </c>
      <c r="AF220" s="2">
        <v>0.09</v>
      </c>
      <c r="AG220" s="2">
        <v>0.08</v>
      </c>
      <c r="AH220" s="2">
        <v>7.0000000000000007E-2</v>
      </c>
      <c r="AI220" s="2">
        <v>0.23</v>
      </c>
      <c r="AJ220" s="2">
        <v>0.24</v>
      </c>
      <c r="AM220" s="1" t="s">
        <v>20</v>
      </c>
      <c r="AN220" s="2">
        <v>13.45</v>
      </c>
      <c r="AO220" s="2">
        <v>16.8</v>
      </c>
      <c r="AP220" s="2">
        <v>20.399999999999999</v>
      </c>
      <c r="AQ220" s="2">
        <v>9.7200000000000006</v>
      </c>
      <c r="AR220" s="2">
        <v>8.5</v>
      </c>
      <c r="AS220" s="2">
        <v>15.7</v>
      </c>
      <c r="AT220" s="2">
        <v>8.4600000000000009</v>
      </c>
      <c r="AU220" s="2">
        <v>9.6999999999999993</v>
      </c>
      <c r="AV220" s="2">
        <v>17.399999999999999</v>
      </c>
      <c r="AW220" s="2">
        <v>17.399999999999999</v>
      </c>
      <c r="AX220" s="2">
        <v>17.399999999999999</v>
      </c>
      <c r="AY220" s="2">
        <v>17.399999999999999</v>
      </c>
      <c r="AZ220" s="2">
        <v>7.5</v>
      </c>
      <c r="BA220" s="2">
        <v>6.2</v>
      </c>
      <c r="BB220" s="2">
        <v>17.22</v>
      </c>
      <c r="BC220" s="2">
        <v>16.43</v>
      </c>
    </row>
    <row r="221" spans="20:55" x14ac:dyDescent="0.3">
      <c r="T221" s="1" t="s">
        <v>21</v>
      </c>
      <c r="U221" s="2">
        <v>2.13</v>
      </c>
      <c r="V221" s="2">
        <v>0.24</v>
      </c>
      <c r="W221" s="2">
        <v>0.56999999999999995</v>
      </c>
      <c r="X221" s="2">
        <v>1.17</v>
      </c>
      <c r="Y221" s="2">
        <v>2.4</v>
      </c>
      <c r="Z221" s="2">
        <v>0.4</v>
      </c>
      <c r="AA221" s="2">
        <v>1.73</v>
      </c>
      <c r="AB221" s="2">
        <v>0.28000000000000003</v>
      </c>
      <c r="AC221" s="2">
        <v>0.02</v>
      </c>
      <c r="AD221" s="2">
        <v>0.03</v>
      </c>
      <c r="AE221" s="2">
        <v>0.02</v>
      </c>
      <c r="AF221" s="2">
        <v>0.03</v>
      </c>
      <c r="AG221" s="2">
        <v>0.03</v>
      </c>
      <c r="AH221" s="2">
        <v>0</v>
      </c>
      <c r="AI221" s="2">
        <v>0.17</v>
      </c>
      <c r="AJ221" s="2">
        <v>0.37</v>
      </c>
      <c r="AM221" s="1" t="s">
        <v>21</v>
      </c>
      <c r="AN221" s="2">
        <v>40</v>
      </c>
      <c r="AO221" s="2">
        <v>41.4</v>
      </c>
      <c r="AP221" s="2">
        <v>50.4</v>
      </c>
      <c r="AQ221" s="2">
        <v>46.01</v>
      </c>
      <c r="AR221" s="2">
        <v>27.98</v>
      </c>
      <c r="AS221" s="2">
        <v>47.81</v>
      </c>
      <c r="AT221" s="2">
        <v>38.36</v>
      </c>
      <c r="AU221" s="2">
        <v>56.29</v>
      </c>
      <c r="AV221" s="2">
        <v>53.08</v>
      </c>
      <c r="AW221" s="2">
        <v>58.51</v>
      </c>
      <c r="AX221" s="2">
        <v>41.1</v>
      </c>
      <c r="AY221" s="2">
        <v>48.6</v>
      </c>
      <c r="AZ221" s="2">
        <v>16.649999999999999</v>
      </c>
      <c r="BA221" s="2">
        <v>11.1</v>
      </c>
      <c r="BB221" s="2">
        <v>29.7</v>
      </c>
      <c r="BC221" s="2">
        <v>59.4</v>
      </c>
    </row>
    <row r="222" spans="20:55" x14ac:dyDescent="0.3">
      <c r="T222" s="1" t="s">
        <v>22</v>
      </c>
      <c r="U222" s="2">
        <v>0.8</v>
      </c>
      <c r="V222" s="2">
        <v>0.51</v>
      </c>
      <c r="W222" s="2">
        <v>0.48</v>
      </c>
      <c r="X222" s="2">
        <v>0.87</v>
      </c>
      <c r="Y222" s="2">
        <v>1.1499999999999999</v>
      </c>
      <c r="Z222" s="2">
        <v>0.71</v>
      </c>
      <c r="AA222" s="2">
        <v>0.28000000000000003</v>
      </c>
      <c r="AB222" s="2">
        <v>0.23</v>
      </c>
      <c r="AC222" s="2">
        <v>0.06</v>
      </c>
      <c r="AD222" s="2">
        <v>0</v>
      </c>
      <c r="AE222" s="2">
        <v>0.06</v>
      </c>
      <c r="AF222" s="2">
        <v>0</v>
      </c>
      <c r="AG222" s="2">
        <v>0</v>
      </c>
      <c r="AH222" s="2">
        <v>0</v>
      </c>
      <c r="AI222" s="2">
        <v>0.25</v>
      </c>
      <c r="AJ222" s="2">
        <v>0.24</v>
      </c>
      <c r="AM222" s="1" t="s">
        <v>22</v>
      </c>
      <c r="AN222" s="2">
        <v>19.39</v>
      </c>
      <c r="AO222" s="2">
        <v>15.18</v>
      </c>
      <c r="AP222" s="2">
        <v>19.2</v>
      </c>
      <c r="AQ222" s="2">
        <v>14.33</v>
      </c>
      <c r="AR222" s="2">
        <v>17.260000000000002</v>
      </c>
      <c r="AS222" s="2">
        <v>25.4</v>
      </c>
      <c r="AT222" s="2">
        <v>13.3</v>
      </c>
      <c r="AU222" s="2">
        <v>13.3</v>
      </c>
      <c r="AV222" s="2">
        <v>24.9</v>
      </c>
      <c r="AW222" s="2">
        <v>12.4</v>
      </c>
      <c r="AX222" s="2">
        <v>19.899999999999999</v>
      </c>
      <c r="AY222" s="2">
        <v>12.4</v>
      </c>
      <c r="AZ222" s="2">
        <v>2.5</v>
      </c>
      <c r="BA222" s="2">
        <v>2.5</v>
      </c>
      <c r="BB222" s="2">
        <v>10.8</v>
      </c>
      <c r="BC222" s="2">
        <v>8.69</v>
      </c>
    </row>
    <row r="223" spans="20:55" x14ac:dyDescent="0.3">
      <c r="T223" s="1" t="s">
        <v>23</v>
      </c>
      <c r="U223" s="2">
        <v>0.72</v>
      </c>
      <c r="V223" s="2">
        <v>0.73</v>
      </c>
      <c r="W223" s="2">
        <v>0.76</v>
      </c>
      <c r="X223" s="2">
        <v>0.83</v>
      </c>
      <c r="Y223" s="2">
        <v>0.47</v>
      </c>
      <c r="Z223" s="2">
        <v>0.49</v>
      </c>
      <c r="AA223" s="2">
        <v>0.09</v>
      </c>
      <c r="AB223" s="2">
        <v>0.16</v>
      </c>
      <c r="AC223" s="2">
        <v>0.08</v>
      </c>
      <c r="AD223" s="2">
        <v>0.05</v>
      </c>
      <c r="AE223" s="2">
        <v>0.09</v>
      </c>
      <c r="AF223" s="2">
        <v>0.05</v>
      </c>
      <c r="AG223" s="2">
        <v>0.02</v>
      </c>
      <c r="AH223" s="2">
        <v>0.02</v>
      </c>
      <c r="AI223" s="2">
        <v>0.26</v>
      </c>
      <c r="AJ223" s="2">
        <v>0.26</v>
      </c>
      <c r="AM223" s="1" t="s">
        <v>23</v>
      </c>
      <c r="AN223" s="2">
        <v>58.96</v>
      </c>
      <c r="AO223" s="2">
        <v>54.58</v>
      </c>
      <c r="AP223" s="2">
        <v>90</v>
      </c>
      <c r="AQ223" s="2">
        <v>86.73</v>
      </c>
      <c r="AR223" s="2">
        <v>78.5</v>
      </c>
      <c r="AS223" s="2">
        <v>54.5</v>
      </c>
      <c r="AT223" s="2">
        <v>54.5</v>
      </c>
      <c r="AU223" s="2">
        <v>72.5</v>
      </c>
      <c r="AV223" s="2">
        <v>81</v>
      </c>
      <c r="AW223" s="2">
        <v>74.5</v>
      </c>
      <c r="AX223" s="2">
        <v>81</v>
      </c>
      <c r="AY223" s="2">
        <v>74.5</v>
      </c>
      <c r="AZ223" s="2">
        <v>12.5</v>
      </c>
      <c r="BA223" s="2">
        <v>12.5</v>
      </c>
      <c r="BB223" s="2">
        <v>88.29</v>
      </c>
      <c r="BC223" s="2">
        <v>77.849999999999994</v>
      </c>
    </row>
    <row r="224" spans="20:55" x14ac:dyDescent="0.3">
      <c r="T224" s="1" t="s">
        <v>24</v>
      </c>
      <c r="U224" s="2">
        <v>0.73</v>
      </c>
      <c r="V224" s="2">
        <v>0.69</v>
      </c>
      <c r="W224" s="2">
        <v>0.38</v>
      </c>
      <c r="X224" s="2">
        <v>0.81</v>
      </c>
      <c r="Y224" s="2">
        <v>0.93</v>
      </c>
      <c r="Z224" s="2">
        <v>0.93</v>
      </c>
      <c r="AA224" s="2">
        <v>0.23</v>
      </c>
      <c r="AB224" s="2">
        <v>0.71</v>
      </c>
      <c r="AC224" s="2">
        <v>0.05</v>
      </c>
      <c r="AD224" s="2">
        <v>0.02</v>
      </c>
      <c r="AE224" s="2">
        <v>0.05</v>
      </c>
      <c r="AF224" s="2">
        <v>0.02</v>
      </c>
      <c r="AG224" s="2">
        <v>0.03</v>
      </c>
      <c r="AH224" s="2">
        <v>0.01</v>
      </c>
      <c r="AI224" s="2">
        <v>0.13</v>
      </c>
      <c r="AJ224" s="2">
        <v>0.22</v>
      </c>
      <c r="AM224" s="1" t="s">
        <v>24</v>
      </c>
      <c r="AN224" s="2">
        <v>12.74</v>
      </c>
      <c r="AO224" s="2">
        <v>6.06</v>
      </c>
      <c r="AP224" s="2">
        <v>8.74</v>
      </c>
      <c r="AQ224" s="2">
        <v>8.4</v>
      </c>
      <c r="AR224" s="2">
        <v>19.52</v>
      </c>
      <c r="AS224" s="2">
        <v>15.67</v>
      </c>
      <c r="AT224" s="2">
        <v>9.6999999999999993</v>
      </c>
      <c r="AU224" s="2">
        <v>6.72</v>
      </c>
      <c r="AV224" s="2">
        <v>12.4</v>
      </c>
      <c r="AW224" s="2">
        <v>13.7</v>
      </c>
      <c r="AX224" s="2">
        <v>9.9</v>
      </c>
      <c r="AY224" s="2">
        <v>11.2</v>
      </c>
      <c r="AZ224" s="2">
        <v>7.5</v>
      </c>
      <c r="BA224" s="2">
        <v>6.21</v>
      </c>
      <c r="BB224" s="2">
        <v>6.02</v>
      </c>
      <c r="BC224" s="2">
        <v>4.03</v>
      </c>
    </row>
    <row r="225" spans="20:55" x14ac:dyDescent="0.3">
      <c r="T225" s="1" t="s">
        <v>25</v>
      </c>
      <c r="U225" s="2">
        <v>0.94</v>
      </c>
      <c r="V225" s="2">
        <v>0.87</v>
      </c>
      <c r="W225" s="2">
        <v>0.64</v>
      </c>
      <c r="X225" s="2">
        <v>0.5</v>
      </c>
      <c r="Y225" s="2">
        <v>0.62</v>
      </c>
      <c r="Z225" s="2">
        <v>0.81</v>
      </c>
      <c r="AA225" s="2">
        <v>0.2</v>
      </c>
      <c r="AB225" s="2">
        <v>0.36</v>
      </c>
      <c r="AC225" s="2">
        <v>0.06</v>
      </c>
      <c r="AD225" s="2">
        <v>0.05</v>
      </c>
      <c r="AE225" s="2">
        <v>0.06</v>
      </c>
      <c r="AF225" s="2">
        <v>0.05</v>
      </c>
      <c r="AG225" s="2">
        <v>0</v>
      </c>
      <c r="AH225" s="2">
        <v>0.01</v>
      </c>
      <c r="AI225" s="2">
        <v>0.28999999999999998</v>
      </c>
      <c r="AJ225" s="2">
        <v>0.27</v>
      </c>
      <c r="AM225" s="1" t="s">
        <v>25</v>
      </c>
      <c r="AN225" s="2">
        <v>54.33</v>
      </c>
      <c r="AO225" s="2">
        <v>72</v>
      </c>
      <c r="AP225" s="2">
        <v>45.54</v>
      </c>
      <c r="AQ225" s="2">
        <v>43.2</v>
      </c>
      <c r="AR225" s="2">
        <v>56.34</v>
      </c>
      <c r="AS225" s="2">
        <v>49.19</v>
      </c>
      <c r="AT225" s="2">
        <v>54.09</v>
      </c>
      <c r="AU225" s="2">
        <v>28.02</v>
      </c>
      <c r="AV225" s="2">
        <v>41.16</v>
      </c>
      <c r="AW225" s="2">
        <v>38.49</v>
      </c>
      <c r="AX225" s="2">
        <v>29.75</v>
      </c>
      <c r="AY225" s="2">
        <v>30.51</v>
      </c>
      <c r="AZ225" s="2">
        <v>11.1</v>
      </c>
      <c r="BA225" s="2">
        <v>16.66</v>
      </c>
      <c r="BB225" s="2">
        <v>30.96</v>
      </c>
      <c r="BC225" s="2">
        <v>29.67</v>
      </c>
    </row>
    <row r="226" spans="20:55" x14ac:dyDescent="0.3">
      <c r="T226" s="1" t="s">
        <v>26</v>
      </c>
      <c r="U226" s="2">
        <v>0.11</v>
      </c>
      <c r="V226" s="2">
        <v>0.11</v>
      </c>
      <c r="W226" s="2">
        <v>0.17</v>
      </c>
      <c r="X226" s="2">
        <v>0</v>
      </c>
      <c r="Y226" s="2">
        <v>0.19</v>
      </c>
      <c r="Z226" s="2">
        <v>0.15</v>
      </c>
      <c r="AA226" s="2">
        <v>0.08</v>
      </c>
      <c r="AB226" s="2">
        <v>0.05</v>
      </c>
      <c r="AC226" s="2">
        <v>0.1</v>
      </c>
      <c r="AD226" s="2">
        <v>0.12</v>
      </c>
      <c r="AE226" s="2">
        <v>0.1</v>
      </c>
      <c r="AF226" s="2">
        <v>0.12</v>
      </c>
      <c r="AG226" s="2">
        <v>0</v>
      </c>
      <c r="AH226" s="2">
        <v>0</v>
      </c>
      <c r="AI226" s="2">
        <v>0.15</v>
      </c>
      <c r="AJ226" s="2">
        <v>0.17</v>
      </c>
      <c r="AM226" s="1" t="s">
        <v>26</v>
      </c>
      <c r="AN226" s="2">
        <v>104.7</v>
      </c>
      <c r="AO226" s="2">
        <v>83.1</v>
      </c>
      <c r="AP226" s="2">
        <v>43.2</v>
      </c>
      <c r="AQ226" s="2">
        <v>10.8</v>
      </c>
      <c r="AR226" s="2">
        <v>54.6</v>
      </c>
      <c r="AS226" s="2">
        <v>39.9</v>
      </c>
      <c r="AT226" s="2">
        <v>18.3</v>
      </c>
      <c r="AU226" s="2">
        <v>7.2</v>
      </c>
      <c r="AV226" s="2">
        <v>3.6</v>
      </c>
      <c r="AW226" s="2">
        <v>3.6</v>
      </c>
      <c r="AX226" s="2">
        <v>3.6</v>
      </c>
      <c r="AY226" s="2">
        <v>3.6</v>
      </c>
      <c r="AZ226" s="2">
        <v>0</v>
      </c>
      <c r="BA226" s="2">
        <v>0</v>
      </c>
      <c r="BB226" s="2">
        <v>51.9</v>
      </c>
      <c r="BC226" s="2">
        <v>11.69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26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2.4</v>
      </c>
      <c r="D3">
        <v>2.5</v>
      </c>
      <c r="E3">
        <v>2.8</v>
      </c>
      <c r="F3">
        <v>3.3</v>
      </c>
      <c r="G3">
        <v>2.6</v>
      </c>
      <c r="H3">
        <v>2.6</v>
      </c>
      <c r="I3">
        <v>2.1</v>
      </c>
      <c r="J3">
        <v>0.8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12872.16</v>
      </c>
      <c r="V9" s="2">
        <v>12519.36</v>
      </c>
      <c r="W9" s="2">
        <v>12813.5</v>
      </c>
      <c r="X9" s="2">
        <v>2648.38</v>
      </c>
      <c r="Y9" s="2">
        <v>5933.16</v>
      </c>
      <c r="Z9" s="2">
        <v>5206.71</v>
      </c>
      <c r="AA9" s="2">
        <v>2546.9899999999998</v>
      </c>
      <c r="AB9" s="2">
        <v>2149.81</v>
      </c>
      <c r="AC9" s="2">
        <v>2300.5</v>
      </c>
      <c r="AD9" s="2">
        <v>2825.7</v>
      </c>
      <c r="AE9" s="2">
        <v>2300.5</v>
      </c>
      <c r="AF9" s="2">
        <v>7067.06</v>
      </c>
      <c r="AG9" s="2">
        <v>759.9</v>
      </c>
      <c r="AH9" s="2">
        <v>686.83</v>
      </c>
      <c r="AI9" s="2">
        <v>8656.48</v>
      </c>
      <c r="AJ9" s="2">
        <v>6746.22</v>
      </c>
      <c r="AM9" s="1" t="s">
        <v>19</v>
      </c>
      <c r="AN9" s="2">
        <v>40320</v>
      </c>
      <c r="AO9" s="2">
        <v>40320</v>
      </c>
      <c r="AP9" s="2">
        <v>52500</v>
      </c>
      <c r="AQ9" s="2">
        <v>47553.87</v>
      </c>
      <c r="AR9" s="2">
        <v>41028.44</v>
      </c>
      <c r="AS9" s="2">
        <v>36574.61</v>
      </c>
      <c r="AT9" s="2">
        <v>45983.8</v>
      </c>
      <c r="AU9" s="2">
        <v>39118.339999999997</v>
      </c>
      <c r="AV9" s="2">
        <v>40573.24</v>
      </c>
      <c r="AW9" s="2">
        <v>49688.58</v>
      </c>
      <c r="AX9" s="2">
        <v>40573.24</v>
      </c>
      <c r="AY9" s="2">
        <v>43680</v>
      </c>
      <c r="AZ9" s="2">
        <v>13360.92</v>
      </c>
      <c r="BA9" s="2">
        <v>12319.73</v>
      </c>
      <c r="BB9" s="2">
        <v>17185.84</v>
      </c>
      <c r="BC9" s="2">
        <v>14282.34</v>
      </c>
      <c r="BF9" s="1" t="s">
        <v>19</v>
      </c>
      <c r="BG9" s="2">
        <v>53192.160000000003</v>
      </c>
      <c r="BH9" s="2">
        <v>52839.360000000001</v>
      </c>
      <c r="BI9" s="2">
        <v>65313.5</v>
      </c>
      <c r="BJ9" s="2">
        <v>50202.25</v>
      </c>
      <c r="BK9" s="2">
        <v>46961.599999999999</v>
      </c>
      <c r="BL9" s="2">
        <v>41781.32</v>
      </c>
      <c r="BM9" s="2">
        <v>48530.79</v>
      </c>
      <c r="BN9" s="2">
        <v>41268.15</v>
      </c>
      <c r="BO9" s="2">
        <v>42873.74</v>
      </c>
      <c r="BP9" s="2">
        <v>52514.28</v>
      </c>
      <c r="BQ9" s="2">
        <v>42873.74</v>
      </c>
      <c r="BR9" s="2">
        <v>50747.06</v>
      </c>
      <c r="BS9" s="2">
        <v>14120.82</v>
      </c>
      <c r="BT9" s="2">
        <v>13006.56</v>
      </c>
      <c r="BU9" s="2">
        <v>25842.32</v>
      </c>
      <c r="BV9" s="2">
        <v>21028.560000000001</v>
      </c>
    </row>
    <row r="10" spans="2:74" x14ac:dyDescent="0.3">
      <c r="B10" s="1" t="s">
        <v>20</v>
      </c>
      <c r="C10" s="2">
        <v>2.1</v>
      </c>
      <c r="D10" s="2">
        <v>1.58</v>
      </c>
      <c r="E10" s="2">
        <v>1.65</v>
      </c>
      <c r="F10" s="2">
        <v>2.1</v>
      </c>
      <c r="G10" s="2">
        <v>2.1</v>
      </c>
      <c r="H10" s="2">
        <v>2.1</v>
      </c>
      <c r="I10" s="2">
        <v>2.1</v>
      </c>
      <c r="J10" s="2">
        <v>2.06</v>
      </c>
      <c r="K10" s="2">
        <v>1.79</v>
      </c>
      <c r="L10" s="2">
        <v>1.39</v>
      </c>
      <c r="M10" s="2">
        <v>1.79</v>
      </c>
      <c r="N10" s="2">
        <v>1.4</v>
      </c>
      <c r="O10" s="2">
        <v>1.85</v>
      </c>
      <c r="P10" s="2">
        <v>1.8</v>
      </c>
      <c r="Q10" s="2">
        <v>2.1</v>
      </c>
      <c r="R10" s="2">
        <v>2.1</v>
      </c>
      <c r="T10" s="1" t="s">
        <v>20</v>
      </c>
      <c r="U10" s="2">
        <v>3739.7</v>
      </c>
      <c r="V10" s="2">
        <v>2036.75</v>
      </c>
      <c r="W10" s="2">
        <v>3664.58</v>
      </c>
      <c r="X10" s="2">
        <v>2596.9699999999998</v>
      </c>
      <c r="Y10" s="2">
        <v>5829.56</v>
      </c>
      <c r="Z10" s="2">
        <v>2852.73</v>
      </c>
      <c r="AA10" s="2">
        <v>5848.6</v>
      </c>
      <c r="AB10" s="2">
        <v>2562.67</v>
      </c>
      <c r="AC10" s="2">
        <v>2402.6999999999998</v>
      </c>
      <c r="AD10" s="2">
        <v>3282.11</v>
      </c>
      <c r="AE10" s="2">
        <v>2402.6999999999998</v>
      </c>
      <c r="AF10" s="2">
        <v>3246.64</v>
      </c>
      <c r="AG10" s="2">
        <v>1626.21</v>
      </c>
      <c r="AH10" s="2">
        <v>1338.41</v>
      </c>
      <c r="AI10" s="2">
        <v>1324.59</v>
      </c>
      <c r="AJ10" s="2">
        <v>1268.44</v>
      </c>
      <c r="AM10" s="1" t="s">
        <v>20</v>
      </c>
      <c r="AN10" s="2">
        <v>15407.98</v>
      </c>
      <c r="AO10" s="2">
        <v>12065.89</v>
      </c>
      <c r="AP10" s="2">
        <v>23146.92</v>
      </c>
      <c r="AQ10" s="2">
        <v>9731.35</v>
      </c>
      <c r="AR10" s="2">
        <v>24410.44</v>
      </c>
      <c r="AS10" s="2">
        <v>12450.67</v>
      </c>
      <c r="AT10" s="2">
        <v>24413.25</v>
      </c>
      <c r="AU10" s="2">
        <v>14552.12</v>
      </c>
      <c r="AV10" s="2">
        <v>14209.74</v>
      </c>
      <c r="AW10" s="2">
        <v>18642.91</v>
      </c>
      <c r="AX10" s="2">
        <v>14209.74</v>
      </c>
      <c r="AY10" s="2">
        <v>18414.740000000002</v>
      </c>
      <c r="AZ10" s="2">
        <v>8844.6</v>
      </c>
      <c r="BA10" s="2">
        <v>7244.08</v>
      </c>
      <c r="BB10" s="2">
        <v>5414.61</v>
      </c>
      <c r="BC10" s="2">
        <v>5212.9399999999996</v>
      </c>
      <c r="BF10" s="1" t="s">
        <v>20</v>
      </c>
      <c r="BG10" s="2">
        <v>19147.689999999999</v>
      </c>
      <c r="BH10" s="2">
        <v>14102.64</v>
      </c>
      <c r="BI10" s="2">
        <v>26811.5</v>
      </c>
      <c r="BJ10" s="2">
        <v>12328.32</v>
      </c>
      <c r="BK10" s="2">
        <v>30240</v>
      </c>
      <c r="BL10" s="2">
        <v>15303.4</v>
      </c>
      <c r="BM10" s="2">
        <v>30261.84</v>
      </c>
      <c r="BN10" s="2">
        <v>17114.79</v>
      </c>
      <c r="BO10" s="2">
        <v>16612.439999999999</v>
      </c>
      <c r="BP10" s="2">
        <v>21925.02</v>
      </c>
      <c r="BQ10" s="2">
        <v>16612.439999999999</v>
      </c>
      <c r="BR10" s="2">
        <v>21661.38</v>
      </c>
      <c r="BS10" s="2">
        <v>10470.81</v>
      </c>
      <c r="BT10" s="2">
        <v>8582.49</v>
      </c>
      <c r="BU10" s="2">
        <v>6739.2</v>
      </c>
      <c r="BV10" s="2">
        <v>6481.38</v>
      </c>
    </row>
    <row r="11" spans="2:74" x14ac:dyDescent="0.3">
      <c r="B11" s="1" t="s">
        <v>21</v>
      </c>
      <c r="C11" s="2">
        <v>6.3</v>
      </c>
      <c r="D11" s="2">
        <v>2.1</v>
      </c>
      <c r="E11" s="2">
        <v>4.2</v>
      </c>
      <c r="F11" s="2">
        <v>2.1</v>
      </c>
      <c r="G11" s="2">
        <v>6.3</v>
      </c>
      <c r="H11" s="2">
        <v>2.1</v>
      </c>
      <c r="I11" s="2">
        <v>6.2</v>
      </c>
      <c r="J11" s="2">
        <v>2.73</v>
      </c>
      <c r="K11" s="2">
        <v>1.34</v>
      </c>
      <c r="L11" s="2">
        <v>1.57</v>
      </c>
      <c r="M11" s="2">
        <v>1.51</v>
      </c>
      <c r="N11" s="2">
        <v>1.77</v>
      </c>
      <c r="O11" s="2">
        <v>2.04</v>
      </c>
      <c r="P11" s="2">
        <v>0.9</v>
      </c>
      <c r="Q11" s="2">
        <v>2.1</v>
      </c>
      <c r="R11" s="2">
        <v>6.3</v>
      </c>
      <c r="T11" s="1" t="s">
        <v>21</v>
      </c>
      <c r="U11" s="2">
        <v>16852.21</v>
      </c>
      <c r="V11" s="2">
        <v>9286.36</v>
      </c>
      <c r="W11" s="2">
        <v>12631.54</v>
      </c>
      <c r="X11" s="2">
        <v>18275.080000000002</v>
      </c>
      <c r="Y11" s="2">
        <v>22390.39</v>
      </c>
      <c r="Z11" s="2">
        <v>15452.6</v>
      </c>
      <c r="AA11" s="2">
        <v>18458.41</v>
      </c>
      <c r="AB11" s="2">
        <v>12642</v>
      </c>
      <c r="AC11" s="2">
        <v>7002.43</v>
      </c>
      <c r="AD11" s="2">
        <v>8078.77</v>
      </c>
      <c r="AE11" s="2">
        <v>5836.44</v>
      </c>
      <c r="AF11" s="2">
        <v>6639.61</v>
      </c>
      <c r="AG11" s="2">
        <v>4141.62</v>
      </c>
      <c r="AH11" s="2">
        <v>3095.41</v>
      </c>
      <c r="AI11" s="2">
        <v>4575.6400000000003</v>
      </c>
      <c r="AJ11" s="2">
        <v>4587.6099999999997</v>
      </c>
      <c r="AM11" s="1" t="s">
        <v>21</v>
      </c>
      <c r="AN11" s="2">
        <v>63787.79</v>
      </c>
      <c r="AO11" s="2">
        <v>32084.66</v>
      </c>
      <c r="AP11" s="2">
        <v>90971.21</v>
      </c>
      <c r="AQ11" s="2">
        <v>40123.83</v>
      </c>
      <c r="AR11" s="2">
        <v>92636.27</v>
      </c>
      <c r="AS11" s="2">
        <v>67775.12</v>
      </c>
      <c r="AT11" s="2">
        <v>103744.47</v>
      </c>
      <c r="AU11" s="2">
        <v>78423.17</v>
      </c>
      <c r="AV11" s="2">
        <v>42073.19</v>
      </c>
      <c r="AW11" s="2">
        <v>47679.24</v>
      </c>
      <c r="AX11" s="2">
        <v>34689.24</v>
      </c>
      <c r="AY11" s="2">
        <v>38596.49</v>
      </c>
      <c r="AZ11" s="2">
        <v>23290.66</v>
      </c>
      <c r="BA11" s="2">
        <v>16805.66</v>
      </c>
      <c r="BB11" s="2">
        <v>14099.24</v>
      </c>
      <c r="BC11" s="2">
        <v>16896.91</v>
      </c>
      <c r="BF11" s="1" t="s">
        <v>21</v>
      </c>
      <c r="BG11" s="2">
        <v>80640</v>
      </c>
      <c r="BH11" s="2">
        <v>41371.019999999997</v>
      </c>
      <c r="BI11" s="2">
        <v>103602.75</v>
      </c>
      <c r="BJ11" s="2">
        <v>58398.91</v>
      </c>
      <c r="BK11" s="2">
        <v>115026.66</v>
      </c>
      <c r="BL11" s="2">
        <v>83227.72</v>
      </c>
      <c r="BM11" s="2">
        <v>122202.88</v>
      </c>
      <c r="BN11" s="2">
        <v>91065.17</v>
      </c>
      <c r="BO11" s="2">
        <v>49075.62</v>
      </c>
      <c r="BP11" s="2">
        <v>55758.01</v>
      </c>
      <c r="BQ11" s="2">
        <v>40525.68</v>
      </c>
      <c r="BR11" s="2">
        <v>45236.1</v>
      </c>
      <c r="BS11" s="2">
        <v>27432.27</v>
      </c>
      <c r="BT11" s="2">
        <v>19901.07</v>
      </c>
      <c r="BU11" s="2">
        <v>18674.88</v>
      </c>
      <c r="BV11" s="2">
        <v>21484.52</v>
      </c>
    </row>
    <row r="12" spans="2:74" x14ac:dyDescent="0.3">
      <c r="B12" s="1" t="s">
        <v>22</v>
      </c>
      <c r="C12" s="2">
        <v>3.67</v>
      </c>
      <c r="D12" s="2">
        <v>2.1</v>
      </c>
      <c r="E12" s="2">
        <v>2.1</v>
      </c>
      <c r="F12" s="2">
        <v>2.1</v>
      </c>
      <c r="G12" s="2">
        <v>3.74</v>
      </c>
      <c r="H12" s="2">
        <v>2.1</v>
      </c>
      <c r="I12" s="2">
        <v>1.87</v>
      </c>
      <c r="J12" s="2">
        <v>1.79</v>
      </c>
      <c r="K12" s="2">
        <v>1.28</v>
      </c>
      <c r="L12" s="2">
        <v>1.34</v>
      </c>
      <c r="M12" s="2">
        <v>1.44</v>
      </c>
      <c r="N12" s="2">
        <v>0.59</v>
      </c>
      <c r="O12" s="2">
        <v>0.82</v>
      </c>
      <c r="P12" s="2">
        <v>0.82</v>
      </c>
      <c r="Q12" s="2">
        <v>2.1</v>
      </c>
      <c r="R12" s="2">
        <v>2.1</v>
      </c>
      <c r="T12" s="1" t="s">
        <v>22</v>
      </c>
      <c r="U12" s="2">
        <v>2727.99</v>
      </c>
      <c r="V12" s="2">
        <v>2878.59</v>
      </c>
      <c r="W12" s="2">
        <v>4701.99</v>
      </c>
      <c r="X12" s="2">
        <v>4409.1899999999996</v>
      </c>
      <c r="Y12" s="2">
        <v>4105.88</v>
      </c>
      <c r="Z12" s="2">
        <v>5604.27</v>
      </c>
      <c r="AA12" s="2">
        <v>4713.2700000000004</v>
      </c>
      <c r="AB12" s="2">
        <v>4115.46</v>
      </c>
      <c r="AC12" s="2">
        <v>2903.03</v>
      </c>
      <c r="AD12" s="2">
        <v>1266.23</v>
      </c>
      <c r="AE12" s="2">
        <v>2347.94</v>
      </c>
      <c r="AF12" s="2">
        <v>1858.78</v>
      </c>
      <c r="AG12" s="2">
        <v>902.11</v>
      </c>
      <c r="AH12" s="2">
        <v>901.47</v>
      </c>
      <c r="AI12" s="2">
        <v>1058.48</v>
      </c>
      <c r="AJ12" s="2">
        <v>1029.72</v>
      </c>
      <c r="AM12" s="1" t="s">
        <v>22</v>
      </c>
      <c r="AN12" s="2">
        <v>17983.63</v>
      </c>
      <c r="AO12" s="2">
        <v>11829.73</v>
      </c>
      <c r="AP12" s="2">
        <v>27515.26</v>
      </c>
      <c r="AQ12" s="2">
        <v>20318.66</v>
      </c>
      <c r="AR12" s="2">
        <v>25854.12</v>
      </c>
      <c r="AS12" s="2">
        <v>24355.73</v>
      </c>
      <c r="AT12" s="2">
        <v>29055.63</v>
      </c>
      <c r="AU12" s="2">
        <v>25206.03</v>
      </c>
      <c r="AV12" s="2">
        <v>17600.439999999999</v>
      </c>
      <c r="AW12" s="2">
        <v>11507.57</v>
      </c>
      <c r="AX12" s="2">
        <v>14055.72</v>
      </c>
      <c r="AY12" s="2">
        <v>10915.02</v>
      </c>
      <c r="AZ12" s="2">
        <v>5154.46</v>
      </c>
      <c r="BA12" s="2">
        <v>5157.87</v>
      </c>
      <c r="BB12" s="2">
        <v>4273.1000000000004</v>
      </c>
      <c r="BC12" s="2">
        <v>4106.28</v>
      </c>
      <c r="BF12" s="1" t="s">
        <v>22</v>
      </c>
      <c r="BG12" s="2">
        <v>20711.62</v>
      </c>
      <c r="BH12" s="2">
        <v>14708.32</v>
      </c>
      <c r="BI12" s="2">
        <v>32217.25</v>
      </c>
      <c r="BJ12" s="2">
        <v>24727.85</v>
      </c>
      <c r="BK12" s="2">
        <v>29960</v>
      </c>
      <c r="BL12" s="2">
        <v>29960</v>
      </c>
      <c r="BM12" s="2">
        <v>33768.9</v>
      </c>
      <c r="BN12" s="2">
        <v>29321.49</v>
      </c>
      <c r="BO12" s="2">
        <v>20503.47</v>
      </c>
      <c r="BP12" s="2">
        <v>12773.8</v>
      </c>
      <c r="BQ12" s="2">
        <v>16403.66</v>
      </c>
      <c r="BR12" s="2">
        <v>12773.8</v>
      </c>
      <c r="BS12" s="2">
        <v>6056.57</v>
      </c>
      <c r="BT12" s="2">
        <v>6059.34</v>
      </c>
      <c r="BU12" s="2">
        <v>5331.58</v>
      </c>
      <c r="BV12" s="2">
        <v>5136</v>
      </c>
    </row>
    <row r="13" spans="2:74" x14ac:dyDescent="0.3">
      <c r="B13" s="1" t="s">
        <v>23</v>
      </c>
      <c r="C13" s="2">
        <v>2.1</v>
      </c>
      <c r="D13" s="2">
        <v>3.63</v>
      </c>
      <c r="E13" s="2">
        <v>2.1</v>
      </c>
      <c r="F13" s="2">
        <v>2.1</v>
      </c>
      <c r="G13" s="2">
        <v>2.1</v>
      </c>
      <c r="H13" s="2">
        <v>2.1</v>
      </c>
      <c r="I13" s="2">
        <v>1.25</v>
      </c>
      <c r="J13" s="2">
        <v>1.48</v>
      </c>
      <c r="K13" s="2">
        <v>1.26</v>
      </c>
      <c r="L13" s="2">
        <v>1.0900000000000001</v>
      </c>
      <c r="M13" s="2">
        <v>1.37</v>
      </c>
      <c r="N13" s="2">
        <v>1.1100000000000001</v>
      </c>
      <c r="O13" s="2">
        <v>1.36</v>
      </c>
      <c r="P13" s="2">
        <v>1.31</v>
      </c>
      <c r="Q13" s="2">
        <v>2.1</v>
      </c>
      <c r="R13" s="2">
        <v>2.1</v>
      </c>
      <c r="T13" s="1" t="s">
        <v>23</v>
      </c>
      <c r="U13" s="2">
        <v>14130.26</v>
      </c>
      <c r="V13" s="2">
        <v>11331.08</v>
      </c>
      <c r="W13" s="2">
        <v>20321.669999999998</v>
      </c>
      <c r="X13" s="2">
        <v>19615.169999999998</v>
      </c>
      <c r="Y13" s="2">
        <v>21544.45</v>
      </c>
      <c r="Z13" s="2">
        <v>24379.22</v>
      </c>
      <c r="AA13" s="2">
        <v>17181.2</v>
      </c>
      <c r="AB13" s="2">
        <v>20688.759999999998</v>
      </c>
      <c r="AC13" s="2">
        <v>17222.7</v>
      </c>
      <c r="AD13" s="2">
        <v>14730</v>
      </c>
      <c r="AE13" s="2">
        <v>16955.849999999999</v>
      </c>
      <c r="AF13" s="2">
        <v>14441.6</v>
      </c>
      <c r="AG13" s="2">
        <v>5689.76</v>
      </c>
      <c r="AH13" s="2">
        <v>5485.67</v>
      </c>
      <c r="AI13" s="2">
        <v>6291.87</v>
      </c>
      <c r="AJ13" s="2">
        <v>5979.83</v>
      </c>
      <c r="AM13" s="1" t="s">
        <v>23</v>
      </c>
      <c r="AN13" s="2">
        <v>56941.58</v>
      </c>
      <c r="AO13" s="2">
        <v>68908.7</v>
      </c>
      <c r="AP13" s="2">
        <v>91473.08</v>
      </c>
      <c r="AQ13" s="2">
        <v>85704.97</v>
      </c>
      <c r="AR13" s="2">
        <v>95834.35</v>
      </c>
      <c r="AS13" s="2">
        <v>108393.98</v>
      </c>
      <c r="AT13" s="2">
        <v>98322.1</v>
      </c>
      <c r="AU13" s="2">
        <v>119176.79</v>
      </c>
      <c r="AV13" s="2">
        <v>99345.7</v>
      </c>
      <c r="AW13" s="2">
        <v>85402.5</v>
      </c>
      <c r="AX13" s="2">
        <v>97585.85</v>
      </c>
      <c r="AY13" s="2">
        <v>83587.5</v>
      </c>
      <c r="AZ13" s="2">
        <v>31131.64</v>
      </c>
      <c r="BA13" s="2">
        <v>30017.98</v>
      </c>
      <c r="BB13" s="2">
        <v>27092.13</v>
      </c>
      <c r="BC13" s="2">
        <v>25215.88</v>
      </c>
      <c r="BF13" s="1" t="s">
        <v>23</v>
      </c>
      <c r="BG13" s="2">
        <v>71071.839999999997</v>
      </c>
      <c r="BH13" s="2">
        <v>80239.77</v>
      </c>
      <c r="BI13" s="2">
        <v>111794.75</v>
      </c>
      <c r="BJ13" s="2">
        <v>105320.14</v>
      </c>
      <c r="BK13" s="2">
        <v>117378.8</v>
      </c>
      <c r="BL13" s="2">
        <v>132773.20000000001</v>
      </c>
      <c r="BM13" s="2">
        <v>115503.3</v>
      </c>
      <c r="BN13" s="2">
        <v>139865.54999999999</v>
      </c>
      <c r="BO13" s="2">
        <v>116568.4</v>
      </c>
      <c r="BP13" s="2">
        <v>100132.5</v>
      </c>
      <c r="BQ13" s="2">
        <v>114541.7</v>
      </c>
      <c r="BR13" s="2">
        <v>98029.1</v>
      </c>
      <c r="BS13" s="2">
        <v>36821.4</v>
      </c>
      <c r="BT13" s="2">
        <v>35503.65</v>
      </c>
      <c r="BU13" s="2">
        <v>33384</v>
      </c>
      <c r="BV13" s="2">
        <v>31195.71</v>
      </c>
    </row>
    <row r="14" spans="2:74" x14ac:dyDescent="0.3">
      <c r="B14" s="1" t="s">
        <v>24</v>
      </c>
      <c r="C14" s="2">
        <v>2.1</v>
      </c>
      <c r="D14" s="2">
        <v>3</v>
      </c>
      <c r="E14" s="2">
        <v>2.38</v>
      </c>
      <c r="F14" s="2">
        <v>2.79</v>
      </c>
      <c r="G14" s="2">
        <v>2.1</v>
      </c>
      <c r="H14" s="2">
        <v>3.09</v>
      </c>
      <c r="I14" s="2">
        <v>1.58</v>
      </c>
      <c r="J14" s="2">
        <v>2.87</v>
      </c>
      <c r="K14" s="2">
        <v>0.87</v>
      </c>
      <c r="L14" s="2">
        <v>0.65</v>
      </c>
      <c r="M14" s="2">
        <v>1.01</v>
      </c>
      <c r="N14" s="2">
        <v>0.83</v>
      </c>
      <c r="O14" s="2">
        <v>1.1299999999999999</v>
      </c>
      <c r="P14" s="2">
        <v>0.95</v>
      </c>
      <c r="Q14" s="2">
        <v>2.1</v>
      </c>
      <c r="R14" s="2">
        <v>2.1</v>
      </c>
      <c r="T14" s="1" t="s">
        <v>24</v>
      </c>
      <c r="U14" s="2">
        <v>3670.73</v>
      </c>
      <c r="V14" s="2">
        <v>2787.69</v>
      </c>
      <c r="W14" s="2">
        <v>4264.09</v>
      </c>
      <c r="X14" s="2">
        <v>4699.7</v>
      </c>
      <c r="Y14" s="2">
        <v>5734.93</v>
      </c>
      <c r="Z14" s="2">
        <v>5135.29</v>
      </c>
      <c r="AA14" s="2">
        <v>5208.3100000000004</v>
      </c>
      <c r="AB14" s="2">
        <v>5690.38</v>
      </c>
      <c r="AC14" s="2">
        <v>3872.28</v>
      </c>
      <c r="AD14" s="2">
        <v>3252.11</v>
      </c>
      <c r="AE14" s="2">
        <v>3325.39</v>
      </c>
      <c r="AF14" s="2">
        <v>2640.21</v>
      </c>
      <c r="AG14" s="2">
        <v>1815.43</v>
      </c>
      <c r="AH14" s="2">
        <v>1619.78</v>
      </c>
      <c r="AI14" s="2">
        <v>1290</v>
      </c>
      <c r="AJ14" s="2">
        <v>958.09</v>
      </c>
      <c r="AM14" s="1" t="s">
        <v>24</v>
      </c>
      <c r="AN14" s="2">
        <v>14757.91</v>
      </c>
      <c r="AO14" s="2">
        <v>13350.8</v>
      </c>
      <c r="AP14" s="2">
        <v>24947.439999999999</v>
      </c>
      <c r="AQ14" s="2">
        <v>26062.799999999999</v>
      </c>
      <c r="AR14" s="2">
        <v>24225.07</v>
      </c>
      <c r="AS14" s="2">
        <v>26928.23</v>
      </c>
      <c r="AT14" s="2">
        <v>25445.72</v>
      </c>
      <c r="AU14" s="2">
        <v>29619.62</v>
      </c>
      <c r="AV14" s="2">
        <v>16986.990000000002</v>
      </c>
      <c r="AW14" s="2">
        <v>14452.1</v>
      </c>
      <c r="AX14" s="2">
        <v>14229.81</v>
      </c>
      <c r="AY14" s="2">
        <v>11523.21</v>
      </c>
      <c r="AZ14" s="2">
        <v>7616.9</v>
      </c>
      <c r="BA14" s="2">
        <v>6769.2</v>
      </c>
      <c r="BB14" s="2">
        <v>5166.41</v>
      </c>
      <c r="BC14" s="2">
        <v>3407.51</v>
      </c>
      <c r="BF14" s="1" t="s">
        <v>24</v>
      </c>
      <c r="BG14" s="2">
        <v>18428.650000000001</v>
      </c>
      <c r="BH14" s="2">
        <v>16138.49</v>
      </c>
      <c r="BI14" s="2">
        <v>29211.52</v>
      </c>
      <c r="BJ14" s="2">
        <v>30762.5</v>
      </c>
      <c r="BK14" s="2">
        <v>29960</v>
      </c>
      <c r="BL14" s="2">
        <v>32063.53</v>
      </c>
      <c r="BM14" s="2">
        <v>30654.03</v>
      </c>
      <c r="BN14" s="2">
        <v>35310</v>
      </c>
      <c r="BO14" s="2">
        <v>20859.27</v>
      </c>
      <c r="BP14" s="2">
        <v>17704.21</v>
      </c>
      <c r="BQ14" s="2">
        <v>17555.2</v>
      </c>
      <c r="BR14" s="2">
        <v>14163.42</v>
      </c>
      <c r="BS14" s="2">
        <v>9432.33</v>
      </c>
      <c r="BT14" s="2">
        <v>8388.99</v>
      </c>
      <c r="BU14" s="2">
        <v>6456.41</v>
      </c>
      <c r="BV14" s="2">
        <v>4365.6000000000004</v>
      </c>
    </row>
    <row r="15" spans="2:74" x14ac:dyDescent="0.3">
      <c r="B15" s="1" t="s">
        <v>25</v>
      </c>
      <c r="C15" s="2">
        <v>6.3</v>
      </c>
      <c r="D15" s="2">
        <v>6.3</v>
      </c>
      <c r="E15" s="2">
        <v>2.1</v>
      </c>
      <c r="F15" s="2">
        <v>2.1</v>
      </c>
      <c r="G15" s="2">
        <v>4.2</v>
      </c>
      <c r="H15" s="2">
        <v>4.2</v>
      </c>
      <c r="I15" s="2">
        <v>2.1</v>
      </c>
      <c r="J15" s="2">
        <v>2.89</v>
      </c>
      <c r="K15" s="2">
        <v>1.48</v>
      </c>
      <c r="L15" s="2">
        <v>1.41</v>
      </c>
      <c r="M15" s="2">
        <v>1.73</v>
      </c>
      <c r="N15" s="2">
        <v>1.66</v>
      </c>
      <c r="O15" s="2">
        <v>1.69</v>
      </c>
      <c r="P15" s="2">
        <v>1.46</v>
      </c>
      <c r="Q15" s="2">
        <v>2.1</v>
      </c>
      <c r="R15" s="2">
        <v>6.3</v>
      </c>
      <c r="T15" s="1" t="s">
        <v>25</v>
      </c>
      <c r="U15" s="2">
        <v>14615.48</v>
      </c>
      <c r="V15" s="2">
        <v>13996.34</v>
      </c>
      <c r="W15" s="2">
        <v>16279.31</v>
      </c>
      <c r="X15" s="2">
        <v>16451.900000000001</v>
      </c>
      <c r="Y15" s="2">
        <v>14552.88</v>
      </c>
      <c r="Z15" s="2">
        <v>17848.21</v>
      </c>
      <c r="AA15" s="2">
        <v>14637.71</v>
      </c>
      <c r="AB15" s="2">
        <v>15833.48</v>
      </c>
      <c r="AC15" s="2">
        <v>11479.19</v>
      </c>
      <c r="AD15" s="2">
        <v>10542.11</v>
      </c>
      <c r="AE15" s="2">
        <v>9530.67</v>
      </c>
      <c r="AF15" s="2">
        <v>8661.33</v>
      </c>
      <c r="AG15" s="2">
        <v>1537.33</v>
      </c>
      <c r="AH15" s="2">
        <v>4859.01</v>
      </c>
      <c r="AI15" s="2">
        <v>5469.13</v>
      </c>
      <c r="AJ15" s="2">
        <v>4007.37</v>
      </c>
      <c r="AM15" s="1" t="s">
        <v>25</v>
      </c>
      <c r="AN15" s="2">
        <v>61028.3</v>
      </c>
      <c r="AO15" s="2">
        <v>60806.62</v>
      </c>
      <c r="AP15" s="2">
        <v>54368.93</v>
      </c>
      <c r="AQ15" s="2">
        <v>70808.350000000006</v>
      </c>
      <c r="AR15" s="2">
        <v>77332.320000000007</v>
      </c>
      <c r="AS15" s="2">
        <v>80513.399999999994</v>
      </c>
      <c r="AT15" s="2">
        <v>74612.47</v>
      </c>
      <c r="AU15" s="2">
        <v>82930.679999999993</v>
      </c>
      <c r="AV15" s="2">
        <v>53301.54</v>
      </c>
      <c r="AW15" s="2">
        <v>50786.29</v>
      </c>
      <c r="AX15" s="2">
        <v>42294.63</v>
      </c>
      <c r="AY15" s="2">
        <v>40402.04</v>
      </c>
      <c r="AZ15" s="2">
        <v>13917.2</v>
      </c>
      <c r="BA15" s="2">
        <v>20305.86</v>
      </c>
      <c r="BB15" s="2">
        <v>10679.59</v>
      </c>
      <c r="BC15" s="2">
        <v>15124.12</v>
      </c>
      <c r="BF15" s="1" t="s">
        <v>25</v>
      </c>
      <c r="BG15" s="2">
        <v>75643.77</v>
      </c>
      <c r="BH15" s="2">
        <v>74802.960000000006</v>
      </c>
      <c r="BI15" s="2">
        <v>70648.240000000005</v>
      </c>
      <c r="BJ15" s="2">
        <v>87260.25</v>
      </c>
      <c r="BK15" s="2">
        <v>91885.19</v>
      </c>
      <c r="BL15" s="2">
        <v>98361.61</v>
      </c>
      <c r="BM15" s="2">
        <v>89250.18</v>
      </c>
      <c r="BN15" s="2">
        <v>98764.15</v>
      </c>
      <c r="BO15" s="2">
        <v>64780.74</v>
      </c>
      <c r="BP15" s="2">
        <v>61328.4</v>
      </c>
      <c r="BQ15" s="2">
        <v>51825.3</v>
      </c>
      <c r="BR15" s="2">
        <v>49063.37</v>
      </c>
      <c r="BS15" s="2">
        <v>15454.53</v>
      </c>
      <c r="BT15" s="2">
        <v>25164.87</v>
      </c>
      <c r="BU15" s="2">
        <v>16148.72</v>
      </c>
      <c r="BV15" s="2">
        <v>19131.490000000002</v>
      </c>
    </row>
    <row r="16" spans="2:74" x14ac:dyDescent="0.3">
      <c r="B16" s="1" t="s">
        <v>26</v>
      </c>
      <c r="C16" s="2">
        <v>1.67</v>
      </c>
      <c r="D16" s="2">
        <v>1.5</v>
      </c>
      <c r="E16" s="2">
        <v>2.0699999999999998</v>
      </c>
      <c r="F16" s="2">
        <v>0.45</v>
      </c>
      <c r="G16" s="2">
        <v>2.1</v>
      </c>
      <c r="H16" s="2">
        <v>1.98</v>
      </c>
      <c r="I16" s="2">
        <v>1.56</v>
      </c>
      <c r="J16" s="2">
        <v>1.23</v>
      </c>
      <c r="K16" s="2">
        <v>1.75</v>
      </c>
      <c r="L16" s="2">
        <v>1.96</v>
      </c>
      <c r="M16" s="2">
        <v>1.75</v>
      </c>
      <c r="N16" s="2">
        <v>1.96</v>
      </c>
      <c r="O16" s="2">
        <v>0.86</v>
      </c>
      <c r="P16" s="2">
        <v>0.99</v>
      </c>
      <c r="Q16" s="2">
        <v>2.1</v>
      </c>
      <c r="R16" s="2">
        <v>2.1</v>
      </c>
      <c r="T16" s="1" t="s">
        <v>26</v>
      </c>
      <c r="U16" s="2">
        <v>5932.24</v>
      </c>
      <c r="V16" s="2">
        <v>7689.06</v>
      </c>
      <c r="W16" s="2">
        <v>5429.49</v>
      </c>
      <c r="X16" s="2">
        <v>6471.76</v>
      </c>
      <c r="Y16" s="2">
        <v>6027.76</v>
      </c>
      <c r="Z16" s="2">
        <v>6828.26</v>
      </c>
      <c r="AA16" s="2">
        <v>5302.19</v>
      </c>
      <c r="AB16" s="2">
        <v>7285.46</v>
      </c>
      <c r="AC16" s="2">
        <v>6562.92</v>
      </c>
      <c r="AD16" s="2">
        <v>5559.68</v>
      </c>
      <c r="AE16" s="2">
        <v>6562.8</v>
      </c>
      <c r="AF16" s="2">
        <v>5559.69</v>
      </c>
      <c r="AG16" s="2">
        <v>1641.7</v>
      </c>
      <c r="AH16" s="2">
        <v>1825.82</v>
      </c>
      <c r="AI16" s="2">
        <v>2767</v>
      </c>
      <c r="AJ16" s="2">
        <v>2440.25</v>
      </c>
      <c r="AM16" s="1" t="s">
        <v>26</v>
      </c>
      <c r="AN16" s="2">
        <v>30368.720000000001</v>
      </c>
      <c r="AO16" s="2">
        <v>36763.019999999997</v>
      </c>
      <c r="AP16" s="2">
        <v>32786.01</v>
      </c>
      <c r="AQ16" s="2">
        <v>35188.49</v>
      </c>
      <c r="AR16" s="2">
        <v>26706.2</v>
      </c>
      <c r="AS16" s="2">
        <v>30742.42</v>
      </c>
      <c r="AT16" s="2">
        <v>25407.61</v>
      </c>
      <c r="AU16" s="2">
        <v>31923.49</v>
      </c>
      <c r="AV16" s="2">
        <v>30964.44</v>
      </c>
      <c r="AW16" s="2">
        <v>24875.919999999998</v>
      </c>
      <c r="AX16" s="2">
        <v>30964.560000000001</v>
      </c>
      <c r="AY16" s="2">
        <v>24875.91</v>
      </c>
      <c r="AZ16" s="2">
        <v>6035.48</v>
      </c>
      <c r="BA16" s="2">
        <v>6790.06</v>
      </c>
      <c r="BB16" s="2">
        <v>11714.97</v>
      </c>
      <c r="BC16" s="2">
        <v>9599.82</v>
      </c>
      <c r="BF16" s="1" t="s">
        <v>26</v>
      </c>
      <c r="BG16" s="2">
        <v>36300.959999999999</v>
      </c>
      <c r="BH16" s="2">
        <v>44452.08</v>
      </c>
      <c r="BI16" s="2">
        <v>38215.5</v>
      </c>
      <c r="BJ16" s="2">
        <v>41660.25</v>
      </c>
      <c r="BK16" s="2">
        <v>32733.96</v>
      </c>
      <c r="BL16" s="2">
        <v>37570.68</v>
      </c>
      <c r="BM16" s="2">
        <v>30709.8</v>
      </c>
      <c r="BN16" s="2">
        <v>39208.949999999997</v>
      </c>
      <c r="BO16" s="2">
        <v>37527.360000000001</v>
      </c>
      <c r="BP16" s="2">
        <v>30435.599999999999</v>
      </c>
      <c r="BQ16" s="2">
        <v>37527.360000000001</v>
      </c>
      <c r="BR16" s="2">
        <v>30435.599999999999</v>
      </c>
      <c r="BS16" s="2">
        <v>7677.18</v>
      </c>
      <c r="BT16" s="2">
        <v>8615.8799999999992</v>
      </c>
      <c r="BU16" s="2">
        <v>14481.97</v>
      </c>
      <c r="BV16" s="2">
        <v>12040.07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0.25</v>
      </c>
      <c r="D23" s="2">
        <v>0.25</v>
      </c>
      <c r="E23" s="2">
        <v>0.2</v>
      </c>
      <c r="F23" s="2">
        <v>0.05</v>
      </c>
      <c r="G23" s="2">
        <v>0.15</v>
      </c>
      <c r="H23" s="2">
        <v>0.15</v>
      </c>
      <c r="I23" s="2">
        <v>0.05</v>
      </c>
      <c r="J23" s="2">
        <v>0.05</v>
      </c>
      <c r="K23" s="2">
        <v>0.05</v>
      </c>
      <c r="L23" s="2">
        <v>0.05</v>
      </c>
      <c r="M23" s="2">
        <v>0.05</v>
      </c>
      <c r="N23" s="2">
        <v>0.15</v>
      </c>
      <c r="O23" s="2">
        <v>0.05</v>
      </c>
      <c r="P23" s="2">
        <v>0.05</v>
      </c>
      <c r="Q23" s="2">
        <v>0.36</v>
      </c>
      <c r="R23" s="2">
        <v>0.36</v>
      </c>
      <c r="T23" s="1" t="s">
        <v>19</v>
      </c>
      <c r="U23" s="2">
        <v>5363.4</v>
      </c>
      <c r="V23" s="2">
        <v>5216.3999999999996</v>
      </c>
      <c r="W23" s="2">
        <v>5125.3999999999996</v>
      </c>
      <c r="X23" s="2">
        <v>1059.3499999999999</v>
      </c>
      <c r="Y23" s="2">
        <v>2118.9899999999998</v>
      </c>
      <c r="Z23" s="2">
        <v>1859.54</v>
      </c>
      <c r="AA23" s="2">
        <v>771.82</v>
      </c>
      <c r="AB23" s="2">
        <v>651.46</v>
      </c>
      <c r="AC23" s="2">
        <v>884.81</v>
      </c>
      <c r="AD23" s="2">
        <v>1086.81</v>
      </c>
      <c r="AE23" s="2">
        <v>884.81</v>
      </c>
      <c r="AF23" s="2">
        <v>2718.1</v>
      </c>
      <c r="AG23" s="2">
        <v>361.86</v>
      </c>
      <c r="AH23" s="2">
        <v>327.06</v>
      </c>
      <c r="AI23" s="2">
        <v>10820.6</v>
      </c>
      <c r="AJ23" s="2">
        <v>8432.7800000000007</v>
      </c>
      <c r="AM23" s="1" t="s">
        <v>19</v>
      </c>
      <c r="AN23" s="2">
        <v>16800</v>
      </c>
      <c r="AO23" s="2">
        <v>16800</v>
      </c>
      <c r="AP23" s="2">
        <v>21000</v>
      </c>
      <c r="AQ23" s="2">
        <v>19021.55</v>
      </c>
      <c r="AR23" s="2">
        <v>14653.01</v>
      </c>
      <c r="AS23" s="2">
        <v>13062.36</v>
      </c>
      <c r="AT23" s="2">
        <v>13934.48</v>
      </c>
      <c r="AU23" s="2">
        <v>11854.04</v>
      </c>
      <c r="AV23" s="2">
        <v>15605.09</v>
      </c>
      <c r="AW23" s="2">
        <v>19110.990000000002</v>
      </c>
      <c r="AX23" s="2">
        <v>15605.09</v>
      </c>
      <c r="AY23" s="2">
        <v>16800</v>
      </c>
      <c r="AZ23" s="2">
        <v>6362.34</v>
      </c>
      <c r="BA23" s="2">
        <v>5866.54</v>
      </c>
      <c r="BB23" s="2">
        <v>21482.3</v>
      </c>
      <c r="BC23" s="2">
        <v>17852.919999999998</v>
      </c>
      <c r="BF23" s="1" t="s">
        <v>19</v>
      </c>
      <c r="BG23" s="2">
        <v>22163.4</v>
      </c>
      <c r="BH23" s="2">
        <v>22016.400000000001</v>
      </c>
      <c r="BI23" s="2">
        <v>26125.4</v>
      </c>
      <c r="BJ23" s="2">
        <v>20080.900000000001</v>
      </c>
      <c r="BK23" s="2">
        <v>16772</v>
      </c>
      <c r="BL23" s="2">
        <v>14921.9</v>
      </c>
      <c r="BM23" s="2">
        <v>14706.3</v>
      </c>
      <c r="BN23" s="2">
        <v>12505.5</v>
      </c>
      <c r="BO23" s="2">
        <v>16489.900000000001</v>
      </c>
      <c r="BP23" s="2">
        <v>20197.8</v>
      </c>
      <c r="BQ23" s="2">
        <v>16489.900000000001</v>
      </c>
      <c r="BR23" s="2">
        <v>19518.099999999999</v>
      </c>
      <c r="BS23" s="2">
        <v>6724.2</v>
      </c>
      <c r="BT23" s="2">
        <v>6193.6</v>
      </c>
      <c r="BU23" s="2">
        <v>32302.9</v>
      </c>
      <c r="BV23" s="2">
        <v>26285.7</v>
      </c>
    </row>
    <row r="24" spans="2:74" x14ac:dyDescent="0.3">
      <c r="B24" s="1" t="s">
        <v>20</v>
      </c>
      <c r="C24" s="2">
        <v>0.21</v>
      </c>
      <c r="D24" s="2">
        <v>0.17</v>
      </c>
      <c r="E24" s="2">
        <v>0.15</v>
      </c>
      <c r="F24" s="2">
        <v>0.23</v>
      </c>
      <c r="G24" s="2">
        <v>0.2</v>
      </c>
      <c r="H24" s="2">
        <v>0.21</v>
      </c>
      <c r="I24" s="2">
        <v>0.2</v>
      </c>
      <c r="J24" s="2">
        <v>0.17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0.18</v>
      </c>
      <c r="Q24" s="2">
        <v>0.22</v>
      </c>
      <c r="R24" s="2">
        <v>0.23</v>
      </c>
      <c r="T24" s="1" t="s">
        <v>20</v>
      </c>
      <c r="U24" s="2">
        <v>1558.21</v>
      </c>
      <c r="V24" s="2">
        <v>848.65</v>
      </c>
      <c r="W24" s="2">
        <v>1465.83</v>
      </c>
      <c r="X24" s="2">
        <v>1038.79</v>
      </c>
      <c r="Y24" s="2">
        <v>2081.9899999999998</v>
      </c>
      <c r="Z24" s="2">
        <v>1018.83</v>
      </c>
      <c r="AA24" s="2">
        <v>1772.3</v>
      </c>
      <c r="AB24" s="2">
        <v>776.57</v>
      </c>
      <c r="AC24" s="2">
        <v>924.11</v>
      </c>
      <c r="AD24" s="2">
        <v>1262.3499999999999</v>
      </c>
      <c r="AE24" s="2">
        <v>924.11</v>
      </c>
      <c r="AF24" s="2">
        <v>1248.71</v>
      </c>
      <c r="AG24" s="2">
        <v>774.39</v>
      </c>
      <c r="AH24" s="2">
        <v>637.34</v>
      </c>
      <c r="AI24" s="2">
        <v>1655.74</v>
      </c>
      <c r="AJ24" s="2">
        <v>1585.55</v>
      </c>
      <c r="AM24" s="1" t="s">
        <v>20</v>
      </c>
      <c r="AN24" s="2">
        <v>6419.99</v>
      </c>
      <c r="AO24" s="2">
        <v>5027.45</v>
      </c>
      <c r="AP24" s="2">
        <v>9258.77</v>
      </c>
      <c r="AQ24" s="2">
        <v>3892.54</v>
      </c>
      <c r="AR24" s="2">
        <v>8718.01</v>
      </c>
      <c r="AS24" s="2">
        <v>4446.67</v>
      </c>
      <c r="AT24" s="2">
        <v>7397.95</v>
      </c>
      <c r="AU24" s="2">
        <v>4409.7299999999996</v>
      </c>
      <c r="AV24" s="2">
        <v>5465.29</v>
      </c>
      <c r="AW24" s="2">
        <v>7170.35</v>
      </c>
      <c r="AX24" s="2">
        <v>5465.29</v>
      </c>
      <c r="AY24" s="2">
        <v>7082.59</v>
      </c>
      <c r="AZ24" s="2">
        <v>4211.71</v>
      </c>
      <c r="BA24" s="2">
        <v>3449.56</v>
      </c>
      <c r="BB24" s="2">
        <v>6768.26</v>
      </c>
      <c r="BC24" s="2">
        <v>6516.18</v>
      </c>
      <c r="BF24" s="1" t="s">
        <v>20</v>
      </c>
      <c r="BG24" s="2">
        <v>7978.2</v>
      </c>
      <c r="BH24" s="2">
        <v>5876.1</v>
      </c>
      <c r="BI24" s="2">
        <v>10724.6</v>
      </c>
      <c r="BJ24" s="2">
        <v>4931.33</v>
      </c>
      <c r="BK24" s="2">
        <v>10800</v>
      </c>
      <c r="BL24" s="2">
        <v>5465.5</v>
      </c>
      <c r="BM24" s="2">
        <v>9170.26</v>
      </c>
      <c r="BN24" s="2">
        <v>5186.3</v>
      </c>
      <c r="BO24" s="2">
        <v>6389.4</v>
      </c>
      <c r="BP24" s="2">
        <v>8432.7000000000007</v>
      </c>
      <c r="BQ24" s="2">
        <v>6389.4</v>
      </c>
      <c r="BR24" s="2">
        <v>8331.2999999999993</v>
      </c>
      <c r="BS24" s="2">
        <v>4986.1000000000004</v>
      </c>
      <c r="BT24" s="2">
        <v>4086.9</v>
      </c>
      <c r="BU24" s="2">
        <v>8424</v>
      </c>
      <c r="BV24" s="2">
        <v>8101.72</v>
      </c>
    </row>
    <row r="25" spans="2:74" x14ac:dyDescent="0.3">
      <c r="B25" s="1" t="s">
        <v>21</v>
      </c>
      <c r="C25" s="2">
        <v>0.24</v>
      </c>
      <c r="D25" s="2">
        <v>0.26</v>
      </c>
      <c r="E25" s="2">
        <v>0.14000000000000001</v>
      </c>
      <c r="F25" s="2">
        <v>0.38</v>
      </c>
      <c r="G25" s="2">
        <v>0.21</v>
      </c>
      <c r="H25" s="2">
        <v>0.21</v>
      </c>
      <c r="I25" s="2">
        <v>0.16</v>
      </c>
      <c r="J25" s="2">
        <v>0.16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0.17</v>
      </c>
      <c r="Q25" s="2">
        <v>0.28000000000000003</v>
      </c>
      <c r="R25" s="2">
        <v>0.26</v>
      </c>
      <c r="T25" s="1" t="s">
        <v>21</v>
      </c>
      <c r="U25" s="2">
        <v>7021.75</v>
      </c>
      <c r="V25" s="2">
        <v>3869.32</v>
      </c>
      <c r="W25" s="2">
        <v>5052.62</v>
      </c>
      <c r="X25" s="2">
        <v>7310.03</v>
      </c>
      <c r="Y25" s="2">
        <v>7996.57</v>
      </c>
      <c r="Z25" s="2">
        <v>5518.79</v>
      </c>
      <c r="AA25" s="2">
        <v>5593.46</v>
      </c>
      <c r="AB25" s="2">
        <v>3830.91</v>
      </c>
      <c r="AC25" s="2">
        <v>2693.24</v>
      </c>
      <c r="AD25" s="2">
        <v>3107.22</v>
      </c>
      <c r="AE25" s="2">
        <v>2244.7800000000002</v>
      </c>
      <c r="AF25" s="2">
        <v>2553.6999999999998</v>
      </c>
      <c r="AG25" s="2">
        <v>1972.2</v>
      </c>
      <c r="AH25" s="2">
        <v>1474.01</v>
      </c>
      <c r="AI25" s="2">
        <v>5719.56</v>
      </c>
      <c r="AJ25" s="2">
        <v>5734.52</v>
      </c>
      <c r="AM25" s="1" t="s">
        <v>21</v>
      </c>
      <c r="AN25" s="2">
        <v>26578.25</v>
      </c>
      <c r="AO25" s="2">
        <v>13368.61</v>
      </c>
      <c r="AP25" s="2">
        <v>36388.480000000003</v>
      </c>
      <c r="AQ25" s="2">
        <v>16049.53</v>
      </c>
      <c r="AR25" s="2">
        <v>33084.379999999997</v>
      </c>
      <c r="AS25" s="2">
        <v>24205.4</v>
      </c>
      <c r="AT25" s="2">
        <v>31437.72</v>
      </c>
      <c r="AU25" s="2">
        <v>23764.6</v>
      </c>
      <c r="AV25" s="2">
        <v>16182</v>
      </c>
      <c r="AW25" s="2">
        <v>18338.169999999998</v>
      </c>
      <c r="AX25" s="2">
        <v>13342.02</v>
      </c>
      <c r="AY25" s="2">
        <v>14844.8</v>
      </c>
      <c r="AZ25" s="2">
        <v>11090.79</v>
      </c>
      <c r="BA25" s="2">
        <v>8002.69</v>
      </c>
      <c r="BB25" s="2">
        <v>17624.04</v>
      </c>
      <c r="BC25" s="2">
        <v>21121.14</v>
      </c>
      <c r="BF25" s="1" t="s">
        <v>21</v>
      </c>
      <c r="BG25" s="2">
        <v>33600</v>
      </c>
      <c r="BH25" s="2">
        <v>17237.919999999998</v>
      </c>
      <c r="BI25" s="2">
        <v>41441.1</v>
      </c>
      <c r="BJ25" s="2">
        <v>23359.57</v>
      </c>
      <c r="BK25" s="2">
        <v>41080.949999999997</v>
      </c>
      <c r="BL25" s="2">
        <v>29724.19</v>
      </c>
      <c r="BM25" s="2">
        <v>37031.17</v>
      </c>
      <c r="BN25" s="2">
        <v>27595.51</v>
      </c>
      <c r="BO25" s="2">
        <v>18875.240000000002</v>
      </c>
      <c r="BP25" s="2">
        <v>21445.39</v>
      </c>
      <c r="BQ25" s="2">
        <v>15586.8</v>
      </c>
      <c r="BR25" s="2">
        <v>17398.5</v>
      </c>
      <c r="BS25" s="2">
        <v>13062.99</v>
      </c>
      <c r="BT25" s="2">
        <v>9476.7000000000007</v>
      </c>
      <c r="BU25" s="2">
        <v>23343.599999999999</v>
      </c>
      <c r="BV25" s="2">
        <v>26855.65</v>
      </c>
    </row>
    <row r="26" spans="2:74" x14ac:dyDescent="0.3">
      <c r="B26" s="1" t="s">
        <v>22</v>
      </c>
      <c r="C26" s="2">
        <v>0.16</v>
      </c>
      <c r="D26" s="2">
        <v>0.24</v>
      </c>
      <c r="E26" s="2">
        <v>0.19</v>
      </c>
      <c r="F26" s="2">
        <v>0.21</v>
      </c>
      <c r="G26" s="2">
        <v>0.15</v>
      </c>
      <c r="H26" s="2">
        <v>0.22</v>
      </c>
      <c r="I26" s="2">
        <v>0.16</v>
      </c>
      <c r="J26" s="2">
        <v>0.16</v>
      </c>
      <c r="K26" s="2">
        <v>0.17</v>
      </c>
      <c r="L26" s="2">
        <v>0.1</v>
      </c>
      <c r="M26" s="2">
        <v>0.17</v>
      </c>
      <c r="N26" s="2">
        <v>0.17</v>
      </c>
      <c r="O26" s="2">
        <v>0.18</v>
      </c>
      <c r="P26" s="2">
        <v>0.18</v>
      </c>
      <c r="Q26" s="2">
        <v>0.23</v>
      </c>
      <c r="R26" s="2">
        <v>0.23</v>
      </c>
      <c r="T26" s="1" t="s">
        <v>22</v>
      </c>
      <c r="U26" s="2">
        <v>1136.6600000000001</v>
      </c>
      <c r="V26" s="2">
        <v>1199.4100000000001</v>
      </c>
      <c r="W26" s="2">
        <v>1880.8</v>
      </c>
      <c r="X26" s="2">
        <v>1763.68</v>
      </c>
      <c r="Y26" s="2">
        <v>1466.38</v>
      </c>
      <c r="Z26" s="2">
        <v>2001.53</v>
      </c>
      <c r="AA26" s="2">
        <v>1428.26</v>
      </c>
      <c r="AB26" s="2">
        <v>1247.1099999999999</v>
      </c>
      <c r="AC26" s="2">
        <v>1116.55</v>
      </c>
      <c r="AD26" s="2">
        <v>487.01</v>
      </c>
      <c r="AE26" s="2">
        <v>903.05</v>
      </c>
      <c r="AF26" s="2">
        <v>714.91</v>
      </c>
      <c r="AG26" s="2">
        <v>429.58</v>
      </c>
      <c r="AH26" s="2">
        <v>429.27</v>
      </c>
      <c r="AI26" s="2">
        <v>1323.1</v>
      </c>
      <c r="AJ26" s="2">
        <v>1287.1500000000001</v>
      </c>
      <c r="AM26" s="1" t="s">
        <v>22</v>
      </c>
      <c r="AN26" s="2">
        <v>7493.18</v>
      </c>
      <c r="AO26" s="2">
        <v>4929.05</v>
      </c>
      <c r="AP26" s="2">
        <v>11006.1</v>
      </c>
      <c r="AQ26" s="2">
        <v>8127.46</v>
      </c>
      <c r="AR26" s="2">
        <v>9233.6200000000008</v>
      </c>
      <c r="AS26" s="2">
        <v>8698.4699999999993</v>
      </c>
      <c r="AT26" s="2">
        <v>8804.74</v>
      </c>
      <c r="AU26" s="2">
        <v>7638.19</v>
      </c>
      <c r="AV26" s="2">
        <v>6769.4</v>
      </c>
      <c r="AW26" s="2">
        <v>4425.99</v>
      </c>
      <c r="AX26" s="2">
        <v>5406.05</v>
      </c>
      <c r="AY26" s="2">
        <v>4198.09</v>
      </c>
      <c r="AZ26" s="2">
        <v>2454.5</v>
      </c>
      <c r="BA26" s="2">
        <v>2456.13</v>
      </c>
      <c r="BB26" s="2">
        <v>5341.37</v>
      </c>
      <c r="BC26" s="2">
        <v>5132.8500000000004</v>
      </c>
      <c r="BF26" s="1" t="s">
        <v>22</v>
      </c>
      <c r="BG26" s="2">
        <v>8629.84</v>
      </c>
      <c r="BH26" s="2">
        <v>6128.46</v>
      </c>
      <c r="BI26" s="2">
        <v>12886.9</v>
      </c>
      <c r="BJ26" s="2">
        <v>9891.14</v>
      </c>
      <c r="BK26" s="2">
        <v>10700</v>
      </c>
      <c r="BL26" s="2">
        <v>10700</v>
      </c>
      <c r="BM26" s="2">
        <v>10233</v>
      </c>
      <c r="BN26" s="2">
        <v>8885.2999999999993</v>
      </c>
      <c r="BO26" s="2">
        <v>7885.95</v>
      </c>
      <c r="BP26" s="2">
        <v>4913</v>
      </c>
      <c r="BQ26" s="2">
        <v>6309.1</v>
      </c>
      <c r="BR26" s="2">
        <v>4913</v>
      </c>
      <c r="BS26" s="2">
        <v>2884.08</v>
      </c>
      <c r="BT26" s="2">
        <v>2885.4</v>
      </c>
      <c r="BU26" s="2">
        <v>6664.47</v>
      </c>
      <c r="BV26" s="2">
        <v>6420</v>
      </c>
    </row>
    <row r="27" spans="2:74" x14ac:dyDescent="0.3">
      <c r="B27" s="1" t="s">
        <v>23</v>
      </c>
      <c r="C27" s="2">
        <v>0.22</v>
      </c>
      <c r="D27" s="2">
        <v>0.17</v>
      </c>
      <c r="E27" s="2">
        <v>0.22</v>
      </c>
      <c r="F27" s="2">
        <v>0.21</v>
      </c>
      <c r="G27" s="2">
        <v>0.21</v>
      </c>
      <c r="H27" s="2">
        <v>0.2</v>
      </c>
      <c r="I27" s="2">
        <v>0.17</v>
      </c>
      <c r="J27" s="2">
        <v>0.16</v>
      </c>
      <c r="K27" s="2">
        <v>0.17</v>
      </c>
      <c r="L27" s="2">
        <v>0.17</v>
      </c>
      <c r="M27" s="2">
        <v>0.17</v>
      </c>
      <c r="N27" s="2">
        <v>0.17</v>
      </c>
      <c r="O27" s="2">
        <v>0.18</v>
      </c>
      <c r="P27" s="2">
        <v>0.18</v>
      </c>
      <c r="Q27" s="2">
        <v>0.22</v>
      </c>
      <c r="R27" s="2">
        <v>0.22</v>
      </c>
      <c r="T27" s="1" t="s">
        <v>23</v>
      </c>
      <c r="U27" s="2">
        <v>5887.61</v>
      </c>
      <c r="V27" s="2">
        <v>4721.28</v>
      </c>
      <c r="W27" s="2">
        <v>8128.67</v>
      </c>
      <c r="X27" s="2">
        <v>7846.07</v>
      </c>
      <c r="Y27" s="2">
        <v>7694.45</v>
      </c>
      <c r="Z27" s="2">
        <v>8706.86</v>
      </c>
      <c r="AA27" s="2">
        <v>5206.43</v>
      </c>
      <c r="AB27" s="2">
        <v>6269.32</v>
      </c>
      <c r="AC27" s="2">
        <v>6624.12</v>
      </c>
      <c r="AD27" s="2">
        <v>5665.38</v>
      </c>
      <c r="AE27" s="2">
        <v>6521.48</v>
      </c>
      <c r="AF27" s="2">
        <v>5554.46</v>
      </c>
      <c r="AG27" s="2">
        <v>2709.41</v>
      </c>
      <c r="AH27" s="2">
        <v>2612.2199999999998</v>
      </c>
      <c r="AI27" s="2">
        <v>7864.84</v>
      </c>
      <c r="AJ27" s="2">
        <v>7474.79</v>
      </c>
      <c r="AM27" s="1" t="s">
        <v>23</v>
      </c>
      <c r="AN27" s="2">
        <v>23725.66</v>
      </c>
      <c r="AO27" s="2">
        <v>28711.96</v>
      </c>
      <c r="AP27" s="2">
        <v>36589.230000000003</v>
      </c>
      <c r="AQ27" s="2">
        <v>34281.99</v>
      </c>
      <c r="AR27" s="2">
        <v>34226.550000000003</v>
      </c>
      <c r="AS27" s="2">
        <v>38712.14</v>
      </c>
      <c r="AT27" s="2">
        <v>29794.57</v>
      </c>
      <c r="AU27" s="2">
        <v>36114.18</v>
      </c>
      <c r="AV27" s="2">
        <v>38209.879999999997</v>
      </c>
      <c r="AW27" s="2">
        <v>32847.120000000003</v>
      </c>
      <c r="AX27" s="2">
        <v>37533.019999999997</v>
      </c>
      <c r="AY27" s="2">
        <v>32149.040000000001</v>
      </c>
      <c r="AZ27" s="2">
        <v>14824.59</v>
      </c>
      <c r="BA27" s="2">
        <v>14294.28</v>
      </c>
      <c r="BB27" s="2">
        <v>33865.160000000003</v>
      </c>
      <c r="BC27" s="2">
        <v>31519.85</v>
      </c>
      <c r="BF27" s="1" t="s">
        <v>23</v>
      </c>
      <c r="BG27" s="2">
        <v>29613.27</v>
      </c>
      <c r="BH27" s="2">
        <v>33433.24</v>
      </c>
      <c r="BI27" s="2">
        <v>44717.9</v>
      </c>
      <c r="BJ27" s="2">
        <v>42128.05</v>
      </c>
      <c r="BK27" s="2">
        <v>41921</v>
      </c>
      <c r="BL27" s="2">
        <v>47419</v>
      </c>
      <c r="BM27" s="2">
        <v>35001</v>
      </c>
      <c r="BN27" s="2">
        <v>42383.5</v>
      </c>
      <c r="BO27" s="2">
        <v>44834</v>
      </c>
      <c r="BP27" s="2">
        <v>38512.5</v>
      </c>
      <c r="BQ27" s="2">
        <v>44054.5</v>
      </c>
      <c r="BR27" s="2">
        <v>37703.5</v>
      </c>
      <c r="BS27" s="2">
        <v>17534</v>
      </c>
      <c r="BT27" s="2">
        <v>16906.5</v>
      </c>
      <c r="BU27" s="2">
        <v>41730</v>
      </c>
      <c r="BV27" s="2">
        <v>38994.639999999999</v>
      </c>
    </row>
    <row r="28" spans="2:74" x14ac:dyDescent="0.3">
      <c r="B28" s="1" t="s">
        <v>24</v>
      </c>
      <c r="C28" s="2">
        <v>0.22</v>
      </c>
      <c r="D28" s="2">
        <v>0.2</v>
      </c>
      <c r="E28" s="2">
        <v>0.19</v>
      </c>
      <c r="F28" s="2">
        <v>0.18</v>
      </c>
      <c r="G28" s="2">
        <v>0.2</v>
      </c>
      <c r="H28" s="2">
        <v>0.17</v>
      </c>
      <c r="I28" s="2">
        <v>0.19</v>
      </c>
      <c r="J28" s="2">
        <v>0.17</v>
      </c>
      <c r="K28" s="2">
        <v>0.2</v>
      </c>
      <c r="L28" s="2">
        <v>0.21</v>
      </c>
      <c r="M28" s="2">
        <v>0.21</v>
      </c>
      <c r="N28" s="2">
        <v>0.21</v>
      </c>
      <c r="O28" s="2">
        <v>0.21</v>
      </c>
      <c r="P28" s="2">
        <v>0.22</v>
      </c>
      <c r="Q28" s="2">
        <v>0.26</v>
      </c>
      <c r="R28" s="2">
        <v>0.24</v>
      </c>
      <c r="T28" s="1" t="s">
        <v>24</v>
      </c>
      <c r="U28" s="2">
        <v>1529.47</v>
      </c>
      <c r="V28" s="2">
        <v>1161.54</v>
      </c>
      <c r="W28" s="2">
        <v>1705.63</v>
      </c>
      <c r="X28" s="2">
        <v>1879.88</v>
      </c>
      <c r="Y28" s="2">
        <v>2048.19</v>
      </c>
      <c r="Z28" s="2">
        <v>1834.03</v>
      </c>
      <c r="AA28" s="2">
        <v>1578.27</v>
      </c>
      <c r="AB28" s="2">
        <v>1724.36</v>
      </c>
      <c r="AC28" s="2">
        <v>1489.34</v>
      </c>
      <c r="AD28" s="2">
        <v>1250.81</v>
      </c>
      <c r="AE28" s="2">
        <v>1279</v>
      </c>
      <c r="AF28" s="2">
        <v>1015.47</v>
      </c>
      <c r="AG28" s="2">
        <v>864.49</v>
      </c>
      <c r="AH28" s="2">
        <v>771.32</v>
      </c>
      <c r="AI28" s="2">
        <v>1612.49</v>
      </c>
      <c r="AJ28" s="2">
        <v>1197.6099999999999</v>
      </c>
      <c r="AM28" s="1" t="s">
        <v>24</v>
      </c>
      <c r="AN28" s="2">
        <v>6149.13</v>
      </c>
      <c r="AO28" s="2">
        <v>5562.83</v>
      </c>
      <c r="AP28" s="2">
        <v>9978.9699999999993</v>
      </c>
      <c r="AQ28" s="2">
        <v>10425.120000000001</v>
      </c>
      <c r="AR28" s="2">
        <v>8651.81</v>
      </c>
      <c r="AS28" s="2">
        <v>9617.23</v>
      </c>
      <c r="AT28" s="2">
        <v>7710.83</v>
      </c>
      <c r="AU28" s="2">
        <v>8975.64</v>
      </c>
      <c r="AV28" s="2">
        <v>6533.46</v>
      </c>
      <c r="AW28" s="2">
        <v>5558.5</v>
      </c>
      <c r="AX28" s="2">
        <v>5473</v>
      </c>
      <c r="AY28" s="2">
        <v>4432</v>
      </c>
      <c r="AZ28" s="2">
        <v>3627.1</v>
      </c>
      <c r="BA28" s="2">
        <v>3223.43</v>
      </c>
      <c r="BB28" s="2">
        <v>6458.01</v>
      </c>
      <c r="BC28" s="2">
        <v>4259.3900000000003</v>
      </c>
      <c r="BF28" s="1" t="s">
        <v>24</v>
      </c>
      <c r="BG28" s="2">
        <v>7678.6</v>
      </c>
      <c r="BH28" s="2">
        <v>6724.37</v>
      </c>
      <c r="BI28" s="2">
        <v>11684.61</v>
      </c>
      <c r="BJ28" s="2">
        <v>12305</v>
      </c>
      <c r="BK28" s="2">
        <v>10700</v>
      </c>
      <c r="BL28" s="2">
        <v>11451.26</v>
      </c>
      <c r="BM28" s="2">
        <v>9289.1</v>
      </c>
      <c r="BN28" s="2">
        <v>10700</v>
      </c>
      <c r="BO28" s="2">
        <v>8022.8</v>
      </c>
      <c r="BP28" s="2">
        <v>6809.31</v>
      </c>
      <c r="BQ28" s="2">
        <v>6752</v>
      </c>
      <c r="BR28" s="2">
        <v>5447.47</v>
      </c>
      <c r="BS28" s="2">
        <v>4491.58</v>
      </c>
      <c r="BT28" s="2">
        <v>3994.75</v>
      </c>
      <c r="BU28" s="2">
        <v>8070.51</v>
      </c>
      <c r="BV28" s="2">
        <v>5457</v>
      </c>
    </row>
    <row r="29" spans="2:74" x14ac:dyDescent="0.3">
      <c r="B29" s="1" t="s">
        <v>25</v>
      </c>
      <c r="C29" s="2">
        <v>0.22</v>
      </c>
      <c r="D29" s="2">
        <v>0.22</v>
      </c>
      <c r="E29" s="2">
        <v>0.28999999999999998</v>
      </c>
      <c r="F29" s="2">
        <v>0.24</v>
      </c>
      <c r="G29" s="2">
        <v>0.18</v>
      </c>
      <c r="H29" s="2">
        <v>0.2</v>
      </c>
      <c r="I29" s="2">
        <v>0.18</v>
      </c>
      <c r="J29" s="2">
        <v>0.17</v>
      </c>
      <c r="K29" s="2">
        <v>0.2</v>
      </c>
      <c r="L29" s="2">
        <v>0.2</v>
      </c>
      <c r="M29" s="2">
        <v>0.21</v>
      </c>
      <c r="N29" s="2">
        <v>0.21</v>
      </c>
      <c r="O29" s="2">
        <v>0.1</v>
      </c>
      <c r="P29" s="2">
        <v>0.21</v>
      </c>
      <c r="Q29" s="2">
        <v>0.42</v>
      </c>
      <c r="R29" s="2">
        <v>0.26</v>
      </c>
      <c r="T29" s="1" t="s">
        <v>25</v>
      </c>
      <c r="U29" s="2">
        <v>6089.78</v>
      </c>
      <c r="V29" s="2">
        <v>5831.81</v>
      </c>
      <c r="W29" s="2">
        <v>6511.72</v>
      </c>
      <c r="X29" s="2">
        <v>6580.76</v>
      </c>
      <c r="Y29" s="2">
        <v>5197.46</v>
      </c>
      <c r="Z29" s="2">
        <v>6374.36</v>
      </c>
      <c r="AA29" s="2">
        <v>4435.67</v>
      </c>
      <c r="AB29" s="2">
        <v>4798.0200000000004</v>
      </c>
      <c r="AC29" s="2">
        <v>4415.07</v>
      </c>
      <c r="AD29" s="2">
        <v>4054.66</v>
      </c>
      <c r="AE29" s="2">
        <v>3665.64</v>
      </c>
      <c r="AF29" s="2">
        <v>3331.28</v>
      </c>
      <c r="AG29" s="2">
        <v>732.06</v>
      </c>
      <c r="AH29" s="2">
        <v>2313.81</v>
      </c>
      <c r="AI29" s="2">
        <v>6836.41</v>
      </c>
      <c r="AJ29" s="2">
        <v>5009.21</v>
      </c>
      <c r="AM29" s="1" t="s">
        <v>25</v>
      </c>
      <c r="AN29" s="2">
        <v>25428.46</v>
      </c>
      <c r="AO29" s="2">
        <v>25336.09</v>
      </c>
      <c r="AP29" s="2">
        <v>21747.57</v>
      </c>
      <c r="AQ29" s="2">
        <v>28323.34</v>
      </c>
      <c r="AR29" s="2">
        <v>27618.68</v>
      </c>
      <c r="AS29" s="2">
        <v>28754.78</v>
      </c>
      <c r="AT29" s="2">
        <v>22609.84</v>
      </c>
      <c r="AU29" s="2">
        <v>25130.51</v>
      </c>
      <c r="AV29" s="2">
        <v>20500.59</v>
      </c>
      <c r="AW29" s="2">
        <v>19533.189999999999</v>
      </c>
      <c r="AX29" s="2">
        <v>16267.17</v>
      </c>
      <c r="AY29" s="2">
        <v>15539.25</v>
      </c>
      <c r="AZ29" s="2">
        <v>6627.24</v>
      </c>
      <c r="BA29" s="2">
        <v>9669.4599999999991</v>
      </c>
      <c r="BB29" s="2">
        <v>13349.48</v>
      </c>
      <c r="BC29" s="2">
        <v>18905.16</v>
      </c>
      <c r="BF29" s="1" t="s">
        <v>25</v>
      </c>
      <c r="BG29" s="2">
        <v>31518.240000000002</v>
      </c>
      <c r="BH29" s="2">
        <v>31167.9</v>
      </c>
      <c r="BI29" s="2">
        <v>28259.3</v>
      </c>
      <c r="BJ29" s="2">
        <v>34904.1</v>
      </c>
      <c r="BK29" s="2">
        <v>32816.14</v>
      </c>
      <c r="BL29" s="2">
        <v>35129.14</v>
      </c>
      <c r="BM29" s="2">
        <v>27045.51</v>
      </c>
      <c r="BN29" s="2">
        <v>29928.53</v>
      </c>
      <c r="BO29" s="2">
        <v>24915.67</v>
      </c>
      <c r="BP29" s="2">
        <v>23587.85</v>
      </c>
      <c r="BQ29" s="2">
        <v>19932.810000000001</v>
      </c>
      <c r="BR29" s="2">
        <v>18870.53</v>
      </c>
      <c r="BS29" s="2">
        <v>7359.3</v>
      </c>
      <c r="BT29" s="2">
        <v>11983.27</v>
      </c>
      <c r="BU29" s="2">
        <v>20185.89</v>
      </c>
      <c r="BV29" s="2">
        <v>23914.36</v>
      </c>
    </row>
    <row r="30" spans="2:74" x14ac:dyDescent="0.3">
      <c r="B30" s="1" t="s">
        <v>26</v>
      </c>
      <c r="C30" s="2">
        <v>0.2</v>
      </c>
      <c r="D30" s="2">
        <v>0.2</v>
      </c>
      <c r="E30" s="2">
        <v>0.2</v>
      </c>
      <c r="F30" s="2">
        <v>0.21</v>
      </c>
      <c r="G30" s="2">
        <v>0.22</v>
      </c>
      <c r="H30" s="2">
        <v>0.21</v>
      </c>
      <c r="I30" s="2">
        <v>0.21</v>
      </c>
      <c r="J30" s="2">
        <v>0.21</v>
      </c>
      <c r="K30" s="2">
        <v>0.21</v>
      </c>
      <c r="L30" s="2">
        <v>0.22</v>
      </c>
      <c r="M30" s="2">
        <v>0.21</v>
      </c>
      <c r="N30" s="2">
        <v>0.22</v>
      </c>
      <c r="O30" s="2">
        <v>0.25</v>
      </c>
      <c r="P30" s="2">
        <v>0.24</v>
      </c>
      <c r="Q30" s="2">
        <v>0.27</v>
      </c>
      <c r="R30" s="2">
        <v>0.25</v>
      </c>
      <c r="T30" s="1" t="s">
        <v>26</v>
      </c>
      <c r="U30" s="2">
        <v>2471.77</v>
      </c>
      <c r="V30" s="2">
        <v>3203.78</v>
      </c>
      <c r="W30" s="2">
        <v>2171.8000000000002</v>
      </c>
      <c r="X30" s="2">
        <v>2588.6999999999998</v>
      </c>
      <c r="Y30" s="2">
        <v>2152.77</v>
      </c>
      <c r="Z30" s="2">
        <v>2438.67</v>
      </c>
      <c r="AA30" s="2">
        <v>1606.73</v>
      </c>
      <c r="AB30" s="2">
        <v>2207.7199999999998</v>
      </c>
      <c r="AC30" s="2">
        <v>2524.1999999999998</v>
      </c>
      <c r="AD30" s="2">
        <v>2138.34</v>
      </c>
      <c r="AE30" s="2">
        <v>2524.16</v>
      </c>
      <c r="AF30" s="2">
        <v>2138.34</v>
      </c>
      <c r="AG30" s="2">
        <v>781.76</v>
      </c>
      <c r="AH30" s="2">
        <v>869.44</v>
      </c>
      <c r="AI30" s="2">
        <v>3458.75</v>
      </c>
      <c r="AJ30" s="2">
        <v>3050.31</v>
      </c>
      <c r="AM30" s="1" t="s">
        <v>26</v>
      </c>
      <c r="AN30" s="2">
        <v>12653.63</v>
      </c>
      <c r="AO30" s="2">
        <v>15317.92</v>
      </c>
      <c r="AP30" s="2">
        <v>13114.4</v>
      </c>
      <c r="AQ30" s="2">
        <v>14075.4</v>
      </c>
      <c r="AR30" s="2">
        <v>9537.93</v>
      </c>
      <c r="AS30" s="2">
        <v>10979.43</v>
      </c>
      <c r="AT30" s="2">
        <v>7699.27</v>
      </c>
      <c r="AU30" s="2">
        <v>9673.7800000000007</v>
      </c>
      <c r="AV30" s="2">
        <v>11909.4</v>
      </c>
      <c r="AW30" s="2">
        <v>9567.66</v>
      </c>
      <c r="AX30" s="2">
        <v>11909.44</v>
      </c>
      <c r="AY30" s="2">
        <v>9567.66</v>
      </c>
      <c r="AZ30" s="2">
        <v>2874.04</v>
      </c>
      <c r="BA30" s="2">
        <v>3233.36</v>
      </c>
      <c r="BB30" s="2">
        <v>14643.72</v>
      </c>
      <c r="BC30" s="2">
        <v>11999.78</v>
      </c>
      <c r="BF30" s="1" t="s">
        <v>26</v>
      </c>
      <c r="BG30" s="2">
        <v>15125.4</v>
      </c>
      <c r="BH30" s="2">
        <v>18521.7</v>
      </c>
      <c r="BI30" s="2">
        <v>15286.2</v>
      </c>
      <c r="BJ30" s="2">
        <v>16664.099999999999</v>
      </c>
      <c r="BK30" s="2">
        <v>11690.7</v>
      </c>
      <c r="BL30" s="2">
        <v>13418.1</v>
      </c>
      <c r="BM30" s="2">
        <v>9306</v>
      </c>
      <c r="BN30" s="2">
        <v>11881.5</v>
      </c>
      <c r="BO30" s="2">
        <v>14433.6</v>
      </c>
      <c r="BP30" s="2">
        <v>11706</v>
      </c>
      <c r="BQ30" s="2">
        <v>14433.6</v>
      </c>
      <c r="BR30" s="2">
        <v>11706</v>
      </c>
      <c r="BS30" s="2">
        <v>3655.8</v>
      </c>
      <c r="BT30" s="2">
        <v>4102.8</v>
      </c>
      <c r="BU30" s="2">
        <v>18102.46</v>
      </c>
      <c r="BV30" s="2">
        <v>15050.09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2574.4299999999998</v>
      </c>
      <c r="D37" s="2">
        <v>2503.87</v>
      </c>
      <c r="E37" s="2">
        <v>2562.6999999999998</v>
      </c>
      <c r="F37" s="2">
        <v>529.67999999999995</v>
      </c>
      <c r="G37" s="2">
        <v>1186.6300000000001</v>
      </c>
      <c r="H37" s="2">
        <v>1041.3399999999999</v>
      </c>
      <c r="I37" s="2">
        <v>509.4</v>
      </c>
      <c r="J37" s="2">
        <v>429.96</v>
      </c>
      <c r="K37" s="2">
        <v>460.1</v>
      </c>
      <c r="L37" s="2">
        <v>565.14</v>
      </c>
      <c r="M37" s="2">
        <v>460.1</v>
      </c>
      <c r="N37" s="2">
        <v>1413.41</v>
      </c>
      <c r="O37" s="2">
        <v>151.97999999999999</v>
      </c>
      <c r="P37" s="2">
        <v>137.37</v>
      </c>
      <c r="Q37" s="2">
        <v>1731.3</v>
      </c>
      <c r="R37" s="2">
        <v>1349.24</v>
      </c>
      <c r="T37" s="1" t="s">
        <v>19</v>
      </c>
      <c r="U37" s="2">
        <v>766.2</v>
      </c>
      <c r="V37" s="2">
        <v>745.2</v>
      </c>
      <c r="W37" s="2">
        <v>732.2</v>
      </c>
      <c r="X37" s="2">
        <v>151.34</v>
      </c>
      <c r="Y37" s="2">
        <v>302.70999999999998</v>
      </c>
      <c r="Z37" s="2">
        <v>265.64999999999998</v>
      </c>
      <c r="AA37" s="2">
        <v>110.26</v>
      </c>
      <c r="AB37" s="2">
        <v>93.07</v>
      </c>
      <c r="AC37" s="2">
        <v>126.4</v>
      </c>
      <c r="AD37" s="2">
        <v>155.26</v>
      </c>
      <c r="AE37" s="2">
        <v>126.4</v>
      </c>
      <c r="AF37" s="2">
        <v>388.3</v>
      </c>
      <c r="AG37" s="2">
        <v>51.69</v>
      </c>
      <c r="AH37" s="2">
        <v>46.72</v>
      </c>
      <c r="AI37" s="2">
        <v>1545.8</v>
      </c>
      <c r="AJ37" s="2">
        <v>1204.68</v>
      </c>
      <c r="AM37" s="1" t="s">
        <v>19</v>
      </c>
      <c r="AN37" s="2">
        <v>2400</v>
      </c>
      <c r="AO37" s="2">
        <v>2400</v>
      </c>
      <c r="AP37" s="2">
        <v>3000</v>
      </c>
      <c r="AQ37" s="2">
        <v>2717.36</v>
      </c>
      <c r="AR37" s="2">
        <v>2093.29</v>
      </c>
      <c r="AS37" s="2">
        <v>1866.05</v>
      </c>
      <c r="AT37" s="2">
        <v>1990.64</v>
      </c>
      <c r="AU37" s="2">
        <v>1693.43</v>
      </c>
      <c r="AV37" s="2">
        <v>2229.3000000000002</v>
      </c>
      <c r="AW37" s="2">
        <v>2730.14</v>
      </c>
      <c r="AX37" s="2">
        <v>2229.3000000000002</v>
      </c>
      <c r="AY37" s="2">
        <v>2400</v>
      </c>
      <c r="AZ37" s="2">
        <v>908.91</v>
      </c>
      <c r="BA37" s="2">
        <v>838.08</v>
      </c>
      <c r="BB37" s="2">
        <v>3068.9</v>
      </c>
      <c r="BC37" s="2">
        <v>2550.42</v>
      </c>
      <c r="BF37" s="1" t="s">
        <v>19</v>
      </c>
      <c r="BG37" s="2">
        <v>3166.2</v>
      </c>
      <c r="BH37" s="2">
        <v>3145.2</v>
      </c>
      <c r="BI37" s="2">
        <v>3732.2</v>
      </c>
      <c r="BJ37" s="2">
        <v>2868.7</v>
      </c>
      <c r="BK37" s="2">
        <v>2396</v>
      </c>
      <c r="BL37" s="2">
        <v>2131.6999999999998</v>
      </c>
      <c r="BM37" s="2">
        <v>2100.9</v>
      </c>
      <c r="BN37" s="2">
        <v>1786.5</v>
      </c>
      <c r="BO37" s="2">
        <v>2355.6999999999998</v>
      </c>
      <c r="BP37" s="2">
        <v>2885.4</v>
      </c>
      <c r="BQ37" s="2">
        <v>2355.6999999999998</v>
      </c>
      <c r="BR37" s="2">
        <v>2788.3</v>
      </c>
      <c r="BS37" s="2">
        <v>960.6</v>
      </c>
      <c r="BT37" s="2">
        <v>884.8</v>
      </c>
      <c r="BU37" s="2">
        <v>4614.7</v>
      </c>
      <c r="BV37" s="2">
        <v>3755.1</v>
      </c>
    </row>
    <row r="38" spans="2:74" x14ac:dyDescent="0.3">
      <c r="B38" s="1" t="s">
        <v>20</v>
      </c>
      <c r="C38" s="2">
        <v>7853.38</v>
      </c>
      <c r="D38" s="2">
        <v>3216.32</v>
      </c>
      <c r="E38" s="2">
        <v>6037.22</v>
      </c>
      <c r="F38" s="2">
        <v>5453.64</v>
      </c>
      <c r="G38" s="2">
        <v>12242.08</v>
      </c>
      <c r="H38" s="2">
        <v>5990.72</v>
      </c>
      <c r="I38" s="2">
        <v>12282.05</v>
      </c>
      <c r="J38" s="2">
        <v>5281.63</v>
      </c>
      <c r="K38" s="2">
        <v>4306.76</v>
      </c>
      <c r="L38" s="2">
        <v>4562.24</v>
      </c>
      <c r="M38" s="2">
        <v>4306.76</v>
      </c>
      <c r="N38" s="2">
        <v>4543.82</v>
      </c>
      <c r="O38" s="2">
        <v>3006.48</v>
      </c>
      <c r="P38" s="2">
        <v>2414.83</v>
      </c>
      <c r="Q38" s="2">
        <v>2781.64</v>
      </c>
      <c r="R38" s="2">
        <v>2663.72</v>
      </c>
      <c r="T38" s="1" t="s">
        <v>20</v>
      </c>
      <c r="U38" s="2">
        <v>1558.21</v>
      </c>
      <c r="V38" s="2">
        <v>848.65</v>
      </c>
      <c r="W38" s="2">
        <v>1465.83</v>
      </c>
      <c r="X38" s="2">
        <v>1038.79</v>
      </c>
      <c r="Y38" s="2">
        <v>2081.9899999999998</v>
      </c>
      <c r="Z38" s="2">
        <v>1018.83</v>
      </c>
      <c r="AA38" s="2">
        <v>1772.3</v>
      </c>
      <c r="AB38" s="2">
        <v>776.57</v>
      </c>
      <c r="AC38" s="2">
        <v>924.11</v>
      </c>
      <c r="AD38" s="2">
        <v>1262.3499999999999</v>
      </c>
      <c r="AE38" s="2">
        <v>924.11</v>
      </c>
      <c r="AF38" s="2">
        <v>1248.71</v>
      </c>
      <c r="AG38" s="2">
        <v>774.39</v>
      </c>
      <c r="AH38" s="2">
        <v>637.34</v>
      </c>
      <c r="AI38" s="2">
        <v>1655.74</v>
      </c>
      <c r="AJ38" s="2">
        <v>1585.55</v>
      </c>
      <c r="AM38" s="1" t="s">
        <v>20</v>
      </c>
      <c r="AN38" s="2">
        <v>6419.99</v>
      </c>
      <c r="AO38" s="2">
        <v>5027.45</v>
      </c>
      <c r="AP38" s="2">
        <v>9258.77</v>
      </c>
      <c r="AQ38" s="2">
        <v>3892.54</v>
      </c>
      <c r="AR38" s="2">
        <v>8718.01</v>
      </c>
      <c r="AS38" s="2">
        <v>4446.67</v>
      </c>
      <c r="AT38" s="2">
        <v>7397.95</v>
      </c>
      <c r="AU38" s="2">
        <v>4409.7299999999996</v>
      </c>
      <c r="AV38" s="2">
        <v>5465.29</v>
      </c>
      <c r="AW38" s="2">
        <v>7170.35</v>
      </c>
      <c r="AX38" s="2">
        <v>5465.29</v>
      </c>
      <c r="AY38" s="2">
        <v>7082.59</v>
      </c>
      <c r="AZ38" s="2">
        <v>4211.71</v>
      </c>
      <c r="BA38" s="2">
        <v>3449.56</v>
      </c>
      <c r="BB38" s="2">
        <v>6768.26</v>
      </c>
      <c r="BC38" s="2">
        <v>6516.18</v>
      </c>
      <c r="BF38" s="1" t="s">
        <v>20</v>
      </c>
      <c r="BG38" s="2">
        <v>7978.2</v>
      </c>
      <c r="BH38" s="2">
        <v>5876.1</v>
      </c>
      <c r="BI38" s="2">
        <v>10724.6</v>
      </c>
      <c r="BJ38" s="2">
        <v>4931.33</v>
      </c>
      <c r="BK38" s="2">
        <v>10800</v>
      </c>
      <c r="BL38" s="2">
        <v>5465.5</v>
      </c>
      <c r="BM38" s="2">
        <v>9170.26</v>
      </c>
      <c r="BN38" s="2">
        <v>5186.3</v>
      </c>
      <c r="BO38" s="2">
        <v>6389.4</v>
      </c>
      <c r="BP38" s="2">
        <v>8432.7000000000007</v>
      </c>
      <c r="BQ38" s="2">
        <v>6389.4</v>
      </c>
      <c r="BR38" s="2">
        <v>8331.2999999999993</v>
      </c>
      <c r="BS38" s="2">
        <v>4986.1000000000004</v>
      </c>
      <c r="BT38" s="2">
        <v>4086.9</v>
      </c>
      <c r="BU38" s="2">
        <v>8424</v>
      </c>
      <c r="BV38" s="2">
        <v>8101.72</v>
      </c>
    </row>
    <row r="39" spans="2:74" x14ac:dyDescent="0.3">
      <c r="B39" s="1" t="s">
        <v>21</v>
      </c>
      <c r="C39" s="2">
        <v>106168.92</v>
      </c>
      <c r="D39" s="2">
        <v>19501.349999999999</v>
      </c>
      <c r="E39" s="2">
        <v>53052.49</v>
      </c>
      <c r="F39" s="2">
        <v>38377.660000000003</v>
      </c>
      <c r="G39" s="2">
        <v>141059.46</v>
      </c>
      <c r="H39" s="2">
        <v>32450.46</v>
      </c>
      <c r="I39" s="2">
        <v>114426.12</v>
      </c>
      <c r="J39" s="2">
        <v>34496.04</v>
      </c>
      <c r="K39" s="2">
        <v>9396.0400000000009</v>
      </c>
      <c r="L39" s="2">
        <v>12657.33</v>
      </c>
      <c r="M39" s="2">
        <v>8839.25</v>
      </c>
      <c r="N39" s="2">
        <v>11784.57</v>
      </c>
      <c r="O39" s="2">
        <v>8440.16</v>
      </c>
      <c r="P39" s="2">
        <v>2785.87</v>
      </c>
      <c r="Q39" s="2">
        <v>9608.85</v>
      </c>
      <c r="R39" s="2">
        <v>28901.97</v>
      </c>
      <c r="T39" s="1" t="s">
        <v>21</v>
      </c>
      <c r="U39" s="2">
        <v>2340.58</v>
      </c>
      <c r="V39" s="2">
        <v>1289.77</v>
      </c>
      <c r="W39" s="2">
        <v>1684.21</v>
      </c>
      <c r="X39" s="2">
        <v>2436.6799999999998</v>
      </c>
      <c r="Y39" s="2">
        <v>2665.52</v>
      </c>
      <c r="Z39" s="2">
        <v>1839.6</v>
      </c>
      <c r="AA39" s="2">
        <v>1864.49</v>
      </c>
      <c r="AB39" s="2">
        <v>1276.97</v>
      </c>
      <c r="AC39" s="2">
        <v>897.75</v>
      </c>
      <c r="AD39" s="2">
        <v>1035.74</v>
      </c>
      <c r="AE39" s="2">
        <v>748.26</v>
      </c>
      <c r="AF39" s="2">
        <v>851.23</v>
      </c>
      <c r="AG39" s="2">
        <v>657.4</v>
      </c>
      <c r="AH39" s="2">
        <v>491.34</v>
      </c>
      <c r="AI39" s="2">
        <v>1906.52</v>
      </c>
      <c r="AJ39" s="2">
        <v>1911.51</v>
      </c>
      <c r="AM39" s="1" t="s">
        <v>21</v>
      </c>
      <c r="AN39" s="2">
        <v>8859.42</v>
      </c>
      <c r="AO39" s="2">
        <v>4456.2</v>
      </c>
      <c r="AP39" s="2">
        <v>12129.49</v>
      </c>
      <c r="AQ39" s="2">
        <v>5349.84</v>
      </c>
      <c r="AR39" s="2">
        <v>11028.13</v>
      </c>
      <c r="AS39" s="2">
        <v>8068.47</v>
      </c>
      <c r="AT39" s="2">
        <v>10479.24</v>
      </c>
      <c r="AU39" s="2">
        <v>7921.53</v>
      </c>
      <c r="AV39" s="2">
        <v>5394</v>
      </c>
      <c r="AW39" s="2">
        <v>6112.72</v>
      </c>
      <c r="AX39" s="2">
        <v>4447.34</v>
      </c>
      <c r="AY39" s="2">
        <v>4948.2700000000004</v>
      </c>
      <c r="AZ39" s="2">
        <v>3696.93</v>
      </c>
      <c r="BA39" s="2">
        <v>2667.56</v>
      </c>
      <c r="BB39" s="2">
        <v>5874.68</v>
      </c>
      <c r="BC39" s="2">
        <v>7040.38</v>
      </c>
      <c r="BF39" s="1" t="s">
        <v>21</v>
      </c>
      <c r="BG39" s="2">
        <v>11200</v>
      </c>
      <c r="BH39" s="2">
        <v>5745.98</v>
      </c>
      <c r="BI39" s="2">
        <v>13813.7</v>
      </c>
      <c r="BJ39" s="2">
        <v>7786.52</v>
      </c>
      <c r="BK39" s="2">
        <v>13693.65</v>
      </c>
      <c r="BL39" s="2">
        <v>9908.06</v>
      </c>
      <c r="BM39" s="2">
        <v>12343.72</v>
      </c>
      <c r="BN39" s="2">
        <v>9198.5</v>
      </c>
      <c r="BO39" s="2">
        <v>6291.75</v>
      </c>
      <c r="BP39" s="2">
        <v>7148.46</v>
      </c>
      <c r="BQ39" s="2">
        <v>5195.6000000000004</v>
      </c>
      <c r="BR39" s="2">
        <v>5799.5</v>
      </c>
      <c r="BS39" s="2">
        <v>4354.33</v>
      </c>
      <c r="BT39" s="2">
        <v>3158.9</v>
      </c>
      <c r="BU39" s="2">
        <v>7781.2</v>
      </c>
      <c r="BV39" s="2">
        <v>8951.8799999999992</v>
      </c>
    </row>
    <row r="40" spans="2:74" x14ac:dyDescent="0.3">
      <c r="B40" s="1" t="s">
        <v>22</v>
      </c>
      <c r="C40" s="2">
        <v>10005.91</v>
      </c>
      <c r="D40" s="2">
        <v>6045.03</v>
      </c>
      <c r="E40" s="2">
        <v>9874.18</v>
      </c>
      <c r="F40" s="2">
        <v>9259.2999999999993</v>
      </c>
      <c r="G40" s="2">
        <v>15340.05</v>
      </c>
      <c r="H40" s="2">
        <v>11768.98</v>
      </c>
      <c r="I40" s="2">
        <v>8828.0400000000009</v>
      </c>
      <c r="J40" s="2">
        <v>7362.84</v>
      </c>
      <c r="K40" s="2">
        <v>3722.15</v>
      </c>
      <c r="L40" s="2">
        <v>1702.06</v>
      </c>
      <c r="M40" s="2">
        <v>3374.81</v>
      </c>
      <c r="N40" s="2">
        <v>1090.8900000000001</v>
      </c>
      <c r="O40" s="2">
        <v>742.3</v>
      </c>
      <c r="P40" s="2">
        <v>742.21</v>
      </c>
      <c r="Q40" s="2">
        <v>2222.81</v>
      </c>
      <c r="R40" s="2">
        <v>2162.42</v>
      </c>
      <c r="T40" s="1" t="s">
        <v>22</v>
      </c>
      <c r="U40" s="2">
        <v>1136.6600000000001</v>
      </c>
      <c r="V40" s="2">
        <v>1199.4100000000001</v>
      </c>
      <c r="W40" s="2">
        <v>1880.8</v>
      </c>
      <c r="X40" s="2">
        <v>1763.68</v>
      </c>
      <c r="Y40" s="2">
        <v>1466.38</v>
      </c>
      <c r="Z40" s="2">
        <v>2001.53</v>
      </c>
      <c r="AA40" s="2">
        <v>1428.26</v>
      </c>
      <c r="AB40" s="2">
        <v>1247.1099999999999</v>
      </c>
      <c r="AC40" s="2">
        <v>1116.55</v>
      </c>
      <c r="AD40" s="2">
        <v>487.01</v>
      </c>
      <c r="AE40" s="2">
        <v>903.05</v>
      </c>
      <c r="AF40" s="2">
        <v>714.91</v>
      </c>
      <c r="AG40" s="2">
        <v>429.58</v>
      </c>
      <c r="AH40" s="2">
        <v>429.27</v>
      </c>
      <c r="AI40" s="2">
        <v>1323.1</v>
      </c>
      <c r="AJ40" s="2">
        <v>1287.1500000000001</v>
      </c>
      <c r="AM40" s="1" t="s">
        <v>22</v>
      </c>
      <c r="AN40" s="2">
        <v>7493.18</v>
      </c>
      <c r="AO40" s="2">
        <v>4929.05</v>
      </c>
      <c r="AP40" s="2">
        <v>11006.1</v>
      </c>
      <c r="AQ40" s="2">
        <v>8127.46</v>
      </c>
      <c r="AR40" s="2">
        <v>9233.6200000000008</v>
      </c>
      <c r="AS40" s="2">
        <v>8698.4699999999993</v>
      </c>
      <c r="AT40" s="2">
        <v>8804.74</v>
      </c>
      <c r="AU40" s="2">
        <v>7638.19</v>
      </c>
      <c r="AV40" s="2">
        <v>6769.4</v>
      </c>
      <c r="AW40" s="2">
        <v>4425.99</v>
      </c>
      <c r="AX40" s="2">
        <v>5406.05</v>
      </c>
      <c r="AY40" s="2">
        <v>4198.09</v>
      </c>
      <c r="AZ40" s="2">
        <v>2454.5</v>
      </c>
      <c r="BA40" s="2">
        <v>2456.13</v>
      </c>
      <c r="BB40" s="2">
        <v>5341.37</v>
      </c>
      <c r="BC40" s="2">
        <v>5132.8500000000004</v>
      </c>
      <c r="BF40" s="1" t="s">
        <v>22</v>
      </c>
      <c r="BG40" s="2">
        <v>8629.84</v>
      </c>
      <c r="BH40" s="2">
        <v>6128.46</v>
      </c>
      <c r="BI40" s="2">
        <v>12886.9</v>
      </c>
      <c r="BJ40" s="2">
        <v>9891.14</v>
      </c>
      <c r="BK40" s="2">
        <v>10700</v>
      </c>
      <c r="BL40" s="2">
        <v>10700</v>
      </c>
      <c r="BM40" s="2">
        <v>10233</v>
      </c>
      <c r="BN40" s="2">
        <v>8885.2999999999993</v>
      </c>
      <c r="BO40" s="2">
        <v>7885.95</v>
      </c>
      <c r="BP40" s="2">
        <v>4913</v>
      </c>
      <c r="BQ40" s="2">
        <v>6309.1</v>
      </c>
      <c r="BR40" s="2">
        <v>4913</v>
      </c>
      <c r="BS40" s="2">
        <v>2884.08</v>
      </c>
      <c r="BT40" s="2">
        <v>2885.4</v>
      </c>
      <c r="BU40" s="2">
        <v>6664.47</v>
      </c>
      <c r="BV40" s="2">
        <v>6420</v>
      </c>
    </row>
    <row r="41" spans="2:74" x14ac:dyDescent="0.3">
      <c r="B41" s="1" t="s">
        <v>23</v>
      </c>
      <c r="C41" s="2">
        <v>29673.54</v>
      </c>
      <c r="D41" s="2">
        <v>41109.339999999997</v>
      </c>
      <c r="E41" s="2">
        <v>42675.51</v>
      </c>
      <c r="F41" s="2">
        <v>41191.85</v>
      </c>
      <c r="G41" s="2">
        <v>45243.35</v>
      </c>
      <c r="H41" s="2">
        <v>51196.36</v>
      </c>
      <c r="I41" s="2">
        <v>21517.17</v>
      </c>
      <c r="J41" s="2">
        <v>30714.83</v>
      </c>
      <c r="K41" s="2">
        <v>21635.27</v>
      </c>
      <c r="L41" s="2">
        <v>16106.42</v>
      </c>
      <c r="M41" s="2">
        <v>23309.78</v>
      </c>
      <c r="N41" s="2">
        <v>16022.83</v>
      </c>
      <c r="O41" s="2">
        <v>7723.29</v>
      </c>
      <c r="P41" s="2">
        <v>7211.1</v>
      </c>
      <c r="Q41" s="2">
        <v>13212.93</v>
      </c>
      <c r="R41" s="2">
        <v>12557.65</v>
      </c>
      <c r="T41" s="1" t="s">
        <v>23</v>
      </c>
      <c r="U41" s="2">
        <v>1177.52</v>
      </c>
      <c r="V41" s="2">
        <v>944.26</v>
      </c>
      <c r="W41" s="2">
        <v>1625.73</v>
      </c>
      <c r="X41" s="2">
        <v>1569.21</v>
      </c>
      <c r="Y41" s="2">
        <v>1538.89</v>
      </c>
      <c r="Z41" s="2">
        <v>1741.37</v>
      </c>
      <c r="AA41" s="2">
        <v>1041.29</v>
      </c>
      <c r="AB41" s="2">
        <v>1253.8599999999999</v>
      </c>
      <c r="AC41" s="2">
        <v>1324.82</v>
      </c>
      <c r="AD41" s="2">
        <v>1133.08</v>
      </c>
      <c r="AE41" s="2">
        <v>1304.3</v>
      </c>
      <c r="AF41" s="2">
        <v>1110.8900000000001</v>
      </c>
      <c r="AG41" s="2">
        <v>541.88</v>
      </c>
      <c r="AH41" s="2">
        <v>522.44000000000005</v>
      </c>
      <c r="AI41" s="2">
        <v>1572.97</v>
      </c>
      <c r="AJ41" s="2">
        <v>1494.96</v>
      </c>
      <c r="AM41" s="1" t="s">
        <v>23</v>
      </c>
      <c r="AN41" s="2">
        <v>4745.13</v>
      </c>
      <c r="AO41" s="2">
        <v>5742.39</v>
      </c>
      <c r="AP41" s="2">
        <v>7317.85</v>
      </c>
      <c r="AQ41" s="2">
        <v>6856.4</v>
      </c>
      <c r="AR41" s="2">
        <v>6845.31</v>
      </c>
      <c r="AS41" s="2">
        <v>7742.43</v>
      </c>
      <c r="AT41" s="2">
        <v>5958.91</v>
      </c>
      <c r="AU41" s="2">
        <v>7222.84</v>
      </c>
      <c r="AV41" s="2">
        <v>7641.98</v>
      </c>
      <c r="AW41" s="2">
        <v>6569.42</v>
      </c>
      <c r="AX41" s="2">
        <v>7506.6</v>
      </c>
      <c r="AY41" s="2">
        <v>6429.81</v>
      </c>
      <c r="AZ41" s="2">
        <v>2964.92</v>
      </c>
      <c r="BA41" s="2">
        <v>2858.86</v>
      </c>
      <c r="BB41" s="2">
        <v>6773.03</v>
      </c>
      <c r="BC41" s="2">
        <v>6303.97</v>
      </c>
      <c r="BF41" s="1" t="s">
        <v>23</v>
      </c>
      <c r="BG41" s="2">
        <v>5922.65</v>
      </c>
      <c r="BH41" s="2">
        <v>6686.65</v>
      </c>
      <c r="BI41" s="2">
        <v>8943.58</v>
      </c>
      <c r="BJ41" s="2">
        <v>8425.61</v>
      </c>
      <c r="BK41" s="2">
        <v>8384.2000000000007</v>
      </c>
      <c r="BL41" s="2">
        <v>9483.7999999999993</v>
      </c>
      <c r="BM41" s="2">
        <v>7000.2</v>
      </c>
      <c r="BN41" s="2">
        <v>8476.7000000000007</v>
      </c>
      <c r="BO41" s="2">
        <v>8966.7999999999993</v>
      </c>
      <c r="BP41" s="2">
        <v>7702.5</v>
      </c>
      <c r="BQ41" s="2">
        <v>8810.9</v>
      </c>
      <c r="BR41" s="2">
        <v>7540.7</v>
      </c>
      <c r="BS41" s="2">
        <v>3506.8</v>
      </c>
      <c r="BT41" s="2">
        <v>3381.3</v>
      </c>
      <c r="BU41" s="2">
        <v>8346</v>
      </c>
      <c r="BV41" s="2">
        <v>7798.93</v>
      </c>
    </row>
    <row r="42" spans="2:74" x14ac:dyDescent="0.3">
      <c r="B42" s="1" t="s">
        <v>24</v>
      </c>
      <c r="C42" s="2">
        <v>7708.54</v>
      </c>
      <c r="D42" s="2">
        <v>8364.26</v>
      </c>
      <c r="E42" s="2">
        <v>10140.469999999999</v>
      </c>
      <c r="F42" s="2">
        <v>13102.42</v>
      </c>
      <c r="G42" s="2">
        <v>12043.36</v>
      </c>
      <c r="H42" s="2">
        <v>15850.17</v>
      </c>
      <c r="I42" s="2">
        <v>8216.74</v>
      </c>
      <c r="J42" s="2">
        <v>16336.41</v>
      </c>
      <c r="K42" s="2">
        <v>3353</v>
      </c>
      <c r="L42" s="2">
        <v>2126.6799999999998</v>
      </c>
      <c r="M42" s="2">
        <v>3372.62</v>
      </c>
      <c r="N42" s="2">
        <v>2183.7800000000002</v>
      </c>
      <c r="O42" s="2">
        <v>2052.31</v>
      </c>
      <c r="P42" s="2">
        <v>1543.31</v>
      </c>
      <c r="Q42" s="2">
        <v>2708.99</v>
      </c>
      <c r="R42" s="2">
        <v>2011.99</v>
      </c>
      <c r="T42" s="1" t="s">
        <v>24</v>
      </c>
      <c r="U42" s="2">
        <v>1529.47</v>
      </c>
      <c r="V42" s="2">
        <v>1161.54</v>
      </c>
      <c r="W42" s="2">
        <v>1705.63</v>
      </c>
      <c r="X42" s="2">
        <v>1879.88</v>
      </c>
      <c r="Y42" s="2">
        <v>2048.19</v>
      </c>
      <c r="Z42" s="2">
        <v>1834.03</v>
      </c>
      <c r="AA42" s="2">
        <v>1578.27</v>
      </c>
      <c r="AB42" s="2">
        <v>1724.36</v>
      </c>
      <c r="AC42" s="2">
        <v>1489.34</v>
      </c>
      <c r="AD42" s="2">
        <v>1250.81</v>
      </c>
      <c r="AE42" s="2">
        <v>1279</v>
      </c>
      <c r="AF42" s="2">
        <v>1015.47</v>
      </c>
      <c r="AG42" s="2">
        <v>864.49</v>
      </c>
      <c r="AH42" s="2">
        <v>771.32</v>
      </c>
      <c r="AI42" s="2">
        <v>1612.49</v>
      </c>
      <c r="AJ42" s="2">
        <v>1197.6099999999999</v>
      </c>
      <c r="AM42" s="1" t="s">
        <v>24</v>
      </c>
      <c r="AN42" s="2">
        <v>6149.13</v>
      </c>
      <c r="AO42" s="2">
        <v>5562.83</v>
      </c>
      <c r="AP42" s="2">
        <v>9978.9699999999993</v>
      </c>
      <c r="AQ42" s="2">
        <v>10425.120000000001</v>
      </c>
      <c r="AR42" s="2">
        <v>8651.81</v>
      </c>
      <c r="AS42" s="2">
        <v>9617.23</v>
      </c>
      <c r="AT42" s="2">
        <v>7710.83</v>
      </c>
      <c r="AU42" s="2">
        <v>8975.64</v>
      </c>
      <c r="AV42" s="2">
        <v>6533.46</v>
      </c>
      <c r="AW42" s="2">
        <v>5558.5</v>
      </c>
      <c r="AX42" s="2">
        <v>5473</v>
      </c>
      <c r="AY42" s="2">
        <v>4432</v>
      </c>
      <c r="AZ42" s="2">
        <v>3627.1</v>
      </c>
      <c r="BA42" s="2">
        <v>3223.43</v>
      </c>
      <c r="BB42" s="2">
        <v>6458.01</v>
      </c>
      <c r="BC42" s="2">
        <v>4259.3900000000003</v>
      </c>
      <c r="BF42" s="1" t="s">
        <v>24</v>
      </c>
      <c r="BG42" s="2">
        <v>7678.6</v>
      </c>
      <c r="BH42" s="2">
        <v>6724.37</v>
      </c>
      <c r="BI42" s="2">
        <v>11684.61</v>
      </c>
      <c r="BJ42" s="2">
        <v>12305</v>
      </c>
      <c r="BK42" s="2">
        <v>10700</v>
      </c>
      <c r="BL42" s="2">
        <v>11451.26</v>
      </c>
      <c r="BM42" s="2">
        <v>9289.1</v>
      </c>
      <c r="BN42" s="2">
        <v>10700</v>
      </c>
      <c r="BO42" s="2">
        <v>8022.8</v>
      </c>
      <c r="BP42" s="2">
        <v>6809.31</v>
      </c>
      <c r="BQ42" s="2">
        <v>6752</v>
      </c>
      <c r="BR42" s="2">
        <v>5447.47</v>
      </c>
      <c r="BS42" s="2">
        <v>4491.58</v>
      </c>
      <c r="BT42" s="2">
        <v>3994.75</v>
      </c>
      <c r="BU42" s="2">
        <v>8070.51</v>
      </c>
      <c r="BV42" s="2">
        <v>5457</v>
      </c>
    </row>
    <row r="43" spans="2:74" x14ac:dyDescent="0.3">
      <c r="B43" s="1" t="s">
        <v>25</v>
      </c>
      <c r="C43" s="2">
        <v>92077.49</v>
      </c>
      <c r="D43" s="2">
        <v>88176.97</v>
      </c>
      <c r="E43" s="2">
        <v>34186.54</v>
      </c>
      <c r="F43" s="2">
        <v>34548.97</v>
      </c>
      <c r="G43" s="2">
        <v>61122.080000000002</v>
      </c>
      <c r="H43" s="2">
        <v>74962.48</v>
      </c>
      <c r="I43" s="2">
        <v>30683.67</v>
      </c>
      <c r="J43" s="2">
        <v>45755.06</v>
      </c>
      <c r="K43" s="2">
        <v>16966.21</v>
      </c>
      <c r="L43" s="2">
        <v>14826.02</v>
      </c>
      <c r="M43" s="2">
        <v>16490.05</v>
      </c>
      <c r="N43" s="2">
        <v>14415.9</v>
      </c>
      <c r="O43" s="2">
        <v>2590.66</v>
      </c>
      <c r="P43" s="2">
        <v>7078.21</v>
      </c>
      <c r="Q43" s="2">
        <v>11485.17</v>
      </c>
      <c r="R43" s="2">
        <v>25246.41</v>
      </c>
      <c r="T43" s="1" t="s">
        <v>25</v>
      </c>
      <c r="U43" s="2">
        <v>2029.93</v>
      </c>
      <c r="V43" s="2">
        <v>1943.94</v>
      </c>
      <c r="W43" s="2">
        <v>2170.5700000000002</v>
      </c>
      <c r="X43" s="2">
        <v>2193.59</v>
      </c>
      <c r="Y43" s="2">
        <v>1732.49</v>
      </c>
      <c r="Z43" s="2">
        <v>2124.79</v>
      </c>
      <c r="AA43" s="2">
        <v>1478.56</v>
      </c>
      <c r="AB43" s="2">
        <v>1599.34</v>
      </c>
      <c r="AC43" s="2">
        <v>1471.69</v>
      </c>
      <c r="AD43" s="2">
        <v>1351.55</v>
      </c>
      <c r="AE43" s="2">
        <v>1221.8800000000001</v>
      </c>
      <c r="AF43" s="2">
        <v>1110.43</v>
      </c>
      <c r="AG43" s="2">
        <v>244.02</v>
      </c>
      <c r="AH43" s="2">
        <v>771.27</v>
      </c>
      <c r="AI43" s="2">
        <v>2278.8000000000002</v>
      </c>
      <c r="AJ43" s="2">
        <v>1669.74</v>
      </c>
      <c r="AM43" s="1" t="s">
        <v>25</v>
      </c>
      <c r="AN43" s="2">
        <v>8476.15</v>
      </c>
      <c r="AO43" s="2">
        <v>8445.36</v>
      </c>
      <c r="AP43" s="2">
        <v>7249.19</v>
      </c>
      <c r="AQ43" s="2">
        <v>9441.11</v>
      </c>
      <c r="AR43" s="2">
        <v>9206.23</v>
      </c>
      <c r="AS43" s="2">
        <v>9584.93</v>
      </c>
      <c r="AT43" s="2">
        <v>7536.61</v>
      </c>
      <c r="AU43" s="2">
        <v>8376.84</v>
      </c>
      <c r="AV43" s="2">
        <v>6833.53</v>
      </c>
      <c r="AW43" s="2">
        <v>6511.06</v>
      </c>
      <c r="AX43" s="2">
        <v>5422.39</v>
      </c>
      <c r="AY43" s="2">
        <v>5179.75</v>
      </c>
      <c r="AZ43" s="2">
        <v>2209.08</v>
      </c>
      <c r="BA43" s="2">
        <v>3223.15</v>
      </c>
      <c r="BB43" s="2">
        <v>4449.83</v>
      </c>
      <c r="BC43" s="2">
        <v>6301.72</v>
      </c>
      <c r="BF43" s="1" t="s">
        <v>25</v>
      </c>
      <c r="BG43" s="2">
        <v>10506.08</v>
      </c>
      <c r="BH43" s="2">
        <v>10389.299999999999</v>
      </c>
      <c r="BI43" s="2">
        <v>9419.76</v>
      </c>
      <c r="BJ43" s="2">
        <v>11634.7</v>
      </c>
      <c r="BK43" s="2">
        <v>10938.71</v>
      </c>
      <c r="BL43" s="2">
        <v>11709.71</v>
      </c>
      <c r="BM43" s="2">
        <v>9015.17</v>
      </c>
      <c r="BN43" s="2">
        <v>9976.18</v>
      </c>
      <c r="BO43" s="2">
        <v>8305.2199999999993</v>
      </c>
      <c r="BP43" s="2">
        <v>7862.62</v>
      </c>
      <c r="BQ43" s="2">
        <v>6644.27</v>
      </c>
      <c r="BR43" s="2">
        <v>6290.18</v>
      </c>
      <c r="BS43" s="2">
        <v>2453.1</v>
      </c>
      <c r="BT43" s="2">
        <v>3994.42</v>
      </c>
      <c r="BU43" s="2">
        <v>6728.63</v>
      </c>
      <c r="BV43" s="2">
        <v>7971.45</v>
      </c>
    </row>
    <row r="44" spans="2:74" x14ac:dyDescent="0.3">
      <c r="B44" s="1" t="s">
        <v>26</v>
      </c>
      <c r="C44" s="2">
        <v>9920.5499999999993</v>
      </c>
      <c r="D44" s="2">
        <v>11552.43</v>
      </c>
      <c r="E44" s="2">
        <v>11256.44</v>
      </c>
      <c r="F44" s="2">
        <v>2902.75</v>
      </c>
      <c r="G44" s="2">
        <v>12658.3</v>
      </c>
      <c r="H44" s="2">
        <v>13493.77</v>
      </c>
      <c r="I44" s="2">
        <v>8284.11</v>
      </c>
      <c r="J44" s="2">
        <v>8927.3700000000008</v>
      </c>
      <c r="K44" s="2">
        <v>11516.86</v>
      </c>
      <c r="L44" s="2">
        <v>10895.16</v>
      </c>
      <c r="M44" s="2">
        <v>11516.93</v>
      </c>
      <c r="N44" s="2">
        <v>10895.16</v>
      </c>
      <c r="O44" s="2">
        <v>1415.54</v>
      </c>
      <c r="P44" s="2">
        <v>1800.49</v>
      </c>
      <c r="Q44" s="2">
        <v>5810.69</v>
      </c>
      <c r="R44" s="2">
        <v>5124.53</v>
      </c>
      <c r="T44" s="1" t="s">
        <v>26</v>
      </c>
      <c r="U44" s="2">
        <v>823.92</v>
      </c>
      <c r="V44" s="2">
        <v>1067.93</v>
      </c>
      <c r="W44" s="2">
        <v>723.93</v>
      </c>
      <c r="X44" s="2">
        <v>862.9</v>
      </c>
      <c r="Y44" s="2">
        <v>717.59</v>
      </c>
      <c r="Z44" s="2">
        <v>812.89</v>
      </c>
      <c r="AA44" s="2">
        <v>535.58000000000004</v>
      </c>
      <c r="AB44" s="2">
        <v>735.91</v>
      </c>
      <c r="AC44" s="2">
        <v>841.4</v>
      </c>
      <c r="AD44" s="2">
        <v>712.78</v>
      </c>
      <c r="AE44" s="2">
        <v>841.39</v>
      </c>
      <c r="AF44" s="2">
        <v>712.78</v>
      </c>
      <c r="AG44" s="2">
        <v>260.58999999999997</v>
      </c>
      <c r="AH44" s="2">
        <v>289.81</v>
      </c>
      <c r="AI44" s="2">
        <v>1152.92</v>
      </c>
      <c r="AJ44" s="2">
        <v>1016.77</v>
      </c>
      <c r="AM44" s="1" t="s">
        <v>26</v>
      </c>
      <c r="AN44" s="2">
        <v>4217.88</v>
      </c>
      <c r="AO44" s="2">
        <v>5105.97</v>
      </c>
      <c r="AP44" s="2">
        <v>4371.47</v>
      </c>
      <c r="AQ44" s="2">
        <v>4691.8</v>
      </c>
      <c r="AR44" s="2">
        <v>3179.31</v>
      </c>
      <c r="AS44" s="2">
        <v>3659.81</v>
      </c>
      <c r="AT44" s="2">
        <v>2566.42</v>
      </c>
      <c r="AU44" s="2">
        <v>3224.59</v>
      </c>
      <c r="AV44" s="2">
        <v>3969.8</v>
      </c>
      <c r="AW44" s="2">
        <v>3189.22</v>
      </c>
      <c r="AX44" s="2">
        <v>3969.81</v>
      </c>
      <c r="AY44" s="2">
        <v>3189.22</v>
      </c>
      <c r="AZ44" s="2">
        <v>958.01</v>
      </c>
      <c r="BA44" s="2">
        <v>1077.79</v>
      </c>
      <c r="BB44" s="2">
        <v>4881.24</v>
      </c>
      <c r="BC44" s="2">
        <v>3999.93</v>
      </c>
      <c r="BF44" s="1" t="s">
        <v>26</v>
      </c>
      <c r="BG44" s="2">
        <v>5041.8</v>
      </c>
      <c r="BH44" s="2">
        <v>6173.9</v>
      </c>
      <c r="BI44" s="2">
        <v>5095.3999999999996</v>
      </c>
      <c r="BJ44" s="2">
        <v>5554.7</v>
      </c>
      <c r="BK44" s="2">
        <v>3896.9</v>
      </c>
      <c r="BL44" s="2">
        <v>4472.7</v>
      </c>
      <c r="BM44" s="2">
        <v>3102</v>
      </c>
      <c r="BN44" s="2">
        <v>3960.5</v>
      </c>
      <c r="BO44" s="2">
        <v>4811.2</v>
      </c>
      <c r="BP44" s="2">
        <v>3902</v>
      </c>
      <c r="BQ44" s="2">
        <v>4811.2</v>
      </c>
      <c r="BR44" s="2">
        <v>3902</v>
      </c>
      <c r="BS44" s="2">
        <v>1218.5999999999999</v>
      </c>
      <c r="BT44" s="2">
        <v>1367.6</v>
      </c>
      <c r="BU44" s="2">
        <v>6034.15</v>
      </c>
      <c r="BV44" s="2">
        <v>5016.7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1597.15</v>
      </c>
      <c r="D51" s="2">
        <v>1526.68</v>
      </c>
      <c r="E51" s="2">
        <v>1391.81</v>
      </c>
      <c r="F51" s="2">
        <v>226.28</v>
      </c>
      <c r="G51" s="2">
        <v>993.26</v>
      </c>
      <c r="H51" s="2">
        <v>836</v>
      </c>
      <c r="I51" s="2">
        <v>351.5</v>
      </c>
      <c r="J51" s="2">
        <v>252.11</v>
      </c>
      <c r="K51" s="2">
        <v>239.47</v>
      </c>
      <c r="L51" s="2">
        <v>345.4</v>
      </c>
      <c r="M51" s="2">
        <v>239.47</v>
      </c>
      <c r="N51" s="2">
        <v>926.16</v>
      </c>
      <c r="O51" s="2">
        <v>89.2</v>
      </c>
      <c r="P51" s="2">
        <v>78.400000000000006</v>
      </c>
      <c r="Q51" s="2">
        <v>999</v>
      </c>
      <c r="R51" s="2">
        <v>648.49</v>
      </c>
      <c r="T51" s="1" t="s">
        <v>19</v>
      </c>
      <c r="U51" s="2">
        <v>0.21</v>
      </c>
      <c r="V51" s="2">
        <v>0.21</v>
      </c>
      <c r="W51" s="2">
        <v>0.2</v>
      </c>
      <c r="X51" s="2">
        <v>0.04</v>
      </c>
      <c r="Y51" s="2">
        <v>0.08</v>
      </c>
      <c r="Z51" s="2">
        <v>7.0000000000000007E-2</v>
      </c>
      <c r="AA51" s="2">
        <v>0.03</v>
      </c>
      <c r="AB51" s="2">
        <v>0.03</v>
      </c>
      <c r="AC51" s="2">
        <v>0.04</v>
      </c>
      <c r="AD51" s="2">
        <v>0.04</v>
      </c>
      <c r="AE51" s="2">
        <v>0.04</v>
      </c>
      <c r="AF51" s="2">
        <v>0.11</v>
      </c>
      <c r="AG51" s="2">
        <v>0.01</v>
      </c>
      <c r="AH51" s="2">
        <v>0.01</v>
      </c>
      <c r="AI51" s="2">
        <v>0.43</v>
      </c>
      <c r="AJ51" s="2">
        <v>0.33</v>
      </c>
      <c r="AM51" s="1" t="s">
        <v>19</v>
      </c>
      <c r="AN51" s="2">
        <v>0.3</v>
      </c>
      <c r="AO51" s="2">
        <v>0.3</v>
      </c>
      <c r="AP51" s="2">
        <v>0.3</v>
      </c>
      <c r="AQ51" s="2">
        <v>0.27</v>
      </c>
      <c r="AR51" s="2">
        <v>0.21</v>
      </c>
      <c r="AS51" s="2">
        <v>0.19</v>
      </c>
      <c r="AT51" s="2">
        <v>0.2</v>
      </c>
      <c r="AU51" s="2">
        <v>0.17</v>
      </c>
      <c r="AV51" s="2">
        <v>0.22</v>
      </c>
      <c r="AW51" s="2">
        <v>0.27</v>
      </c>
      <c r="AX51" s="2">
        <v>0.28000000000000003</v>
      </c>
      <c r="AY51" s="2">
        <v>0.3</v>
      </c>
      <c r="AZ51" s="2">
        <v>0.15</v>
      </c>
      <c r="BA51" s="2">
        <v>0.14000000000000001</v>
      </c>
      <c r="BB51" s="2">
        <v>0.51</v>
      </c>
      <c r="BC51" s="2">
        <v>0.43</v>
      </c>
      <c r="BF51" s="1" t="s">
        <v>19</v>
      </c>
      <c r="BG51" s="2">
        <v>0.4</v>
      </c>
      <c r="BH51" s="2">
        <v>0.39</v>
      </c>
      <c r="BI51" s="2">
        <v>0.37</v>
      </c>
      <c r="BJ51" s="2">
        <v>0.28999999999999998</v>
      </c>
      <c r="BK51" s="2">
        <v>0.24</v>
      </c>
      <c r="BL51" s="2">
        <v>0.21</v>
      </c>
      <c r="BM51" s="2">
        <v>0.21</v>
      </c>
      <c r="BN51" s="2">
        <v>0.18</v>
      </c>
      <c r="BO51" s="2">
        <v>0.24</v>
      </c>
      <c r="BP51" s="2">
        <v>0.28999999999999998</v>
      </c>
      <c r="BQ51" s="2">
        <v>0.28999999999999998</v>
      </c>
      <c r="BR51" s="2">
        <v>0.35</v>
      </c>
      <c r="BS51" s="2">
        <v>0.16</v>
      </c>
      <c r="BT51" s="2">
        <v>0.15</v>
      </c>
      <c r="BU51" s="2">
        <v>0.77</v>
      </c>
      <c r="BV51" s="2">
        <v>0.63</v>
      </c>
    </row>
    <row r="52" spans="2:74" x14ac:dyDescent="0.3">
      <c r="B52" s="1" t="s">
        <v>20</v>
      </c>
      <c r="C52" s="2">
        <v>6584.73</v>
      </c>
      <c r="D52" s="2">
        <v>2580.79</v>
      </c>
      <c r="E52" s="2">
        <v>5068.38</v>
      </c>
      <c r="F52" s="2">
        <v>3616.26</v>
      </c>
      <c r="G52" s="2">
        <v>10895.66</v>
      </c>
      <c r="H52" s="2">
        <v>4921.1400000000003</v>
      </c>
      <c r="I52" s="2">
        <v>10953.49</v>
      </c>
      <c r="J52" s="2">
        <v>4266.1099999999997</v>
      </c>
      <c r="K52" s="2">
        <v>3434.34</v>
      </c>
      <c r="L52" s="2">
        <v>3843.12</v>
      </c>
      <c r="M52" s="2">
        <v>3434.34</v>
      </c>
      <c r="N52" s="2">
        <v>3827.56</v>
      </c>
      <c r="O52" s="2">
        <v>2367.84</v>
      </c>
      <c r="P52" s="2">
        <v>1903.68</v>
      </c>
      <c r="Q52" s="2">
        <v>2311.2399999999998</v>
      </c>
      <c r="R52" s="2">
        <v>1908.4</v>
      </c>
      <c r="T52" s="1" t="s">
        <v>20</v>
      </c>
      <c r="U52" s="2">
        <v>0.43</v>
      </c>
      <c r="V52" s="2">
        <v>0.24</v>
      </c>
      <c r="W52" s="2">
        <v>0.41</v>
      </c>
      <c r="X52" s="2">
        <v>0.28999999999999998</v>
      </c>
      <c r="Y52" s="2">
        <v>0.57999999999999996</v>
      </c>
      <c r="Z52" s="2">
        <v>0.28000000000000003</v>
      </c>
      <c r="AA52" s="2">
        <v>0.49</v>
      </c>
      <c r="AB52" s="2">
        <v>0.22</v>
      </c>
      <c r="AC52" s="2">
        <v>0.26</v>
      </c>
      <c r="AD52" s="2">
        <v>0.35</v>
      </c>
      <c r="AE52" s="2">
        <v>0.26</v>
      </c>
      <c r="AF52" s="2">
        <v>0.35</v>
      </c>
      <c r="AG52" s="2">
        <v>0.22</v>
      </c>
      <c r="AH52" s="2">
        <v>0.18</v>
      </c>
      <c r="AI52" s="2">
        <v>0.46</v>
      </c>
      <c r="AJ52" s="2">
        <v>0.44</v>
      </c>
      <c r="AM52" s="1" t="s">
        <v>20</v>
      </c>
      <c r="AN52" s="2">
        <v>0.87</v>
      </c>
      <c r="AO52" s="2">
        <v>0.69</v>
      </c>
      <c r="AP52" s="2">
        <v>0.77</v>
      </c>
      <c r="AQ52" s="2">
        <v>0.85</v>
      </c>
      <c r="AR52" s="2">
        <v>0.87</v>
      </c>
      <c r="AS52" s="2">
        <v>0.78</v>
      </c>
      <c r="AT52" s="2">
        <v>0.87</v>
      </c>
      <c r="AU52" s="2">
        <v>0.75</v>
      </c>
      <c r="AV52" s="2">
        <v>0.74</v>
      </c>
      <c r="AW52" s="2">
        <v>0.72</v>
      </c>
      <c r="AX52" s="2">
        <v>0.74</v>
      </c>
      <c r="AY52" s="2">
        <v>0.72</v>
      </c>
      <c r="AZ52" s="2">
        <v>0.73</v>
      </c>
      <c r="BA52" s="2">
        <v>0.71</v>
      </c>
      <c r="BB52" s="2">
        <v>0.87</v>
      </c>
      <c r="BC52" s="2">
        <v>0.87</v>
      </c>
      <c r="BF52" s="1" t="s">
        <v>20</v>
      </c>
      <c r="BG52" s="2">
        <v>1.08</v>
      </c>
      <c r="BH52" s="2">
        <v>0.8</v>
      </c>
      <c r="BI52" s="2">
        <v>0.89</v>
      </c>
      <c r="BJ52" s="2">
        <v>1.08</v>
      </c>
      <c r="BK52" s="2">
        <v>1.08</v>
      </c>
      <c r="BL52" s="2">
        <v>0.96</v>
      </c>
      <c r="BM52" s="2">
        <v>1.08</v>
      </c>
      <c r="BN52" s="2">
        <v>0.89</v>
      </c>
      <c r="BO52" s="2">
        <v>0.87</v>
      </c>
      <c r="BP52" s="2">
        <v>0.84</v>
      </c>
      <c r="BQ52" s="2">
        <v>0.87</v>
      </c>
      <c r="BR52" s="2">
        <v>0.84</v>
      </c>
      <c r="BS52" s="2">
        <v>0.87</v>
      </c>
      <c r="BT52" s="2">
        <v>0.84</v>
      </c>
      <c r="BU52" s="2">
        <v>1.08</v>
      </c>
      <c r="BV52" s="2">
        <v>1.08</v>
      </c>
    </row>
    <row r="53" spans="2:74" x14ac:dyDescent="0.3">
      <c r="B53" s="1" t="s">
        <v>21</v>
      </c>
      <c r="C53" s="2">
        <v>86478.69</v>
      </c>
      <c r="D53" s="2">
        <v>15076.35</v>
      </c>
      <c r="E53" s="2">
        <v>42393.75</v>
      </c>
      <c r="F53" s="2">
        <v>26979.79</v>
      </c>
      <c r="G53" s="2">
        <v>119636.96</v>
      </c>
      <c r="H53" s="2">
        <v>25948.12</v>
      </c>
      <c r="I53" s="2">
        <v>96594.5</v>
      </c>
      <c r="J53" s="2">
        <v>26576.03</v>
      </c>
      <c r="K53" s="2">
        <v>7192.93</v>
      </c>
      <c r="L53" s="2">
        <v>9819.7999999999993</v>
      </c>
      <c r="M53" s="2">
        <v>6763.76</v>
      </c>
      <c r="N53" s="2">
        <v>9122.33</v>
      </c>
      <c r="O53" s="2">
        <v>6112.92</v>
      </c>
      <c r="P53" s="2">
        <v>1873.05</v>
      </c>
      <c r="Q53" s="2">
        <v>7671.72</v>
      </c>
      <c r="R53" s="2">
        <v>21510.94</v>
      </c>
      <c r="T53" s="1" t="s">
        <v>21</v>
      </c>
      <c r="U53" s="2">
        <v>0.65</v>
      </c>
      <c r="V53" s="2">
        <v>0.36</v>
      </c>
      <c r="W53" s="2">
        <v>0.47</v>
      </c>
      <c r="X53" s="2">
        <v>0.68</v>
      </c>
      <c r="Y53" s="2">
        <v>0.74</v>
      </c>
      <c r="Z53" s="2">
        <v>0.51</v>
      </c>
      <c r="AA53" s="2">
        <v>0.52</v>
      </c>
      <c r="AB53" s="2">
        <v>0.35</v>
      </c>
      <c r="AC53" s="2">
        <v>0.25</v>
      </c>
      <c r="AD53" s="2">
        <v>0.28999999999999998</v>
      </c>
      <c r="AE53" s="2">
        <v>0.21</v>
      </c>
      <c r="AF53" s="2">
        <v>0.24</v>
      </c>
      <c r="AG53" s="2">
        <v>0.18</v>
      </c>
      <c r="AH53" s="2">
        <v>0.14000000000000001</v>
      </c>
      <c r="AI53" s="2">
        <v>0.53</v>
      </c>
      <c r="AJ53" s="2">
        <v>0.53</v>
      </c>
      <c r="AM53" s="1" t="s">
        <v>21</v>
      </c>
      <c r="AN53" s="2">
        <v>1.1100000000000001</v>
      </c>
      <c r="AO53" s="2">
        <v>0.76</v>
      </c>
      <c r="AP53" s="2">
        <v>0.93</v>
      </c>
      <c r="AQ53" s="2">
        <v>0.96</v>
      </c>
      <c r="AR53" s="2">
        <v>1.1000000000000001</v>
      </c>
      <c r="AS53" s="2">
        <v>0.81</v>
      </c>
      <c r="AT53" s="2">
        <v>1.05</v>
      </c>
      <c r="AU53" s="2">
        <v>0.79</v>
      </c>
      <c r="AV53" s="2">
        <v>0.54</v>
      </c>
      <c r="AW53" s="2">
        <v>0.61</v>
      </c>
      <c r="AX53" s="2">
        <v>0.54</v>
      </c>
      <c r="AY53" s="2">
        <v>0.61</v>
      </c>
      <c r="AZ53" s="2">
        <v>0.62</v>
      </c>
      <c r="BA53" s="2">
        <v>0.34</v>
      </c>
      <c r="BB53" s="2">
        <v>0.87</v>
      </c>
      <c r="BC53" s="2">
        <v>1.1000000000000001</v>
      </c>
      <c r="BF53" s="1" t="s">
        <v>21</v>
      </c>
      <c r="BG53" s="2">
        <v>1.4</v>
      </c>
      <c r="BH53" s="2">
        <v>0.98</v>
      </c>
      <c r="BI53" s="2">
        <v>1.06</v>
      </c>
      <c r="BJ53" s="2">
        <v>1.4</v>
      </c>
      <c r="BK53" s="2">
        <v>1.37</v>
      </c>
      <c r="BL53" s="2">
        <v>0.99</v>
      </c>
      <c r="BM53" s="2">
        <v>1.23</v>
      </c>
      <c r="BN53" s="2">
        <v>0.92</v>
      </c>
      <c r="BO53" s="2">
        <v>0.63</v>
      </c>
      <c r="BP53" s="2">
        <v>0.71</v>
      </c>
      <c r="BQ53" s="2">
        <v>0.63</v>
      </c>
      <c r="BR53" s="2">
        <v>0.71</v>
      </c>
      <c r="BS53" s="2">
        <v>0.73</v>
      </c>
      <c r="BT53" s="2">
        <v>0.4</v>
      </c>
      <c r="BU53" s="2">
        <v>1.1499999999999999</v>
      </c>
      <c r="BV53" s="2">
        <v>1.4</v>
      </c>
    </row>
    <row r="54" spans="2:74" x14ac:dyDescent="0.3">
      <c r="B54" s="1" t="s">
        <v>22</v>
      </c>
      <c r="C54" s="2">
        <v>7849.01</v>
      </c>
      <c r="D54" s="2">
        <v>4612.54</v>
      </c>
      <c r="E54" s="2">
        <v>7205.51</v>
      </c>
      <c r="F54" s="2">
        <v>6100.86</v>
      </c>
      <c r="G54" s="2">
        <v>12490.81</v>
      </c>
      <c r="H54" s="2">
        <v>9023.48</v>
      </c>
      <c r="I54" s="2">
        <v>6894.03</v>
      </c>
      <c r="J54" s="2">
        <v>5797.35</v>
      </c>
      <c r="K54" s="2">
        <v>2875.31</v>
      </c>
      <c r="L54" s="2">
        <v>1106</v>
      </c>
      <c r="M54" s="2">
        <v>2610.34</v>
      </c>
      <c r="N54" s="2">
        <v>842.25</v>
      </c>
      <c r="O54" s="2">
        <v>509.69</v>
      </c>
      <c r="P54" s="2">
        <v>509.11</v>
      </c>
      <c r="Q54" s="2">
        <v>1464.73</v>
      </c>
      <c r="R54" s="2">
        <v>1401.71</v>
      </c>
      <c r="T54" s="1" t="s">
        <v>22</v>
      </c>
      <c r="U54" s="2">
        <v>0.32</v>
      </c>
      <c r="V54" s="2">
        <v>0.33</v>
      </c>
      <c r="W54" s="2">
        <v>0.52</v>
      </c>
      <c r="X54" s="2">
        <v>0.49</v>
      </c>
      <c r="Y54" s="2">
        <v>0.41</v>
      </c>
      <c r="Z54" s="2">
        <v>0.56000000000000005</v>
      </c>
      <c r="AA54" s="2">
        <v>0.4</v>
      </c>
      <c r="AB54" s="2">
        <v>0.35</v>
      </c>
      <c r="AC54" s="2">
        <v>0.31</v>
      </c>
      <c r="AD54" s="2">
        <v>0.14000000000000001</v>
      </c>
      <c r="AE54" s="2">
        <v>0.25</v>
      </c>
      <c r="AF54" s="2">
        <v>0.2</v>
      </c>
      <c r="AG54" s="2">
        <v>0.12</v>
      </c>
      <c r="AH54" s="2">
        <v>0.12</v>
      </c>
      <c r="AI54" s="2">
        <v>0.37</v>
      </c>
      <c r="AJ54" s="2">
        <v>0.36</v>
      </c>
      <c r="AM54" s="1" t="s">
        <v>22</v>
      </c>
      <c r="AN54" s="2">
        <v>0.93</v>
      </c>
      <c r="AO54" s="2">
        <v>0.85</v>
      </c>
      <c r="AP54" s="2">
        <v>0.87</v>
      </c>
      <c r="AQ54" s="2">
        <v>0.88</v>
      </c>
      <c r="AR54" s="2">
        <v>0.92</v>
      </c>
      <c r="AS54" s="2">
        <v>0.87</v>
      </c>
      <c r="AT54" s="2">
        <v>0.79</v>
      </c>
      <c r="AU54" s="2">
        <v>0.76</v>
      </c>
      <c r="AV54" s="2">
        <v>0.68</v>
      </c>
      <c r="AW54" s="2">
        <v>0.34</v>
      </c>
      <c r="AX54" s="2">
        <v>0.68</v>
      </c>
      <c r="AY54" s="2">
        <v>0.4</v>
      </c>
      <c r="AZ54" s="2">
        <v>0.41</v>
      </c>
      <c r="BA54" s="2">
        <v>0.41</v>
      </c>
      <c r="BB54" s="2">
        <v>0.86</v>
      </c>
      <c r="BC54" s="2">
        <v>0.86</v>
      </c>
      <c r="BF54" s="1" t="s">
        <v>22</v>
      </c>
      <c r="BG54" s="2">
        <v>1.07</v>
      </c>
      <c r="BH54" s="2">
        <v>1.05</v>
      </c>
      <c r="BI54" s="2">
        <v>1.02</v>
      </c>
      <c r="BJ54" s="2">
        <v>1.07</v>
      </c>
      <c r="BK54" s="2">
        <v>1.07</v>
      </c>
      <c r="BL54" s="2">
        <v>1.07</v>
      </c>
      <c r="BM54" s="2">
        <v>0.92</v>
      </c>
      <c r="BN54" s="2">
        <v>0.89</v>
      </c>
      <c r="BO54" s="2">
        <v>0.79</v>
      </c>
      <c r="BP54" s="2">
        <v>0.38</v>
      </c>
      <c r="BQ54" s="2">
        <v>0.79</v>
      </c>
      <c r="BR54" s="2">
        <v>0.47</v>
      </c>
      <c r="BS54" s="2">
        <v>0.48</v>
      </c>
      <c r="BT54" s="2">
        <v>0.48</v>
      </c>
      <c r="BU54" s="2">
        <v>1.07</v>
      </c>
      <c r="BV54" s="2">
        <v>1.07</v>
      </c>
    </row>
    <row r="55" spans="2:74" x14ac:dyDescent="0.3">
      <c r="B55" s="1" t="s">
        <v>23</v>
      </c>
      <c r="C55" s="2">
        <v>22332.560000000001</v>
      </c>
      <c r="D55" s="2">
        <v>33711.26</v>
      </c>
      <c r="E55" s="2">
        <v>30555.42</v>
      </c>
      <c r="F55" s="2">
        <v>28776.94</v>
      </c>
      <c r="G55" s="2">
        <v>37302.230000000003</v>
      </c>
      <c r="H55" s="2">
        <v>43014.07</v>
      </c>
      <c r="I55" s="2">
        <v>17685.689999999999</v>
      </c>
      <c r="J55" s="2">
        <v>25612.54</v>
      </c>
      <c r="K55" s="2">
        <v>17849.759999999998</v>
      </c>
      <c r="L55" s="2">
        <v>12824.85</v>
      </c>
      <c r="M55" s="2">
        <v>19245.759999999998</v>
      </c>
      <c r="N55" s="2">
        <v>12768.42</v>
      </c>
      <c r="O55" s="2">
        <v>5908.1</v>
      </c>
      <c r="P55" s="2">
        <v>5498.6</v>
      </c>
      <c r="Q55" s="2">
        <v>9079.98</v>
      </c>
      <c r="R55" s="2">
        <v>8642.32</v>
      </c>
      <c r="T55" s="1" t="s">
        <v>23</v>
      </c>
      <c r="U55" s="2">
        <v>0.33</v>
      </c>
      <c r="V55" s="2">
        <v>0.26</v>
      </c>
      <c r="W55" s="2">
        <v>0.45</v>
      </c>
      <c r="X55" s="2">
        <v>0.44</v>
      </c>
      <c r="Y55" s="2">
        <v>0.43</v>
      </c>
      <c r="Z55" s="2">
        <v>0.48</v>
      </c>
      <c r="AA55" s="2">
        <v>0.28999999999999998</v>
      </c>
      <c r="AB55" s="2">
        <v>0.35</v>
      </c>
      <c r="AC55" s="2">
        <v>0.37</v>
      </c>
      <c r="AD55" s="2">
        <v>0.31</v>
      </c>
      <c r="AE55" s="2">
        <v>0.36</v>
      </c>
      <c r="AF55" s="2">
        <v>0.31</v>
      </c>
      <c r="AG55" s="2">
        <v>0.15</v>
      </c>
      <c r="AH55" s="2">
        <v>0.15</v>
      </c>
      <c r="AI55" s="2">
        <v>0.44</v>
      </c>
      <c r="AJ55" s="2">
        <v>0.42</v>
      </c>
      <c r="AM55" s="1" t="s">
        <v>23</v>
      </c>
      <c r="AN55" s="2">
        <v>0.86</v>
      </c>
      <c r="AO55" s="2">
        <v>0.92</v>
      </c>
      <c r="AP55" s="2">
        <v>0.88</v>
      </c>
      <c r="AQ55" s="2">
        <v>0.87</v>
      </c>
      <c r="AR55" s="2">
        <v>0.83</v>
      </c>
      <c r="AS55" s="2">
        <v>0.84</v>
      </c>
      <c r="AT55" s="2">
        <v>0.65</v>
      </c>
      <c r="AU55" s="2">
        <v>0.72</v>
      </c>
      <c r="AV55" s="2">
        <v>0.7</v>
      </c>
      <c r="AW55" s="2">
        <v>0.64</v>
      </c>
      <c r="AX55" s="2">
        <v>0.72</v>
      </c>
      <c r="AY55" s="2">
        <v>0.64</v>
      </c>
      <c r="AZ55" s="2">
        <v>0.6</v>
      </c>
      <c r="BA55" s="2">
        <v>0.57999999999999996</v>
      </c>
      <c r="BB55" s="2">
        <v>0.87</v>
      </c>
      <c r="BC55" s="2">
        <v>0.86</v>
      </c>
      <c r="BF55" s="1" t="s">
        <v>23</v>
      </c>
      <c r="BG55" s="2">
        <v>1.07</v>
      </c>
      <c r="BH55" s="2">
        <v>1.07</v>
      </c>
      <c r="BI55" s="2">
        <v>1.07</v>
      </c>
      <c r="BJ55" s="2">
        <v>1.07</v>
      </c>
      <c r="BK55" s="2">
        <v>1.02</v>
      </c>
      <c r="BL55" s="2">
        <v>1.03</v>
      </c>
      <c r="BM55" s="2">
        <v>0.77</v>
      </c>
      <c r="BN55" s="2">
        <v>0.85</v>
      </c>
      <c r="BO55" s="2">
        <v>0.83</v>
      </c>
      <c r="BP55" s="2">
        <v>0.75</v>
      </c>
      <c r="BQ55" s="2">
        <v>0.85</v>
      </c>
      <c r="BR55" s="2">
        <v>0.75</v>
      </c>
      <c r="BS55" s="2">
        <v>0.71</v>
      </c>
      <c r="BT55" s="2">
        <v>0.69</v>
      </c>
      <c r="BU55" s="2">
        <v>1.07</v>
      </c>
      <c r="BV55" s="2">
        <v>1.07</v>
      </c>
    </row>
    <row r="56" spans="2:74" x14ac:dyDescent="0.3">
      <c r="B56" s="1" t="s">
        <v>24</v>
      </c>
      <c r="C56" s="2">
        <v>6090.5</v>
      </c>
      <c r="D56" s="2">
        <v>7380.45</v>
      </c>
      <c r="E56" s="2">
        <v>8222.52</v>
      </c>
      <c r="F56" s="2">
        <v>11294.49</v>
      </c>
      <c r="G56" s="2">
        <v>9990.4</v>
      </c>
      <c r="H56" s="2">
        <v>14251.33</v>
      </c>
      <c r="I56" s="2">
        <v>7135.59</v>
      </c>
      <c r="J56" s="2">
        <v>14796.99</v>
      </c>
      <c r="K56" s="2">
        <v>2912.49</v>
      </c>
      <c r="L56" s="2">
        <v>1828.92</v>
      </c>
      <c r="M56" s="2">
        <v>2930.22</v>
      </c>
      <c r="N56" s="2">
        <v>1879.25</v>
      </c>
      <c r="O56" s="2">
        <v>1738.08</v>
      </c>
      <c r="P56" s="2">
        <v>1306.53</v>
      </c>
      <c r="Q56" s="2">
        <v>2198.96</v>
      </c>
      <c r="R56" s="2">
        <v>1598.74</v>
      </c>
      <c r="T56" s="1" t="s">
        <v>24</v>
      </c>
      <c r="U56" s="2">
        <v>0.42</v>
      </c>
      <c r="V56" s="2">
        <v>0.32</v>
      </c>
      <c r="W56" s="2">
        <v>0.47</v>
      </c>
      <c r="X56" s="2">
        <v>0.52</v>
      </c>
      <c r="Y56" s="2">
        <v>0.56999999999999995</v>
      </c>
      <c r="Z56" s="2">
        <v>0.51</v>
      </c>
      <c r="AA56" s="2">
        <v>0.44</v>
      </c>
      <c r="AB56" s="2">
        <v>0.48</v>
      </c>
      <c r="AC56" s="2">
        <v>0.41</v>
      </c>
      <c r="AD56" s="2">
        <v>0.35</v>
      </c>
      <c r="AE56" s="2">
        <v>0.36</v>
      </c>
      <c r="AF56" s="2">
        <v>0.28000000000000003</v>
      </c>
      <c r="AG56" s="2">
        <v>0.24</v>
      </c>
      <c r="AH56" s="2">
        <v>0.21</v>
      </c>
      <c r="AI56" s="2">
        <v>0.45</v>
      </c>
      <c r="AJ56" s="2">
        <v>0.33</v>
      </c>
      <c r="AM56" s="1" t="s">
        <v>24</v>
      </c>
      <c r="AN56" s="2">
        <v>0.86</v>
      </c>
      <c r="AO56" s="2">
        <v>0.89</v>
      </c>
      <c r="AP56" s="2">
        <v>0.87</v>
      </c>
      <c r="AQ56" s="2">
        <v>0.91</v>
      </c>
      <c r="AR56" s="2">
        <v>0.87</v>
      </c>
      <c r="AS56" s="2">
        <v>0.9</v>
      </c>
      <c r="AT56" s="2">
        <v>0.77</v>
      </c>
      <c r="AU56" s="2">
        <v>0.9</v>
      </c>
      <c r="AV56" s="2">
        <v>0.65</v>
      </c>
      <c r="AW56" s="2">
        <v>0.56000000000000005</v>
      </c>
      <c r="AX56" s="2">
        <v>0.65</v>
      </c>
      <c r="AY56" s="2">
        <v>0.55000000000000004</v>
      </c>
      <c r="AZ56" s="2">
        <v>0.6</v>
      </c>
      <c r="BA56" s="2">
        <v>0.54</v>
      </c>
      <c r="BB56" s="2">
        <v>0.86</v>
      </c>
      <c r="BC56" s="2">
        <v>0.84</v>
      </c>
      <c r="BF56" s="1" t="s">
        <v>24</v>
      </c>
      <c r="BG56" s="2">
        <v>1.07</v>
      </c>
      <c r="BH56" s="2">
        <v>1.07</v>
      </c>
      <c r="BI56" s="2">
        <v>1.02</v>
      </c>
      <c r="BJ56" s="2">
        <v>1.07</v>
      </c>
      <c r="BK56" s="2">
        <v>1.07</v>
      </c>
      <c r="BL56" s="2">
        <v>1.07</v>
      </c>
      <c r="BM56" s="2">
        <v>0.93</v>
      </c>
      <c r="BN56" s="2">
        <v>1.07</v>
      </c>
      <c r="BO56" s="2">
        <v>0.8</v>
      </c>
      <c r="BP56" s="2">
        <v>0.68</v>
      </c>
      <c r="BQ56" s="2">
        <v>0.8</v>
      </c>
      <c r="BR56" s="2">
        <v>0.68</v>
      </c>
      <c r="BS56" s="2">
        <v>0.75</v>
      </c>
      <c r="BT56" s="2">
        <v>0.67</v>
      </c>
      <c r="BU56" s="2">
        <v>1.07</v>
      </c>
      <c r="BV56" s="2">
        <v>1.07</v>
      </c>
    </row>
    <row r="57" spans="2:74" x14ac:dyDescent="0.3">
      <c r="B57" s="1" t="s">
        <v>25</v>
      </c>
      <c r="C57" s="2">
        <v>82015.11</v>
      </c>
      <c r="D57" s="2">
        <v>77783.740000000005</v>
      </c>
      <c r="E57" s="2">
        <v>28685.85</v>
      </c>
      <c r="F57" s="2">
        <v>29497.22</v>
      </c>
      <c r="G57" s="2">
        <v>55178.84</v>
      </c>
      <c r="H57" s="2">
        <v>69122.66</v>
      </c>
      <c r="I57" s="2">
        <v>26983.26</v>
      </c>
      <c r="J57" s="2">
        <v>42281.31</v>
      </c>
      <c r="K57" s="2">
        <v>15264.1</v>
      </c>
      <c r="L57" s="2">
        <v>12865.65</v>
      </c>
      <c r="M57" s="2">
        <v>14858</v>
      </c>
      <c r="N57" s="2">
        <v>12527.61</v>
      </c>
      <c r="O57" s="2">
        <v>2052.4</v>
      </c>
      <c r="P57" s="2">
        <v>6201.16</v>
      </c>
      <c r="Q57" s="2">
        <v>9357.15</v>
      </c>
      <c r="R57" s="2">
        <v>21479.360000000001</v>
      </c>
      <c r="T57" s="1" t="s">
        <v>25</v>
      </c>
      <c r="U57" s="2">
        <v>0.56000000000000005</v>
      </c>
      <c r="V57" s="2">
        <v>0.54</v>
      </c>
      <c r="W57" s="2">
        <v>0.6</v>
      </c>
      <c r="X57" s="2">
        <v>0.61</v>
      </c>
      <c r="Y57" s="2">
        <v>0.48</v>
      </c>
      <c r="Z57" s="2">
        <v>0.59</v>
      </c>
      <c r="AA57" s="2">
        <v>0.41</v>
      </c>
      <c r="AB57" s="2">
        <v>0.44</v>
      </c>
      <c r="AC57" s="2">
        <v>0.41</v>
      </c>
      <c r="AD57" s="2">
        <v>0.38</v>
      </c>
      <c r="AE57" s="2">
        <v>0.34</v>
      </c>
      <c r="AF57" s="2">
        <v>0.31</v>
      </c>
      <c r="AG57" s="2">
        <v>7.0000000000000007E-2</v>
      </c>
      <c r="AH57" s="2">
        <v>0.21</v>
      </c>
      <c r="AI57" s="2">
        <v>0.63</v>
      </c>
      <c r="AJ57" s="2">
        <v>0.46</v>
      </c>
      <c r="AM57" s="1" t="s">
        <v>25</v>
      </c>
      <c r="AN57" s="2">
        <v>1.06</v>
      </c>
      <c r="AO57" s="2">
        <v>1.05</v>
      </c>
      <c r="AP57" s="2">
        <v>0.88</v>
      </c>
      <c r="AQ57" s="2">
        <v>0.87</v>
      </c>
      <c r="AR57" s="2">
        <v>0.92</v>
      </c>
      <c r="AS57" s="2">
        <v>0.96</v>
      </c>
      <c r="AT57" s="2">
        <v>0.75</v>
      </c>
      <c r="AU57" s="2">
        <v>0.84</v>
      </c>
      <c r="AV57" s="2">
        <v>0.68</v>
      </c>
      <c r="AW57" s="2">
        <v>0.65</v>
      </c>
      <c r="AX57" s="2">
        <v>0.68</v>
      </c>
      <c r="AY57" s="2">
        <v>0.65</v>
      </c>
      <c r="AZ57" s="2">
        <v>0.28999999999999998</v>
      </c>
      <c r="BA57" s="2">
        <v>0.54</v>
      </c>
      <c r="BB57" s="2">
        <v>0.93</v>
      </c>
      <c r="BC57" s="2">
        <v>1.07</v>
      </c>
      <c r="BF57" s="1" t="s">
        <v>25</v>
      </c>
      <c r="BG57" s="2">
        <v>1.31</v>
      </c>
      <c r="BH57" s="2">
        <v>1.29</v>
      </c>
      <c r="BI57" s="2">
        <v>1.1499999999999999</v>
      </c>
      <c r="BJ57" s="2">
        <v>1.07</v>
      </c>
      <c r="BK57" s="2">
        <v>1.0900000000000001</v>
      </c>
      <c r="BL57" s="2">
        <v>1.17</v>
      </c>
      <c r="BM57" s="2">
        <v>0.9</v>
      </c>
      <c r="BN57" s="2">
        <v>1</v>
      </c>
      <c r="BO57" s="2">
        <v>0.83</v>
      </c>
      <c r="BP57" s="2">
        <v>0.79</v>
      </c>
      <c r="BQ57" s="2">
        <v>0.83</v>
      </c>
      <c r="BR57" s="2">
        <v>0.79</v>
      </c>
      <c r="BS57" s="2">
        <v>0.33</v>
      </c>
      <c r="BT57" s="2">
        <v>0.67</v>
      </c>
      <c r="BU57" s="2">
        <v>1.4</v>
      </c>
      <c r="BV57" s="2">
        <v>1.35</v>
      </c>
    </row>
    <row r="58" spans="2:74" x14ac:dyDescent="0.3">
      <c r="B58" s="1" t="s">
        <v>26</v>
      </c>
      <c r="C58" s="2">
        <v>8782.94</v>
      </c>
      <c r="D58" s="2">
        <v>10531.39</v>
      </c>
      <c r="E58" s="2">
        <v>9210.8799999999992</v>
      </c>
      <c r="F58" s="2">
        <v>2495.85</v>
      </c>
      <c r="G58" s="2">
        <v>11254.69</v>
      </c>
      <c r="H58" s="2">
        <v>12275.03</v>
      </c>
      <c r="I58" s="2">
        <v>7411.44</v>
      </c>
      <c r="J58" s="2">
        <v>8468.8799999999992</v>
      </c>
      <c r="K58" s="2">
        <v>10279.790000000001</v>
      </c>
      <c r="L58" s="2">
        <v>9956.2800000000007</v>
      </c>
      <c r="M58" s="2">
        <v>10279.85</v>
      </c>
      <c r="N58" s="2">
        <v>9956.27</v>
      </c>
      <c r="O58" s="2">
        <v>1284.98</v>
      </c>
      <c r="P58" s="2">
        <v>1638.99</v>
      </c>
      <c r="Q58" s="2">
        <v>4685.58</v>
      </c>
      <c r="R58" s="2">
        <v>4031.24</v>
      </c>
      <c r="T58" s="1" t="s">
        <v>26</v>
      </c>
      <c r="U58" s="2">
        <v>0.23</v>
      </c>
      <c r="V58" s="2">
        <v>0.3</v>
      </c>
      <c r="W58" s="2">
        <v>0.2</v>
      </c>
      <c r="X58" s="2">
        <v>0.24</v>
      </c>
      <c r="Y58" s="2">
        <v>0.2</v>
      </c>
      <c r="Z58" s="2">
        <v>0.23</v>
      </c>
      <c r="AA58" s="2">
        <v>0.15</v>
      </c>
      <c r="AB58" s="2">
        <v>0.2</v>
      </c>
      <c r="AC58" s="2">
        <v>0.23</v>
      </c>
      <c r="AD58" s="2">
        <v>0.2</v>
      </c>
      <c r="AE58" s="2">
        <v>0.23</v>
      </c>
      <c r="AF58" s="2">
        <v>0.2</v>
      </c>
      <c r="AG58" s="2">
        <v>7.0000000000000007E-2</v>
      </c>
      <c r="AH58" s="2">
        <v>0.08</v>
      </c>
      <c r="AI58" s="2">
        <v>0.32</v>
      </c>
      <c r="AJ58" s="2">
        <v>0.28000000000000003</v>
      </c>
      <c r="AM58" s="1" t="s">
        <v>26</v>
      </c>
      <c r="AN58" s="2">
        <v>0.7</v>
      </c>
      <c r="AO58" s="2">
        <v>0.71</v>
      </c>
      <c r="AP58" s="2">
        <v>0.76</v>
      </c>
      <c r="AQ58" s="2">
        <v>0.4</v>
      </c>
      <c r="AR58" s="2">
        <v>0.74</v>
      </c>
      <c r="AS58" s="2">
        <v>0.72</v>
      </c>
      <c r="AT58" s="2">
        <v>0.64</v>
      </c>
      <c r="AU58" s="2">
        <v>0.6</v>
      </c>
      <c r="AV58" s="2">
        <v>0.73</v>
      </c>
      <c r="AW58" s="2">
        <v>0.75</v>
      </c>
      <c r="AX58" s="2">
        <v>0.73</v>
      </c>
      <c r="AY58" s="2">
        <v>0.75</v>
      </c>
      <c r="AZ58" s="2">
        <v>0.4</v>
      </c>
      <c r="BA58" s="2">
        <v>0.45</v>
      </c>
      <c r="BB58" s="2">
        <v>0.83</v>
      </c>
      <c r="BC58" s="2">
        <v>0.81</v>
      </c>
      <c r="BF58" s="1" t="s">
        <v>26</v>
      </c>
      <c r="BG58" s="2">
        <v>0.84</v>
      </c>
      <c r="BH58" s="2">
        <v>0.85</v>
      </c>
      <c r="BI58" s="2">
        <v>0.88</v>
      </c>
      <c r="BJ58" s="2">
        <v>0.47</v>
      </c>
      <c r="BK58" s="2">
        <v>0.91</v>
      </c>
      <c r="BL58" s="2">
        <v>0.88</v>
      </c>
      <c r="BM58" s="2">
        <v>0.78</v>
      </c>
      <c r="BN58" s="2">
        <v>0.74</v>
      </c>
      <c r="BO58" s="2">
        <v>0.89</v>
      </c>
      <c r="BP58" s="2">
        <v>0.92</v>
      </c>
      <c r="BQ58" s="2">
        <v>0.89</v>
      </c>
      <c r="BR58" s="2">
        <v>0.92</v>
      </c>
      <c r="BS58" s="2">
        <v>0.51</v>
      </c>
      <c r="BT58" s="2">
        <v>0.56999999999999995</v>
      </c>
      <c r="BU58" s="2">
        <v>1.02</v>
      </c>
      <c r="BV58" s="2">
        <v>1.02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112.64</v>
      </c>
      <c r="D65" s="2">
        <v>113.6</v>
      </c>
      <c r="E65" s="2">
        <v>122.58</v>
      </c>
      <c r="F65" s="2">
        <v>39.04</v>
      </c>
      <c r="G65" s="2">
        <v>72.739999999999995</v>
      </c>
      <c r="H65" s="2">
        <v>73.28</v>
      </c>
      <c r="I65" s="2">
        <v>23.82</v>
      </c>
      <c r="J65" s="2">
        <v>31.77</v>
      </c>
      <c r="K65" s="2">
        <v>33.82</v>
      </c>
      <c r="L65" s="2">
        <v>28.74</v>
      </c>
      <c r="M65" s="2">
        <v>33.82</v>
      </c>
      <c r="N65" s="2">
        <v>47.44</v>
      </c>
      <c r="O65" s="2">
        <v>9.5299999999999994</v>
      </c>
      <c r="P65" s="2">
        <v>8.6999999999999993</v>
      </c>
      <c r="Q65" s="2">
        <v>92.1</v>
      </c>
      <c r="R65" s="2">
        <v>112.7</v>
      </c>
      <c r="T65" s="1" t="s">
        <v>19</v>
      </c>
      <c r="U65" s="2">
        <v>59.99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59.54</v>
      </c>
      <c r="AJ65" s="2">
        <v>59.9</v>
      </c>
      <c r="AM65" s="1" t="s">
        <v>19</v>
      </c>
      <c r="AN65" s="2">
        <v>59.96</v>
      </c>
      <c r="AO65" s="2">
        <v>59.96</v>
      </c>
      <c r="AP65" s="2">
        <v>59.96</v>
      </c>
      <c r="AQ65" s="2">
        <v>59.98</v>
      </c>
      <c r="AR65" s="2">
        <v>55</v>
      </c>
      <c r="AS65" s="2">
        <v>55</v>
      </c>
      <c r="AT65" s="2">
        <v>60</v>
      </c>
      <c r="AU65" s="2">
        <v>60</v>
      </c>
      <c r="AV65" s="2">
        <v>69.989999999999995</v>
      </c>
      <c r="AW65" s="2">
        <v>69.97</v>
      </c>
      <c r="AX65" s="2">
        <v>69.97</v>
      </c>
      <c r="AY65" s="2">
        <v>69.95</v>
      </c>
      <c r="AZ65" s="2">
        <v>70</v>
      </c>
      <c r="BA65" s="2">
        <v>70</v>
      </c>
      <c r="BB65" s="2">
        <v>58.94</v>
      </c>
      <c r="BC65" s="2">
        <v>59.65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0</v>
      </c>
    </row>
    <row r="66" spans="2:74" x14ac:dyDescent="0.3">
      <c r="B66" s="1" t="s">
        <v>20</v>
      </c>
      <c r="C66" s="2">
        <v>565.25</v>
      </c>
      <c r="D66" s="2">
        <v>304.14</v>
      </c>
      <c r="E66" s="2">
        <v>464.66</v>
      </c>
      <c r="F66" s="2">
        <v>440.15</v>
      </c>
      <c r="G66" s="2">
        <v>597.27</v>
      </c>
      <c r="H66" s="2">
        <v>531.77</v>
      </c>
      <c r="I66" s="2">
        <v>576.57000000000005</v>
      </c>
      <c r="J66" s="2">
        <v>484.51</v>
      </c>
      <c r="K66" s="2">
        <v>366.25</v>
      </c>
      <c r="L66" s="2">
        <v>359.04</v>
      </c>
      <c r="M66" s="2">
        <v>366.25</v>
      </c>
      <c r="N66" s="2">
        <v>356.68</v>
      </c>
      <c r="O66" s="2">
        <v>283.05</v>
      </c>
      <c r="P66" s="2">
        <v>225.74</v>
      </c>
      <c r="Q66" s="2">
        <v>209.49</v>
      </c>
      <c r="R66" s="2">
        <v>231.33</v>
      </c>
      <c r="T66" s="1" t="s">
        <v>20</v>
      </c>
      <c r="U66" s="2">
        <v>59.51</v>
      </c>
      <c r="V66" s="2">
        <v>59.99</v>
      </c>
      <c r="W66" s="2">
        <v>59.67</v>
      </c>
      <c r="X66" s="2">
        <v>59.96</v>
      </c>
      <c r="Y66" s="2">
        <v>57.1</v>
      </c>
      <c r="Z66" s="2">
        <v>59.97</v>
      </c>
      <c r="AA66" s="2">
        <v>58.92</v>
      </c>
      <c r="AB66" s="2">
        <v>59.99</v>
      </c>
      <c r="AC66" s="2">
        <v>69.98</v>
      </c>
      <c r="AD66" s="2">
        <v>69.849999999999994</v>
      </c>
      <c r="AE66" s="2">
        <v>69.98</v>
      </c>
      <c r="AF66" s="2">
        <v>69.86</v>
      </c>
      <c r="AG66" s="2">
        <v>69.989999999999995</v>
      </c>
      <c r="AH66" s="2">
        <v>70</v>
      </c>
      <c r="AI66" s="2">
        <v>59.29</v>
      </c>
      <c r="AJ66" s="2">
        <v>59.46</v>
      </c>
      <c r="AM66" s="1" t="s">
        <v>20</v>
      </c>
      <c r="AN66" s="2">
        <v>41.93</v>
      </c>
      <c r="AO66" s="2">
        <v>54.31</v>
      </c>
      <c r="AP66" s="2">
        <v>49.8</v>
      </c>
      <c r="AQ66" s="2">
        <v>43.36</v>
      </c>
      <c r="AR66" s="2">
        <v>38.22</v>
      </c>
      <c r="AS66" s="2">
        <v>44.73</v>
      </c>
      <c r="AT66" s="2">
        <v>41.74</v>
      </c>
      <c r="AU66" s="2">
        <v>50.7</v>
      </c>
      <c r="AV66" s="2">
        <v>59.98</v>
      </c>
      <c r="AW66" s="2">
        <v>61.63</v>
      </c>
      <c r="AX66" s="2">
        <v>59.98</v>
      </c>
      <c r="AY66" s="2">
        <v>61.64</v>
      </c>
      <c r="AZ66" s="2">
        <v>60.61</v>
      </c>
      <c r="BA66" s="2">
        <v>62.22</v>
      </c>
      <c r="BB66" s="2">
        <v>42.05</v>
      </c>
      <c r="BC66" s="2">
        <v>41.97</v>
      </c>
      <c r="BF66" s="1" t="s">
        <v>20</v>
      </c>
      <c r="BG66" s="2">
        <v>-1.01</v>
      </c>
      <c r="BH66" s="2">
        <v>-0.25</v>
      </c>
      <c r="BI66" s="2">
        <v>-0.5</v>
      </c>
      <c r="BJ66" s="2">
        <v>-0.96</v>
      </c>
      <c r="BK66" s="2">
        <v>-1.45</v>
      </c>
      <c r="BL66" s="2">
        <v>-0.95</v>
      </c>
      <c r="BM66" s="2">
        <v>-1.38</v>
      </c>
      <c r="BN66" s="2">
        <v>-0.61</v>
      </c>
      <c r="BO66" s="2">
        <v>-0.37</v>
      </c>
      <c r="BP66" s="2">
        <v>-0.3</v>
      </c>
      <c r="BQ66" s="2">
        <v>-0.37</v>
      </c>
      <c r="BR66" s="2">
        <v>-0.3</v>
      </c>
      <c r="BS66" s="2">
        <v>-0.28000000000000003</v>
      </c>
      <c r="BT66" s="2">
        <v>-0.23</v>
      </c>
      <c r="BU66" s="2">
        <v>-0.33</v>
      </c>
      <c r="BV66" s="2">
        <v>-0.34</v>
      </c>
    </row>
    <row r="67" spans="2:74" x14ac:dyDescent="0.3">
      <c r="B67" s="1" t="s">
        <v>21</v>
      </c>
      <c r="C67" s="2">
        <v>10273.85</v>
      </c>
      <c r="D67" s="2">
        <v>2054.66</v>
      </c>
      <c r="E67" s="2">
        <v>5074.3900000000003</v>
      </c>
      <c r="F67" s="2">
        <v>3784.84</v>
      </c>
      <c r="G67" s="2">
        <v>10986.56</v>
      </c>
      <c r="H67" s="2">
        <v>3643.94</v>
      </c>
      <c r="I67" s="2">
        <v>10197.450000000001</v>
      </c>
      <c r="J67" s="2">
        <v>4467.55</v>
      </c>
      <c r="K67" s="2">
        <v>1137.45</v>
      </c>
      <c r="L67" s="2">
        <v>1536.38</v>
      </c>
      <c r="M67" s="2">
        <v>1071.3599999999999</v>
      </c>
      <c r="N67" s="2">
        <v>1445.96</v>
      </c>
      <c r="O67" s="2">
        <v>1116.72</v>
      </c>
      <c r="P67" s="2">
        <v>358.65</v>
      </c>
      <c r="Q67" s="2">
        <v>892.73</v>
      </c>
      <c r="R67" s="2">
        <v>2768.23</v>
      </c>
      <c r="T67" s="1" t="s">
        <v>21</v>
      </c>
      <c r="U67" s="2">
        <v>54.24</v>
      </c>
      <c r="V67" s="2">
        <v>59.85</v>
      </c>
      <c r="W67" s="2">
        <v>59.21</v>
      </c>
      <c r="X67" s="2">
        <v>52.78</v>
      </c>
      <c r="Y67" s="2">
        <v>48.35</v>
      </c>
      <c r="Z67" s="2">
        <v>58.63</v>
      </c>
      <c r="AA67" s="2">
        <v>58.52</v>
      </c>
      <c r="AB67" s="2">
        <v>59.86</v>
      </c>
      <c r="AC67" s="2">
        <v>69.98</v>
      </c>
      <c r="AD67" s="2">
        <v>69.959999999999994</v>
      </c>
      <c r="AE67" s="2">
        <v>69.989999999999995</v>
      </c>
      <c r="AF67" s="2">
        <v>69.989999999999995</v>
      </c>
      <c r="AG67" s="2">
        <v>70</v>
      </c>
      <c r="AH67" s="2">
        <v>70</v>
      </c>
      <c r="AI67" s="2">
        <v>58.3</v>
      </c>
      <c r="AJ67" s="2">
        <v>58.27</v>
      </c>
      <c r="AM67" s="1" t="s">
        <v>21</v>
      </c>
      <c r="AN67" s="2">
        <v>21.09</v>
      </c>
      <c r="AO67" s="2">
        <v>50.45</v>
      </c>
      <c r="AP67" s="2">
        <v>36.15</v>
      </c>
      <c r="AQ67" s="2">
        <v>33.479999999999997</v>
      </c>
      <c r="AR67" s="2">
        <v>19.649999999999999</v>
      </c>
      <c r="AS67" s="2">
        <v>43.11</v>
      </c>
      <c r="AT67" s="2">
        <v>25.81</v>
      </c>
      <c r="AU67" s="2">
        <v>48.11</v>
      </c>
      <c r="AV67" s="2">
        <v>68.319999999999993</v>
      </c>
      <c r="AW67" s="2">
        <v>66.53</v>
      </c>
      <c r="AX67" s="2">
        <v>68.33</v>
      </c>
      <c r="AY67" s="2">
        <v>66.569999999999993</v>
      </c>
      <c r="AZ67" s="2">
        <v>66.37</v>
      </c>
      <c r="BA67" s="2">
        <v>69.89</v>
      </c>
      <c r="BB67" s="2">
        <v>41.95</v>
      </c>
      <c r="BC67" s="2">
        <v>21.57</v>
      </c>
      <c r="BF67" s="1" t="s">
        <v>21</v>
      </c>
      <c r="BG67" s="2">
        <v>-4.17</v>
      </c>
      <c r="BH67" s="2">
        <v>-0.45</v>
      </c>
      <c r="BI67" s="2">
        <v>-1.62</v>
      </c>
      <c r="BJ67" s="2">
        <v>-1.64</v>
      </c>
      <c r="BK67" s="2">
        <v>-5.07</v>
      </c>
      <c r="BL67" s="2">
        <v>-1.03</v>
      </c>
      <c r="BM67" s="2">
        <v>-4.29</v>
      </c>
      <c r="BN67" s="2">
        <v>-0.81</v>
      </c>
      <c r="BO67" s="2">
        <v>-0.05</v>
      </c>
      <c r="BP67" s="2">
        <v>-0.11</v>
      </c>
      <c r="BQ67" s="2">
        <v>-0.05</v>
      </c>
      <c r="BR67" s="2">
        <v>-0.11</v>
      </c>
      <c r="BS67" s="2">
        <v>-0.1</v>
      </c>
      <c r="BT67" s="2">
        <v>0</v>
      </c>
      <c r="BU67" s="2">
        <v>-0.32</v>
      </c>
      <c r="BV67" s="2">
        <v>-1.4</v>
      </c>
    </row>
    <row r="68" spans="2:74" x14ac:dyDescent="0.3">
      <c r="B68" s="1" t="s">
        <v>22</v>
      </c>
      <c r="C68" s="2">
        <v>1053.98</v>
      </c>
      <c r="D68" s="2">
        <v>560.09</v>
      </c>
      <c r="E68" s="2">
        <v>1119.1300000000001</v>
      </c>
      <c r="F68" s="2">
        <v>985.83</v>
      </c>
      <c r="G68" s="2">
        <v>1425.76</v>
      </c>
      <c r="H68" s="2">
        <v>1314.49</v>
      </c>
      <c r="I68" s="2">
        <v>1136.45</v>
      </c>
      <c r="J68" s="2">
        <v>720.48</v>
      </c>
      <c r="K68" s="2">
        <v>422.5</v>
      </c>
      <c r="L68" s="2">
        <v>160.63</v>
      </c>
      <c r="M68" s="2">
        <v>383.56</v>
      </c>
      <c r="N68" s="2">
        <v>122.52</v>
      </c>
      <c r="O68" s="2">
        <v>103.18</v>
      </c>
      <c r="P68" s="2">
        <v>103.24</v>
      </c>
      <c r="Q68" s="2">
        <v>225.98</v>
      </c>
      <c r="R68" s="2">
        <v>227.34</v>
      </c>
      <c r="T68" s="1" t="s">
        <v>22</v>
      </c>
      <c r="U68" s="2">
        <v>59.93</v>
      </c>
      <c r="V68" s="2">
        <v>59.91</v>
      </c>
      <c r="W68" s="2">
        <v>58.44</v>
      </c>
      <c r="X68" s="2">
        <v>58.95</v>
      </c>
      <c r="Y68" s="2">
        <v>59.67</v>
      </c>
      <c r="Z68" s="2">
        <v>57.71</v>
      </c>
      <c r="AA68" s="2">
        <v>59.72</v>
      </c>
      <c r="AB68" s="2">
        <v>59.88</v>
      </c>
      <c r="AC68" s="2">
        <v>69.930000000000007</v>
      </c>
      <c r="AD68" s="2">
        <v>70</v>
      </c>
      <c r="AE68" s="2">
        <v>69.98</v>
      </c>
      <c r="AF68" s="2">
        <v>70</v>
      </c>
      <c r="AG68" s="2">
        <v>70</v>
      </c>
      <c r="AH68" s="2">
        <v>70</v>
      </c>
      <c r="AI68" s="2">
        <v>59.83</v>
      </c>
      <c r="AJ68" s="2">
        <v>59.85</v>
      </c>
      <c r="AM68" s="1" t="s">
        <v>22</v>
      </c>
      <c r="AN68" s="2">
        <v>36.520000000000003</v>
      </c>
      <c r="AO68" s="2">
        <v>43.89</v>
      </c>
      <c r="AP68" s="2">
        <v>41.55</v>
      </c>
      <c r="AQ68" s="2">
        <v>41.04</v>
      </c>
      <c r="AR68" s="2">
        <v>33.96</v>
      </c>
      <c r="AS68" s="2">
        <v>38.380000000000003</v>
      </c>
      <c r="AT68" s="2">
        <v>48.28</v>
      </c>
      <c r="AU68" s="2">
        <v>50.06</v>
      </c>
      <c r="AV68" s="2">
        <v>63.86</v>
      </c>
      <c r="AW68" s="2">
        <v>69.89</v>
      </c>
      <c r="AX68" s="2">
        <v>63.92</v>
      </c>
      <c r="AY68" s="2">
        <v>69.7</v>
      </c>
      <c r="AZ68" s="2">
        <v>69.67</v>
      </c>
      <c r="BA68" s="2">
        <v>69.67</v>
      </c>
      <c r="BB68" s="2">
        <v>42.93</v>
      </c>
      <c r="BC68" s="2">
        <v>43.1</v>
      </c>
      <c r="BF68" s="1" t="s">
        <v>22</v>
      </c>
      <c r="BG68" s="2">
        <v>-1.54</v>
      </c>
      <c r="BH68" s="2">
        <v>-0.88</v>
      </c>
      <c r="BI68" s="2">
        <v>-1.04</v>
      </c>
      <c r="BJ68" s="2">
        <v>-1.1100000000000001</v>
      </c>
      <c r="BK68" s="2">
        <v>-2.13</v>
      </c>
      <c r="BL68" s="2">
        <v>-1.47</v>
      </c>
      <c r="BM68" s="2">
        <v>-0.79</v>
      </c>
      <c r="BN68" s="2">
        <v>-0.65</v>
      </c>
      <c r="BO68" s="2">
        <v>-0.21</v>
      </c>
      <c r="BP68" s="2">
        <v>0</v>
      </c>
      <c r="BQ68" s="2">
        <v>-0.21</v>
      </c>
      <c r="BR68" s="2">
        <v>-0.01</v>
      </c>
      <c r="BS68" s="2">
        <v>-0.01</v>
      </c>
      <c r="BT68" s="2">
        <v>-0.01</v>
      </c>
      <c r="BU68" s="2">
        <v>-0.32</v>
      </c>
      <c r="BV68" s="2">
        <v>-0.31</v>
      </c>
    </row>
    <row r="69" spans="2:74" x14ac:dyDescent="0.3">
      <c r="B69" s="1" t="s">
        <v>23</v>
      </c>
      <c r="C69" s="2">
        <v>2368.34</v>
      </c>
      <c r="D69" s="2">
        <v>3382.67</v>
      </c>
      <c r="E69" s="2">
        <v>4383.2</v>
      </c>
      <c r="F69" s="2">
        <v>3817.56</v>
      </c>
      <c r="G69" s="2">
        <v>3743.05</v>
      </c>
      <c r="H69" s="2">
        <v>4210.04</v>
      </c>
      <c r="I69" s="2">
        <v>2002.4</v>
      </c>
      <c r="J69" s="2">
        <v>2695.17</v>
      </c>
      <c r="K69" s="2">
        <v>1778.22</v>
      </c>
      <c r="L69" s="2">
        <v>1698.52</v>
      </c>
      <c r="M69" s="2">
        <v>1909.56</v>
      </c>
      <c r="N69" s="2">
        <v>1682.9</v>
      </c>
      <c r="O69" s="2">
        <v>827.05</v>
      </c>
      <c r="P69" s="2">
        <v>780.48</v>
      </c>
      <c r="Q69" s="2">
        <v>1292.5999999999999</v>
      </c>
      <c r="R69" s="2">
        <v>1145.4100000000001</v>
      </c>
      <c r="T69" s="1" t="s">
        <v>23</v>
      </c>
      <c r="U69" s="2">
        <v>59.92</v>
      </c>
      <c r="V69" s="2">
        <v>59.98</v>
      </c>
      <c r="W69" s="2">
        <v>59.37</v>
      </c>
      <c r="X69" s="2">
        <v>59.49</v>
      </c>
      <c r="Y69" s="2">
        <v>59.55</v>
      </c>
      <c r="Z69" s="2">
        <v>59.03</v>
      </c>
      <c r="AA69" s="2">
        <v>59.96</v>
      </c>
      <c r="AB69" s="2">
        <v>59.88</v>
      </c>
      <c r="AC69" s="2">
        <v>69.790000000000006</v>
      </c>
      <c r="AD69" s="2">
        <v>69.92</v>
      </c>
      <c r="AE69" s="2">
        <v>69.81</v>
      </c>
      <c r="AF69" s="2">
        <v>69.930000000000007</v>
      </c>
      <c r="AG69" s="2">
        <v>70</v>
      </c>
      <c r="AH69" s="2">
        <v>70</v>
      </c>
      <c r="AI69" s="2">
        <v>59.48</v>
      </c>
      <c r="AJ69" s="2">
        <v>59.62</v>
      </c>
      <c r="AM69" s="1" t="s">
        <v>23</v>
      </c>
      <c r="AN69" s="2">
        <v>42.95</v>
      </c>
      <c r="AO69" s="2">
        <v>37.450000000000003</v>
      </c>
      <c r="AP69" s="2">
        <v>41.37</v>
      </c>
      <c r="AQ69" s="2">
        <v>41.79</v>
      </c>
      <c r="AR69" s="2">
        <v>41.39</v>
      </c>
      <c r="AS69" s="2">
        <v>40.53</v>
      </c>
      <c r="AT69" s="2">
        <v>55.68</v>
      </c>
      <c r="AU69" s="2">
        <v>52.54</v>
      </c>
      <c r="AV69" s="2">
        <v>62.43</v>
      </c>
      <c r="AW69" s="2">
        <v>65.44</v>
      </c>
      <c r="AX69" s="2">
        <v>61.33</v>
      </c>
      <c r="AY69" s="2">
        <v>65.45</v>
      </c>
      <c r="AZ69" s="2">
        <v>66.94</v>
      </c>
      <c r="BA69" s="2">
        <v>67.36</v>
      </c>
      <c r="BB69" s="2">
        <v>42</v>
      </c>
      <c r="BC69" s="2">
        <v>42.3</v>
      </c>
      <c r="BF69" s="1" t="s">
        <v>23</v>
      </c>
      <c r="BG69" s="2">
        <v>-0.95</v>
      </c>
      <c r="BH69" s="2">
        <v>-1.44</v>
      </c>
      <c r="BI69" s="2">
        <v>-1.1000000000000001</v>
      </c>
      <c r="BJ69" s="2">
        <v>-1.07</v>
      </c>
      <c r="BK69" s="2">
        <v>-1.24</v>
      </c>
      <c r="BL69" s="2">
        <v>-1.3</v>
      </c>
      <c r="BM69" s="2">
        <v>-0.25</v>
      </c>
      <c r="BN69" s="2">
        <v>-0.46</v>
      </c>
      <c r="BO69" s="2">
        <v>-0.26</v>
      </c>
      <c r="BP69" s="2">
        <v>-0.15</v>
      </c>
      <c r="BQ69" s="2">
        <v>-0.31</v>
      </c>
      <c r="BR69" s="2">
        <v>-0.15</v>
      </c>
      <c r="BS69" s="2">
        <v>-0.08</v>
      </c>
      <c r="BT69" s="2">
        <v>-7.0000000000000007E-2</v>
      </c>
      <c r="BU69" s="2">
        <v>-0.34</v>
      </c>
      <c r="BV69" s="2">
        <v>-0.33</v>
      </c>
    </row>
    <row r="70" spans="2:74" x14ac:dyDescent="0.3">
      <c r="B70" s="1" t="s">
        <v>24</v>
      </c>
      <c r="C70" s="2">
        <v>448.81</v>
      </c>
      <c r="D70" s="2">
        <v>499.8</v>
      </c>
      <c r="E70" s="2">
        <v>734.03</v>
      </c>
      <c r="F70" s="2">
        <v>626.91</v>
      </c>
      <c r="G70" s="2">
        <v>879.63</v>
      </c>
      <c r="H70" s="2">
        <v>916.53</v>
      </c>
      <c r="I70" s="2">
        <v>631.54999999999995</v>
      </c>
      <c r="J70" s="2">
        <v>795.45</v>
      </c>
      <c r="K70" s="2">
        <v>254.87</v>
      </c>
      <c r="L70" s="2">
        <v>169.06</v>
      </c>
      <c r="M70" s="2">
        <v>256.70999999999998</v>
      </c>
      <c r="N70" s="2">
        <v>173.47</v>
      </c>
      <c r="O70" s="2">
        <v>173.37</v>
      </c>
      <c r="P70" s="2">
        <v>129.86000000000001</v>
      </c>
      <c r="Q70" s="2">
        <v>194.22</v>
      </c>
      <c r="R70" s="2">
        <v>86.74</v>
      </c>
      <c r="T70" s="1" t="s">
        <v>24</v>
      </c>
      <c r="U70" s="2">
        <v>59.57</v>
      </c>
      <c r="V70" s="2">
        <v>59.92</v>
      </c>
      <c r="W70" s="2">
        <v>59.14</v>
      </c>
      <c r="X70" s="2">
        <v>58.44</v>
      </c>
      <c r="Y70" s="2">
        <v>57.37</v>
      </c>
      <c r="Z70" s="2">
        <v>58.66</v>
      </c>
      <c r="AA70" s="2">
        <v>59.47</v>
      </c>
      <c r="AB70" s="2">
        <v>59.08</v>
      </c>
      <c r="AC70" s="2">
        <v>69.569999999999993</v>
      </c>
      <c r="AD70" s="2">
        <v>69.86</v>
      </c>
      <c r="AE70" s="2">
        <v>69.84</v>
      </c>
      <c r="AF70" s="2">
        <v>69.959999999999994</v>
      </c>
      <c r="AG70" s="2">
        <v>69.989999999999995</v>
      </c>
      <c r="AH70" s="2">
        <v>69.989999999999995</v>
      </c>
      <c r="AI70" s="2">
        <v>59.4</v>
      </c>
      <c r="AJ70" s="2">
        <v>59.91</v>
      </c>
      <c r="AM70" s="1" t="s">
        <v>24</v>
      </c>
      <c r="AN70" s="2">
        <v>42.99</v>
      </c>
      <c r="AO70" s="2">
        <v>40.51</v>
      </c>
      <c r="AP70" s="2">
        <v>42.05</v>
      </c>
      <c r="AQ70" s="2">
        <v>38.590000000000003</v>
      </c>
      <c r="AR70" s="2">
        <v>38.75</v>
      </c>
      <c r="AS70" s="2">
        <v>36.03</v>
      </c>
      <c r="AT70" s="2">
        <v>49.58</v>
      </c>
      <c r="AU70" s="2">
        <v>39.4</v>
      </c>
      <c r="AV70" s="2">
        <v>64.95</v>
      </c>
      <c r="AW70" s="2">
        <v>67.989999999999995</v>
      </c>
      <c r="AX70" s="2">
        <v>65.08</v>
      </c>
      <c r="AY70" s="2">
        <v>68.03</v>
      </c>
      <c r="AZ70" s="2">
        <v>66.739999999999995</v>
      </c>
      <c r="BA70" s="2">
        <v>68.36</v>
      </c>
      <c r="BB70" s="2">
        <v>43.04</v>
      </c>
      <c r="BC70" s="2">
        <v>44.8</v>
      </c>
      <c r="BF70" s="1" t="s">
        <v>24</v>
      </c>
      <c r="BG70" s="2">
        <v>-0.93</v>
      </c>
      <c r="BH70" s="2">
        <v>-1.1499999999999999</v>
      </c>
      <c r="BI70" s="2">
        <v>-1.03</v>
      </c>
      <c r="BJ70" s="2">
        <v>-1.32</v>
      </c>
      <c r="BK70" s="2">
        <v>-1.41</v>
      </c>
      <c r="BL70" s="2">
        <v>-1.8</v>
      </c>
      <c r="BM70" s="2">
        <v>-0.66</v>
      </c>
      <c r="BN70" s="2">
        <v>-1.67</v>
      </c>
      <c r="BO70" s="2">
        <v>-0.16</v>
      </c>
      <c r="BP70" s="2">
        <v>-0.06</v>
      </c>
      <c r="BQ70" s="2">
        <v>-0.16</v>
      </c>
      <c r="BR70" s="2">
        <v>-0.06</v>
      </c>
      <c r="BS70" s="2">
        <v>-0.09</v>
      </c>
      <c r="BT70" s="2">
        <v>-0.04</v>
      </c>
      <c r="BU70" s="2">
        <v>-0.31</v>
      </c>
      <c r="BV70" s="2">
        <v>-0.27</v>
      </c>
    </row>
    <row r="71" spans="2:74" x14ac:dyDescent="0.3">
      <c r="B71" s="1" t="s">
        <v>25</v>
      </c>
      <c r="C71" s="2">
        <v>4651</v>
      </c>
      <c r="D71" s="2">
        <v>5075.08</v>
      </c>
      <c r="E71" s="2">
        <v>2064.12</v>
      </c>
      <c r="F71" s="2">
        <v>1777.1</v>
      </c>
      <c r="G71" s="2">
        <v>2808.16</v>
      </c>
      <c r="H71" s="2">
        <v>3123.62</v>
      </c>
      <c r="I71" s="2">
        <v>2043.24</v>
      </c>
      <c r="J71" s="2">
        <v>1559.16</v>
      </c>
      <c r="K71" s="2">
        <v>865.88</v>
      </c>
      <c r="L71" s="2">
        <v>801.28</v>
      </c>
      <c r="M71" s="2">
        <v>843.98</v>
      </c>
      <c r="N71" s="2">
        <v>784.71</v>
      </c>
      <c r="O71" s="2">
        <v>186.96</v>
      </c>
      <c r="P71" s="2">
        <v>573.80999999999995</v>
      </c>
      <c r="Q71" s="2">
        <v>693.46</v>
      </c>
      <c r="R71" s="2">
        <v>1288.0999999999999</v>
      </c>
      <c r="T71" s="1" t="s">
        <v>25</v>
      </c>
      <c r="U71" s="2">
        <v>57.51</v>
      </c>
      <c r="V71" s="2">
        <v>58.08</v>
      </c>
      <c r="W71" s="2">
        <v>56.28</v>
      </c>
      <c r="X71" s="2">
        <v>56.04</v>
      </c>
      <c r="Y71" s="2">
        <v>59.06</v>
      </c>
      <c r="Z71" s="2">
        <v>56.72</v>
      </c>
      <c r="AA71" s="2">
        <v>59.65</v>
      </c>
      <c r="AB71" s="2">
        <v>59.43</v>
      </c>
      <c r="AC71" s="2">
        <v>69.599999999999994</v>
      </c>
      <c r="AD71" s="2">
        <v>69.77</v>
      </c>
      <c r="AE71" s="2">
        <v>69.88</v>
      </c>
      <c r="AF71" s="2">
        <v>69.930000000000007</v>
      </c>
      <c r="AG71" s="2">
        <v>70</v>
      </c>
      <c r="AH71" s="2">
        <v>69.989999999999995</v>
      </c>
      <c r="AI71" s="2">
        <v>55.06</v>
      </c>
      <c r="AJ71" s="2">
        <v>59.25</v>
      </c>
      <c r="AM71" s="1" t="s">
        <v>25</v>
      </c>
      <c r="AN71" s="2">
        <v>24.85</v>
      </c>
      <c r="AO71" s="2">
        <v>25.75</v>
      </c>
      <c r="AP71" s="2">
        <v>40.69</v>
      </c>
      <c r="AQ71" s="2">
        <v>42.13</v>
      </c>
      <c r="AR71" s="2">
        <v>34.19</v>
      </c>
      <c r="AS71" s="2">
        <v>30.98</v>
      </c>
      <c r="AT71" s="2">
        <v>50.71</v>
      </c>
      <c r="AU71" s="2">
        <v>44.59</v>
      </c>
      <c r="AV71" s="2">
        <v>63.53</v>
      </c>
      <c r="AW71" s="2">
        <v>65.040000000000006</v>
      </c>
      <c r="AX71" s="2">
        <v>63.81</v>
      </c>
      <c r="AY71" s="2">
        <v>65.2</v>
      </c>
      <c r="AZ71" s="2">
        <v>69.95</v>
      </c>
      <c r="BA71" s="2">
        <v>68.36</v>
      </c>
      <c r="BB71" s="2">
        <v>36.81</v>
      </c>
      <c r="BC71" s="2">
        <v>24.26</v>
      </c>
      <c r="BF71" s="1" t="s">
        <v>25</v>
      </c>
      <c r="BG71" s="2">
        <v>-3.29</v>
      </c>
      <c r="BH71" s="2">
        <v>-3.11</v>
      </c>
      <c r="BI71" s="2">
        <v>-1.02</v>
      </c>
      <c r="BJ71" s="2">
        <v>-0.88</v>
      </c>
      <c r="BK71" s="2">
        <v>-2.0699999999999998</v>
      </c>
      <c r="BL71" s="2">
        <v>-2.46</v>
      </c>
      <c r="BM71" s="2">
        <v>-0.59</v>
      </c>
      <c r="BN71" s="2">
        <v>-1.1100000000000001</v>
      </c>
      <c r="BO71" s="2">
        <v>-0.21</v>
      </c>
      <c r="BP71" s="2">
        <v>-0.16</v>
      </c>
      <c r="BQ71" s="2">
        <v>-0.21</v>
      </c>
      <c r="BR71" s="2">
        <v>-0.16</v>
      </c>
      <c r="BS71" s="2">
        <v>0</v>
      </c>
      <c r="BT71" s="2">
        <v>-0.04</v>
      </c>
      <c r="BU71" s="2">
        <v>-0.43</v>
      </c>
      <c r="BV71" s="2">
        <v>-1.17</v>
      </c>
    </row>
    <row r="72" spans="2:74" x14ac:dyDescent="0.3">
      <c r="B72" s="1" t="s">
        <v>26</v>
      </c>
      <c r="C72" s="2">
        <v>494.24</v>
      </c>
      <c r="D72" s="2">
        <v>347.91</v>
      </c>
      <c r="E72" s="2">
        <v>605.35</v>
      </c>
      <c r="F72" s="2">
        <v>92.19</v>
      </c>
      <c r="G72" s="2">
        <v>557.57000000000005</v>
      </c>
      <c r="H72" s="2">
        <v>468.08</v>
      </c>
      <c r="I72" s="2">
        <v>366.81</v>
      </c>
      <c r="J72" s="2">
        <v>103.4</v>
      </c>
      <c r="K72" s="2">
        <v>430.91</v>
      </c>
      <c r="L72" s="2">
        <v>340.58</v>
      </c>
      <c r="M72" s="2">
        <v>430.92</v>
      </c>
      <c r="N72" s="2">
        <v>340.58</v>
      </c>
      <c r="O72" s="2">
        <v>63.12</v>
      </c>
      <c r="P72" s="2">
        <v>77.73</v>
      </c>
      <c r="Q72" s="2">
        <v>308.52999999999997</v>
      </c>
      <c r="R72" s="2">
        <v>149.1</v>
      </c>
      <c r="T72" s="1" t="s">
        <v>26</v>
      </c>
      <c r="U72" s="2">
        <v>59.99</v>
      </c>
      <c r="V72" s="2">
        <v>59.95</v>
      </c>
      <c r="W72" s="2">
        <v>60</v>
      </c>
      <c r="X72" s="2">
        <v>59.99</v>
      </c>
      <c r="Y72" s="2">
        <v>60</v>
      </c>
      <c r="Z72" s="2">
        <v>59.99</v>
      </c>
      <c r="AA72" s="2">
        <v>60</v>
      </c>
      <c r="AB72" s="2">
        <v>60</v>
      </c>
      <c r="AC72" s="2">
        <v>69.989999999999995</v>
      </c>
      <c r="AD72" s="2">
        <v>70</v>
      </c>
      <c r="AE72" s="2">
        <v>69.989999999999995</v>
      </c>
      <c r="AF72" s="2">
        <v>70</v>
      </c>
      <c r="AG72" s="2">
        <v>70</v>
      </c>
      <c r="AH72" s="2">
        <v>70</v>
      </c>
      <c r="AI72" s="2">
        <v>59.93</v>
      </c>
      <c r="AJ72" s="2">
        <v>59.97</v>
      </c>
      <c r="AM72" s="1" t="s">
        <v>26</v>
      </c>
      <c r="AN72" s="2">
        <v>53.47</v>
      </c>
      <c r="AO72" s="2">
        <v>53.37</v>
      </c>
      <c r="AP72" s="2">
        <v>50.57</v>
      </c>
      <c r="AQ72" s="2">
        <v>59.76</v>
      </c>
      <c r="AR72" s="2">
        <v>47.33</v>
      </c>
      <c r="AS72" s="2">
        <v>48.23</v>
      </c>
      <c r="AT72" s="2">
        <v>56.09</v>
      </c>
      <c r="AU72" s="2">
        <v>57.36</v>
      </c>
      <c r="AV72" s="2">
        <v>60.77</v>
      </c>
      <c r="AW72" s="2">
        <v>59.57</v>
      </c>
      <c r="AX72" s="2">
        <v>60.77</v>
      </c>
      <c r="AY72" s="2">
        <v>59.57</v>
      </c>
      <c r="AZ72" s="2">
        <v>69.72</v>
      </c>
      <c r="BA72" s="2">
        <v>69.430000000000007</v>
      </c>
      <c r="BB72" s="2">
        <v>45.61</v>
      </c>
      <c r="BC72" s="2">
        <v>46.54</v>
      </c>
      <c r="BF72" s="1" t="s">
        <v>26</v>
      </c>
      <c r="BG72" s="2">
        <v>-0.28999999999999998</v>
      </c>
      <c r="BH72" s="2">
        <v>-0.3</v>
      </c>
      <c r="BI72" s="2">
        <v>-0.47</v>
      </c>
      <c r="BJ72" s="2">
        <v>-0.01</v>
      </c>
      <c r="BK72" s="2">
        <v>-0.75</v>
      </c>
      <c r="BL72" s="2">
        <v>-0.68</v>
      </c>
      <c r="BM72" s="2">
        <v>-0.23</v>
      </c>
      <c r="BN72" s="2">
        <v>-0.15</v>
      </c>
      <c r="BO72" s="2">
        <v>-0.34</v>
      </c>
      <c r="BP72" s="2">
        <v>-0.39</v>
      </c>
      <c r="BQ72" s="2">
        <v>-0.34</v>
      </c>
      <c r="BR72" s="2">
        <v>-0.39</v>
      </c>
      <c r="BS72" s="2">
        <v>-0.01</v>
      </c>
      <c r="BT72" s="2">
        <v>-0.01</v>
      </c>
      <c r="BU72" s="2">
        <v>-0.25</v>
      </c>
      <c r="BV72" s="2">
        <v>-0.23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29.25</v>
      </c>
      <c r="D79" s="2">
        <v>44.65</v>
      </c>
      <c r="E79" s="2">
        <v>9.92</v>
      </c>
      <c r="F79" s="2">
        <v>6.02</v>
      </c>
      <c r="G79" s="2">
        <v>17.02</v>
      </c>
      <c r="H79" s="2">
        <v>26.89</v>
      </c>
      <c r="I79" s="2">
        <v>4.9800000000000004</v>
      </c>
      <c r="J79" s="2">
        <v>3.01</v>
      </c>
      <c r="K79" s="2">
        <v>1.71</v>
      </c>
      <c r="L79" s="2">
        <v>2.54</v>
      </c>
      <c r="M79" s="2">
        <v>1.71</v>
      </c>
      <c r="N79" s="2">
        <v>2.7</v>
      </c>
      <c r="O79" s="2">
        <v>3.43</v>
      </c>
      <c r="P79" s="2">
        <v>2.67</v>
      </c>
      <c r="Q79" s="2">
        <v>8.7100000000000009</v>
      </c>
      <c r="R79" s="2">
        <v>17.34</v>
      </c>
      <c r="T79" s="1" t="s">
        <v>19</v>
      </c>
      <c r="U79" s="2">
        <v>2.4</v>
      </c>
      <c r="V79" s="2">
        <v>2.4</v>
      </c>
      <c r="W79" s="2">
        <v>2.5</v>
      </c>
      <c r="X79" s="2">
        <v>2.5</v>
      </c>
      <c r="Y79" s="2">
        <v>2.8</v>
      </c>
      <c r="Z79" s="2">
        <v>2.8</v>
      </c>
      <c r="AA79" s="2">
        <v>3.3</v>
      </c>
      <c r="AB79" s="2">
        <v>3.3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0.81</v>
      </c>
      <c r="AJ79" s="2">
        <v>0.8</v>
      </c>
      <c r="AM79" s="1" t="s">
        <v>19</v>
      </c>
      <c r="AN79" s="2">
        <v>2.4</v>
      </c>
      <c r="AO79" s="2">
        <v>2.4</v>
      </c>
      <c r="AP79" s="2">
        <v>2.5</v>
      </c>
      <c r="AQ79" s="2">
        <v>2.5</v>
      </c>
      <c r="AR79" s="2">
        <v>3.05</v>
      </c>
      <c r="AS79" s="2">
        <v>3.05</v>
      </c>
      <c r="AT79" s="2">
        <v>3.3</v>
      </c>
      <c r="AU79" s="2">
        <v>3.3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0.81</v>
      </c>
      <c r="BC79" s="2">
        <v>0.8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295.8</v>
      </c>
      <c r="D80" s="2">
        <v>135.36000000000001</v>
      </c>
      <c r="E80" s="2">
        <v>190.15</v>
      </c>
      <c r="F80" s="2">
        <v>414.32</v>
      </c>
      <c r="G80" s="2">
        <v>461.45</v>
      </c>
      <c r="H80" s="2">
        <v>295.56</v>
      </c>
      <c r="I80" s="2">
        <v>464.25</v>
      </c>
      <c r="J80" s="2">
        <v>263.69</v>
      </c>
      <c r="K80" s="2">
        <v>177.82</v>
      </c>
      <c r="L80" s="2">
        <v>129.52000000000001</v>
      </c>
      <c r="M80" s="2">
        <v>177.82</v>
      </c>
      <c r="N80" s="2">
        <v>130.55000000000001</v>
      </c>
      <c r="O80" s="2">
        <v>212.97</v>
      </c>
      <c r="P80" s="2">
        <v>171.46</v>
      </c>
      <c r="Q80" s="2">
        <v>85.91</v>
      </c>
      <c r="R80" s="2">
        <v>219.92</v>
      </c>
      <c r="T80" s="1" t="s">
        <v>20</v>
      </c>
      <c r="U80" s="2">
        <v>2.42</v>
      </c>
      <c r="V80" s="2">
        <v>2.4</v>
      </c>
      <c r="W80" s="2">
        <v>2.5099999999999998</v>
      </c>
      <c r="X80" s="2">
        <v>2.5</v>
      </c>
      <c r="Y80" s="2">
        <v>2.94</v>
      </c>
      <c r="Z80" s="2">
        <v>2.8</v>
      </c>
      <c r="AA80" s="2">
        <v>3.36</v>
      </c>
      <c r="AB80" s="2">
        <v>3.3</v>
      </c>
      <c r="AC80" s="2">
        <v>2.23</v>
      </c>
      <c r="AD80" s="2">
        <v>2.23</v>
      </c>
      <c r="AE80" s="2">
        <v>2.23</v>
      </c>
      <c r="AF80" s="2">
        <v>2.23</v>
      </c>
      <c r="AG80" s="2">
        <v>1.8</v>
      </c>
      <c r="AH80" s="2">
        <v>1.8</v>
      </c>
      <c r="AI80" s="2">
        <v>0.81</v>
      </c>
      <c r="AJ80" s="2">
        <v>0.81</v>
      </c>
      <c r="AM80" s="1" t="s">
        <v>20</v>
      </c>
      <c r="AN80" s="2">
        <v>3.43</v>
      </c>
      <c r="AO80" s="2">
        <v>2.65</v>
      </c>
      <c r="AP80" s="2">
        <v>3.01</v>
      </c>
      <c r="AQ80" s="2">
        <v>3.46</v>
      </c>
      <c r="AR80" s="2">
        <v>4.4000000000000004</v>
      </c>
      <c r="AS80" s="2">
        <v>3.76</v>
      </c>
      <c r="AT80" s="2">
        <v>4.74</v>
      </c>
      <c r="AU80" s="2">
        <v>3.91</v>
      </c>
      <c r="AV80" s="2">
        <v>2.6</v>
      </c>
      <c r="AW80" s="2">
        <v>2.5299999999999998</v>
      </c>
      <c r="AX80" s="2">
        <v>2.6</v>
      </c>
      <c r="AY80" s="2">
        <v>2.5299999999999998</v>
      </c>
      <c r="AZ80" s="2">
        <v>2.08</v>
      </c>
      <c r="BA80" s="2">
        <v>2.0299999999999998</v>
      </c>
      <c r="BB80" s="2">
        <v>1.1399999999999999</v>
      </c>
      <c r="BC80" s="2">
        <v>1.1399999999999999</v>
      </c>
      <c r="BF80" s="1" t="s">
        <v>20</v>
      </c>
      <c r="BG80" s="2">
        <v>-0.3</v>
      </c>
      <c r="BH80" s="2">
        <v>-0.09</v>
      </c>
      <c r="BI80" s="2">
        <v>-0.17</v>
      </c>
      <c r="BJ80" s="2">
        <v>-0.28000000000000003</v>
      </c>
      <c r="BK80" s="2">
        <v>-0.33</v>
      </c>
      <c r="BL80" s="2">
        <v>-0.25</v>
      </c>
      <c r="BM80" s="2">
        <v>-0.28999999999999998</v>
      </c>
      <c r="BN80" s="2">
        <v>-0.15</v>
      </c>
      <c r="BO80" s="2">
        <v>-0.14000000000000001</v>
      </c>
      <c r="BP80" s="2">
        <v>-0.12</v>
      </c>
      <c r="BQ80" s="2">
        <v>-0.14000000000000001</v>
      </c>
      <c r="BR80" s="2">
        <v>-0.12</v>
      </c>
      <c r="BS80" s="2">
        <v>-0.13</v>
      </c>
      <c r="BT80" s="2">
        <v>-0.11</v>
      </c>
      <c r="BU80" s="2">
        <v>-0.28999999999999998</v>
      </c>
      <c r="BV80" s="2">
        <v>-0.28999999999999998</v>
      </c>
    </row>
    <row r="81" spans="2:74" x14ac:dyDescent="0.3">
      <c r="B81" s="1" t="s">
        <v>21</v>
      </c>
      <c r="C81" s="2">
        <v>2545.81</v>
      </c>
      <c r="D81" s="2">
        <v>716.21</v>
      </c>
      <c r="E81" s="2">
        <v>1561.83</v>
      </c>
      <c r="F81" s="2">
        <v>2270.89</v>
      </c>
      <c r="G81" s="2">
        <v>4809.6400000000003</v>
      </c>
      <c r="H81" s="2">
        <v>1386.06</v>
      </c>
      <c r="I81" s="2">
        <v>3571.78</v>
      </c>
      <c r="J81" s="2">
        <v>1401.44</v>
      </c>
      <c r="K81" s="2">
        <v>314.32</v>
      </c>
      <c r="L81" s="2">
        <v>434.13</v>
      </c>
      <c r="M81" s="2">
        <v>301.19</v>
      </c>
      <c r="N81" s="2">
        <v>413.46</v>
      </c>
      <c r="O81" s="2">
        <v>687.1</v>
      </c>
      <c r="P81" s="2">
        <v>222.99</v>
      </c>
      <c r="Q81" s="2">
        <v>273.2</v>
      </c>
      <c r="R81" s="2">
        <v>1628.41</v>
      </c>
      <c r="T81" s="1" t="s">
        <v>21</v>
      </c>
      <c r="U81" s="2">
        <v>2.65</v>
      </c>
      <c r="V81" s="2">
        <v>2.41</v>
      </c>
      <c r="W81" s="2">
        <v>2.5299999999999998</v>
      </c>
      <c r="X81" s="2">
        <v>2.84</v>
      </c>
      <c r="Y81" s="2">
        <v>3.47</v>
      </c>
      <c r="Z81" s="2">
        <v>2.87</v>
      </c>
      <c r="AA81" s="2">
        <v>3.38</v>
      </c>
      <c r="AB81" s="2">
        <v>3.31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0.82</v>
      </c>
      <c r="AJ81" s="2">
        <v>0.82</v>
      </c>
      <c r="AM81" s="1" t="s">
        <v>21</v>
      </c>
      <c r="AN81" s="2">
        <v>6.83</v>
      </c>
      <c r="AO81" s="2">
        <v>2.85</v>
      </c>
      <c r="AP81" s="2">
        <v>4.1500000000000004</v>
      </c>
      <c r="AQ81" s="2">
        <v>4.4800000000000004</v>
      </c>
      <c r="AR81" s="2">
        <v>8.5500000000000007</v>
      </c>
      <c r="AS81" s="2">
        <v>3.9</v>
      </c>
      <c r="AT81" s="2">
        <v>7.67</v>
      </c>
      <c r="AU81" s="2">
        <v>4.12</v>
      </c>
      <c r="AV81" s="2">
        <v>2.2799999999999998</v>
      </c>
      <c r="AW81" s="2">
        <v>2.34</v>
      </c>
      <c r="AX81" s="2">
        <v>2.2799999999999998</v>
      </c>
      <c r="AY81" s="2">
        <v>2.34</v>
      </c>
      <c r="AZ81" s="2">
        <v>1.9</v>
      </c>
      <c r="BA81" s="2">
        <v>1.8</v>
      </c>
      <c r="BB81" s="2">
        <v>1.1399999999999999</v>
      </c>
      <c r="BC81" s="2">
        <v>2.23</v>
      </c>
      <c r="BF81" s="1" t="s">
        <v>21</v>
      </c>
      <c r="BG81" s="2">
        <v>-0.61</v>
      </c>
      <c r="BH81" s="2">
        <v>-0.16</v>
      </c>
      <c r="BI81" s="2">
        <v>-0.39</v>
      </c>
      <c r="BJ81" s="2">
        <v>-0.37</v>
      </c>
      <c r="BK81" s="2">
        <v>-0.59</v>
      </c>
      <c r="BL81" s="2">
        <v>-0.26</v>
      </c>
      <c r="BM81" s="2">
        <v>-0.56000000000000005</v>
      </c>
      <c r="BN81" s="2">
        <v>-0.2</v>
      </c>
      <c r="BO81" s="2">
        <v>-0.02</v>
      </c>
      <c r="BP81" s="2">
        <v>-0.05</v>
      </c>
      <c r="BQ81" s="2">
        <v>-0.02</v>
      </c>
      <c r="BR81" s="2">
        <v>-0.05</v>
      </c>
      <c r="BS81" s="2">
        <v>-0.05</v>
      </c>
      <c r="BT81" s="2">
        <v>0</v>
      </c>
      <c r="BU81" s="2">
        <v>-0.28000000000000003</v>
      </c>
      <c r="BV81" s="2">
        <v>-0.63</v>
      </c>
    </row>
    <row r="82" spans="2:74" x14ac:dyDescent="0.3">
      <c r="B82" s="1" t="s">
        <v>22</v>
      </c>
      <c r="C82" s="2">
        <v>292.87</v>
      </c>
      <c r="D82" s="2">
        <v>218.63</v>
      </c>
      <c r="E82" s="2">
        <v>369.26</v>
      </c>
      <c r="F82" s="2">
        <v>516.58000000000004</v>
      </c>
      <c r="G82" s="2">
        <v>621.95000000000005</v>
      </c>
      <c r="H82" s="2">
        <v>613.84</v>
      </c>
      <c r="I82" s="2">
        <v>357.06</v>
      </c>
      <c r="J82" s="2">
        <v>344.57</v>
      </c>
      <c r="K82" s="2">
        <v>118.59</v>
      </c>
      <c r="L82" s="2">
        <v>57.04</v>
      </c>
      <c r="M82" s="2">
        <v>106.39</v>
      </c>
      <c r="N82" s="2">
        <v>43.51</v>
      </c>
      <c r="O82" s="2">
        <v>77.09</v>
      </c>
      <c r="P82" s="2">
        <v>77.13</v>
      </c>
      <c r="Q82" s="2">
        <v>73.86</v>
      </c>
      <c r="R82" s="2">
        <v>118.84</v>
      </c>
      <c r="T82" s="1" t="s">
        <v>22</v>
      </c>
      <c r="U82" s="2">
        <v>2.4</v>
      </c>
      <c r="V82" s="2">
        <v>2.4</v>
      </c>
      <c r="W82" s="2">
        <v>2.57</v>
      </c>
      <c r="X82" s="2">
        <v>2.54</v>
      </c>
      <c r="Y82" s="2">
        <v>2.82</v>
      </c>
      <c r="Z82" s="2">
        <v>2.91</v>
      </c>
      <c r="AA82" s="2">
        <v>3.32</v>
      </c>
      <c r="AB82" s="2">
        <v>3.31</v>
      </c>
      <c r="AC82" s="2">
        <v>2.23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0.8</v>
      </c>
      <c r="AJ82" s="2">
        <v>0.8</v>
      </c>
      <c r="AM82" s="1" t="s">
        <v>22</v>
      </c>
      <c r="AN82" s="2">
        <v>3.94</v>
      </c>
      <c r="AO82" s="2">
        <v>3.28</v>
      </c>
      <c r="AP82" s="2">
        <v>3.61</v>
      </c>
      <c r="AQ82" s="2">
        <v>3.65</v>
      </c>
      <c r="AR82" s="2">
        <v>4.95</v>
      </c>
      <c r="AS82" s="2">
        <v>4.38</v>
      </c>
      <c r="AT82" s="2">
        <v>4.0999999999999996</v>
      </c>
      <c r="AU82" s="2">
        <v>3.96</v>
      </c>
      <c r="AV82" s="2">
        <v>2.44</v>
      </c>
      <c r="AW82" s="2">
        <v>2.23</v>
      </c>
      <c r="AX82" s="2">
        <v>2.44</v>
      </c>
      <c r="AY82" s="2">
        <v>2.2400000000000002</v>
      </c>
      <c r="AZ82" s="2">
        <v>1.81</v>
      </c>
      <c r="BA82" s="2">
        <v>1.81</v>
      </c>
      <c r="BB82" s="2">
        <v>1.1200000000000001</v>
      </c>
      <c r="BC82" s="2">
        <v>1.1100000000000001</v>
      </c>
      <c r="BF82" s="1" t="s">
        <v>22</v>
      </c>
      <c r="BG82" s="2">
        <v>-0.39</v>
      </c>
      <c r="BH82" s="2">
        <v>-0.27</v>
      </c>
      <c r="BI82" s="2">
        <v>-0.28999999999999998</v>
      </c>
      <c r="BJ82" s="2">
        <v>-0.3</v>
      </c>
      <c r="BK82" s="2">
        <v>-0.43</v>
      </c>
      <c r="BL82" s="2">
        <v>-0.34</v>
      </c>
      <c r="BM82" s="2">
        <v>-0.19</v>
      </c>
      <c r="BN82" s="2">
        <v>-0.16</v>
      </c>
      <c r="BO82" s="2">
        <v>-0.09</v>
      </c>
      <c r="BP82" s="2">
        <v>0</v>
      </c>
      <c r="BQ82" s="2">
        <v>-0.09</v>
      </c>
      <c r="BR82" s="2">
        <v>0</v>
      </c>
      <c r="BS82" s="2">
        <v>0</v>
      </c>
      <c r="BT82" s="2">
        <v>0</v>
      </c>
      <c r="BU82" s="2">
        <v>-0.28000000000000003</v>
      </c>
      <c r="BV82" s="2">
        <v>-0.28000000000000003</v>
      </c>
    </row>
    <row r="83" spans="2:74" x14ac:dyDescent="0.3">
      <c r="B83" s="1" t="s">
        <v>23</v>
      </c>
      <c r="C83" s="2">
        <v>646.52</v>
      </c>
      <c r="D83" s="2">
        <v>1054.78</v>
      </c>
      <c r="E83" s="2">
        <v>1424.95</v>
      </c>
      <c r="F83" s="2">
        <v>1345.63</v>
      </c>
      <c r="G83" s="2">
        <v>1697.09</v>
      </c>
      <c r="H83" s="2">
        <v>1801.24</v>
      </c>
      <c r="I83" s="2">
        <v>868.73</v>
      </c>
      <c r="J83" s="2">
        <v>1026.0899999999999</v>
      </c>
      <c r="K83" s="2">
        <v>709.48</v>
      </c>
      <c r="L83" s="2">
        <v>477.71</v>
      </c>
      <c r="M83" s="2">
        <v>764.78</v>
      </c>
      <c r="N83" s="2">
        <v>474.83</v>
      </c>
      <c r="O83" s="2">
        <v>544.29999999999995</v>
      </c>
      <c r="P83" s="2">
        <v>516.91</v>
      </c>
      <c r="Q83" s="2">
        <v>419.23</v>
      </c>
      <c r="R83" s="2">
        <v>403.41</v>
      </c>
      <c r="T83" s="1" t="s">
        <v>23</v>
      </c>
      <c r="U83" s="2">
        <v>2.4</v>
      </c>
      <c r="V83" s="2">
        <v>2.4</v>
      </c>
      <c r="W83" s="2">
        <v>2.5299999999999998</v>
      </c>
      <c r="X83" s="2">
        <v>2.52</v>
      </c>
      <c r="Y83" s="2">
        <v>2.82</v>
      </c>
      <c r="Z83" s="2">
        <v>2.85</v>
      </c>
      <c r="AA83" s="2">
        <v>3.3</v>
      </c>
      <c r="AB83" s="2">
        <v>3.31</v>
      </c>
      <c r="AC83" s="2">
        <v>2.2400000000000002</v>
      </c>
      <c r="AD83" s="2">
        <v>2.23</v>
      </c>
      <c r="AE83" s="2">
        <v>2.23</v>
      </c>
      <c r="AF83" s="2">
        <v>2.23</v>
      </c>
      <c r="AG83" s="2">
        <v>1.8</v>
      </c>
      <c r="AH83" s="2">
        <v>1.8</v>
      </c>
      <c r="AI83" s="2">
        <v>0.81</v>
      </c>
      <c r="AJ83" s="2">
        <v>0.81</v>
      </c>
      <c r="AM83" s="1" t="s">
        <v>23</v>
      </c>
      <c r="AN83" s="2">
        <v>3.35</v>
      </c>
      <c r="AO83" s="2">
        <v>3.84</v>
      </c>
      <c r="AP83" s="2">
        <v>3.63</v>
      </c>
      <c r="AQ83" s="2">
        <v>3.59</v>
      </c>
      <c r="AR83" s="2">
        <v>4.0599999999999996</v>
      </c>
      <c r="AS83" s="2">
        <v>4.1500000000000004</v>
      </c>
      <c r="AT83" s="2">
        <v>3.56</v>
      </c>
      <c r="AU83" s="2">
        <v>3.77</v>
      </c>
      <c r="AV83" s="2">
        <v>2.5</v>
      </c>
      <c r="AW83" s="2">
        <v>2.38</v>
      </c>
      <c r="AX83" s="2">
        <v>2.54</v>
      </c>
      <c r="AY83" s="2">
        <v>2.38</v>
      </c>
      <c r="AZ83" s="2">
        <v>1.88</v>
      </c>
      <c r="BA83" s="2">
        <v>1.87</v>
      </c>
      <c r="BB83" s="2">
        <v>1.1399999999999999</v>
      </c>
      <c r="BC83" s="2">
        <v>1.1299999999999999</v>
      </c>
      <c r="BF83" s="1" t="s">
        <v>23</v>
      </c>
      <c r="BG83" s="2">
        <v>-0.28000000000000003</v>
      </c>
      <c r="BH83" s="2">
        <v>-0.38</v>
      </c>
      <c r="BI83" s="2">
        <v>-0.3</v>
      </c>
      <c r="BJ83" s="2">
        <v>-0.3</v>
      </c>
      <c r="BK83" s="2">
        <v>-0.31</v>
      </c>
      <c r="BL83" s="2">
        <v>-0.31</v>
      </c>
      <c r="BM83" s="2">
        <v>-7.0000000000000007E-2</v>
      </c>
      <c r="BN83" s="2">
        <v>-0.12</v>
      </c>
      <c r="BO83" s="2">
        <v>-0.11</v>
      </c>
      <c r="BP83" s="2">
        <v>-0.06</v>
      </c>
      <c r="BQ83" s="2">
        <v>-0.12</v>
      </c>
      <c r="BR83" s="2">
        <v>-0.06</v>
      </c>
      <c r="BS83" s="2">
        <v>-0.04</v>
      </c>
      <c r="BT83" s="2">
        <v>-0.04</v>
      </c>
      <c r="BU83" s="2">
        <v>-0.28999999999999998</v>
      </c>
      <c r="BV83" s="2">
        <v>-0.28999999999999998</v>
      </c>
    </row>
    <row r="84" spans="2:74" x14ac:dyDescent="0.3">
      <c r="B84" s="1" t="s">
        <v>24</v>
      </c>
      <c r="C84" s="2">
        <v>151.05000000000001</v>
      </c>
      <c r="D84" s="2">
        <v>67.489999999999995</v>
      </c>
      <c r="E84" s="2">
        <v>257.27</v>
      </c>
      <c r="F84" s="2">
        <v>349.16</v>
      </c>
      <c r="G84" s="2">
        <v>266.42</v>
      </c>
      <c r="H84" s="2">
        <v>195.93</v>
      </c>
      <c r="I84" s="2">
        <v>164.96</v>
      </c>
      <c r="J84" s="2">
        <v>359.43</v>
      </c>
      <c r="K84" s="2">
        <v>81.66</v>
      </c>
      <c r="L84" s="2">
        <v>39.94</v>
      </c>
      <c r="M84" s="2">
        <v>83.17</v>
      </c>
      <c r="N84" s="2">
        <v>41.45</v>
      </c>
      <c r="O84" s="2">
        <v>72.510000000000005</v>
      </c>
      <c r="P84" s="2">
        <v>55.73</v>
      </c>
      <c r="Q84" s="2">
        <v>66.88</v>
      </c>
      <c r="R84" s="2">
        <v>48.3</v>
      </c>
      <c r="T84" s="1" t="s">
        <v>24</v>
      </c>
      <c r="U84" s="2">
        <v>2.42</v>
      </c>
      <c r="V84" s="2">
        <v>2.4</v>
      </c>
      <c r="W84" s="2">
        <v>2.54</v>
      </c>
      <c r="X84" s="2">
        <v>2.57</v>
      </c>
      <c r="Y84" s="2">
        <v>2.93</v>
      </c>
      <c r="Z84" s="2">
        <v>2.86</v>
      </c>
      <c r="AA84" s="2">
        <v>3.33</v>
      </c>
      <c r="AB84" s="2">
        <v>3.35</v>
      </c>
      <c r="AC84" s="2">
        <v>2.2400000000000002</v>
      </c>
      <c r="AD84" s="2">
        <v>2.23</v>
      </c>
      <c r="AE84" s="2">
        <v>2.23</v>
      </c>
      <c r="AF84" s="2">
        <v>2.23</v>
      </c>
      <c r="AG84" s="2">
        <v>1.8</v>
      </c>
      <c r="AH84" s="2">
        <v>1.8</v>
      </c>
      <c r="AI84" s="2">
        <v>0.81</v>
      </c>
      <c r="AJ84" s="2">
        <v>0.8</v>
      </c>
      <c r="AM84" s="1" t="s">
        <v>24</v>
      </c>
      <c r="AN84" s="2">
        <v>3.35</v>
      </c>
      <c r="AO84" s="2">
        <v>3.55</v>
      </c>
      <c r="AP84" s="2">
        <v>3.57</v>
      </c>
      <c r="AQ84" s="2">
        <v>3.89</v>
      </c>
      <c r="AR84" s="2">
        <v>4.34</v>
      </c>
      <c r="AS84" s="2">
        <v>4.66</v>
      </c>
      <c r="AT84" s="2">
        <v>3.99</v>
      </c>
      <c r="AU84" s="2">
        <v>5.03</v>
      </c>
      <c r="AV84" s="2">
        <v>2.4</v>
      </c>
      <c r="AW84" s="2">
        <v>2.29</v>
      </c>
      <c r="AX84" s="2">
        <v>2.4</v>
      </c>
      <c r="AY84" s="2">
        <v>2.29</v>
      </c>
      <c r="AZ84" s="2">
        <v>1.89</v>
      </c>
      <c r="BA84" s="2">
        <v>1.84</v>
      </c>
      <c r="BB84" s="2">
        <v>1.1200000000000001</v>
      </c>
      <c r="BC84" s="2">
        <v>1.07</v>
      </c>
      <c r="BF84" s="1" t="s">
        <v>24</v>
      </c>
      <c r="BG84" s="2">
        <v>-0.28000000000000003</v>
      </c>
      <c r="BH84" s="2">
        <v>-0.32</v>
      </c>
      <c r="BI84" s="2">
        <v>-0.28999999999999998</v>
      </c>
      <c r="BJ84" s="2">
        <v>-0.34</v>
      </c>
      <c r="BK84" s="2">
        <v>-0.32</v>
      </c>
      <c r="BL84" s="2">
        <v>-0.39</v>
      </c>
      <c r="BM84" s="2">
        <v>-0.17</v>
      </c>
      <c r="BN84" s="2">
        <v>-0.33</v>
      </c>
      <c r="BO84" s="2">
        <v>-7.0000000000000007E-2</v>
      </c>
      <c r="BP84" s="2">
        <v>-0.03</v>
      </c>
      <c r="BQ84" s="2">
        <v>-7.0000000000000007E-2</v>
      </c>
      <c r="BR84" s="2">
        <v>-0.03</v>
      </c>
      <c r="BS84" s="2">
        <v>-0.05</v>
      </c>
      <c r="BT84" s="2">
        <v>-0.02</v>
      </c>
      <c r="BU84" s="2">
        <v>-0.28000000000000003</v>
      </c>
      <c r="BV84" s="2">
        <v>-0.25</v>
      </c>
    </row>
    <row r="85" spans="2:74" x14ac:dyDescent="0.3">
      <c r="B85" s="1" t="s">
        <v>25</v>
      </c>
      <c r="C85" s="2">
        <v>1019.16</v>
      </c>
      <c r="D85" s="2">
        <v>966.38</v>
      </c>
      <c r="E85" s="2">
        <v>312.36</v>
      </c>
      <c r="F85" s="2">
        <v>422.13</v>
      </c>
      <c r="G85" s="2">
        <v>655.04999999999995</v>
      </c>
      <c r="H85" s="2">
        <v>667.91</v>
      </c>
      <c r="I85" s="2">
        <v>402.43</v>
      </c>
      <c r="J85" s="2">
        <v>520.12</v>
      </c>
      <c r="K85" s="2">
        <v>189.13</v>
      </c>
      <c r="L85" s="2">
        <v>300.77</v>
      </c>
      <c r="M85" s="2">
        <v>181.16</v>
      </c>
      <c r="N85" s="2">
        <v>290.02</v>
      </c>
      <c r="O85" s="2">
        <v>22.93</v>
      </c>
      <c r="P85" s="2">
        <v>75.599999999999994</v>
      </c>
      <c r="Q85" s="2">
        <v>94.84</v>
      </c>
      <c r="R85" s="2">
        <v>312.44</v>
      </c>
      <c r="T85" s="1" t="s">
        <v>25</v>
      </c>
      <c r="U85" s="2">
        <v>2.5</v>
      </c>
      <c r="V85" s="2">
        <v>2.48</v>
      </c>
      <c r="W85" s="2">
        <v>2.67</v>
      </c>
      <c r="X85" s="2">
        <v>2.68</v>
      </c>
      <c r="Y85" s="2">
        <v>2.84</v>
      </c>
      <c r="Z85" s="2">
        <v>2.96</v>
      </c>
      <c r="AA85" s="2">
        <v>3.32</v>
      </c>
      <c r="AB85" s="2">
        <v>3.33</v>
      </c>
      <c r="AC85" s="2">
        <v>2.2400000000000002</v>
      </c>
      <c r="AD85" s="2">
        <v>2.2400000000000002</v>
      </c>
      <c r="AE85" s="2">
        <v>2.23</v>
      </c>
      <c r="AF85" s="2">
        <v>2.23</v>
      </c>
      <c r="AG85" s="2">
        <v>1.8</v>
      </c>
      <c r="AH85" s="2">
        <v>1.8</v>
      </c>
      <c r="AI85" s="2">
        <v>0.87</v>
      </c>
      <c r="AJ85" s="2">
        <v>0.81</v>
      </c>
      <c r="AM85" s="1" t="s">
        <v>25</v>
      </c>
      <c r="AN85" s="2">
        <v>5.8</v>
      </c>
      <c r="AO85" s="2">
        <v>5.59</v>
      </c>
      <c r="AP85" s="2">
        <v>3.69</v>
      </c>
      <c r="AQ85" s="2">
        <v>3.56</v>
      </c>
      <c r="AR85" s="2">
        <v>4.91</v>
      </c>
      <c r="AS85" s="2">
        <v>5.42</v>
      </c>
      <c r="AT85" s="2">
        <v>3.9</v>
      </c>
      <c r="AU85" s="2">
        <v>4.4400000000000004</v>
      </c>
      <c r="AV85" s="2">
        <v>2.46</v>
      </c>
      <c r="AW85" s="2">
        <v>2.4</v>
      </c>
      <c r="AX85" s="2">
        <v>2.44</v>
      </c>
      <c r="AY85" s="2">
        <v>2.39</v>
      </c>
      <c r="AZ85" s="2">
        <v>1.8</v>
      </c>
      <c r="BA85" s="2">
        <v>1.84</v>
      </c>
      <c r="BB85" s="2">
        <v>1.3</v>
      </c>
      <c r="BC85" s="2">
        <v>1.98</v>
      </c>
      <c r="BF85" s="1" t="s">
        <v>25</v>
      </c>
      <c r="BG85" s="2">
        <v>-0.56999999999999995</v>
      </c>
      <c r="BH85" s="2">
        <v>-0.56000000000000005</v>
      </c>
      <c r="BI85" s="2">
        <v>-0.28000000000000003</v>
      </c>
      <c r="BJ85" s="2">
        <v>-0.25</v>
      </c>
      <c r="BK85" s="2">
        <v>-0.42</v>
      </c>
      <c r="BL85" s="2">
        <v>-0.45</v>
      </c>
      <c r="BM85" s="2">
        <v>-0.15</v>
      </c>
      <c r="BN85" s="2">
        <v>-0.25</v>
      </c>
      <c r="BO85" s="2">
        <v>-0.09</v>
      </c>
      <c r="BP85" s="2">
        <v>-7.0000000000000007E-2</v>
      </c>
      <c r="BQ85" s="2">
        <v>-0.09</v>
      </c>
      <c r="BR85" s="2">
        <v>-7.0000000000000007E-2</v>
      </c>
      <c r="BS85" s="2">
        <v>0</v>
      </c>
      <c r="BT85" s="2">
        <v>-0.02</v>
      </c>
      <c r="BU85" s="2">
        <v>-0.33</v>
      </c>
      <c r="BV85" s="2">
        <v>-0.59</v>
      </c>
    </row>
    <row r="86" spans="2:74" x14ac:dyDescent="0.3">
      <c r="B86" s="1" t="s">
        <v>26</v>
      </c>
      <c r="C86" s="2">
        <v>48.63</v>
      </c>
      <c r="D86" s="2">
        <v>80.14</v>
      </c>
      <c r="E86" s="2">
        <v>63.28</v>
      </c>
      <c r="F86" s="2">
        <v>25.09</v>
      </c>
      <c r="G86" s="2">
        <v>111.76</v>
      </c>
      <c r="H86" s="2">
        <v>170.7</v>
      </c>
      <c r="I86" s="2">
        <v>13.55</v>
      </c>
      <c r="J86" s="2">
        <v>10.72</v>
      </c>
      <c r="K86" s="2">
        <v>12.39</v>
      </c>
      <c r="L86" s="2">
        <v>13.86</v>
      </c>
      <c r="M86" s="2">
        <v>12.39</v>
      </c>
      <c r="N86" s="2">
        <v>13.86</v>
      </c>
      <c r="O86" s="2">
        <v>0</v>
      </c>
      <c r="P86" s="2">
        <v>0</v>
      </c>
      <c r="Q86" s="2">
        <v>32.46</v>
      </c>
      <c r="R86" s="2">
        <v>38.29</v>
      </c>
      <c r="T86" s="1" t="s">
        <v>26</v>
      </c>
      <c r="U86" s="2">
        <v>2.4</v>
      </c>
      <c r="V86" s="2">
        <v>2.4</v>
      </c>
      <c r="W86" s="2">
        <v>2.5</v>
      </c>
      <c r="X86" s="2">
        <v>2.5</v>
      </c>
      <c r="Y86" s="2">
        <v>2.8</v>
      </c>
      <c r="Z86" s="2">
        <v>2.8</v>
      </c>
      <c r="AA86" s="2">
        <v>3.3</v>
      </c>
      <c r="AB86" s="2">
        <v>3.3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0.8</v>
      </c>
      <c r="AJ86" s="2">
        <v>0.8</v>
      </c>
      <c r="AM86" s="1" t="s">
        <v>26</v>
      </c>
      <c r="AN86" s="2">
        <v>2.69</v>
      </c>
      <c r="AO86" s="2">
        <v>2.7</v>
      </c>
      <c r="AP86" s="2">
        <v>2.97</v>
      </c>
      <c r="AQ86" s="2">
        <v>2.5099999999999998</v>
      </c>
      <c r="AR86" s="2">
        <v>3.55</v>
      </c>
      <c r="AS86" s="2">
        <v>3.48</v>
      </c>
      <c r="AT86" s="2">
        <v>3.53</v>
      </c>
      <c r="AU86" s="2">
        <v>3.45</v>
      </c>
      <c r="AV86" s="2">
        <v>2.57</v>
      </c>
      <c r="AW86" s="2">
        <v>2.62</v>
      </c>
      <c r="AX86" s="2">
        <v>2.57</v>
      </c>
      <c r="AY86" s="2">
        <v>2.62</v>
      </c>
      <c r="AZ86" s="2">
        <v>1.81</v>
      </c>
      <c r="BA86" s="2">
        <v>1.81</v>
      </c>
      <c r="BB86" s="2">
        <v>1.05</v>
      </c>
      <c r="BC86" s="2">
        <v>1.03</v>
      </c>
      <c r="BF86" s="1" t="s">
        <v>26</v>
      </c>
      <c r="BG86" s="2">
        <v>-0.11</v>
      </c>
      <c r="BH86" s="2">
        <v>-0.11</v>
      </c>
      <c r="BI86" s="2">
        <v>-0.16</v>
      </c>
      <c r="BJ86" s="2">
        <v>0</v>
      </c>
      <c r="BK86" s="2">
        <v>-0.21</v>
      </c>
      <c r="BL86" s="2">
        <v>-0.2</v>
      </c>
      <c r="BM86" s="2">
        <v>-7.0000000000000007E-2</v>
      </c>
      <c r="BN86" s="2">
        <v>-0.04</v>
      </c>
      <c r="BO86" s="2">
        <v>-0.13</v>
      </c>
      <c r="BP86" s="2">
        <v>-0.15</v>
      </c>
      <c r="BQ86" s="2">
        <v>-0.13</v>
      </c>
      <c r="BR86" s="2">
        <v>-0.15</v>
      </c>
      <c r="BS86" s="2">
        <v>0</v>
      </c>
      <c r="BT86" s="2">
        <v>-0.01</v>
      </c>
      <c r="BU86" s="2">
        <v>-0.24</v>
      </c>
      <c r="BV86" s="2">
        <v>-0.22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835.4</v>
      </c>
      <c r="D93" s="2">
        <v>818.95</v>
      </c>
      <c r="E93" s="2">
        <v>1038.4000000000001</v>
      </c>
      <c r="F93" s="2">
        <v>258.33</v>
      </c>
      <c r="G93" s="2">
        <v>103.61</v>
      </c>
      <c r="H93" s="2">
        <v>105.17</v>
      </c>
      <c r="I93" s="2">
        <v>129.09</v>
      </c>
      <c r="J93" s="2">
        <v>143.08000000000001</v>
      </c>
      <c r="K93" s="2">
        <v>185.09</v>
      </c>
      <c r="L93" s="2">
        <v>188.46</v>
      </c>
      <c r="M93" s="2">
        <v>185.09</v>
      </c>
      <c r="N93" s="2">
        <v>437.11</v>
      </c>
      <c r="O93" s="2">
        <v>49.82</v>
      </c>
      <c r="P93" s="2">
        <v>47.59</v>
      </c>
      <c r="Q93" s="2">
        <v>631.49</v>
      </c>
      <c r="R93" s="2">
        <v>570.71</v>
      </c>
      <c r="T93" s="1" t="s">
        <v>19</v>
      </c>
      <c r="U93" s="2">
        <v>7985.75</v>
      </c>
      <c r="V93" s="2">
        <v>6959.04</v>
      </c>
      <c r="W93" s="2">
        <v>4966.28</v>
      </c>
      <c r="X93" s="2">
        <v>1757.5</v>
      </c>
      <c r="Y93" s="2">
        <v>1197.3699999999999</v>
      </c>
      <c r="Z93" s="2">
        <v>1197.3699999999999</v>
      </c>
      <c r="AA93" s="2">
        <v>445.98</v>
      </c>
      <c r="AB93" s="2">
        <v>4995</v>
      </c>
      <c r="AC93" s="2">
        <v>7633.39</v>
      </c>
      <c r="AD93" s="2">
        <v>1131.42</v>
      </c>
      <c r="AE93" s="2">
        <v>4180</v>
      </c>
      <c r="AF93" s="2">
        <v>1260.54</v>
      </c>
      <c r="AG93" s="2">
        <v>1727</v>
      </c>
      <c r="AH93" s="2">
        <v>4630.8</v>
      </c>
      <c r="AI93" s="2">
        <v>392.01</v>
      </c>
      <c r="AJ93" s="2">
        <v>3242.46</v>
      </c>
      <c r="AM93" s="1" t="s">
        <v>19</v>
      </c>
      <c r="AN93" s="2">
        <v>23342.89</v>
      </c>
      <c r="AO93" s="2">
        <v>28151.21</v>
      </c>
      <c r="AP93" s="2">
        <v>27659.88</v>
      </c>
      <c r="AQ93" s="2">
        <v>31471.85</v>
      </c>
      <c r="AR93" s="2">
        <v>20955.669999999998</v>
      </c>
      <c r="AS93" s="2">
        <v>20955.669999999998</v>
      </c>
      <c r="AT93" s="2">
        <v>7805.13</v>
      </c>
      <c r="AU93" s="2">
        <v>8695.8799999999992</v>
      </c>
      <c r="AV93" s="2">
        <v>22798.13</v>
      </c>
      <c r="AW93" s="2">
        <v>19985.830000000002</v>
      </c>
      <c r="AX93" s="2">
        <v>23030.68</v>
      </c>
      <c r="AY93" s="2">
        <v>22550.94</v>
      </c>
      <c r="AZ93" s="2">
        <v>30224.92</v>
      </c>
      <c r="BA93" s="2">
        <v>26018</v>
      </c>
      <c r="BB93" s="2">
        <v>6996.21</v>
      </c>
      <c r="BC93" s="2">
        <v>5659.86</v>
      </c>
      <c r="BF93" s="1" t="s">
        <v>19</v>
      </c>
      <c r="BG93" s="2">
        <v>0.48</v>
      </c>
      <c r="BH93" s="2">
        <v>0.48</v>
      </c>
      <c r="BI93" s="2">
        <v>0.5</v>
      </c>
      <c r="BJ93" s="2">
        <v>0.5</v>
      </c>
      <c r="BK93" s="2">
        <v>0.56000000000000005</v>
      </c>
      <c r="BL93" s="2">
        <v>0.56000000000000005</v>
      </c>
      <c r="BM93" s="2">
        <v>0.66</v>
      </c>
      <c r="BN93" s="2">
        <v>0.66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0.16</v>
      </c>
      <c r="BV93" s="2">
        <v>0.16</v>
      </c>
    </row>
    <row r="94" spans="2:74" x14ac:dyDescent="0.3">
      <c r="B94" s="1" t="s">
        <v>20</v>
      </c>
      <c r="C94" s="2">
        <v>407.6</v>
      </c>
      <c r="D94" s="2">
        <v>196.03</v>
      </c>
      <c r="E94" s="2">
        <v>314.04000000000002</v>
      </c>
      <c r="F94" s="2">
        <v>982.9</v>
      </c>
      <c r="G94" s="2">
        <v>287.70999999999998</v>
      </c>
      <c r="H94" s="2">
        <v>242.25</v>
      </c>
      <c r="I94" s="2">
        <v>287.74</v>
      </c>
      <c r="J94" s="2">
        <v>267.32</v>
      </c>
      <c r="K94" s="2">
        <v>328.35</v>
      </c>
      <c r="L94" s="2">
        <v>230.56</v>
      </c>
      <c r="M94" s="2">
        <v>328.35</v>
      </c>
      <c r="N94" s="2">
        <v>229.03</v>
      </c>
      <c r="O94" s="2">
        <v>142.62</v>
      </c>
      <c r="P94" s="2">
        <v>113.95</v>
      </c>
      <c r="Q94" s="2">
        <v>175</v>
      </c>
      <c r="R94" s="2">
        <v>304.07</v>
      </c>
      <c r="T94" s="1" t="s">
        <v>20</v>
      </c>
      <c r="U94" s="2">
        <v>3135.58</v>
      </c>
      <c r="V94" s="2">
        <v>3076.5</v>
      </c>
      <c r="W94" s="2">
        <v>5188.41</v>
      </c>
      <c r="X94" s="2">
        <v>5215.95</v>
      </c>
      <c r="Y94" s="2">
        <v>1915.99</v>
      </c>
      <c r="Z94" s="2">
        <v>1915.99</v>
      </c>
      <c r="AA94" s="2">
        <v>1280.78</v>
      </c>
      <c r="AB94" s="2">
        <v>1100.5899999999999</v>
      </c>
      <c r="AC94" s="2">
        <v>1634.3</v>
      </c>
      <c r="AD94" s="2">
        <v>1722.03</v>
      </c>
      <c r="AE94" s="2">
        <v>2343.4</v>
      </c>
      <c r="AF94" s="2">
        <v>2069.9299999999998</v>
      </c>
      <c r="AG94" s="2">
        <v>2764.77</v>
      </c>
      <c r="AH94" s="2">
        <v>2734.86</v>
      </c>
      <c r="AI94" s="2">
        <v>1055.0999999999999</v>
      </c>
      <c r="AJ94" s="2">
        <v>908.76</v>
      </c>
      <c r="AM94" s="1" t="s">
        <v>20</v>
      </c>
      <c r="AN94" s="2">
        <v>11780.77</v>
      </c>
      <c r="AO94" s="2">
        <v>16916.75</v>
      </c>
      <c r="AP94" s="2">
        <v>20340.099999999999</v>
      </c>
      <c r="AQ94" s="2">
        <v>20454.62</v>
      </c>
      <c r="AR94" s="2">
        <v>9134.27</v>
      </c>
      <c r="AS94" s="2">
        <v>9134.27</v>
      </c>
      <c r="AT94" s="2">
        <v>6059.56</v>
      </c>
      <c r="AU94" s="2">
        <v>3923.87</v>
      </c>
      <c r="AV94" s="2">
        <v>8105.14</v>
      </c>
      <c r="AW94" s="2">
        <v>5828.36</v>
      </c>
      <c r="AX94" s="2">
        <v>9068.2800000000007</v>
      </c>
      <c r="AY94" s="2">
        <v>10150.299999999999</v>
      </c>
      <c r="AZ94" s="2">
        <v>13620.69</v>
      </c>
      <c r="BA94" s="2">
        <v>13453.26</v>
      </c>
      <c r="BB94" s="2">
        <v>4965.18</v>
      </c>
      <c r="BC94" s="2">
        <v>3060.83</v>
      </c>
      <c r="BF94" s="1" t="s">
        <v>20</v>
      </c>
      <c r="BG94" s="2">
        <v>5.04</v>
      </c>
      <c r="BH94" s="2">
        <v>3.79</v>
      </c>
      <c r="BI94" s="2">
        <v>4.12</v>
      </c>
      <c r="BJ94" s="2">
        <v>5.25</v>
      </c>
      <c r="BK94" s="2">
        <v>5.88</v>
      </c>
      <c r="BL94" s="2">
        <v>5.88</v>
      </c>
      <c r="BM94" s="2">
        <v>6.93</v>
      </c>
      <c r="BN94" s="2">
        <v>6.8</v>
      </c>
      <c r="BO94" s="2">
        <v>4.66</v>
      </c>
      <c r="BP94" s="2">
        <v>3.61</v>
      </c>
      <c r="BQ94" s="2">
        <v>4.66</v>
      </c>
      <c r="BR94" s="2">
        <v>3.64</v>
      </c>
      <c r="BS94" s="2">
        <v>3.88</v>
      </c>
      <c r="BT94" s="2">
        <v>3.79</v>
      </c>
      <c r="BU94" s="2">
        <v>1.68</v>
      </c>
      <c r="BV94" s="2">
        <v>1.68</v>
      </c>
    </row>
    <row r="95" spans="2:74" x14ac:dyDescent="0.3">
      <c r="B95" s="1" t="s">
        <v>21</v>
      </c>
      <c r="C95" s="2">
        <v>6870.57</v>
      </c>
      <c r="D95" s="2">
        <v>1654.14</v>
      </c>
      <c r="E95" s="2">
        <v>4022.51</v>
      </c>
      <c r="F95" s="2">
        <v>5342.14</v>
      </c>
      <c r="G95" s="2">
        <v>5626.3</v>
      </c>
      <c r="H95" s="2">
        <v>1472.34</v>
      </c>
      <c r="I95" s="2">
        <v>4062.39</v>
      </c>
      <c r="J95" s="2">
        <v>2051.02</v>
      </c>
      <c r="K95" s="2">
        <v>751.34</v>
      </c>
      <c r="L95" s="2">
        <v>867.01</v>
      </c>
      <c r="M95" s="2">
        <v>702.94</v>
      </c>
      <c r="N95" s="2">
        <v>802.82</v>
      </c>
      <c r="O95" s="2">
        <v>523.42999999999995</v>
      </c>
      <c r="P95" s="2">
        <v>331.18</v>
      </c>
      <c r="Q95" s="2">
        <v>771.2</v>
      </c>
      <c r="R95" s="2">
        <v>2994.39</v>
      </c>
      <c r="T95" s="1" t="s">
        <v>21</v>
      </c>
      <c r="U95" s="2">
        <v>13726.78</v>
      </c>
      <c r="V95" s="2">
        <v>10093.75</v>
      </c>
      <c r="W95" s="2">
        <v>18989.990000000002</v>
      </c>
      <c r="X95" s="2">
        <v>15581.94</v>
      </c>
      <c r="Y95" s="2">
        <v>5360.55</v>
      </c>
      <c r="Z95" s="2">
        <v>4466.0200000000004</v>
      </c>
      <c r="AA95" s="2">
        <v>2999.63</v>
      </c>
      <c r="AB95" s="2">
        <v>3653.2</v>
      </c>
      <c r="AC95" s="2">
        <v>7179.21</v>
      </c>
      <c r="AD95" s="2">
        <v>12847.52</v>
      </c>
      <c r="AE95" s="2">
        <v>12356.25</v>
      </c>
      <c r="AF95" s="2">
        <v>9739.5</v>
      </c>
      <c r="AG95" s="2">
        <v>6267.66</v>
      </c>
      <c r="AH95" s="2">
        <v>5139.66</v>
      </c>
      <c r="AI95" s="2">
        <v>2081.16</v>
      </c>
      <c r="AJ95" s="2">
        <v>3414.43</v>
      </c>
      <c r="AM95" s="1" t="s">
        <v>21</v>
      </c>
      <c r="AN95" s="2">
        <v>44360.05</v>
      </c>
      <c r="AO95" s="2">
        <v>61640</v>
      </c>
      <c r="AP95" s="2">
        <v>70985.03</v>
      </c>
      <c r="AQ95" s="2">
        <v>79438.81</v>
      </c>
      <c r="AR95" s="2">
        <v>25782.26</v>
      </c>
      <c r="AS95" s="2">
        <v>21212.36</v>
      </c>
      <c r="AT95" s="2">
        <v>14131.38</v>
      </c>
      <c r="AU95" s="2">
        <v>9263.1200000000008</v>
      </c>
      <c r="AV95" s="2">
        <v>20132.37</v>
      </c>
      <c r="AW95" s="2">
        <v>21191.22</v>
      </c>
      <c r="AX95" s="2">
        <v>47764.22</v>
      </c>
      <c r="AY95" s="2">
        <v>51920.54</v>
      </c>
      <c r="AZ95" s="2">
        <v>30551.86</v>
      </c>
      <c r="BA95" s="2">
        <v>24582.240000000002</v>
      </c>
      <c r="BB95" s="2">
        <v>10377.09</v>
      </c>
      <c r="BC95" s="2">
        <v>9759.65</v>
      </c>
      <c r="BF95" s="1" t="s">
        <v>21</v>
      </c>
      <c r="BG95" s="2">
        <v>15.12</v>
      </c>
      <c r="BH95" s="2">
        <v>5.04</v>
      </c>
      <c r="BI95" s="2">
        <v>10.5</v>
      </c>
      <c r="BJ95" s="2">
        <v>5.25</v>
      </c>
      <c r="BK95" s="2">
        <v>17.64</v>
      </c>
      <c r="BL95" s="2">
        <v>5.88</v>
      </c>
      <c r="BM95" s="2">
        <v>20.46</v>
      </c>
      <c r="BN95" s="2">
        <v>9</v>
      </c>
      <c r="BO95" s="2">
        <v>3.49</v>
      </c>
      <c r="BP95" s="2">
        <v>4.07</v>
      </c>
      <c r="BQ95" s="2">
        <v>3.94</v>
      </c>
      <c r="BR95" s="2">
        <v>4.6100000000000003</v>
      </c>
      <c r="BS95" s="2">
        <v>4.28</v>
      </c>
      <c r="BT95" s="2">
        <v>1.89</v>
      </c>
      <c r="BU95" s="2">
        <v>1.68</v>
      </c>
      <c r="BV95" s="2">
        <v>5.04</v>
      </c>
    </row>
    <row r="96" spans="2:74" x14ac:dyDescent="0.3">
      <c r="B96" s="1" t="s">
        <v>22</v>
      </c>
      <c r="C96" s="2">
        <v>810.04</v>
      </c>
      <c r="D96" s="2">
        <v>653.78</v>
      </c>
      <c r="E96" s="2">
        <v>1180.28</v>
      </c>
      <c r="F96" s="2">
        <v>1656.03</v>
      </c>
      <c r="G96" s="2">
        <v>801.53</v>
      </c>
      <c r="H96" s="2">
        <v>817.16</v>
      </c>
      <c r="I96" s="2">
        <v>440.5</v>
      </c>
      <c r="J96" s="2">
        <v>500.44</v>
      </c>
      <c r="K96" s="2">
        <v>305.74</v>
      </c>
      <c r="L96" s="2">
        <v>378.4</v>
      </c>
      <c r="M96" s="2">
        <v>274.51</v>
      </c>
      <c r="N96" s="2">
        <v>82.61</v>
      </c>
      <c r="O96" s="2">
        <v>52.34</v>
      </c>
      <c r="P96" s="2">
        <v>52.73</v>
      </c>
      <c r="Q96" s="2">
        <v>458.24</v>
      </c>
      <c r="R96" s="2">
        <v>414.53</v>
      </c>
      <c r="T96" s="1" t="s">
        <v>22</v>
      </c>
      <c r="U96" s="2">
        <v>2139.94</v>
      </c>
      <c r="V96" s="2">
        <v>3431.19</v>
      </c>
      <c r="W96" s="2">
        <v>3343.26</v>
      </c>
      <c r="X96" s="2">
        <v>3680.71</v>
      </c>
      <c r="Y96" s="2">
        <v>2242.56</v>
      </c>
      <c r="Z96" s="2">
        <v>1816.08</v>
      </c>
      <c r="AA96" s="2">
        <v>619.41999999999996</v>
      </c>
      <c r="AB96" s="2">
        <v>697.49</v>
      </c>
      <c r="AC96" s="2">
        <v>2196.4499999999998</v>
      </c>
      <c r="AD96" s="2">
        <v>2905.17</v>
      </c>
      <c r="AE96" s="2">
        <v>4296.8999999999996</v>
      </c>
      <c r="AF96" s="2">
        <v>3240.43</v>
      </c>
      <c r="AG96" s="2">
        <v>822.8</v>
      </c>
      <c r="AH96" s="2">
        <v>1435.12</v>
      </c>
      <c r="AI96" s="2">
        <v>618.35</v>
      </c>
      <c r="AJ96" s="2">
        <v>667.48</v>
      </c>
      <c r="AM96" s="1" t="s">
        <v>22</v>
      </c>
      <c r="AN96" s="2">
        <v>11388.15</v>
      </c>
      <c r="AO96" s="2">
        <v>14860.06</v>
      </c>
      <c r="AP96" s="2">
        <v>18503.259999999998</v>
      </c>
      <c r="AQ96" s="2">
        <v>19991.18</v>
      </c>
      <c r="AR96" s="2">
        <v>10822.51</v>
      </c>
      <c r="AS96" s="2">
        <v>8634.6200000000008</v>
      </c>
      <c r="AT96" s="2">
        <v>2901.96</v>
      </c>
      <c r="AU96" s="2">
        <v>2330.65</v>
      </c>
      <c r="AV96" s="2">
        <v>6929.49</v>
      </c>
      <c r="AW96" s="2">
        <v>11132.15</v>
      </c>
      <c r="AX96" s="2">
        <v>15511.45</v>
      </c>
      <c r="AY96" s="2">
        <v>16600.82</v>
      </c>
      <c r="AZ96" s="2">
        <v>7405.16</v>
      </c>
      <c r="BA96" s="2">
        <v>6792.84</v>
      </c>
      <c r="BB96" s="2">
        <v>2897.05</v>
      </c>
      <c r="BC96" s="2">
        <v>2247.7399999999998</v>
      </c>
      <c r="BF96" s="1" t="s">
        <v>22</v>
      </c>
      <c r="BG96" s="2">
        <v>8.8000000000000007</v>
      </c>
      <c r="BH96" s="2">
        <v>5.04</v>
      </c>
      <c r="BI96" s="2">
        <v>5.25</v>
      </c>
      <c r="BJ96" s="2">
        <v>5.25</v>
      </c>
      <c r="BK96" s="2">
        <v>10.46</v>
      </c>
      <c r="BL96" s="2">
        <v>5.88</v>
      </c>
      <c r="BM96" s="2">
        <v>6.18</v>
      </c>
      <c r="BN96" s="2">
        <v>5.9</v>
      </c>
      <c r="BO96" s="2">
        <v>3.33</v>
      </c>
      <c r="BP96" s="2">
        <v>3.49</v>
      </c>
      <c r="BQ96" s="2">
        <v>3.74</v>
      </c>
      <c r="BR96" s="2">
        <v>1.53</v>
      </c>
      <c r="BS96" s="2">
        <v>1.73</v>
      </c>
      <c r="BT96" s="2">
        <v>1.73</v>
      </c>
      <c r="BU96" s="2">
        <v>1.68</v>
      </c>
      <c r="BV96" s="2">
        <v>1.68</v>
      </c>
    </row>
    <row r="97" spans="2:74" x14ac:dyDescent="0.3">
      <c r="B97" s="1" t="s">
        <v>23</v>
      </c>
      <c r="C97" s="2">
        <v>4326.12</v>
      </c>
      <c r="D97" s="2">
        <v>2960.63</v>
      </c>
      <c r="E97" s="2">
        <v>6311.94</v>
      </c>
      <c r="F97" s="2">
        <v>7251.72</v>
      </c>
      <c r="G97" s="2">
        <v>2500.98</v>
      </c>
      <c r="H97" s="2">
        <v>2171.0100000000002</v>
      </c>
      <c r="I97" s="2">
        <v>960.34</v>
      </c>
      <c r="J97" s="2">
        <v>1381.04</v>
      </c>
      <c r="K97" s="2">
        <v>1297.8</v>
      </c>
      <c r="L97" s="2">
        <v>1105.3399999999999</v>
      </c>
      <c r="M97" s="2">
        <v>1389.69</v>
      </c>
      <c r="N97" s="2">
        <v>1096.69</v>
      </c>
      <c r="O97" s="2">
        <v>443.83</v>
      </c>
      <c r="P97" s="2">
        <v>415.11</v>
      </c>
      <c r="Q97" s="2">
        <v>2421.12</v>
      </c>
      <c r="R97" s="2">
        <v>2366.5</v>
      </c>
      <c r="T97" s="1" t="s">
        <v>23</v>
      </c>
      <c r="U97" s="2">
        <v>10634.55</v>
      </c>
      <c r="V97" s="2">
        <v>14550.2</v>
      </c>
      <c r="W97" s="2">
        <v>17762.97</v>
      </c>
      <c r="X97" s="2">
        <v>14121.81</v>
      </c>
      <c r="Y97" s="2">
        <v>14209.26</v>
      </c>
      <c r="Z97" s="2">
        <v>13999.63</v>
      </c>
      <c r="AA97" s="2">
        <v>4352.51</v>
      </c>
      <c r="AB97" s="2">
        <v>4323.8</v>
      </c>
      <c r="AC97" s="2">
        <v>9291.92</v>
      </c>
      <c r="AD97" s="2">
        <v>13703.3</v>
      </c>
      <c r="AE97" s="2">
        <v>20482.89</v>
      </c>
      <c r="AF97" s="2">
        <v>17251.98</v>
      </c>
      <c r="AG97" s="2">
        <v>11728.87</v>
      </c>
      <c r="AH97" s="2">
        <v>11508.35</v>
      </c>
      <c r="AI97" s="2">
        <v>4182.92</v>
      </c>
      <c r="AJ97" s="2">
        <v>4115.3900000000003</v>
      </c>
      <c r="AM97" s="1" t="s">
        <v>23</v>
      </c>
      <c r="AN97" s="2">
        <v>38408.5</v>
      </c>
      <c r="AO97" s="2">
        <v>51658.93</v>
      </c>
      <c r="AP97" s="2">
        <v>67758.83</v>
      </c>
      <c r="AQ97" s="2">
        <v>71072.639999999999</v>
      </c>
      <c r="AR97" s="2">
        <v>69411.94</v>
      </c>
      <c r="AS97" s="2">
        <v>68261.77</v>
      </c>
      <c r="AT97" s="2">
        <v>20155.54</v>
      </c>
      <c r="AU97" s="2">
        <v>15474.65</v>
      </c>
      <c r="AV97" s="2">
        <v>46356.25</v>
      </c>
      <c r="AW97" s="2">
        <v>50705.440000000002</v>
      </c>
      <c r="AX97" s="2">
        <v>80777.710000000006</v>
      </c>
      <c r="AY97" s="2">
        <v>87676.47</v>
      </c>
      <c r="AZ97" s="2">
        <v>56068.73</v>
      </c>
      <c r="BA97" s="2">
        <v>54911.25</v>
      </c>
      <c r="BB97" s="2">
        <v>19363.330000000002</v>
      </c>
      <c r="BC97" s="2">
        <v>14968.75</v>
      </c>
      <c r="BF97" s="1" t="s">
        <v>23</v>
      </c>
      <c r="BG97" s="2">
        <v>5.04</v>
      </c>
      <c r="BH97" s="2">
        <v>8.7100000000000009</v>
      </c>
      <c r="BI97" s="2">
        <v>5.25</v>
      </c>
      <c r="BJ97" s="2">
        <v>5.25</v>
      </c>
      <c r="BK97" s="2">
        <v>5.88</v>
      </c>
      <c r="BL97" s="2">
        <v>5.88</v>
      </c>
      <c r="BM97" s="2">
        <v>4.13</v>
      </c>
      <c r="BN97" s="2">
        <v>4.9000000000000004</v>
      </c>
      <c r="BO97" s="2">
        <v>3.27</v>
      </c>
      <c r="BP97" s="2">
        <v>2.84</v>
      </c>
      <c r="BQ97" s="2">
        <v>3.57</v>
      </c>
      <c r="BR97" s="2">
        <v>2.88</v>
      </c>
      <c r="BS97" s="2">
        <v>2.85</v>
      </c>
      <c r="BT97" s="2">
        <v>2.76</v>
      </c>
      <c r="BU97" s="2">
        <v>1.68</v>
      </c>
      <c r="BV97" s="2">
        <v>1.68</v>
      </c>
    </row>
    <row r="98" spans="2:74" x14ac:dyDescent="0.3">
      <c r="B98" s="1" t="s">
        <v>24</v>
      </c>
      <c r="C98" s="2">
        <v>1018.17</v>
      </c>
      <c r="D98" s="2">
        <v>416.52</v>
      </c>
      <c r="E98" s="2">
        <v>926.65</v>
      </c>
      <c r="F98" s="2">
        <v>831.85</v>
      </c>
      <c r="G98" s="2">
        <v>906.92</v>
      </c>
      <c r="H98" s="2">
        <v>486.39</v>
      </c>
      <c r="I98" s="2">
        <v>284.64999999999998</v>
      </c>
      <c r="J98" s="2">
        <v>384.54</v>
      </c>
      <c r="K98" s="2">
        <v>103.99</v>
      </c>
      <c r="L98" s="2">
        <v>88.76</v>
      </c>
      <c r="M98" s="2">
        <v>102.52</v>
      </c>
      <c r="N98" s="2">
        <v>89.62</v>
      </c>
      <c r="O98" s="2">
        <v>68.349999999999994</v>
      </c>
      <c r="P98" s="2">
        <v>51.19</v>
      </c>
      <c r="Q98" s="2">
        <v>248.93</v>
      </c>
      <c r="R98" s="2">
        <v>278.22000000000003</v>
      </c>
      <c r="T98" s="1" t="s">
        <v>24</v>
      </c>
      <c r="U98" s="2">
        <v>2900.24</v>
      </c>
      <c r="V98" s="2">
        <v>3457.59</v>
      </c>
      <c r="W98" s="2">
        <v>4757.33</v>
      </c>
      <c r="X98" s="2">
        <v>4523</v>
      </c>
      <c r="Y98" s="2">
        <v>3363.54</v>
      </c>
      <c r="Z98" s="2">
        <v>2889.19</v>
      </c>
      <c r="AA98" s="2">
        <v>1537.47</v>
      </c>
      <c r="AB98" s="2">
        <v>1047.1199999999999</v>
      </c>
      <c r="AC98" s="2">
        <v>2459.8000000000002</v>
      </c>
      <c r="AD98" s="2">
        <v>4051.22</v>
      </c>
      <c r="AE98" s="2">
        <v>4617.28</v>
      </c>
      <c r="AF98" s="2">
        <v>5154.16</v>
      </c>
      <c r="AG98" s="2">
        <v>2796.78</v>
      </c>
      <c r="AH98" s="2">
        <v>2272.0300000000002</v>
      </c>
      <c r="AI98" s="2">
        <v>1371.26</v>
      </c>
      <c r="AJ98" s="2">
        <v>761.3</v>
      </c>
      <c r="AM98" s="1" t="s">
        <v>24</v>
      </c>
      <c r="AN98" s="2">
        <v>10503.11</v>
      </c>
      <c r="AO98" s="2">
        <v>15103.32</v>
      </c>
      <c r="AP98" s="2">
        <v>18617.07</v>
      </c>
      <c r="AQ98" s="2">
        <v>19613.86</v>
      </c>
      <c r="AR98" s="2">
        <v>13094.48</v>
      </c>
      <c r="AS98" s="2">
        <v>10957.11</v>
      </c>
      <c r="AT98" s="2">
        <v>5620.8</v>
      </c>
      <c r="AU98" s="2">
        <v>3056.52</v>
      </c>
      <c r="AV98" s="2">
        <v>9818.69</v>
      </c>
      <c r="AW98" s="2">
        <v>18549.88</v>
      </c>
      <c r="AX98" s="2">
        <v>22067.03</v>
      </c>
      <c r="AY98" s="2">
        <v>25062.06</v>
      </c>
      <c r="AZ98" s="2">
        <v>10550.99</v>
      </c>
      <c r="BA98" s="2">
        <v>8406.24</v>
      </c>
      <c r="BB98" s="2">
        <v>4994.78</v>
      </c>
      <c r="BC98" s="2">
        <v>2444.34</v>
      </c>
      <c r="BF98" s="1" t="s">
        <v>24</v>
      </c>
      <c r="BG98" s="2">
        <v>5.04</v>
      </c>
      <c r="BH98" s="2">
        <v>7.2</v>
      </c>
      <c r="BI98" s="2">
        <v>5.95</v>
      </c>
      <c r="BJ98" s="2">
        <v>6.97</v>
      </c>
      <c r="BK98" s="2">
        <v>5.88</v>
      </c>
      <c r="BL98" s="2">
        <v>8.64</v>
      </c>
      <c r="BM98" s="2">
        <v>5.21</v>
      </c>
      <c r="BN98" s="2">
        <v>9.4700000000000006</v>
      </c>
      <c r="BO98" s="2">
        <v>2.25</v>
      </c>
      <c r="BP98" s="2">
        <v>1.7</v>
      </c>
      <c r="BQ98" s="2">
        <v>2.64</v>
      </c>
      <c r="BR98" s="2">
        <v>2.15</v>
      </c>
      <c r="BS98" s="2">
        <v>2.37</v>
      </c>
      <c r="BT98" s="2">
        <v>2</v>
      </c>
      <c r="BU98" s="2">
        <v>1.68</v>
      </c>
      <c r="BV98" s="2">
        <v>1.68</v>
      </c>
    </row>
    <row r="99" spans="2:74" x14ac:dyDescent="0.3">
      <c r="B99" s="1" t="s">
        <v>25</v>
      </c>
      <c r="C99" s="2">
        <v>4392.2299999999996</v>
      </c>
      <c r="D99" s="2">
        <v>4351.7700000000004</v>
      </c>
      <c r="E99" s="2">
        <v>3124.21</v>
      </c>
      <c r="F99" s="2">
        <v>2852.52</v>
      </c>
      <c r="G99" s="2">
        <v>2480.0300000000002</v>
      </c>
      <c r="H99" s="2">
        <v>2048.2800000000002</v>
      </c>
      <c r="I99" s="2">
        <v>1254.74</v>
      </c>
      <c r="J99" s="2">
        <v>1394.46</v>
      </c>
      <c r="K99" s="2">
        <v>647.1</v>
      </c>
      <c r="L99" s="2">
        <v>858.32</v>
      </c>
      <c r="M99" s="2">
        <v>606.91999999999996</v>
      </c>
      <c r="N99" s="2">
        <v>813.56</v>
      </c>
      <c r="O99" s="2">
        <v>328.37</v>
      </c>
      <c r="P99" s="2">
        <v>227.63</v>
      </c>
      <c r="Q99" s="2">
        <v>1339.72</v>
      </c>
      <c r="R99" s="2">
        <v>2166.52</v>
      </c>
      <c r="T99" s="1" t="s">
        <v>25</v>
      </c>
      <c r="U99" s="2">
        <v>13018.27</v>
      </c>
      <c r="V99" s="2">
        <v>13659.93</v>
      </c>
      <c r="W99" s="2">
        <v>13137.82</v>
      </c>
      <c r="X99" s="2">
        <v>12872.42</v>
      </c>
      <c r="Y99" s="2">
        <v>10327.56</v>
      </c>
      <c r="Z99" s="2">
        <v>8587.4</v>
      </c>
      <c r="AA99" s="2">
        <v>1217.92</v>
      </c>
      <c r="AB99" s="2">
        <v>4455.79</v>
      </c>
      <c r="AC99" s="2">
        <v>12346.62</v>
      </c>
      <c r="AD99" s="2">
        <v>14046.3</v>
      </c>
      <c r="AE99" s="2">
        <v>16457.78</v>
      </c>
      <c r="AF99" s="2">
        <v>14631.39</v>
      </c>
      <c r="AG99" s="2">
        <v>9148.18</v>
      </c>
      <c r="AH99" s="2">
        <v>7526.81</v>
      </c>
      <c r="AI99" s="2">
        <v>4256.9399999999996</v>
      </c>
      <c r="AJ99" s="2">
        <v>3409.42</v>
      </c>
      <c r="AM99" s="1" t="s">
        <v>25</v>
      </c>
      <c r="AN99" s="2">
        <v>45436.84</v>
      </c>
      <c r="AO99" s="2">
        <v>34086.35</v>
      </c>
      <c r="AP99" s="2">
        <v>61397.77</v>
      </c>
      <c r="AQ99" s="2">
        <v>57094.78</v>
      </c>
      <c r="AR99" s="2">
        <v>41769.620000000003</v>
      </c>
      <c r="AS99" s="2">
        <v>33100.21</v>
      </c>
      <c r="AT99" s="2">
        <v>10961.24</v>
      </c>
      <c r="AU99" s="2">
        <v>6219.38</v>
      </c>
      <c r="AV99" s="2">
        <v>44234.58</v>
      </c>
      <c r="AW99" s="2">
        <v>45192.45</v>
      </c>
      <c r="AX99" s="2">
        <v>67002.73</v>
      </c>
      <c r="AY99" s="2">
        <v>69918.87</v>
      </c>
      <c r="AZ99" s="2">
        <v>35811.56</v>
      </c>
      <c r="BA99" s="2">
        <v>28419.39</v>
      </c>
      <c r="BB99" s="2">
        <v>15589.37</v>
      </c>
      <c r="BC99" s="2">
        <v>9557.61</v>
      </c>
      <c r="BF99" s="1" t="s">
        <v>25</v>
      </c>
      <c r="BG99" s="2">
        <v>15.12</v>
      </c>
      <c r="BH99" s="2">
        <v>15.12</v>
      </c>
      <c r="BI99" s="2">
        <v>5.25</v>
      </c>
      <c r="BJ99" s="2">
        <v>5.25</v>
      </c>
      <c r="BK99" s="2">
        <v>11.76</v>
      </c>
      <c r="BL99" s="2">
        <v>11.76</v>
      </c>
      <c r="BM99" s="2">
        <v>6.92</v>
      </c>
      <c r="BN99" s="2">
        <v>9.5399999999999991</v>
      </c>
      <c r="BO99" s="2">
        <v>3.84</v>
      </c>
      <c r="BP99" s="2">
        <v>3.66</v>
      </c>
      <c r="BQ99" s="2">
        <v>4.5</v>
      </c>
      <c r="BR99" s="2">
        <v>4.33</v>
      </c>
      <c r="BS99" s="2">
        <v>3.54</v>
      </c>
      <c r="BT99" s="2">
        <v>3.06</v>
      </c>
      <c r="BU99" s="2">
        <v>1.68</v>
      </c>
      <c r="BV99" s="2">
        <v>5.04</v>
      </c>
    </row>
    <row r="100" spans="2:74" x14ac:dyDescent="0.3">
      <c r="B100" s="1" t="s">
        <v>26</v>
      </c>
      <c r="C100" s="2">
        <v>594.74</v>
      </c>
      <c r="D100" s="2">
        <v>593</v>
      </c>
      <c r="E100" s="2">
        <v>1376.92</v>
      </c>
      <c r="F100" s="2">
        <v>289.62</v>
      </c>
      <c r="G100" s="2">
        <v>734.28</v>
      </c>
      <c r="H100" s="2">
        <v>579.96</v>
      </c>
      <c r="I100" s="2">
        <v>492.31</v>
      </c>
      <c r="J100" s="2">
        <v>344.37</v>
      </c>
      <c r="K100" s="2">
        <v>793.77</v>
      </c>
      <c r="L100" s="2">
        <v>584.44000000000005</v>
      </c>
      <c r="M100" s="2">
        <v>793.77</v>
      </c>
      <c r="N100" s="2">
        <v>584.44000000000005</v>
      </c>
      <c r="O100" s="2">
        <v>67.44</v>
      </c>
      <c r="P100" s="2">
        <v>83.77</v>
      </c>
      <c r="Q100" s="2">
        <v>784.12</v>
      </c>
      <c r="R100" s="2">
        <v>905.9</v>
      </c>
      <c r="T100" s="1" t="s">
        <v>26</v>
      </c>
      <c r="U100" s="2">
        <v>5251.98</v>
      </c>
      <c r="V100" s="2">
        <v>4442.83</v>
      </c>
      <c r="W100" s="2">
        <v>5359.38</v>
      </c>
      <c r="X100" s="2">
        <v>4743.6499999999996</v>
      </c>
      <c r="Y100" s="2">
        <v>5857.97</v>
      </c>
      <c r="Z100" s="2">
        <v>5857.87</v>
      </c>
      <c r="AA100" s="2">
        <v>1490.28</v>
      </c>
      <c r="AB100" s="2">
        <v>2231.23</v>
      </c>
      <c r="AC100" s="2">
        <v>7009.47</v>
      </c>
      <c r="AD100" s="2">
        <v>5564.56</v>
      </c>
      <c r="AE100" s="2">
        <v>6211.54</v>
      </c>
      <c r="AF100" s="2">
        <v>6911.3</v>
      </c>
      <c r="AG100" s="2">
        <v>5080.58</v>
      </c>
      <c r="AH100" s="2">
        <v>5080.59</v>
      </c>
      <c r="AI100" s="2">
        <v>1662.05</v>
      </c>
      <c r="AJ100" s="2">
        <v>1919.64</v>
      </c>
      <c r="AM100" s="1" t="s">
        <v>26</v>
      </c>
      <c r="AN100" s="2">
        <v>20957.46</v>
      </c>
      <c r="AO100" s="2">
        <v>17552.419999999998</v>
      </c>
      <c r="AP100" s="2">
        <v>18806.580000000002</v>
      </c>
      <c r="AQ100" s="2">
        <v>18039.22</v>
      </c>
      <c r="AR100" s="2">
        <v>21417.85</v>
      </c>
      <c r="AS100" s="2">
        <v>21417.95</v>
      </c>
      <c r="AT100" s="2">
        <v>4589.8500000000004</v>
      </c>
      <c r="AU100" s="2">
        <v>6101.86</v>
      </c>
      <c r="AV100" s="2">
        <v>27206.37</v>
      </c>
      <c r="AW100" s="2">
        <v>21346.94</v>
      </c>
      <c r="AX100" s="2">
        <v>23438.78</v>
      </c>
      <c r="AY100" s="2">
        <v>26022.04</v>
      </c>
      <c r="AZ100" s="2">
        <v>18519.88</v>
      </c>
      <c r="BA100" s="2">
        <v>18519.87</v>
      </c>
      <c r="BB100" s="2">
        <v>5194.24</v>
      </c>
      <c r="BC100" s="2">
        <v>5837.91</v>
      </c>
      <c r="BF100" s="1" t="s">
        <v>26</v>
      </c>
      <c r="BG100" s="2">
        <v>4.01</v>
      </c>
      <c r="BH100" s="2">
        <v>3.61</v>
      </c>
      <c r="BI100" s="2">
        <v>5.18</v>
      </c>
      <c r="BJ100" s="2">
        <v>1.1200000000000001</v>
      </c>
      <c r="BK100" s="2">
        <v>5.88</v>
      </c>
      <c r="BL100" s="2">
        <v>5.53</v>
      </c>
      <c r="BM100" s="2">
        <v>5.16</v>
      </c>
      <c r="BN100" s="2">
        <v>4.04</v>
      </c>
      <c r="BO100" s="2">
        <v>4.5599999999999996</v>
      </c>
      <c r="BP100" s="2">
        <v>5.0999999999999996</v>
      </c>
      <c r="BQ100" s="2">
        <v>4.5599999999999996</v>
      </c>
      <c r="BR100" s="2">
        <v>5.0999999999999996</v>
      </c>
      <c r="BS100" s="2">
        <v>1.81</v>
      </c>
      <c r="BT100" s="2">
        <v>2.0699999999999998</v>
      </c>
      <c r="BU100" s="2">
        <v>1.68</v>
      </c>
      <c r="BV100" s="2">
        <v>1.68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9.6789355821407363E-3</v>
      </c>
      <c r="D107" s="2">
        <v>1.387419496816E-2</v>
      </c>
      <c r="E107" s="2">
        <v>1.509374619924958E-2</v>
      </c>
      <c r="F107" s="2">
        <v>3.6437613760055879E-3</v>
      </c>
      <c r="G107" s="2">
        <v>3.9436639939652114E-3</v>
      </c>
      <c r="H107" s="2">
        <v>5.0366067391688337E-3</v>
      </c>
      <c r="I107" s="2">
        <v>2.4879448959766511E-3</v>
      </c>
      <c r="J107" s="2">
        <v>2.879759395821174E-3</v>
      </c>
      <c r="K107" s="2">
        <v>6.4479158769102521E-3</v>
      </c>
      <c r="L107" s="2">
        <v>8.9081123342063216E-3</v>
      </c>
      <c r="M107" s="2">
        <v>6.4196745374304294E-3</v>
      </c>
      <c r="N107" s="2">
        <v>2.2668834630626029E-2</v>
      </c>
      <c r="O107" s="2">
        <v>5.8179240140383533E-3</v>
      </c>
      <c r="P107" s="2">
        <v>5.7929296486078112E-3</v>
      </c>
      <c r="Q107" s="2">
        <v>3.4931736530812281E-2</v>
      </c>
      <c r="R107" s="2">
        <v>1.6861720866810731E-2</v>
      </c>
      <c r="T107" s="1" t="s">
        <v>19</v>
      </c>
      <c r="U107" s="2">
        <v>3327.4</v>
      </c>
      <c r="V107" s="2">
        <v>3180.58</v>
      </c>
      <c r="W107" s="2">
        <v>2783.62</v>
      </c>
      <c r="X107" s="2">
        <v>452.57</v>
      </c>
      <c r="Y107" s="2">
        <v>1773.67</v>
      </c>
      <c r="Z107" s="2">
        <v>1492.86</v>
      </c>
      <c r="AA107" s="2">
        <v>532.57000000000005</v>
      </c>
      <c r="AB107" s="2">
        <v>381.98</v>
      </c>
      <c r="AC107" s="2">
        <v>460.53</v>
      </c>
      <c r="AD107" s="2">
        <v>664.23</v>
      </c>
      <c r="AE107" s="2">
        <v>460.53</v>
      </c>
      <c r="AF107" s="2">
        <v>1781.08</v>
      </c>
      <c r="AG107" s="2">
        <v>212.37</v>
      </c>
      <c r="AH107" s="2">
        <v>186.67</v>
      </c>
      <c r="AI107" s="2">
        <v>6243.75</v>
      </c>
      <c r="AJ107" s="2">
        <v>4053.08</v>
      </c>
      <c r="AM107" s="1" t="s">
        <v>19</v>
      </c>
      <c r="AN107" s="2">
        <v>9726.2000000000007</v>
      </c>
      <c r="AO107" s="2">
        <v>9499.2199999999993</v>
      </c>
      <c r="AP107" s="2">
        <v>11260.48</v>
      </c>
      <c r="AQ107" s="2">
        <v>7994.33</v>
      </c>
      <c r="AR107" s="2">
        <v>9878.5300000000007</v>
      </c>
      <c r="AS107" s="2">
        <v>8225.24</v>
      </c>
      <c r="AT107" s="2">
        <v>9536.93</v>
      </c>
      <c r="AU107" s="2">
        <v>6833.62</v>
      </c>
      <c r="AV107" s="2">
        <v>8059.87</v>
      </c>
      <c r="AW107" s="2">
        <v>11624.97</v>
      </c>
      <c r="AX107" s="2">
        <v>8059.87</v>
      </c>
      <c r="AY107" s="2">
        <v>10006.92</v>
      </c>
      <c r="AZ107" s="2">
        <v>3716.73</v>
      </c>
      <c r="BA107" s="2">
        <v>3331.53</v>
      </c>
      <c r="BB107" s="2">
        <v>10869.85</v>
      </c>
      <c r="BC107" s="2">
        <v>7074.82</v>
      </c>
      <c r="BF107" s="1" t="s">
        <v>19</v>
      </c>
      <c r="BG107" s="2">
        <v>1.44</v>
      </c>
      <c r="BH107" s="2">
        <v>1.44</v>
      </c>
      <c r="BI107" s="2">
        <v>1.5</v>
      </c>
      <c r="BJ107" s="2">
        <v>1.5</v>
      </c>
      <c r="BK107" s="2">
        <v>1.68</v>
      </c>
      <c r="BL107" s="2">
        <v>1.68</v>
      </c>
      <c r="BM107" s="2">
        <v>1.98</v>
      </c>
      <c r="BN107" s="2">
        <v>1.98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0.48</v>
      </c>
      <c r="BV107" s="2">
        <v>0.48</v>
      </c>
    </row>
    <row r="108" spans="2:74" x14ac:dyDescent="0.3">
      <c r="B108" s="1" t="s">
        <v>20</v>
      </c>
      <c r="C108" s="2">
        <v>2.9525898595833801E-2</v>
      </c>
      <c r="D108" s="2">
        <v>1.7821951922421048E-2</v>
      </c>
      <c r="E108" s="2">
        <v>3.5557914086328309E-2</v>
      </c>
      <c r="F108" s="2">
        <v>3.7516543555805623E-2</v>
      </c>
      <c r="G108" s="2">
        <v>4.0685512844982528E-2</v>
      </c>
      <c r="H108" s="2">
        <v>2.8975071277847309E-2</v>
      </c>
      <c r="I108" s="2">
        <v>5.9986383214821408E-2</v>
      </c>
      <c r="J108" s="2">
        <v>3.5374973527190871E-2</v>
      </c>
      <c r="K108" s="2">
        <v>6.0355631780139092E-2</v>
      </c>
      <c r="L108" s="2">
        <v>7.1913059446525554E-2</v>
      </c>
      <c r="M108" s="2">
        <v>6.0091279093292489E-2</v>
      </c>
      <c r="N108" s="2">
        <v>7.2875601680567684E-2</v>
      </c>
      <c r="O108" s="2">
        <v>0.1150906184348337</v>
      </c>
      <c r="P108" s="2">
        <v>0.10183402710451769</v>
      </c>
      <c r="Q108" s="2">
        <v>5.6124019871523517E-2</v>
      </c>
      <c r="R108" s="2">
        <v>3.3289039094113029E-2</v>
      </c>
      <c r="T108" s="1" t="s">
        <v>20</v>
      </c>
      <c r="U108" s="2">
        <v>1306.49</v>
      </c>
      <c r="V108" s="2">
        <v>680.96</v>
      </c>
      <c r="W108" s="2">
        <v>1230.5999999999999</v>
      </c>
      <c r="X108" s="2">
        <v>688.81</v>
      </c>
      <c r="Y108" s="2">
        <v>1853</v>
      </c>
      <c r="Z108" s="2">
        <v>836.93</v>
      </c>
      <c r="AA108" s="2">
        <v>1580.59</v>
      </c>
      <c r="AB108" s="2">
        <v>627.25</v>
      </c>
      <c r="AC108" s="2">
        <v>736.92</v>
      </c>
      <c r="AD108" s="2">
        <v>1063.3699999999999</v>
      </c>
      <c r="AE108" s="2">
        <v>736.92</v>
      </c>
      <c r="AF108" s="2">
        <v>1051.8699999999999</v>
      </c>
      <c r="AG108" s="2">
        <v>609.89</v>
      </c>
      <c r="AH108" s="2">
        <v>502.43</v>
      </c>
      <c r="AI108" s="2">
        <v>1375.74</v>
      </c>
      <c r="AJ108" s="2">
        <v>1135.95</v>
      </c>
      <c r="AM108" s="1" t="s">
        <v>20</v>
      </c>
      <c r="AN108" s="2">
        <v>4908.66</v>
      </c>
      <c r="AO108" s="2">
        <v>3377.14</v>
      </c>
      <c r="AP108" s="2">
        <v>6766.7</v>
      </c>
      <c r="AQ108" s="2">
        <v>2331.34</v>
      </c>
      <c r="AR108" s="2">
        <v>7264.32</v>
      </c>
      <c r="AS108" s="2">
        <v>3238.67</v>
      </c>
      <c r="AT108" s="2">
        <v>6198.37</v>
      </c>
      <c r="AU108" s="2">
        <v>3075.85</v>
      </c>
      <c r="AV108" s="2">
        <v>3513.18</v>
      </c>
      <c r="AW108" s="2">
        <v>5238.7299999999996</v>
      </c>
      <c r="AX108" s="2">
        <v>3513.18</v>
      </c>
      <c r="AY108" s="2">
        <v>5174.33</v>
      </c>
      <c r="AZ108" s="2">
        <v>2885.51</v>
      </c>
      <c r="BA108" s="2">
        <v>2364.37</v>
      </c>
      <c r="BB108" s="2">
        <v>4904.84</v>
      </c>
      <c r="BC108" s="2">
        <v>3826.03</v>
      </c>
      <c r="BF108" s="1" t="s">
        <v>20</v>
      </c>
      <c r="BG108" s="2">
        <v>15.12</v>
      </c>
      <c r="BH108" s="2">
        <v>11.37</v>
      </c>
      <c r="BI108" s="2">
        <v>12.36</v>
      </c>
      <c r="BJ108" s="2">
        <v>15.75</v>
      </c>
      <c r="BK108" s="2">
        <v>17.64</v>
      </c>
      <c r="BL108" s="2">
        <v>17.64</v>
      </c>
      <c r="BM108" s="2">
        <v>20.79</v>
      </c>
      <c r="BN108" s="2">
        <v>20.399999999999999</v>
      </c>
      <c r="BO108" s="2">
        <v>13.98</v>
      </c>
      <c r="BP108" s="2">
        <v>10.84</v>
      </c>
      <c r="BQ108" s="2">
        <v>13.98</v>
      </c>
      <c r="BR108" s="2">
        <v>10.92</v>
      </c>
      <c r="BS108" s="2">
        <v>11.65</v>
      </c>
      <c r="BT108" s="2">
        <v>11.37</v>
      </c>
      <c r="BU108" s="2">
        <v>5.04</v>
      </c>
      <c r="BV108" s="2">
        <v>5.04</v>
      </c>
    </row>
    <row r="109" spans="2:74" x14ac:dyDescent="0.3">
      <c r="B109" s="1" t="s">
        <v>21</v>
      </c>
      <c r="C109" s="2">
        <v>0.3991571483805943</v>
      </c>
      <c r="D109" s="2">
        <v>0.1080589375815546</v>
      </c>
      <c r="E109" s="2">
        <v>0.31246763932501909</v>
      </c>
      <c r="F109" s="2">
        <v>0.26400663647763678</v>
      </c>
      <c r="G109" s="2">
        <v>0.46879913149859331</v>
      </c>
      <c r="H109" s="2">
        <v>0.15695181739405831</v>
      </c>
      <c r="I109" s="2">
        <v>0.55886509858738076</v>
      </c>
      <c r="J109" s="2">
        <v>0.23104543517681431</v>
      </c>
      <c r="K109" s="2">
        <v>0.1316776255076805</v>
      </c>
      <c r="L109" s="2">
        <v>0.19951324891375541</v>
      </c>
      <c r="M109" s="2">
        <v>0.1233321194413865</v>
      </c>
      <c r="N109" s="2">
        <v>0.18900564487518601</v>
      </c>
      <c r="O109" s="2">
        <v>0.32309652287357521</v>
      </c>
      <c r="P109" s="2">
        <v>0.1174808831634785</v>
      </c>
      <c r="Q109" s="2">
        <v>0.19387386158614661</v>
      </c>
      <c r="R109" s="2">
        <v>0.36119367246815809</v>
      </c>
      <c r="T109" s="1" t="s">
        <v>21</v>
      </c>
      <c r="U109" s="2">
        <v>5719.49</v>
      </c>
      <c r="V109" s="2">
        <v>2991.34</v>
      </c>
      <c r="W109" s="2">
        <v>4037.5</v>
      </c>
      <c r="X109" s="2">
        <v>5139.01</v>
      </c>
      <c r="Y109" s="2">
        <v>6782.14</v>
      </c>
      <c r="Z109" s="2">
        <v>4412.95</v>
      </c>
      <c r="AA109" s="2">
        <v>4721.8</v>
      </c>
      <c r="AB109" s="2">
        <v>2951.36</v>
      </c>
      <c r="AC109" s="2">
        <v>2061.75</v>
      </c>
      <c r="AD109" s="2">
        <v>2410.64</v>
      </c>
      <c r="AE109" s="2">
        <v>1717.7</v>
      </c>
      <c r="AF109" s="2">
        <v>1976.79</v>
      </c>
      <c r="AG109" s="2">
        <v>1428.4</v>
      </c>
      <c r="AH109" s="2">
        <v>991.03</v>
      </c>
      <c r="AI109" s="2">
        <v>4566.5</v>
      </c>
      <c r="AJ109" s="2">
        <v>4268.04</v>
      </c>
      <c r="AM109" s="1" t="s">
        <v>21</v>
      </c>
      <c r="AN109" s="2">
        <v>18483.349999999999</v>
      </c>
      <c r="AO109" s="2">
        <v>8388.49</v>
      </c>
      <c r="AP109" s="2">
        <v>24656</v>
      </c>
      <c r="AQ109" s="2">
        <v>8476.49</v>
      </c>
      <c r="AR109" s="2">
        <v>25351.8</v>
      </c>
      <c r="AS109" s="2">
        <v>17058.650000000001</v>
      </c>
      <c r="AT109" s="2">
        <v>24072.37</v>
      </c>
      <c r="AU109" s="2">
        <v>15733.5</v>
      </c>
      <c r="AV109" s="2">
        <v>9916.25</v>
      </c>
      <c r="AW109" s="2">
        <v>11750.71</v>
      </c>
      <c r="AX109" s="2">
        <v>8158.6</v>
      </c>
      <c r="AY109" s="2">
        <v>9454.7099999999991</v>
      </c>
      <c r="AZ109" s="2">
        <v>6729.23</v>
      </c>
      <c r="BA109" s="2">
        <v>4941.47</v>
      </c>
      <c r="BB109" s="2">
        <v>11578.9</v>
      </c>
      <c r="BC109" s="2">
        <v>12199.56</v>
      </c>
      <c r="BF109" s="1" t="s">
        <v>21</v>
      </c>
      <c r="BG109" s="2">
        <v>45.36</v>
      </c>
      <c r="BH109" s="2">
        <v>15.12</v>
      </c>
      <c r="BI109" s="2">
        <v>31.5</v>
      </c>
      <c r="BJ109" s="2">
        <v>15.75</v>
      </c>
      <c r="BK109" s="2">
        <v>52.92</v>
      </c>
      <c r="BL109" s="2">
        <v>17.64</v>
      </c>
      <c r="BM109" s="2">
        <v>61.37</v>
      </c>
      <c r="BN109" s="2">
        <v>27.01</v>
      </c>
      <c r="BO109" s="2">
        <v>10.47</v>
      </c>
      <c r="BP109" s="2">
        <v>12.22</v>
      </c>
      <c r="BQ109" s="2">
        <v>11.81</v>
      </c>
      <c r="BR109" s="2">
        <v>13.84</v>
      </c>
      <c r="BS109" s="2">
        <v>12.84</v>
      </c>
      <c r="BT109" s="2">
        <v>5.67</v>
      </c>
      <c r="BU109" s="2">
        <v>5.04</v>
      </c>
      <c r="BV109" s="2">
        <v>15.12</v>
      </c>
    </row>
    <row r="110" spans="2:74" x14ac:dyDescent="0.3">
      <c r="B110" s="1" t="s">
        <v>22</v>
      </c>
      <c r="C110" s="2">
        <v>3.7618641148020271E-2</v>
      </c>
      <c r="D110" s="2">
        <v>3.3496117932790552E-2</v>
      </c>
      <c r="E110" s="2">
        <v>5.8156774825655073E-2</v>
      </c>
      <c r="F110" s="2">
        <v>6.3696344413322281E-2</v>
      </c>
      <c r="G110" s="2">
        <v>5.0981352949635537E-2</v>
      </c>
      <c r="H110" s="2">
        <v>5.6922545932301859E-2</v>
      </c>
      <c r="I110" s="2">
        <v>4.3116759048837293E-2</v>
      </c>
      <c r="J110" s="2">
        <v>4.9314372662405737E-2</v>
      </c>
      <c r="K110" s="2">
        <v>5.216281260865354E-2</v>
      </c>
      <c r="L110" s="2">
        <v>2.6829001096293329E-2</v>
      </c>
      <c r="M110" s="2">
        <v>4.7087984841698731E-2</v>
      </c>
      <c r="N110" s="2">
        <v>1.7496129934133499E-2</v>
      </c>
      <c r="O110" s="2">
        <v>2.8415877060275499E-2</v>
      </c>
      <c r="P110" s="2">
        <v>3.129919425269858E-2</v>
      </c>
      <c r="Q110" s="2">
        <v>4.4848734059986628E-2</v>
      </c>
      <c r="R110" s="2">
        <v>2.702419320269845E-2</v>
      </c>
      <c r="T110" s="1" t="s">
        <v>22</v>
      </c>
      <c r="U110" s="2">
        <v>891.64</v>
      </c>
      <c r="V110" s="2">
        <v>915.19</v>
      </c>
      <c r="W110" s="2">
        <v>1372.48</v>
      </c>
      <c r="X110" s="2">
        <v>1162.07</v>
      </c>
      <c r="Y110" s="2">
        <v>1194.02</v>
      </c>
      <c r="Z110" s="2">
        <v>1534.61</v>
      </c>
      <c r="AA110" s="2">
        <v>1115.3699999999999</v>
      </c>
      <c r="AB110" s="2">
        <v>981.95</v>
      </c>
      <c r="AC110" s="2">
        <v>862.52</v>
      </c>
      <c r="AD110" s="2">
        <v>316.45999999999998</v>
      </c>
      <c r="AE110" s="2">
        <v>698.49</v>
      </c>
      <c r="AF110" s="2">
        <v>551.97</v>
      </c>
      <c r="AG110" s="2">
        <v>294.95999999999998</v>
      </c>
      <c r="AH110" s="2">
        <v>294.45</v>
      </c>
      <c r="AI110" s="2">
        <v>871.87</v>
      </c>
      <c r="AJ110" s="2">
        <v>834.35</v>
      </c>
      <c r="AM110" s="1" t="s">
        <v>22</v>
      </c>
      <c r="AN110" s="2">
        <v>4745.0600000000004</v>
      </c>
      <c r="AO110" s="2">
        <v>2887.29</v>
      </c>
      <c r="AP110" s="2">
        <v>5944.02</v>
      </c>
      <c r="AQ110" s="2">
        <v>4452.8599999999997</v>
      </c>
      <c r="AR110" s="2">
        <v>6608.31</v>
      </c>
      <c r="AS110" s="2">
        <v>5539.8</v>
      </c>
      <c r="AT110" s="2">
        <v>6057.93</v>
      </c>
      <c r="AU110" s="2">
        <v>5030.55</v>
      </c>
      <c r="AV110" s="2">
        <v>4162.5</v>
      </c>
      <c r="AW110" s="2">
        <v>2848.14</v>
      </c>
      <c r="AX110" s="2">
        <v>3321.01</v>
      </c>
      <c r="AY110" s="2">
        <v>2612.63</v>
      </c>
      <c r="AZ110" s="2">
        <v>1381.89</v>
      </c>
      <c r="BA110" s="2">
        <v>1379.55</v>
      </c>
      <c r="BB110" s="2">
        <v>2913.32</v>
      </c>
      <c r="BC110" s="2">
        <v>2809.67</v>
      </c>
      <c r="BF110" s="1" t="s">
        <v>22</v>
      </c>
      <c r="BG110" s="2">
        <v>26.41</v>
      </c>
      <c r="BH110" s="2">
        <v>15.12</v>
      </c>
      <c r="BI110" s="2">
        <v>15.75</v>
      </c>
      <c r="BJ110" s="2">
        <v>15.75</v>
      </c>
      <c r="BK110" s="2">
        <v>31.38</v>
      </c>
      <c r="BL110" s="2">
        <v>17.64</v>
      </c>
      <c r="BM110" s="2">
        <v>18.54</v>
      </c>
      <c r="BN110" s="2">
        <v>17.71</v>
      </c>
      <c r="BO110" s="2">
        <v>10</v>
      </c>
      <c r="BP110" s="2">
        <v>10.48</v>
      </c>
      <c r="BQ110" s="2">
        <v>11.21</v>
      </c>
      <c r="BR110" s="2">
        <v>4.58</v>
      </c>
      <c r="BS110" s="2">
        <v>5.18</v>
      </c>
      <c r="BT110" s="2">
        <v>5.19</v>
      </c>
      <c r="BU110" s="2">
        <v>5.04</v>
      </c>
      <c r="BV110" s="2">
        <v>5.04</v>
      </c>
    </row>
    <row r="111" spans="2:74" x14ac:dyDescent="0.3">
      <c r="B111" s="1" t="s">
        <v>23</v>
      </c>
      <c r="C111" s="2">
        <v>0.1115618922068483</v>
      </c>
      <c r="D111" s="2">
        <v>0.22779097883371691</v>
      </c>
      <c r="E111" s="2">
        <v>0.25134948174329319</v>
      </c>
      <c r="F111" s="2">
        <v>0.28336594176902241</v>
      </c>
      <c r="G111" s="2">
        <v>0.15036243004252869</v>
      </c>
      <c r="H111" s="2">
        <v>0.24761934795255511</v>
      </c>
      <c r="I111" s="2">
        <v>0.10509134918995271</v>
      </c>
      <c r="J111" s="2">
        <v>0.20571988157863541</v>
      </c>
      <c r="K111" s="2">
        <v>0.30320017590575982</v>
      </c>
      <c r="L111" s="2">
        <v>0.2538800981383505</v>
      </c>
      <c r="M111" s="2">
        <v>0.32523625546425788</v>
      </c>
      <c r="N111" s="2">
        <v>0.25698055311950091</v>
      </c>
      <c r="O111" s="2">
        <v>0.29565412790092299</v>
      </c>
      <c r="P111" s="2">
        <v>0.30409401608120978</v>
      </c>
      <c r="Q111" s="2">
        <v>0.26659191911284319</v>
      </c>
      <c r="R111" s="2">
        <v>0.15693545184185589</v>
      </c>
      <c r="T111" s="1" t="s">
        <v>23</v>
      </c>
      <c r="U111" s="2">
        <v>4431.0600000000004</v>
      </c>
      <c r="V111" s="2">
        <v>3871.64</v>
      </c>
      <c r="W111" s="2">
        <v>5820.08</v>
      </c>
      <c r="X111" s="2">
        <v>5481.32</v>
      </c>
      <c r="Y111" s="2">
        <v>6343.92</v>
      </c>
      <c r="Z111" s="2">
        <v>7315.32</v>
      </c>
      <c r="AA111" s="2">
        <v>4279.34</v>
      </c>
      <c r="AB111" s="2">
        <v>5227.87</v>
      </c>
      <c r="AC111" s="2">
        <v>5465.1</v>
      </c>
      <c r="AD111" s="2">
        <v>4511.1000000000004</v>
      </c>
      <c r="AE111" s="2">
        <v>5384.47</v>
      </c>
      <c r="AF111" s="2">
        <v>4426.29</v>
      </c>
      <c r="AG111" s="2">
        <v>2072.62</v>
      </c>
      <c r="AH111" s="2">
        <v>1991.87</v>
      </c>
      <c r="AI111" s="2">
        <v>5404.75</v>
      </c>
      <c r="AJ111" s="2">
        <v>5144.24</v>
      </c>
      <c r="AM111" s="1" t="s">
        <v>23</v>
      </c>
      <c r="AN111" s="2">
        <v>16003.54</v>
      </c>
      <c r="AO111" s="2">
        <v>19315.11</v>
      </c>
      <c r="AP111" s="2">
        <v>20663.57</v>
      </c>
      <c r="AQ111" s="2">
        <v>20282.18</v>
      </c>
      <c r="AR111" s="2">
        <v>24199.58</v>
      </c>
      <c r="AS111" s="2">
        <v>28849.18</v>
      </c>
      <c r="AT111" s="2">
        <v>21537.16</v>
      </c>
      <c r="AU111" s="2">
        <v>26568.63</v>
      </c>
      <c r="AV111" s="2">
        <v>26696.9</v>
      </c>
      <c r="AW111" s="2">
        <v>21564.9</v>
      </c>
      <c r="AX111" s="2">
        <v>26254.53</v>
      </c>
      <c r="AY111" s="2">
        <v>21119.71</v>
      </c>
      <c r="AZ111" s="2">
        <v>9597.8799999999992</v>
      </c>
      <c r="BA111" s="2">
        <v>9220.6299999999992</v>
      </c>
      <c r="BB111" s="2">
        <v>19343.32</v>
      </c>
      <c r="BC111" s="2">
        <v>18710.939999999999</v>
      </c>
      <c r="BF111" s="1" t="s">
        <v>23</v>
      </c>
      <c r="BG111" s="2">
        <v>15.12</v>
      </c>
      <c r="BH111" s="2">
        <v>26.12</v>
      </c>
      <c r="BI111" s="2">
        <v>15.75</v>
      </c>
      <c r="BJ111" s="2">
        <v>15.75</v>
      </c>
      <c r="BK111" s="2">
        <v>17.64</v>
      </c>
      <c r="BL111" s="2">
        <v>17.64</v>
      </c>
      <c r="BM111" s="2">
        <v>12.4</v>
      </c>
      <c r="BN111" s="2">
        <v>14.7</v>
      </c>
      <c r="BO111" s="2">
        <v>9.8000000000000007</v>
      </c>
      <c r="BP111" s="2">
        <v>8.5299999999999994</v>
      </c>
      <c r="BQ111" s="2">
        <v>10.72</v>
      </c>
      <c r="BR111" s="2">
        <v>8.65</v>
      </c>
      <c r="BS111" s="2">
        <v>8.5500000000000007</v>
      </c>
      <c r="BT111" s="2">
        <v>8.2799999999999994</v>
      </c>
      <c r="BU111" s="2">
        <v>5.04</v>
      </c>
      <c r="BV111" s="2">
        <v>5.04</v>
      </c>
    </row>
    <row r="112" spans="2:74" x14ac:dyDescent="0.3">
      <c r="B112" s="1" t="s">
        <v>24</v>
      </c>
      <c r="C112" s="2">
        <v>2.898135202446955E-2</v>
      </c>
      <c r="D112" s="2">
        <v>4.6347204129759928E-2</v>
      </c>
      <c r="E112" s="2">
        <v>5.9725165068523198E-2</v>
      </c>
      <c r="F112" s="2">
        <v>9.0133839163651919E-2</v>
      </c>
      <c r="G112" s="2">
        <v>4.0025083807388027E-2</v>
      </c>
      <c r="H112" s="2">
        <v>7.6661871280246291E-2</v>
      </c>
      <c r="I112" s="2">
        <v>4.0131127492279518E-2</v>
      </c>
      <c r="J112" s="2">
        <v>0.1094169927237115</v>
      </c>
      <c r="K112" s="2">
        <v>4.698948475392322E-2</v>
      </c>
      <c r="L112" s="2">
        <v>3.3522143785451222E-2</v>
      </c>
      <c r="M112" s="2">
        <v>4.7057428251311907E-2</v>
      </c>
      <c r="N112" s="2">
        <v>3.502433666782357E-2</v>
      </c>
      <c r="O112" s="2">
        <v>7.8564177084162745E-2</v>
      </c>
      <c r="P112" s="2">
        <v>6.5081795559386479E-2</v>
      </c>
      <c r="Q112" s="2">
        <v>5.4658190345177132E-2</v>
      </c>
      <c r="R112" s="2">
        <v>2.5144239547311459E-2</v>
      </c>
      <c r="T112" s="1" t="s">
        <v>24</v>
      </c>
      <c r="U112" s="2">
        <v>1208.43</v>
      </c>
      <c r="V112" s="2">
        <v>1024.92</v>
      </c>
      <c r="W112" s="2">
        <v>1383.03</v>
      </c>
      <c r="X112" s="2">
        <v>1620.49</v>
      </c>
      <c r="Y112" s="2">
        <v>1699.05</v>
      </c>
      <c r="Z112" s="2">
        <v>1649.03</v>
      </c>
      <c r="AA112" s="2">
        <v>1370.61</v>
      </c>
      <c r="AB112" s="2">
        <v>1561.87</v>
      </c>
      <c r="AC112" s="2">
        <v>1293.67</v>
      </c>
      <c r="AD112" s="2">
        <v>1075.69</v>
      </c>
      <c r="AE112" s="2">
        <v>1111.23</v>
      </c>
      <c r="AF112" s="2">
        <v>873.86</v>
      </c>
      <c r="AG112" s="2">
        <v>732.13</v>
      </c>
      <c r="AH112" s="2">
        <v>652.98</v>
      </c>
      <c r="AI112" s="2">
        <v>1308.9100000000001</v>
      </c>
      <c r="AJ112" s="2">
        <v>951.63</v>
      </c>
      <c r="AM112" s="1" t="s">
        <v>24</v>
      </c>
      <c r="AN112" s="2">
        <v>4376.3</v>
      </c>
      <c r="AO112" s="2">
        <v>4091.12</v>
      </c>
      <c r="AP112" s="2">
        <v>6041.33</v>
      </c>
      <c r="AQ112" s="2">
        <v>7419.95</v>
      </c>
      <c r="AR112" s="2">
        <v>6648.95</v>
      </c>
      <c r="AS112" s="2">
        <v>7881.08</v>
      </c>
      <c r="AT112" s="2">
        <v>5943.59</v>
      </c>
      <c r="AU112" s="2">
        <v>7594.56</v>
      </c>
      <c r="AV112" s="2">
        <v>5036.34</v>
      </c>
      <c r="AW112" s="2">
        <v>4058.07</v>
      </c>
      <c r="AX112" s="2">
        <v>4214.2700000000004</v>
      </c>
      <c r="AY112" s="2">
        <v>3233.17</v>
      </c>
      <c r="AZ112" s="2">
        <v>2676.57</v>
      </c>
      <c r="BA112" s="2">
        <v>2378.4699999999998</v>
      </c>
      <c r="BB112" s="2">
        <v>3820.64</v>
      </c>
      <c r="BC112" s="2">
        <v>3055.43</v>
      </c>
      <c r="BF112" s="1" t="s">
        <v>24</v>
      </c>
      <c r="BG112" s="2">
        <v>15.12</v>
      </c>
      <c r="BH112" s="2">
        <v>21.6</v>
      </c>
      <c r="BI112" s="2">
        <v>17.84</v>
      </c>
      <c r="BJ112" s="2">
        <v>20.91</v>
      </c>
      <c r="BK112" s="2">
        <v>17.64</v>
      </c>
      <c r="BL112" s="2">
        <v>25.93</v>
      </c>
      <c r="BM112" s="2">
        <v>15.62</v>
      </c>
      <c r="BN112" s="2">
        <v>28.42</v>
      </c>
      <c r="BO112" s="2">
        <v>6.75</v>
      </c>
      <c r="BP112" s="2">
        <v>5.0999999999999996</v>
      </c>
      <c r="BQ112" s="2">
        <v>7.91</v>
      </c>
      <c r="BR112" s="2">
        <v>6.45</v>
      </c>
      <c r="BS112" s="2">
        <v>7.12</v>
      </c>
      <c r="BT112" s="2">
        <v>6</v>
      </c>
      <c r="BU112" s="2">
        <v>5.04</v>
      </c>
      <c r="BV112" s="2">
        <v>5.04</v>
      </c>
    </row>
    <row r="113" spans="2:74" x14ac:dyDescent="0.3">
      <c r="B113" s="1" t="s">
        <v>25</v>
      </c>
      <c r="C113" s="2">
        <v>0.34617841396938659</v>
      </c>
      <c r="D113" s="2">
        <v>0.4885974405546597</v>
      </c>
      <c r="E113" s="2">
        <v>0.20135129285148229</v>
      </c>
      <c r="F113" s="2">
        <v>0.2376684082215221</v>
      </c>
      <c r="G113" s="2">
        <v>0.203134040208204</v>
      </c>
      <c r="H113" s="2">
        <v>0.36256797199071278</v>
      </c>
      <c r="I113" s="2">
        <v>0.14986117033045129</v>
      </c>
      <c r="J113" s="2">
        <v>0.30645540036599123</v>
      </c>
      <c r="K113" s="2">
        <v>0.2377672132797076</v>
      </c>
      <c r="L113" s="2">
        <v>0.23369758224367351</v>
      </c>
      <c r="M113" s="2">
        <v>0.23008205630505249</v>
      </c>
      <c r="N113" s="2">
        <v>0.23120796736378099</v>
      </c>
      <c r="O113" s="2">
        <v>9.9172674208505077E-2</v>
      </c>
      <c r="P113" s="2">
        <v>0.2984900092310715</v>
      </c>
      <c r="Q113" s="2">
        <v>0.23173160772343859</v>
      </c>
      <c r="R113" s="2">
        <v>0.31550941145315808</v>
      </c>
      <c r="T113" s="1" t="s">
        <v>25</v>
      </c>
      <c r="U113" s="2">
        <v>5424.28</v>
      </c>
      <c r="V113" s="2">
        <v>5144.43</v>
      </c>
      <c r="W113" s="2">
        <v>5463.97</v>
      </c>
      <c r="X113" s="2">
        <v>5618.52</v>
      </c>
      <c r="Y113" s="2">
        <v>4692.08</v>
      </c>
      <c r="Z113" s="2">
        <v>5877.78</v>
      </c>
      <c r="AA113" s="2">
        <v>3900.73</v>
      </c>
      <c r="AB113" s="2">
        <v>4433.75</v>
      </c>
      <c r="AC113" s="2">
        <v>3972.14</v>
      </c>
      <c r="AD113" s="2">
        <v>3518.53</v>
      </c>
      <c r="AE113" s="2">
        <v>3302.85</v>
      </c>
      <c r="AF113" s="2">
        <v>2894.93</v>
      </c>
      <c r="AG113" s="2">
        <v>579.96</v>
      </c>
      <c r="AH113" s="2">
        <v>2027.11</v>
      </c>
      <c r="AI113" s="2">
        <v>5569.73</v>
      </c>
      <c r="AJ113" s="2">
        <v>4261.78</v>
      </c>
      <c r="AM113" s="1" t="s">
        <v>25</v>
      </c>
      <c r="AN113" s="2">
        <v>18932.02</v>
      </c>
      <c r="AO113" s="2">
        <v>18431.07</v>
      </c>
      <c r="AP113" s="2">
        <v>13634.54</v>
      </c>
      <c r="AQ113" s="2">
        <v>18076.98</v>
      </c>
      <c r="AR113" s="2">
        <v>21927.77</v>
      </c>
      <c r="AS113" s="2">
        <v>23929.55</v>
      </c>
      <c r="AT113" s="2">
        <v>17301.45</v>
      </c>
      <c r="AU113" s="2">
        <v>21187.54</v>
      </c>
      <c r="AV113" s="2">
        <v>16065.24</v>
      </c>
      <c r="AW113" s="2">
        <v>13773.68</v>
      </c>
      <c r="AX113" s="2">
        <v>12730.85</v>
      </c>
      <c r="AY113" s="2">
        <v>10930.54</v>
      </c>
      <c r="AZ113" s="2">
        <v>5219.6400000000003</v>
      </c>
      <c r="BA113" s="2">
        <v>7423.51</v>
      </c>
      <c r="BB113" s="2">
        <v>7774.22</v>
      </c>
      <c r="BC113" s="2">
        <v>11947.01</v>
      </c>
      <c r="BF113" s="1" t="s">
        <v>25</v>
      </c>
      <c r="BG113" s="2">
        <v>45.36</v>
      </c>
      <c r="BH113" s="2">
        <v>45.36</v>
      </c>
      <c r="BI113" s="2">
        <v>15.75</v>
      </c>
      <c r="BJ113" s="2">
        <v>15.75</v>
      </c>
      <c r="BK113" s="2">
        <v>35.28</v>
      </c>
      <c r="BL113" s="2">
        <v>35.28</v>
      </c>
      <c r="BM113" s="2">
        <v>20.75</v>
      </c>
      <c r="BN113" s="2">
        <v>28.61</v>
      </c>
      <c r="BO113" s="2">
        <v>11.53</v>
      </c>
      <c r="BP113" s="2">
        <v>10.97</v>
      </c>
      <c r="BQ113" s="2">
        <v>13.5</v>
      </c>
      <c r="BR113" s="2">
        <v>12.98</v>
      </c>
      <c r="BS113" s="2">
        <v>10.62</v>
      </c>
      <c r="BT113" s="2">
        <v>9.18</v>
      </c>
      <c r="BU113" s="2">
        <v>5.04</v>
      </c>
      <c r="BV113" s="2">
        <v>15.12</v>
      </c>
    </row>
    <row r="114" spans="2:74" x14ac:dyDescent="0.3">
      <c r="B114" s="1" t="s">
        <v>26</v>
      </c>
      <c r="C114" s="2">
        <v>3.7297718092706447E-2</v>
      </c>
      <c r="D114" s="2">
        <v>6.4013174076937185E-2</v>
      </c>
      <c r="E114" s="2">
        <v>6.6297985900449122E-2</v>
      </c>
      <c r="F114" s="2">
        <v>1.9968525023033191E-2</v>
      </c>
      <c r="G114" s="2">
        <v>4.2068784654702658E-2</v>
      </c>
      <c r="H114" s="2">
        <v>6.5264767433109494E-2</v>
      </c>
      <c r="I114" s="2">
        <v>4.0460167240300618E-2</v>
      </c>
      <c r="J114" s="2">
        <v>5.9793184569429891E-2</v>
      </c>
      <c r="K114" s="2">
        <v>0.1613991402872258</v>
      </c>
      <c r="L114" s="2">
        <v>0.17173675404174429</v>
      </c>
      <c r="M114" s="2">
        <v>0.1606932020655697</v>
      </c>
      <c r="N114" s="2">
        <v>0.17474093172838129</v>
      </c>
      <c r="O114" s="2">
        <v>5.4188078423686351E-2</v>
      </c>
      <c r="P114" s="2">
        <v>7.5927144959029469E-2</v>
      </c>
      <c r="Q114" s="2">
        <v>0.117239930770072</v>
      </c>
      <c r="R114" s="2">
        <v>6.4042271525894257E-2</v>
      </c>
      <c r="T114" s="1" t="s">
        <v>26</v>
      </c>
      <c r="U114" s="2">
        <v>2188.3200000000002</v>
      </c>
      <c r="V114" s="2">
        <v>2920.61</v>
      </c>
      <c r="W114" s="2">
        <v>1777.13</v>
      </c>
      <c r="X114" s="2">
        <v>2225.83</v>
      </c>
      <c r="Y114" s="2">
        <v>1914.06</v>
      </c>
      <c r="Z114" s="2">
        <v>2218.41</v>
      </c>
      <c r="AA114" s="2">
        <v>1437.47</v>
      </c>
      <c r="AB114" s="2">
        <v>2094.33</v>
      </c>
      <c r="AC114" s="2">
        <v>2253.06</v>
      </c>
      <c r="AD114" s="2">
        <v>1954.07</v>
      </c>
      <c r="AE114" s="2">
        <v>2253.0300000000002</v>
      </c>
      <c r="AF114" s="2">
        <v>1954.07</v>
      </c>
      <c r="AG114" s="2">
        <v>709.66</v>
      </c>
      <c r="AH114" s="2">
        <v>791.45</v>
      </c>
      <c r="AI114" s="2">
        <v>2789.03</v>
      </c>
      <c r="AJ114" s="2">
        <v>2399.5500000000002</v>
      </c>
      <c r="AM114" s="1" t="s">
        <v>26</v>
      </c>
      <c r="AN114" s="2">
        <v>8732.2800000000007</v>
      </c>
      <c r="AO114" s="2">
        <v>11335.99</v>
      </c>
      <c r="AP114" s="2">
        <v>7020.97</v>
      </c>
      <c r="AQ114" s="2">
        <v>8538.77</v>
      </c>
      <c r="AR114" s="2">
        <v>6716.64</v>
      </c>
      <c r="AS114" s="2">
        <v>8370.99</v>
      </c>
      <c r="AT114" s="2">
        <v>5466.43</v>
      </c>
      <c r="AU114" s="2">
        <v>7885.47</v>
      </c>
      <c r="AV114" s="2">
        <v>8237.64</v>
      </c>
      <c r="AW114" s="2">
        <v>7123.03</v>
      </c>
      <c r="AX114" s="2">
        <v>8237.67</v>
      </c>
      <c r="AY114" s="2">
        <v>7123.03</v>
      </c>
      <c r="AZ114" s="2">
        <v>2185.64</v>
      </c>
      <c r="BA114" s="2">
        <v>2473.4499999999998</v>
      </c>
      <c r="BB114" s="2">
        <v>7627.32</v>
      </c>
      <c r="BC114" s="2">
        <v>7297.39</v>
      </c>
      <c r="BF114" s="1" t="s">
        <v>26</v>
      </c>
      <c r="BG114" s="2">
        <v>12.04</v>
      </c>
      <c r="BH114" s="2">
        <v>10.82</v>
      </c>
      <c r="BI114" s="2">
        <v>15.55</v>
      </c>
      <c r="BJ114" s="2">
        <v>3.36</v>
      </c>
      <c r="BK114" s="2">
        <v>17.64</v>
      </c>
      <c r="BL114" s="2">
        <v>16.600000000000001</v>
      </c>
      <c r="BM114" s="2">
        <v>15.47</v>
      </c>
      <c r="BN114" s="2">
        <v>12.13</v>
      </c>
      <c r="BO114" s="2">
        <v>13.69</v>
      </c>
      <c r="BP114" s="2">
        <v>15.29</v>
      </c>
      <c r="BQ114" s="2">
        <v>13.69</v>
      </c>
      <c r="BR114" s="2">
        <v>15.29</v>
      </c>
      <c r="BS114" s="2">
        <v>5.43</v>
      </c>
      <c r="BT114" s="2">
        <v>6.21</v>
      </c>
      <c r="BU114" s="2">
        <v>5.04</v>
      </c>
      <c r="BV114" s="2">
        <v>5.04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187.73</v>
      </c>
      <c r="V121" s="2">
        <v>204.29</v>
      </c>
      <c r="W121" s="2">
        <v>121.24</v>
      </c>
      <c r="X121" s="2">
        <v>39.71</v>
      </c>
      <c r="Y121" s="2">
        <v>56.37</v>
      </c>
      <c r="Z121" s="2">
        <v>56.37</v>
      </c>
      <c r="AA121" s="2">
        <v>15.89</v>
      </c>
      <c r="AB121" s="2">
        <v>153.5</v>
      </c>
      <c r="AC121" s="2">
        <v>189.33</v>
      </c>
      <c r="AD121" s="2">
        <v>65.069999999999993</v>
      </c>
      <c r="AE121" s="2">
        <v>122.13</v>
      </c>
      <c r="AF121" s="2">
        <v>52.95</v>
      </c>
      <c r="AG121" s="2">
        <v>47.91</v>
      </c>
      <c r="AH121" s="2">
        <v>79.06</v>
      </c>
      <c r="AI121" s="2">
        <v>14.51</v>
      </c>
      <c r="AJ121" s="2">
        <v>187.84</v>
      </c>
      <c r="AM121" s="1" t="s">
        <v>19</v>
      </c>
      <c r="AN121" s="2">
        <v>642.19000000000005</v>
      </c>
      <c r="AO121" s="2">
        <v>870.21</v>
      </c>
      <c r="AP121" s="2">
        <v>674.52</v>
      </c>
      <c r="AQ121" s="2">
        <v>711.04</v>
      </c>
      <c r="AR121" s="2">
        <v>986.49</v>
      </c>
      <c r="AS121" s="2">
        <v>986.49</v>
      </c>
      <c r="AT121" s="2">
        <v>278.11</v>
      </c>
      <c r="AU121" s="2">
        <v>267.62</v>
      </c>
      <c r="AV121" s="2">
        <v>685.95</v>
      </c>
      <c r="AW121" s="2">
        <v>1149.43</v>
      </c>
      <c r="AX121" s="2">
        <v>673.63</v>
      </c>
      <c r="AY121" s="2">
        <v>947.28</v>
      </c>
      <c r="AZ121" s="2">
        <v>838.43</v>
      </c>
      <c r="BA121" s="2">
        <v>781.8</v>
      </c>
      <c r="BB121" s="2">
        <v>258.91000000000003</v>
      </c>
      <c r="BC121" s="2">
        <v>328.48</v>
      </c>
      <c r="BF121" s="1" t="s">
        <v>19</v>
      </c>
      <c r="BG121" s="2">
        <v>18882.5</v>
      </c>
      <c r="BH121" s="2">
        <v>18446.650000000001</v>
      </c>
      <c r="BI121" s="2">
        <v>18216.03</v>
      </c>
      <c r="BJ121" s="2">
        <v>29805.599999999999</v>
      </c>
      <c r="BK121" s="2">
        <v>131.87</v>
      </c>
      <c r="BL121" s="2">
        <v>131.93</v>
      </c>
      <c r="BM121" s="2">
        <v>192853.45</v>
      </c>
      <c r="BN121" s="2">
        <v>508831.11</v>
      </c>
      <c r="BO121" s="2">
        <v>114057.04</v>
      </c>
      <c r="BP121" s="2">
        <v>33808.11</v>
      </c>
      <c r="BQ121" s="2">
        <v>29899.17</v>
      </c>
      <c r="BR121" s="2">
        <v>19238.48</v>
      </c>
      <c r="BS121" s="2">
        <v>1158567.52</v>
      </c>
      <c r="BT121" s="2">
        <v>1885092.47</v>
      </c>
      <c r="BU121" s="2">
        <v>1185.33</v>
      </c>
      <c r="BV121" s="2">
        <v>2803.09</v>
      </c>
    </row>
    <row r="122" spans="2:74" x14ac:dyDescent="0.3">
      <c r="T122" s="1" t="s">
        <v>20</v>
      </c>
      <c r="U122" s="2">
        <v>89.72</v>
      </c>
      <c r="V122" s="2">
        <v>94.02</v>
      </c>
      <c r="W122" s="2">
        <v>94.8</v>
      </c>
      <c r="X122" s="2">
        <v>91.52</v>
      </c>
      <c r="Y122" s="2">
        <v>68.11</v>
      </c>
      <c r="Z122" s="2">
        <v>68.11</v>
      </c>
      <c r="AA122" s="2">
        <v>51.03</v>
      </c>
      <c r="AB122" s="2">
        <v>33.25</v>
      </c>
      <c r="AC122" s="2">
        <v>64.2</v>
      </c>
      <c r="AD122" s="2">
        <v>69.87</v>
      </c>
      <c r="AE122" s="2">
        <v>84.41</v>
      </c>
      <c r="AF122" s="2">
        <v>78.36</v>
      </c>
      <c r="AG122" s="2">
        <v>86.1</v>
      </c>
      <c r="AH122" s="2">
        <v>84.95</v>
      </c>
      <c r="AI122" s="2">
        <v>41.7</v>
      </c>
      <c r="AJ122" s="2">
        <v>36.72</v>
      </c>
      <c r="AM122" s="1" t="s">
        <v>20</v>
      </c>
      <c r="AN122" s="2">
        <v>337.1</v>
      </c>
      <c r="AO122" s="2">
        <v>509.98</v>
      </c>
      <c r="AP122" s="2">
        <v>367.3</v>
      </c>
      <c r="AQ122" s="2">
        <v>358.9</v>
      </c>
      <c r="AR122" s="2">
        <v>322.93</v>
      </c>
      <c r="AS122" s="2">
        <v>322.93</v>
      </c>
      <c r="AT122" s="2">
        <v>240.66</v>
      </c>
      <c r="AU122" s="2">
        <v>118.55</v>
      </c>
      <c r="AV122" s="2">
        <v>317.16000000000003</v>
      </c>
      <c r="AW122" s="2">
        <v>236.46</v>
      </c>
      <c r="AX122" s="2">
        <v>325.23</v>
      </c>
      <c r="AY122" s="2">
        <v>381.99</v>
      </c>
      <c r="AZ122" s="2">
        <v>420.12</v>
      </c>
      <c r="BA122" s="2">
        <v>413.99</v>
      </c>
      <c r="BB122" s="2">
        <v>195.81</v>
      </c>
      <c r="BC122" s="2">
        <v>123.67</v>
      </c>
      <c r="BF122" s="1" t="s">
        <v>20</v>
      </c>
      <c r="BG122" s="2">
        <v>298.11</v>
      </c>
      <c r="BH122" s="2">
        <v>905.2</v>
      </c>
      <c r="BI122" s="2">
        <v>496.29</v>
      </c>
      <c r="BJ122" s="2">
        <v>328.8</v>
      </c>
      <c r="BK122" s="2">
        <v>242.74</v>
      </c>
      <c r="BL122" s="2">
        <v>369.68</v>
      </c>
      <c r="BM122" s="2">
        <v>300.7</v>
      </c>
      <c r="BN122" s="2">
        <v>674.2</v>
      </c>
      <c r="BO122" s="2">
        <v>752.41</v>
      </c>
      <c r="BP122" s="2">
        <v>728.36</v>
      </c>
      <c r="BQ122" s="2">
        <v>752.41</v>
      </c>
      <c r="BR122" s="2">
        <v>733.38</v>
      </c>
      <c r="BS122" s="2">
        <v>835.78</v>
      </c>
      <c r="BT122" s="2">
        <v>1009.92</v>
      </c>
      <c r="BU122" s="2">
        <v>303.70999999999998</v>
      </c>
      <c r="BV122" s="2">
        <v>299.69</v>
      </c>
    </row>
    <row r="123" spans="2:74" x14ac:dyDescent="0.3">
      <c r="T123" s="1" t="s">
        <v>21</v>
      </c>
      <c r="U123" s="2">
        <v>543.59</v>
      </c>
      <c r="V123" s="2">
        <v>402.73</v>
      </c>
      <c r="W123" s="2">
        <v>581.29999999999995</v>
      </c>
      <c r="X123" s="2">
        <v>548.33000000000004</v>
      </c>
      <c r="Y123" s="2">
        <v>282.56</v>
      </c>
      <c r="Z123" s="2">
        <v>235.8</v>
      </c>
      <c r="AA123" s="2">
        <v>182.66</v>
      </c>
      <c r="AB123" s="2">
        <v>141.69999999999999</v>
      </c>
      <c r="AC123" s="2">
        <v>326.14</v>
      </c>
      <c r="AD123" s="2">
        <v>600.77</v>
      </c>
      <c r="AE123" s="2">
        <v>578.4</v>
      </c>
      <c r="AF123" s="2">
        <v>545.75</v>
      </c>
      <c r="AG123" s="2">
        <v>326.87</v>
      </c>
      <c r="AH123" s="2">
        <v>271.56</v>
      </c>
      <c r="AI123" s="2">
        <v>132.83000000000001</v>
      </c>
      <c r="AJ123" s="2">
        <v>146.47</v>
      </c>
      <c r="AM123" s="1" t="s">
        <v>21</v>
      </c>
      <c r="AN123" s="2">
        <v>1725.87</v>
      </c>
      <c r="AO123" s="2">
        <v>2370.77</v>
      </c>
      <c r="AP123" s="2">
        <v>2102.38</v>
      </c>
      <c r="AQ123" s="2">
        <v>2692.2</v>
      </c>
      <c r="AR123" s="2">
        <v>1352.18</v>
      </c>
      <c r="AS123" s="2">
        <v>1115.94</v>
      </c>
      <c r="AT123" s="2">
        <v>858.44</v>
      </c>
      <c r="AU123" s="2">
        <v>358.7</v>
      </c>
      <c r="AV123" s="2">
        <v>911.72</v>
      </c>
      <c r="AW123" s="2">
        <v>987.08</v>
      </c>
      <c r="AX123" s="2">
        <v>2216.4299999999998</v>
      </c>
      <c r="AY123" s="2">
        <v>2855.2</v>
      </c>
      <c r="AZ123" s="2">
        <v>1581.94</v>
      </c>
      <c r="BA123" s="2">
        <v>1292.3399999999999</v>
      </c>
      <c r="BB123" s="2">
        <v>625.05999999999995</v>
      </c>
      <c r="BC123" s="2">
        <v>416.86</v>
      </c>
      <c r="BF123" s="1" t="s">
        <v>21</v>
      </c>
      <c r="BG123" s="2">
        <v>217.45</v>
      </c>
      <c r="BH123" s="2">
        <v>674.13</v>
      </c>
      <c r="BI123" s="2">
        <v>389.84</v>
      </c>
      <c r="BJ123" s="2">
        <v>192.31</v>
      </c>
      <c r="BK123" s="2">
        <v>208.56</v>
      </c>
      <c r="BL123" s="2">
        <v>341.84</v>
      </c>
      <c r="BM123" s="2">
        <v>286.35000000000002</v>
      </c>
      <c r="BN123" s="2">
        <v>668.92</v>
      </c>
      <c r="BO123" s="2">
        <v>3853.24</v>
      </c>
      <c r="BP123" s="2">
        <v>2127.73</v>
      </c>
      <c r="BQ123" s="2">
        <v>4357.3100000000004</v>
      </c>
      <c r="BR123" s="2">
        <v>2422.2199999999998</v>
      </c>
      <c r="BS123" s="2">
        <v>2608.69</v>
      </c>
      <c r="BT123" s="2">
        <v>39515.339999999997</v>
      </c>
      <c r="BU123" s="2">
        <v>314.23</v>
      </c>
      <c r="BV123" s="2">
        <v>215.74</v>
      </c>
    </row>
    <row r="124" spans="2:74" x14ac:dyDescent="0.3">
      <c r="T124" s="1" t="s">
        <v>22</v>
      </c>
      <c r="U124" s="2">
        <v>95.78</v>
      </c>
      <c r="V124" s="2">
        <v>177.64</v>
      </c>
      <c r="W124" s="2">
        <v>127.21</v>
      </c>
      <c r="X124" s="2">
        <v>202.25</v>
      </c>
      <c r="Y124" s="2">
        <v>109.84</v>
      </c>
      <c r="Z124" s="2">
        <v>88.95</v>
      </c>
      <c r="AA124" s="2">
        <v>41.8</v>
      </c>
      <c r="AB124" s="2">
        <v>35.869999999999997</v>
      </c>
      <c r="AC124" s="2">
        <v>88.9</v>
      </c>
      <c r="AD124" s="2">
        <v>156.47999999999999</v>
      </c>
      <c r="AE124" s="2">
        <v>208.65</v>
      </c>
      <c r="AF124" s="2">
        <v>134.24</v>
      </c>
      <c r="AG124" s="2">
        <v>39.83</v>
      </c>
      <c r="AH124" s="2">
        <v>69.59</v>
      </c>
      <c r="AI124" s="2">
        <v>41.8</v>
      </c>
      <c r="AJ124" s="2">
        <v>36.090000000000003</v>
      </c>
      <c r="AM124" s="1" t="s">
        <v>22</v>
      </c>
      <c r="AN124" s="2">
        <v>503.49</v>
      </c>
      <c r="AO124" s="2">
        <v>763.36</v>
      </c>
      <c r="AP124" s="2">
        <v>685.79</v>
      </c>
      <c r="AQ124" s="2">
        <v>1080.46</v>
      </c>
      <c r="AR124" s="2">
        <v>526.92999999999995</v>
      </c>
      <c r="AS124" s="2">
        <v>421.17</v>
      </c>
      <c r="AT124" s="2">
        <v>195.72</v>
      </c>
      <c r="AU124" s="2">
        <v>119.86</v>
      </c>
      <c r="AV124" s="2">
        <v>279.56</v>
      </c>
      <c r="AW124" s="2">
        <v>599.61</v>
      </c>
      <c r="AX124" s="2">
        <v>746.95</v>
      </c>
      <c r="AY124" s="2">
        <v>679.21</v>
      </c>
      <c r="AZ124" s="2">
        <v>358.49</v>
      </c>
      <c r="BA124" s="2">
        <v>328.73</v>
      </c>
      <c r="BB124" s="2">
        <v>195.71</v>
      </c>
      <c r="BC124" s="2">
        <v>121.52</v>
      </c>
      <c r="BF124" s="1" t="s">
        <v>22</v>
      </c>
      <c r="BG124" s="2">
        <v>342.8</v>
      </c>
      <c r="BH124" s="2">
        <v>344.75</v>
      </c>
      <c r="BI124" s="2">
        <v>302.07</v>
      </c>
      <c r="BJ124" s="2">
        <v>283.75</v>
      </c>
      <c r="BK124" s="2">
        <v>294.39999999999998</v>
      </c>
      <c r="BL124" s="2">
        <v>240.54</v>
      </c>
      <c r="BM124" s="2">
        <v>472.31</v>
      </c>
      <c r="BN124" s="2">
        <v>546.08000000000004</v>
      </c>
      <c r="BO124" s="2">
        <v>942.51</v>
      </c>
      <c r="BP124" s="2">
        <v>60626.58</v>
      </c>
      <c r="BQ124" s="2">
        <v>1059.8499999999999</v>
      </c>
      <c r="BR124" s="2">
        <v>9630.58</v>
      </c>
      <c r="BS124" s="2">
        <v>12296.1</v>
      </c>
      <c r="BT124" s="2">
        <v>12289.02</v>
      </c>
      <c r="BU124" s="2">
        <v>319.11</v>
      </c>
      <c r="BV124" s="2">
        <v>323.49</v>
      </c>
    </row>
    <row r="125" spans="2:74" x14ac:dyDescent="0.3">
      <c r="T125" s="1" t="s">
        <v>23</v>
      </c>
      <c r="U125" s="2">
        <v>375.93</v>
      </c>
      <c r="V125" s="2">
        <v>695.75</v>
      </c>
      <c r="W125" s="2">
        <v>594.13</v>
      </c>
      <c r="X125" s="2">
        <v>532.96</v>
      </c>
      <c r="Y125" s="2">
        <v>471.85</v>
      </c>
      <c r="Z125" s="2">
        <v>463.01</v>
      </c>
      <c r="AA125" s="2">
        <v>203.1</v>
      </c>
      <c r="AB125" s="2">
        <v>205.18</v>
      </c>
      <c r="AC125" s="2">
        <v>310.79000000000002</v>
      </c>
      <c r="AD125" s="2">
        <v>605.96</v>
      </c>
      <c r="AE125" s="2">
        <v>668.26</v>
      </c>
      <c r="AF125" s="2">
        <v>605.13</v>
      </c>
      <c r="AG125" s="2">
        <v>517.79</v>
      </c>
      <c r="AH125" s="2">
        <v>505.61</v>
      </c>
      <c r="AI125" s="2">
        <v>197.91</v>
      </c>
      <c r="AJ125" s="2">
        <v>181.81</v>
      </c>
      <c r="AM125" s="1" t="s">
        <v>23</v>
      </c>
      <c r="AN125" s="2">
        <v>1357.72</v>
      </c>
      <c r="AO125" s="2">
        <v>2470.17</v>
      </c>
      <c r="AP125" s="2">
        <v>2250.67</v>
      </c>
      <c r="AQ125" s="2">
        <v>2663.09</v>
      </c>
      <c r="AR125" s="2">
        <v>2282.85</v>
      </c>
      <c r="AS125" s="2">
        <v>2235.79</v>
      </c>
      <c r="AT125" s="2">
        <v>939.3</v>
      </c>
      <c r="AU125" s="2">
        <v>734.31</v>
      </c>
      <c r="AV125" s="2">
        <v>1534.63</v>
      </c>
      <c r="AW125" s="2">
        <v>2242.1999999999998</v>
      </c>
      <c r="AX125" s="2">
        <v>2611.94</v>
      </c>
      <c r="AY125" s="2">
        <v>3038.07</v>
      </c>
      <c r="AZ125" s="2">
        <v>2460.5100000000002</v>
      </c>
      <c r="BA125" s="2">
        <v>2398.59</v>
      </c>
      <c r="BB125" s="2">
        <v>915.09</v>
      </c>
      <c r="BC125" s="2">
        <v>661.29</v>
      </c>
      <c r="BF125" s="1" t="s">
        <v>23</v>
      </c>
      <c r="BG125" s="2">
        <v>318.58</v>
      </c>
      <c r="BH125" s="2">
        <v>361.8</v>
      </c>
      <c r="BI125" s="2">
        <v>286.60000000000002</v>
      </c>
      <c r="BJ125" s="2">
        <v>294.92</v>
      </c>
      <c r="BK125" s="2">
        <v>284.93</v>
      </c>
      <c r="BL125" s="2">
        <v>271.52999999999997</v>
      </c>
      <c r="BM125" s="2">
        <v>976.47</v>
      </c>
      <c r="BN125" s="2">
        <v>636.70000000000005</v>
      </c>
      <c r="BO125" s="2">
        <v>742.77</v>
      </c>
      <c r="BP125" s="2">
        <v>1115.72</v>
      </c>
      <c r="BQ125" s="2">
        <v>693.63</v>
      </c>
      <c r="BR125" s="2">
        <v>1131.69</v>
      </c>
      <c r="BS125" s="2">
        <v>2082.63</v>
      </c>
      <c r="BT125" s="2">
        <v>2347.56</v>
      </c>
      <c r="BU125" s="2">
        <v>300</v>
      </c>
      <c r="BV125" s="2">
        <v>305.62</v>
      </c>
    </row>
    <row r="126" spans="2:74" x14ac:dyDescent="0.3">
      <c r="T126" s="1" t="s">
        <v>24</v>
      </c>
      <c r="U126" s="2">
        <v>71.239999999999995</v>
      </c>
      <c r="V126" s="2">
        <v>102.89</v>
      </c>
      <c r="W126" s="2">
        <v>139.62</v>
      </c>
      <c r="X126" s="2">
        <v>133.44</v>
      </c>
      <c r="Y126" s="2">
        <v>98.11</v>
      </c>
      <c r="Z126" s="2">
        <v>84.37</v>
      </c>
      <c r="AA126" s="2">
        <v>51.12</v>
      </c>
      <c r="AB126" s="2">
        <v>30.83</v>
      </c>
      <c r="AC126" s="2">
        <v>55.53</v>
      </c>
      <c r="AD126" s="2">
        <v>74.959999999999994</v>
      </c>
      <c r="AE126" s="2">
        <v>98.98</v>
      </c>
      <c r="AF126" s="2">
        <v>92.36</v>
      </c>
      <c r="AG126" s="2">
        <v>86.17</v>
      </c>
      <c r="AH126" s="2">
        <v>69.91</v>
      </c>
      <c r="AI126" s="2">
        <v>45.43</v>
      </c>
      <c r="AJ126" s="2">
        <v>13.77</v>
      </c>
      <c r="AM126" s="1" t="s">
        <v>24</v>
      </c>
      <c r="AN126" s="2">
        <v>257.99</v>
      </c>
      <c r="AO126" s="2">
        <v>442.06</v>
      </c>
      <c r="AP126" s="2">
        <v>546.39</v>
      </c>
      <c r="AQ126" s="2">
        <v>568.47</v>
      </c>
      <c r="AR126" s="2">
        <v>378.52</v>
      </c>
      <c r="AS126" s="2">
        <v>317.85000000000002</v>
      </c>
      <c r="AT126" s="2">
        <v>186.43</v>
      </c>
      <c r="AU126" s="2">
        <v>89.83</v>
      </c>
      <c r="AV126" s="2">
        <v>219.2</v>
      </c>
      <c r="AW126" s="2">
        <v>333.37</v>
      </c>
      <c r="AX126" s="2">
        <v>455.75</v>
      </c>
      <c r="AY126" s="2">
        <v>431.53</v>
      </c>
      <c r="AZ126" s="2">
        <v>323.33999999999997</v>
      </c>
      <c r="BA126" s="2">
        <v>257.7</v>
      </c>
      <c r="BB126" s="2">
        <v>165.19</v>
      </c>
      <c r="BC126" s="2">
        <v>44.2</v>
      </c>
      <c r="BF126" s="1" t="s">
        <v>24</v>
      </c>
      <c r="BG126" s="2">
        <v>324.29000000000002</v>
      </c>
      <c r="BH126" s="2">
        <v>375.26</v>
      </c>
      <c r="BI126" s="2">
        <v>345.96</v>
      </c>
      <c r="BJ126" s="2">
        <v>316.62</v>
      </c>
      <c r="BK126" s="2">
        <v>250.68</v>
      </c>
      <c r="BL126" s="2">
        <v>288.22000000000003</v>
      </c>
      <c r="BM126" s="2">
        <v>470.19</v>
      </c>
      <c r="BN126" s="2">
        <v>339.5</v>
      </c>
      <c r="BO126" s="2">
        <v>846.28</v>
      </c>
      <c r="BP126" s="2">
        <v>1667.91</v>
      </c>
      <c r="BQ126" s="2">
        <v>968.65</v>
      </c>
      <c r="BR126" s="2">
        <v>2041.6</v>
      </c>
      <c r="BS126" s="2">
        <v>1628.17</v>
      </c>
      <c r="BT126" s="2">
        <v>2785.21</v>
      </c>
      <c r="BU126" s="2">
        <v>328.26</v>
      </c>
      <c r="BV126" s="2">
        <v>373</v>
      </c>
    </row>
    <row r="127" spans="2:74" x14ac:dyDescent="0.3">
      <c r="T127" s="1" t="s">
        <v>25</v>
      </c>
      <c r="U127" s="2">
        <v>246.08</v>
      </c>
      <c r="V127" s="2">
        <v>327.64</v>
      </c>
      <c r="W127" s="2">
        <v>222.87</v>
      </c>
      <c r="X127" s="2">
        <v>324.91000000000003</v>
      </c>
      <c r="Y127" s="2">
        <v>195.28</v>
      </c>
      <c r="Z127" s="2">
        <v>162.6</v>
      </c>
      <c r="AA127" s="2">
        <v>36.979999999999997</v>
      </c>
      <c r="AB127" s="2">
        <v>110.07</v>
      </c>
      <c r="AC127" s="2">
        <v>268.52</v>
      </c>
      <c r="AD127" s="2">
        <v>282.08</v>
      </c>
      <c r="AE127" s="2">
        <v>247.91</v>
      </c>
      <c r="AF127" s="2">
        <v>179.85</v>
      </c>
      <c r="AG127" s="2">
        <v>189.92</v>
      </c>
      <c r="AH127" s="2">
        <v>157.16</v>
      </c>
      <c r="AI127" s="2">
        <v>131.30000000000001</v>
      </c>
      <c r="AJ127" s="2">
        <v>68.150000000000006</v>
      </c>
      <c r="AM127" s="1" t="s">
        <v>25</v>
      </c>
      <c r="AN127" s="2">
        <v>842.08</v>
      </c>
      <c r="AO127" s="2">
        <v>812.59</v>
      </c>
      <c r="AP127" s="2">
        <v>1001.89</v>
      </c>
      <c r="AQ127" s="2">
        <v>1409.57</v>
      </c>
      <c r="AR127" s="2">
        <v>777.91</v>
      </c>
      <c r="AS127" s="2">
        <v>620.29</v>
      </c>
      <c r="AT127" s="2">
        <v>332.83</v>
      </c>
      <c r="AU127" s="2">
        <v>153.43</v>
      </c>
      <c r="AV127" s="2">
        <v>942.52</v>
      </c>
      <c r="AW127" s="2">
        <v>899.17</v>
      </c>
      <c r="AX127" s="2">
        <v>975.87</v>
      </c>
      <c r="AY127" s="2">
        <v>826.85</v>
      </c>
      <c r="AZ127" s="2">
        <v>735.06</v>
      </c>
      <c r="BA127" s="2">
        <v>588.79999999999995</v>
      </c>
      <c r="BB127" s="2">
        <v>479.47</v>
      </c>
      <c r="BC127" s="2">
        <v>190.18</v>
      </c>
      <c r="BF127" s="1" t="s">
        <v>25</v>
      </c>
      <c r="BG127" s="2">
        <v>275.64</v>
      </c>
      <c r="BH127" s="2">
        <v>291.37</v>
      </c>
      <c r="BI127" s="2">
        <v>308.39999999999998</v>
      </c>
      <c r="BJ127" s="2">
        <v>356.33</v>
      </c>
      <c r="BK127" s="2">
        <v>340.95</v>
      </c>
      <c r="BL127" s="2">
        <v>286.67</v>
      </c>
      <c r="BM127" s="2">
        <v>709.07</v>
      </c>
      <c r="BN127" s="2">
        <v>516.21</v>
      </c>
      <c r="BO127" s="2">
        <v>1076.3800000000001</v>
      </c>
      <c r="BP127" s="2">
        <v>1351.29</v>
      </c>
      <c r="BQ127" s="2">
        <v>1272.3</v>
      </c>
      <c r="BR127" s="2">
        <v>1602.46</v>
      </c>
      <c r="BS127" s="2">
        <v>179514.93</v>
      </c>
      <c r="BT127" s="2">
        <v>4260.5</v>
      </c>
      <c r="BU127" s="2">
        <v>233.27</v>
      </c>
      <c r="BV127" s="2">
        <v>258.79000000000002</v>
      </c>
    </row>
    <row r="128" spans="2:74" x14ac:dyDescent="0.3">
      <c r="T128" s="1" t="s">
        <v>26</v>
      </c>
      <c r="U128" s="2">
        <v>98.51</v>
      </c>
      <c r="V128" s="2">
        <v>97.33</v>
      </c>
      <c r="W128" s="2">
        <v>88.5</v>
      </c>
      <c r="X128" s="2">
        <v>78.260000000000005</v>
      </c>
      <c r="Y128" s="2">
        <v>81.849999999999994</v>
      </c>
      <c r="Z128" s="2">
        <v>81.849999999999994</v>
      </c>
      <c r="AA128" s="2">
        <v>24.4</v>
      </c>
      <c r="AB128" s="2">
        <v>48.97</v>
      </c>
      <c r="AC128" s="2">
        <v>77.19</v>
      </c>
      <c r="AD128" s="2">
        <v>68.510000000000005</v>
      </c>
      <c r="AE128" s="2">
        <v>78.95</v>
      </c>
      <c r="AF128" s="2">
        <v>28.13</v>
      </c>
      <c r="AG128" s="2">
        <v>57.93</v>
      </c>
      <c r="AH128" s="2">
        <v>57.93</v>
      </c>
      <c r="AI128" s="2">
        <v>26.27</v>
      </c>
      <c r="AJ128" s="2">
        <v>23.67</v>
      </c>
      <c r="AM128" s="1" t="s">
        <v>26</v>
      </c>
      <c r="AN128" s="2">
        <v>391.81</v>
      </c>
      <c r="AO128" s="2">
        <v>383.42</v>
      </c>
      <c r="AP128" s="2">
        <v>309.66000000000003</v>
      </c>
      <c r="AQ128" s="2">
        <v>296.95</v>
      </c>
      <c r="AR128" s="2">
        <v>298.01</v>
      </c>
      <c r="AS128" s="2">
        <v>298.01</v>
      </c>
      <c r="AT128" s="2">
        <v>75.14</v>
      </c>
      <c r="AU128" s="2">
        <v>133.78</v>
      </c>
      <c r="AV128" s="2">
        <v>297.93</v>
      </c>
      <c r="AW128" s="2">
        <v>262.24</v>
      </c>
      <c r="AX128" s="2">
        <v>296.52999999999997</v>
      </c>
      <c r="AY128" s="2">
        <v>105.52</v>
      </c>
      <c r="AZ128" s="2">
        <v>210.39</v>
      </c>
      <c r="BA128" s="2">
        <v>210.39</v>
      </c>
      <c r="BB128" s="2">
        <v>82.09</v>
      </c>
      <c r="BC128" s="2">
        <v>71.97</v>
      </c>
      <c r="BF128" s="1" t="s">
        <v>26</v>
      </c>
      <c r="BG128" s="2">
        <v>821.97</v>
      </c>
      <c r="BH128" s="2">
        <v>730.06</v>
      </c>
      <c r="BI128" s="2">
        <v>667.04</v>
      </c>
      <c r="BJ128" s="2">
        <v>7162.91</v>
      </c>
      <c r="BK128" s="2">
        <v>470.59</v>
      </c>
      <c r="BL128" s="2">
        <v>486.18</v>
      </c>
      <c r="BM128" s="2">
        <v>1343.97</v>
      </c>
      <c r="BN128" s="2">
        <v>1598.77</v>
      </c>
      <c r="BO128" s="2">
        <v>810.13</v>
      </c>
      <c r="BP128" s="2">
        <v>783.43</v>
      </c>
      <c r="BQ128" s="2">
        <v>810.13</v>
      </c>
      <c r="BR128" s="2">
        <v>783.43</v>
      </c>
      <c r="BS128" s="2">
        <v>14920.33</v>
      </c>
      <c r="BT128" s="2">
        <v>8416.09</v>
      </c>
      <c r="BU128" s="2">
        <v>400.85</v>
      </c>
      <c r="BV128" s="2">
        <v>436.32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78.22</v>
      </c>
      <c r="V135" s="2">
        <v>78.89</v>
      </c>
      <c r="W135" s="2">
        <v>81.72</v>
      </c>
      <c r="X135" s="2">
        <v>26.03</v>
      </c>
      <c r="Y135" s="2">
        <v>43.3</v>
      </c>
      <c r="Z135" s="2">
        <v>43.62</v>
      </c>
      <c r="AA135" s="2">
        <v>12.03</v>
      </c>
      <c r="AB135" s="2">
        <v>16.05</v>
      </c>
      <c r="AC135" s="2">
        <v>21.68</v>
      </c>
      <c r="AD135" s="2">
        <v>18.43</v>
      </c>
      <c r="AE135" s="2">
        <v>21.68</v>
      </c>
      <c r="AF135" s="2">
        <v>30.41</v>
      </c>
      <c r="AG135" s="2">
        <v>7.57</v>
      </c>
      <c r="AH135" s="2">
        <v>6.91</v>
      </c>
      <c r="AI135" s="2">
        <v>191.88</v>
      </c>
      <c r="AJ135" s="2">
        <v>234.8</v>
      </c>
      <c r="AM135" s="1" t="s">
        <v>19</v>
      </c>
      <c r="AN135" s="2">
        <v>267.58</v>
      </c>
      <c r="AO135" s="2">
        <v>285.81</v>
      </c>
      <c r="AP135" s="2">
        <v>348.08</v>
      </c>
      <c r="AQ135" s="2">
        <v>459.77</v>
      </c>
      <c r="AR135" s="2">
        <v>240.9</v>
      </c>
      <c r="AS135" s="2">
        <v>240.58</v>
      </c>
      <c r="AT135" s="2">
        <v>215.47</v>
      </c>
      <c r="AU135" s="2">
        <v>287.05</v>
      </c>
      <c r="AV135" s="2">
        <v>379.42</v>
      </c>
      <c r="AW135" s="2">
        <v>322.47000000000003</v>
      </c>
      <c r="AX135" s="2">
        <v>379.42</v>
      </c>
      <c r="AY135" s="2">
        <v>300.69</v>
      </c>
      <c r="AZ135" s="2">
        <v>132.43</v>
      </c>
      <c r="BA135" s="2">
        <v>123.29</v>
      </c>
      <c r="BB135" s="2">
        <v>334.52</v>
      </c>
      <c r="BC135" s="2">
        <v>410.6</v>
      </c>
    </row>
    <row r="136" spans="20:55" x14ac:dyDescent="0.3">
      <c r="T136" s="1" t="s">
        <v>20</v>
      </c>
      <c r="U136" s="2">
        <v>37.380000000000003</v>
      </c>
      <c r="V136" s="2">
        <v>26.75</v>
      </c>
      <c r="W136" s="2">
        <v>37.61</v>
      </c>
      <c r="X136" s="2">
        <v>27.95</v>
      </c>
      <c r="Y136" s="2">
        <v>33.86</v>
      </c>
      <c r="Z136" s="2">
        <v>30.15</v>
      </c>
      <c r="AA136" s="2">
        <v>27.73</v>
      </c>
      <c r="AB136" s="2">
        <v>23.75</v>
      </c>
      <c r="AC136" s="2">
        <v>26.2</v>
      </c>
      <c r="AD136" s="2">
        <v>33.11</v>
      </c>
      <c r="AE136" s="2">
        <v>26.2</v>
      </c>
      <c r="AF136" s="2">
        <v>32.67</v>
      </c>
      <c r="AG136" s="2">
        <v>24.3</v>
      </c>
      <c r="AH136" s="2">
        <v>19.86</v>
      </c>
      <c r="AI136" s="2">
        <v>41.57</v>
      </c>
      <c r="AJ136" s="2">
        <v>45.9</v>
      </c>
      <c r="AM136" s="1" t="s">
        <v>20</v>
      </c>
      <c r="AN136" s="2">
        <v>140.46</v>
      </c>
      <c r="AO136" s="2">
        <v>132.15</v>
      </c>
      <c r="AP136" s="2">
        <v>203.99</v>
      </c>
      <c r="AQ136" s="2">
        <v>94.59</v>
      </c>
      <c r="AR136" s="2">
        <v>131.18</v>
      </c>
      <c r="AS136" s="2">
        <v>116.15</v>
      </c>
      <c r="AT136" s="2">
        <v>108.76</v>
      </c>
      <c r="AU136" s="2">
        <v>115.75</v>
      </c>
      <c r="AV136" s="2">
        <v>124.2</v>
      </c>
      <c r="AW136" s="2">
        <v>161.59</v>
      </c>
      <c r="AX136" s="2">
        <v>124.2</v>
      </c>
      <c r="AY136" s="2">
        <v>159.22999999999999</v>
      </c>
      <c r="AZ136" s="2">
        <v>114.6</v>
      </c>
      <c r="BA136" s="2">
        <v>93.24</v>
      </c>
      <c r="BB136" s="2">
        <v>148.19</v>
      </c>
      <c r="BC136" s="2">
        <v>154.59</v>
      </c>
    </row>
    <row r="137" spans="20:55" x14ac:dyDescent="0.3">
      <c r="T137" s="1" t="s">
        <v>21</v>
      </c>
      <c r="U137" s="2">
        <v>226.5</v>
      </c>
      <c r="V137" s="2">
        <v>135.88999999999999</v>
      </c>
      <c r="W137" s="2">
        <v>161.09</v>
      </c>
      <c r="X137" s="2">
        <v>240.31</v>
      </c>
      <c r="Y137" s="2">
        <v>207.61</v>
      </c>
      <c r="Z137" s="2">
        <v>206.57</v>
      </c>
      <c r="AA137" s="2">
        <v>166.16</v>
      </c>
      <c r="AB137" s="2">
        <v>165.38</v>
      </c>
      <c r="AC137" s="2">
        <v>108.68</v>
      </c>
      <c r="AD137" s="2">
        <v>125.72</v>
      </c>
      <c r="AE137" s="2">
        <v>90.69</v>
      </c>
      <c r="AF137" s="2">
        <v>104.45</v>
      </c>
      <c r="AG137" s="2">
        <v>86.98</v>
      </c>
      <c r="AH137" s="2">
        <v>63.25</v>
      </c>
      <c r="AI137" s="2">
        <v>177.13</v>
      </c>
      <c r="AJ137" s="2">
        <v>183.08</v>
      </c>
      <c r="AM137" s="1" t="s">
        <v>21</v>
      </c>
      <c r="AN137" s="2">
        <v>719.11</v>
      </c>
      <c r="AO137" s="2">
        <v>379.88</v>
      </c>
      <c r="AP137" s="2">
        <v>948.31</v>
      </c>
      <c r="AQ137" s="2">
        <v>394.83</v>
      </c>
      <c r="AR137" s="2">
        <v>750.85</v>
      </c>
      <c r="AS137" s="2">
        <v>791.58</v>
      </c>
      <c r="AT137" s="2">
        <v>815.82</v>
      </c>
      <c r="AU137" s="2">
        <v>865.21</v>
      </c>
      <c r="AV137" s="2">
        <v>520.07000000000005</v>
      </c>
      <c r="AW137" s="2">
        <v>608.44000000000005</v>
      </c>
      <c r="AX137" s="2">
        <v>429.21</v>
      </c>
      <c r="AY137" s="2">
        <v>497.05</v>
      </c>
      <c r="AZ137" s="2">
        <v>408.78</v>
      </c>
      <c r="BA137" s="2">
        <v>297.64999999999998</v>
      </c>
      <c r="BB137" s="2">
        <v>448.37</v>
      </c>
      <c r="BC137" s="2">
        <v>521.08000000000004</v>
      </c>
    </row>
    <row r="138" spans="20:55" x14ac:dyDescent="0.3">
      <c r="T138" s="1" t="s">
        <v>22</v>
      </c>
      <c r="U138" s="2">
        <v>39.909999999999997</v>
      </c>
      <c r="V138" s="2">
        <v>37.04</v>
      </c>
      <c r="W138" s="2">
        <v>71.06</v>
      </c>
      <c r="X138" s="2">
        <v>62.59</v>
      </c>
      <c r="Y138" s="2">
        <v>45.43</v>
      </c>
      <c r="Z138" s="2">
        <v>74.52</v>
      </c>
      <c r="AA138" s="2">
        <v>61.29</v>
      </c>
      <c r="AB138" s="2">
        <v>40.68</v>
      </c>
      <c r="AC138" s="2">
        <v>42.25</v>
      </c>
      <c r="AD138" s="2">
        <v>15.32</v>
      </c>
      <c r="AE138" s="2">
        <v>34.21</v>
      </c>
      <c r="AF138" s="2">
        <v>26.76</v>
      </c>
      <c r="AG138" s="2">
        <v>19.899999999999999</v>
      </c>
      <c r="AH138" s="2">
        <v>19.899999999999999</v>
      </c>
      <c r="AI138" s="2">
        <v>44.84</v>
      </c>
      <c r="AJ138" s="2">
        <v>45.11</v>
      </c>
      <c r="AM138" s="1" t="s">
        <v>22</v>
      </c>
      <c r="AN138" s="2">
        <v>209.79</v>
      </c>
      <c r="AO138" s="2">
        <v>116.48</v>
      </c>
      <c r="AP138" s="2">
        <v>305.33999999999997</v>
      </c>
      <c r="AQ138" s="2">
        <v>239.84</v>
      </c>
      <c r="AR138" s="2">
        <v>244.92</v>
      </c>
      <c r="AS138" s="2">
        <v>266.77</v>
      </c>
      <c r="AT138" s="2">
        <v>327.41000000000003</v>
      </c>
      <c r="AU138" s="2">
        <v>205.82</v>
      </c>
      <c r="AV138" s="2">
        <v>202.66</v>
      </c>
      <c r="AW138" s="2">
        <v>137.88</v>
      </c>
      <c r="AX138" s="2">
        <v>161.99</v>
      </c>
      <c r="AY138" s="2">
        <v>126.44</v>
      </c>
      <c r="AZ138" s="2">
        <v>93.2</v>
      </c>
      <c r="BA138" s="2">
        <v>93.2</v>
      </c>
      <c r="BB138" s="2">
        <v>149.83000000000001</v>
      </c>
      <c r="BC138" s="2">
        <v>151.9</v>
      </c>
    </row>
    <row r="139" spans="20:55" x14ac:dyDescent="0.3">
      <c r="T139" s="1" t="s">
        <v>23</v>
      </c>
      <c r="U139" s="2">
        <v>156.63999999999999</v>
      </c>
      <c r="V139" s="2">
        <v>129.5</v>
      </c>
      <c r="W139" s="2">
        <v>278.3</v>
      </c>
      <c r="X139" s="2">
        <v>242.38</v>
      </c>
      <c r="Y139" s="2">
        <v>212.19</v>
      </c>
      <c r="Z139" s="2">
        <v>238.66</v>
      </c>
      <c r="AA139" s="2">
        <v>161.5</v>
      </c>
      <c r="AB139" s="2">
        <v>183.37</v>
      </c>
      <c r="AC139" s="2">
        <v>181.48</v>
      </c>
      <c r="AD139" s="2">
        <v>199.15</v>
      </c>
      <c r="AE139" s="2">
        <v>178.08</v>
      </c>
      <c r="AF139" s="2">
        <v>194.46</v>
      </c>
      <c r="AG139" s="2">
        <v>96.71</v>
      </c>
      <c r="AH139" s="2">
        <v>94.24</v>
      </c>
      <c r="AI139" s="2">
        <v>256.47000000000003</v>
      </c>
      <c r="AJ139" s="2">
        <v>227.26</v>
      </c>
      <c r="AM139" s="1" t="s">
        <v>23</v>
      </c>
      <c r="AN139" s="2">
        <v>565.72</v>
      </c>
      <c r="AO139" s="2">
        <v>639.42999999999995</v>
      </c>
      <c r="AP139" s="2">
        <v>988.07</v>
      </c>
      <c r="AQ139" s="2">
        <v>896.88</v>
      </c>
      <c r="AR139" s="2">
        <v>803.81</v>
      </c>
      <c r="AS139" s="2">
        <v>932.84</v>
      </c>
      <c r="AT139" s="2">
        <v>807</v>
      </c>
      <c r="AU139" s="2">
        <v>920.63</v>
      </c>
      <c r="AV139" s="2">
        <v>878.02</v>
      </c>
      <c r="AW139" s="2">
        <v>946.35</v>
      </c>
      <c r="AX139" s="2">
        <v>859.92</v>
      </c>
      <c r="AY139" s="2">
        <v>922.54</v>
      </c>
      <c r="AZ139" s="2">
        <v>447.29</v>
      </c>
      <c r="BA139" s="2">
        <v>435.76</v>
      </c>
      <c r="BB139" s="2">
        <v>917.89</v>
      </c>
      <c r="BC139" s="2">
        <v>826.62</v>
      </c>
    </row>
    <row r="140" spans="20:55" x14ac:dyDescent="0.3">
      <c r="T140" s="1" t="s">
        <v>24</v>
      </c>
      <c r="U140" s="2">
        <v>29.68</v>
      </c>
      <c r="V140" s="2">
        <v>23.14</v>
      </c>
      <c r="W140" s="2">
        <v>41.15</v>
      </c>
      <c r="X140" s="2">
        <v>29.98</v>
      </c>
      <c r="Y140" s="2">
        <v>49.87</v>
      </c>
      <c r="Z140" s="2">
        <v>35.35</v>
      </c>
      <c r="AA140" s="2">
        <v>40.44</v>
      </c>
      <c r="AB140" s="2">
        <v>27.99</v>
      </c>
      <c r="AC140" s="2">
        <v>37.74</v>
      </c>
      <c r="AD140" s="2">
        <v>33.14</v>
      </c>
      <c r="AE140" s="2">
        <v>32.450000000000003</v>
      </c>
      <c r="AF140" s="2">
        <v>26.89</v>
      </c>
      <c r="AG140" s="2">
        <v>24.34</v>
      </c>
      <c r="AH140" s="2">
        <v>21.63</v>
      </c>
      <c r="AI140" s="2">
        <v>38.53</v>
      </c>
      <c r="AJ140" s="2">
        <v>17.21</v>
      </c>
      <c r="AM140" s="1" t="s">
        <v>24</v>
      </c>
      <c r="AN140" s="2">
        <v>107.5</v>
      </c>
      <c r="AO140" s="2">
        <v>91.33</v>
      </c>
      <c r="AP140" s="2">
        <v>176.82</v>
      </c>
      <c r="AQ140" s="2">
        <v>133.35</v>
      </c>
      <c r="AR140" s="2">
        <v>195.14</v>
      </c>
      <c r="AS140" s="2">
        <v>162.77000000000001</v>
      </c>
      <c r="AT140" s="2">
        <v>172.26</v>
      </c>
      <c r="AU140" s="2">
        <v>130.77000000000001</v>
      </c>
      <c r="AV140" s="2">
        <v>145.58000000000001</v>
      </c>
      <c r="AW140" s="2">
        <v>124.36</v>
      </c>
      <c r="AX140" s="2">
        <v>122.25</v>
      </c>
      <c r="AY140" s="2">
        <v>99.12</v>
      </c>
      <c r="AZ140" s="2">
        <v>88.78</v>
      </c>
      <c r="BA140" s="2">
        <v>78.66</v>
      </c>
      <c r="BB140" s="2">
        <v>112.28</v>
      </c>
      <c r="BC140" s="2">
        <v>55.25</v>
      </c>
    </row>
    <row r="141" spans="20:55" x14ac:dyDescent="0.3">
      <c r="T141" s="1" t="s">
        <v>25</v>
      </c>
      <c r="U141" s="2">
        <v>102.54</v>
      </c>
      <c r="V141" s="2">
        <v>111.88</v>
      </c>
      <c r="W141" s="2">
        <v>131.05000000000001</v>
      </c>
      <c r="X141" s="2">
        <v>112.83</v>
      </c>
      <c r="Y141" s="2">
        <v>79.599999999999994</v>
      </c>
      <c r="Z141" s="2">
        <v>88.54</v>
      </c>
      <c r="AA141" s="2">
        <v>98.46</v>
      </c>
      <c r="AB141" s="2">
        <v>54.5</v>
      </c>
      <c r="AC141" s="2">
        <v>75.11</v>
      </c>
      <c r="AD141" s="2">
        <v>73.05</v>
      </c>
      <c r="AE141" s="2">
        <v>62.54</v>
      </c>
      <c r="AF141" s="2">
        <v>60.44</v>
      </c>
      <c r="AG141" s="2">
        <v>17.61</v>
      </c>
      <c r="AH141" s="2">
        <v>62.53</v>
      </c>
      <c r="AI141" s="2">
        <v>137.59</v>
      </c>
      <c r="AJ141" s="2">
        <v>85.19</v>
      </c>
      <c r="AM141" s="1" t="s">
        <v>25</v>
      </c>
      <c r="AN141" s="2">
        <v>350.87</v>
      </c>
      <c r="AO141" s="2">
        <v>392.72</v>
      </c>
      <c r="AP141" s="2">
        <v>325.04000000000002</v>
      </c>
      <c r="AQ141" s="2">
        <v>359.67</v>
      </c>
      <c r="AR141" s="2">
        <v>357.82</v>
      </c>
      <c r="AS141" s="2">
        <v>348.52</v>
      </c>
      <c r="AT141" s="2">
        <v>427.14</v>
      </c>
      <c r="AU141" s="2">
        <v>250.56</v>
      </c>
      <c r="AV141" s="2">
        <v>299.2</v>
      </c>
      <c r="AW141" s="2">
        <v>282.70999999999998</v>
      </c>
      <c r="AX141" s="2">
        <v>238.57</v>
      </c>
      <c r="AY141" s="2">
        <v>226.46</v>
      </c>
      <c r="AZ141" s="2">
        <v>158.49</v>
      </c>
      <c r="BA141" s="2">
        <v>228.32</v>
      </c>
      <c r="BB141" s="2">
        <v>191.78</v>
      </c>
      <c r="BC141" s="2">
        <v>237.73</v>
      </c>
    </row>
    <row r="142" spans="20:55" x14ac:dyDescent="0.3">
      <c r="T142" s="1" t="s">
        <v>26</v>
      </c>
      <c r="U142" s="2">
        <v>41.05</v>
      </c>
      <c r="V142" s="2">
        <v>32.159999999999997</v>
      </c>
      <c r="W142" s="2">
        <v>38.93</v>
      </c>
      <c r="X142" s="2">
        <v>27.41</v>
      </c>
      <c r="Y142" s="2">
        <v>31.61</v>
      </c>
      <c r="Z142" s="2">
        <v>28.2</v>
      </c>
      <c r="AA142" s="2">
        <v>23.71</v>
      </c>
      <c r="AB142" s="2">
        <v>8.52</v>
      </c>
      <c r="AC142" s="2">
        <v>31.48</v>
      </c>
      <c r="AD142" s="2">
        <v>22.28</v>
      </c>
      <c r="AE142" s="2">
        <v>31.48</v>
      </c>
      <c r="AF142" s="2">
        <v>22.28</v>
      </c>
      <c r="AG142" s="2">
        <v>11.62</v>
      </c>
      <c r="AH142" s="2">
        <v>12.51</v>
      </c>
      <c r="AI142" s="2">
        <v>61.22</v>
      </c>
      <c r="AJ142" s="2">
        <v>29.58</v>
      </c>
      <c r="AM142" s="1" t="s">
        <v>26</v>
      </c>
      <c r="AN142" s="2">
        <v>163.25</v>
      </c>
      <c r="AO142" s="2">
        <v>124.14</v>
      </c>
      <c r="AP142" s="2">
        <v>153.37</v>
      </c>
      <c r="AQ142" s="2">
        <v>104.89</v>
      </c>
      <c r="AR142" s="2">
        <v>110.59</v>
      </c>
      <c r="AS142" s="2">
        <v>105.9</v>
      </c>
      <c r="AT142" s="2">
        <v>89.99</v>
      </c>
      <c r="AU142" s="2">
        <v>31.98</v>
      </c>
      <c r="AV142" s="2">
        <v>114.62</v>
      </c>
      <c r="AW142" s="2">
        <v>80.92</v>
      </c>
      <c r="AX142" s="2">
        <v>114.62</v>
      </c>
      <c r="AY142" s="2">
        <v>80.92</v>
      </c>
      <c r="AZ142" s="2">
        <v>35.78</v>
      </c>
      <c r="BA142" s="2">
        <v>39.090000000000003</v>
      </c>
      <c r="BB142" s="2">
        <v>167.22</v>
      </c>
      <c r="BC142" s="2">
        <v>89.97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48.74</v>
      </c>
      <c r="V149" s="2">
        <v>16.53</v>
      </c>
      <c r="W149" s="2">
        <v>28.37</v>
      </c>
      <c r="X149" s="2">
        <v>8.31</v>
      </c>
      <c r="Y149" s="2">
        <v>2.85</v>
      </c>
      <c r="Z149" s="2">
        <v>2.85</v>
      </c>
      <c r="AA149" s="2">
        <v>5.72</v>
      </c>
      <c r="AB149" s="2">
        <v>14.51</v>
      </c>
      <c r="AC149" s="2">
        <v>74.42</v>
      </c>
      <c r="AD149" s="2">
        <v>10.029999999999999</v>
      </c>
      <c r="AE149" s="2">
        <v>44.82</v>
      </c>
      <c r="AF149" s="2">
        <v>5.01</v>
      </c>
      <c r="AG149" s="2">
        <v>4.2300000000000004</v>
      </c>
      <c r="AH149" s="2">
        <v>4.51</v>
      </c>
      <c r="AI149" s="2">
        <v>4.45</v>
      </c>
      <c r="AJ149" s="2">
        <v>28.89</v>
      </c>
      <c r="AM149" s="1" t="s">
        <v>19</v>
      </c>
      <c r="AN149" s="2">
        <v>174.7</v>
      </c>
      <c r="AO149" s="2">
        <v>76.22</v>
      </c>
      <c r="AP149" s="2">
        <v>157.83000000000001</v>
      </c>
      <c r="AQ149" s="2">
        <v>148.77000000000001</v>
      </c>
      <c r="AR149" s="2">
        <v>49.93</v>
      </c>
      <c r="AS149" s="2">
        <v>49.93</v>
      </c>
      <c r="AT149" s="2">
        <v>100.12</v>
      </c>
      <c r="AU149" s="2">
        <v>25.25</v>
      </c>
      <c r="AV149" s="2">
        <v>285.10000000000002</v>
      </c>
      <c r="AW149" s="2">
        <v>177.22</v>
      </c>
      <c r="AX149" s="2">
        <v>247.22</v>
      </c>
      <c r="AY149" s="2">
        <v>89.7</v>
      </c>
      <c r="AZ149" s="2">
        <v>74.03</v>
      </c>
      <c r="BA149" s="2">
        <v>48.27</v>
      </c>
      <c r="BB149" s="2">
        <v>79.34</v>
      </c>
      <c r="BC149" s="2">
        <v>50.63</v>
      </c>
    </row>
    <row r="150" spans="20:55" x14ac:dyDescent="0.3">
      <c r="T150" s="1" t="s">
        <v>20</v>
      </c>
      <c r="U150" s="2">
        <v>46.95</v>
      </c>
      <c r="V150" s="2">
        <v>38.47</v>
      </c>
      <c r="W150" s="2">
        <v>73.25</v>
      </c>
      <c r="X150" s="2">
        <v>73.69</v>
      </c>
      <c r="Y150" s="2">
        <v>33.07</v>
      </c>
      <c r="Z150" s="2">
        <v>33.07</v>
      </c>
      <c r="AA150" s="2">
        <v>38.4</v>
      </c>
      <c r="AB150" s="2">
        <v>13.64</v>
      </c>
      <c r="AC150" s="2">
        <v>28.57</v>
      </c>
      <c r="AD150" s="2">
        <v>65.77</v>
      </c>
      <c r="AE150" s="2">
        <v>46.91</v>
      </c>
      <c r="AF150" s="2">
        <v>42.65</v>
      </c>
      <c r="AG150" s="2">
        <v>31.06</v>
      </c>
      <c r="AH150" s="2">
        <v>31.09</v>
      </c>
      <c r="AI150" s="2">
        <v>31.68</v>
      </c>
      <c r="AJ150" s="2">
        <v>34.909999999999997</v>
      </c>
      <c r="AM150" s="1" t="s">
        <v>20</v>
      </c>
      <c r="AN150" s="2">
        <v>176.41</v>
      </c>
      <c r="AO150" s="2">
        <v>208.53</v>
      </c>
      <c r="AP150" s="2">
        <v>283.74</v>
      </c>
      <c r="AQ150" s="2">
        <v>288.98</v>
      </c>
      <c r="AR150" s="2">
        <v>156.72999999999999</v>
      </c>
      <c r="AS150" s="2">
        <v>156.72999999999999</v>
      </c>
      <c r="AT150" s="2">
        <v>181.05</v>
      </c>
      <c r="AU150" s="2">
        <v>48.62</v>
      </c>
      <c r="AV150" s="2">
        <v>141.11000000000001</v>
      </c>
      <c r="AW150" s="2">
        <v>222.59</v>
      </c>
      <c r="AX150" s="2">
        <v>180.73</v>
      </c>
      <c r="AY150" s="2">
        <v>207.82</v>
      </c>
      <c r="AZ150" s="2">
        <v>151.46</v>
      </c>
      <c r="BA150" s="2">
        <v>151.43</v>
      </c>
      <c r="BB150" s="2">
        <v>148.71</v>
      </c>
      <c r="BC150" s="2">
        <v>117.57</v>
      </c>
    </row>
    <row r="151" spans="20:55" x14ac:dyDescent="0.3">
      <c r="T151" s="1" t="s">
        <v>21</v>
      </c>
      <c r="U151" s="2">
        <v>134.69999999999999</v>
      </c>
      <c r="V151" s="2">
        <v>123.95</v>
      </c>
      <c r="W151" s="2">
        <v>254.48</v>
      </c>
      <c r="X151" s="2">
        <v>192.06</v>
      </c>
      <c r="Y151" s="2">
        <v>78.08</v>
      </c>
      <c r="Z151" s="2">
        <v>66.290000000000006</v>
      </c>
      <c r="AA151" s="2">
        <v>112.39</v>
      </c>
      <c r="AB151" s="2">
        <v>43.37</v>
      </c>
      <c r="AC151" s="2">
        <v>113.68</v>
      </c>
      <c r="AD151" s="2">
        <v>360.46</v>
      </c>
      <c r="AE151" s="2">
        <v>220.01</v>
      </c>
      <c r="AF151" s="2">
        <v>171.2</v>
      </c>
      <c r="AG151" s="2">
        <v>92.36</v>
      </c>
      <c r="AH151" s="2">
        <v>77.650000000000006</v>
      </c>
      <c r="AI151" s="2">
        <v>82.59</v>
      </c>
      <c r="AJ151" s="2">
        <v>86.16</v>
      </c>
      <c r="AM151" s="1" t="s">
        <v>21</v>
      </c>
      <c r="AN151" s="2">
        <v>426.91</v>
      </c>
      <c r="AO151" s="2">
        <v>727.3</v>
      </c>
      <c r="AP151" s="2">
        <v>918.71</v>
      </c>
      <c r="AQ151" s="2">
        <v>940.39</v>
      </c>
      <c r="AR151" s="2">
        <v>373.41</v>
      </c>
      <c r="AS151" s="2">
        <v>313.57</v>
      </c>
      <c r="AT151" s="2">
        <v>528.08000000000004</v>
      </c>
      <c r="AU151" s="2">
        <v>109.75</v>
      </c>
      <c r="AV151" s="2">
        <v>317.7</v>
      </c>
      <c r="AW151" s="2">
        <v>592.09</v>
      </c>
      <c r="AX151" s="2">
        <v>842.33</v>
      </c>
      <c r="AY151" s="2">
        <v>893.38</v>
      </c>
      <c r="AZ151" s="2">
        <v>446.59</v>
      </c>
      <c r="BA151" s="2">
        <v>369.29</v>
      </c>
      <c r="BB151" s="2">
        <v>386.76</v>
      </c>
      <c r="BC151" s="2">
        <v>245.16</v>
      </c>
    </row>
    <row r="152" spans="20:55" x14ac:dyDescent="0.3">
      <c r="T152" s="1" t="s">
        <v>22</v>
      </c>
      <c r="U152" s="2">
        <v>26.62</v>
      </c>
      <c r="V152" s="2">
        <v>58.61</v>
      </c>
      <c r="W152" s="2">
        <v>55.49</v>
      </c>
      <c r="X152" s="2">
        <v>63.54</v>
      </c>
      <c r="Y152" s="2">
        <v>30.83</v>
      </c>
      <c r="Z152" s="2">
        <v>24.67</v>
      </c>
      <c r="AA152" s="2">
        <v>31.23</v>
      </c>
      <c r="AB152" s="2">
        <v>11.72</v>
      </c>
      <c r="AC152" s="2">
        <v>34.700000000000003</v>
      </c>
      <c r="AD152" s="2">
        <v>82</v>
      </c>
      <c r="AE152" s="2">
        <v>97.43</v>
      </c>
      <c r="AF152" s="2">
        <v>64.2</v>
      </c>
      <c r="AG152" s="2">
        <v>14.14</v>
      </c>
      <c r="AH152" s="2">
        <v>24.71</v>
      </c>
      <c r="AI152" s="2">
        <v>31.23</v>
      </c>
      <c r="AJ152" s="2">
        <v>18.86</v>
      </c>
      <c r="AM152" s="1" t="s">
        <v>22</v>
      </c>
      <c r="AN152" s="2">
        <v>139.72</v>
      </c>
      <c r="AO152" s="2">
        <v>251.64</v>
      </c>
      <c r="AP152" s="2">
        <v>298.61</v>
      </c>
      <c r="AQ152" s="2">
        <v>338.73</v>
      </c>
      <c r="AR152" s="2">
        <v>147.80000000000001</v>
      </c>
      <c r="AS152" s="2">
        <v>116.77</v>
      </c>
      <c r="AT152" s="2">
        <v>146.22</v>
      </c>
      <c r="AU152" s="2">
        <v>39.17</v>
      </c>
      <c r="AV152" s="2">
        <v>109.09</v>
      </c>
      <c r="AW152" s="2">
        <v>314.2</v>
      </c>
      <c r="AX152" s="2">
        <v>348.55</v>
      </c>
      <c r="AY152" s="2">
        <v>324.54000000000002</v>
      </c>
      <c r="AZ152" s="2">
        <v>127.3</v>
      </c>
      <c r="BA152" s="2">
        <v>116.73</v>
      </c>
      <c r="BB152" s="2">
        <v>146.22</v>
      </c>
      <c r="BC152" s="2">
        <v>63.52</v>
      </c>
    </row>
    <row r="153" spans="20:55" x14ac:dyDescent="0.3">
      <c r="T153" s="1" t="s">
        <v>23</v>
      </c>
      <c r="U153" s="2">
        <v>102.62</v>
      </c>
      <c r="V153" s="2">
        <v>226.18</v>
      </c>
      <c r="W153" s="2">
        <v>269.38</v>
      </c>
      <c r="X153" s="2">
        <v>231.22</v>
      </c>
      <c r="Y153" s="2">
        <v>188.26</v>
      </c>
      <c r="Z153" s="2">
        <v>185.44</v>
      </c>
      <c r="AA153" s="2">
        <v>133.66</v>
      </c>
      <c r="AB153" s="2">
        <v>66.55</v>
      </c>
      <c r="AC153" s="2">
        <v>96.91</v>
      </c>
      <c r="AD153" s="2">
        <v>213.59</v>
      </c>
      <c r="AE153" s="2">
        <v>285.91000000000003</v>
      </c>
      <c r="AF153" s="2">
        <v>230.38</v>
      </c>
      <c r="AG153" s="2">
        <v>145.63</v>
      </c>
      <c r="AH153" s="2">
        <v>142.66</v>
      </c>
      <c r="AI153" s="2">
        <v>131.08000000000001</v>
      </c>
      <c r="AJ153" s="2">
        <v>64.03</v>
      </c>
      <c r="AM153" s="1" t="s">
        <v>23</v>
      </c>
      <c r="AN153" s="2">
        <v>370.64</v>
      </c>
      <c r="AO153" s="2">
        <v>803.04</v>
      </c>
      <c r="AP153" s="2">
        <v>1020.02</v>
      </c>
      <c r="AQ153" s="2">
        <v>1154.78</v>
      </c>
      <c r="AR153" s="2">
        <v>910.24</v>
      </c>
      <c r="AS153" s="2">
        <v>894.86</v>
      </c>
      <c r="AT153" s="2">
        <v>618.14</v>
      </c>
      <c r="AU153" s="2">
        <v>238.16</v>
      </c>
      <c r="AV153" s="2">
        <v>478.16</v>
      </c>
      <c r="AW153" s="2">
        <v>790.34</v>
      </c>
      <c r="AX153" s="2">
        <v>1116.8900000000001</v>
      </c>
      <c r="AY153" s="2">
        <v>1155.6199999999999</v>
      </c>
      <c r="AZ153" s="2">
        <v>691.57</v>
      </c>
      <c r="BA153" s="2">
        <v>676.34</v>
      </c>
      <c r="BB153" s="2">
        <v>606.02</v>
      </c>
      <c r="BC153" s="2">
        <v>232.91</v>
      </c>
    </row>
    <row r="154" spans="20:55" x14ac:dyDescent="0.3">
      <c r="T154" s="1" t="s">
        <v>24</v>
      </c>
      <c r="U154" s="2">
        <v>23.98</v>
      </c>
      <c r="V154" s="2">
        <v>36.06</v>
      </c>
      <c r="W154" s="2">
        <v>42.29</v>
      </c>
      <c r="X154" s="2">
        <v>34.85</v>
      </c>
      <c r="Y154" s="2">
        <v>31.43</v>
      </c>
      <c r="Z154" s="2">
        <v>27.33</v>
      </c>
      <c r="AA154" s="2">
        <v>21.38</v>
      </c>
      <c r="AB154" s="2">
        <v>10.62</v>
      </c>
      <c r="AC154" s="2">
        <v>7.5</v>
      </c>
      <c r="AD154" s="2">
        <v>41.75</v>
      </c>
      <c r="AE154" s="2">
        <v>21.16</v>
      </c>
      <c r="AF154" s="2">
        <v>41.73</v>
      </c>
      <c r="AG154" s="2">
        <v>20.36</v>
      </c>
      <c r="AH154" s="2">
        <v>16.7</v>
      </c>
      <c r="AI154" s="2">
        <v>19.5</v>
      </c>
      <c r="AJ154" s="2">
        <v>7.67</v>
      </c>
      <c r="AM154" s="1" t="s">
        <v>24</v>
      </c>
      <c r="AN154" s="2">
        <v>86.83</v>
      </c>
      <c r="AO154" s="2">
        <v>154.77000000000001</v>
      </c>
      <c r="AP154" s="2">
        <v>165.49</v>
      </c>
      <c r="AQ154" s="2">
        <v>148.30000000000001</v>
      </c>
      <c r="AR154" s="2">
        <v>121.2</v>
      </c>
      <c r="AS154" s="2">
        <v>102.93</v>
      </c>
      <c r="AT154" s="2">
        <v>77.97</v>
      </c>
      <c r="AU154" s="2">
        <v>30.93</v>
      </c>
      <c r="AV154" s="2">
        <v>29.58</v>
      </c>
      <c r="AW154" s="2">
        <v>185.53</v>
      </c>
      <c r="AX154" s="2">
        <v>97.24</v>
      </c>
      <c r="AY154" s="2">
        <v>194.76</v>
      </c>
      <c r="AZ154" s="2">
        <v>76.36</v>
      </c>
      <c r="BA154" s="2">
        <v>61.56</v>
      </c>
      <c r="BB154" s="2">
        <v>70.89</v>
      </c>
      <c r="BC154" s="2">
        <v>24.62</v>
      </c>
    </row>
    <row r="155" spans="20:55" x14ac:dyDescent="0.3">
      <c r="T155" s="1" t="s">
        <v>25</v>
      </c>
      <c r="U155" s="2">
        <v>53.92</v>
      </c>
      <c r="V155" s="2">
        <v>49.58</v>
      </c>
      <c r="W155" s="2">
        <v>51.99</v>
      </c>
      <c r="X155" s="2">
        <v>63.99</v>
      </c>
      <c r="Y155" s="2">
        <v>42.65</v>
      </c>
      <c r="Z155" s="2">
        <v>34.9</v>
      </c>
      <c r="AA155" s="2">
        <v>4.54</v>
      </c>
      <c r="AB155" s="2">
        <v>15.05</v>
      </c>
      <c r="AC155" s="2">
        <v>51.13</v>
      </c>
      <c r="AD155" s="2">
        <v>67.010000000000005</v>
      </c>
      <c r="AE155" s="2">
        <v>53.01</v>
      </c>
      <c r="AF155" s="2">
        <v>60</v>
      </c>
      <c r="AG155" s="2">
        <v>71.290000000000006</v>
      </c>
      <c r="AH155" s="2">
        <v>58.08</v>
      </c>
      <c r="AI155" s="2">
        <v>17.3</v>
      </c>
      <c r="AJ155" s="2">
        <v>16.53</v>
      </c>
      <c r="AM155" s="1" t="s">
        <v>25</v>
      </c>
      <c r="AN155" s="2">
        <v>184.35</v>
      </c>
      <c r="AO155" s="2">
        <v>122.92</v>
      </c>
      <c r="AP155" s="2">
        <v>233.35</v>
      </c>
      <c r="AQ155" s="2">
        <v>277.23</v>
      </c>
      <c r="AR155" s="2">
        <v>169.79</v>
      </c>
      <c r="AS155" s="2">
        <v>133.08000000000001</v>
      </c>
      <c r="AT155" s="2">
        <v>40.82</v>
      </c>
      <c r="AU155" s="2">
        <v>20.98</v>
      </c>
      <c r="AV155" s="2">
        <v>179.27</v>
      </c>
      <c r="AW155" s="2">
        <v>213.49</v>
      </c>
      <c r="AX155" s="2">
        <v>208.41</v>
      </c>
      <c r="AY155" s="2">
        <v>275.57</v>
      </c>
      <c r="AZ155" s="2">
        <v>275.77999999999997</v>
      </c>
      <c r="BA155" s="2">
        <v>217.54</v>
      </c>
      <c r="BB155" s="2">
        <v>63.16</v>
      </c>
      <c r="BC155" s="2">
        <v>46.12</v>
      </c>
    </row>
    <row r="156" spans="20:55" x14ac:dyDescent="0.3">
      <c r="T156" s="1" t="s">
        <v>26</v>
      </c>
      <c r="U156" s="2">
        <v>9.69</v>
      </c>
      <c r="V156" s="2">
        <v>10.17</v>
      </c>
      <c r="W156" s="2">
        <v>17.739999999999998</v>
      </c>
      <c r="X156" s="2">
        <v>2.89</v>
      </c>
      <c r="Y156" s="2">
        <v>2.35</v>
      </c>
      <c r="Z156" s="2">
        <v>2.35</v>
      </c>
      <c r="AA156" s="2">
        <v>0</v>
      </c>
      <c r="AB156" s="2">
        <v>5.15</v>
      </c>
      <c r="AC156" s="2">
        <v>17.78</v>
      </c>
      <c r="AD156" s="2">
        <v>18.64</v>
      </c>
      <c r="AE156" s="2">
        <v>28.79</v>
      </c>
      <c r="AF156" s="2">
        <v>2.92</v>
      </c>
      <c r="AG156" s="2">
        <v>2.36</v>
      </c>
      <c r="AH156" s="2">
        <v>2.36</v>
      </c>
      <c r="AI156" s="2">
        <v>0</v>
      </c>
      <c r="AJ156" s="2">
        <v>6.08</v>
      </c>
      <c r="AM156" s="1" t="s">
        <v>26</v>
      </c>
      <c r="AN156" s="2">
        <v>38.549999999999997</v>
      </c>
      <c r="AO156" s="2">
        <v>40.08</v>
      </c>
      <c r="AP156" s="2">
        <v>62.06</v>
      </c>
      <c r="AQ156" s="2">
        <v>10.97</v>
      </c>
      <c r="AR156" s="2">
        <v>8.57</v>
      </c>
      <c r="AS156" s="2">
        <v>8.57</v>
      </c>
      <c r="AT156" s="2">
        <v>0</v>
      </c>
      <c r="AU156" s="2">
        <v>14.07</v>
      </c>
      <c r="AV156" s="2">
        <v>68.62</v>
      </c>
      <c r="AW156" s="2">
        <v>71.36</v>
      </c>
      <c r="AX156" s="2">
        <v>108.13</v>
      </c>
      <c r="AY156" s="2">
        <v>10.94</v>
      </c>
      <c r="AZ156" s="2">
        <v>8.56</v>
      </c>
      <c r="BA156" s="2">
        <v>8.56</v>
      </c>
      <c r="BB156" s="2">
        <v>0</v>
      </c>
      <c r="BC156" s="2">
        <v>18.48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20.309999999999999</v>
      </c>
      <c r="V163" s="2">
        <v>31.01</v>
      </c>
      <c r="W163" s="2">
        <v>6.61</v>
      </c>
      <c r="X163" s="2">
        <v>4.01</v>
      </c>
      <c r="Y163" s="2">
        <v>10.130000000000001</v>
      </c>
      <c r="Z163" s="2">
        <v>16.010000000000002</v>
      </c>
      <c r="AA163" s="2">
        <v>2.52</v>
      </c>
      <c r="AB163" s="2">
        <v>1.52</v>
      </c>
      <c r="AC163" s="2">
        <v>1.1000000000000001</v>
      </c>
      <c r="AD163" s="2">
        <v>1.63</v>
      </c>
      <c r="AE163" s="2">
        <v>1.1000000000000001</v>
      </c>
      <c r="AF163" s="2">
        <v>1.73</v>
      </c>
      <c r="AG163" s="2">
        <v>2.72</v>
      </c>
      <c r="AH163" s="2">
        <v>2.12</v>
      </c>
      <c r="AI163" s="2">
        <v>18.14</v>
      </c>
      <c r="AJ163" s="2">
        <v>36.119999999999997</v>
      </c>
      <c r="AM163" s="1" t="s">
        <v>19</v>
      </c>
      <c r="AN163" s="2">
        <v>72.790000000000006</v>
      </c>
      <c r="AO163" s="2">
        <v>118.79</v>
      </c>
      <c r="AP163" s="2">
        <v>30.49</v>
      </c>
      <c r="AQ163" s="2">
        <v>70.89</v>
      </c>
      <c r="AR163" s="2">
        <v>56.37</v>
      </c>
      <c r="AS163" s="2">
        <v>88.29</v>
      </c>
      <c r="AT163" s="2">
        <v>45.08</v>
      </c>
      <c r="AU163" s="2">
        <v>27.18</v>
      </c>
      <c r="AV163" s="2">
        <v>19.2</v>
      </c>
      <c r="AW163" s="2">
        <v>28.47</v>
      </c>
      <c r="AX163" s="2">
        <v>19.2</v>
      </c>
      <c r="AY163" s="2">
        <v>18.57</v>
      </c>
      <c r="AZ163" s="2">
        <v>47.68</v>
      </c>
      <c r="BA163" s="2">
        <v>37.78</v>
      </c>
      <c r="BB163" s="2">
        <v>31.56</v>
      </c>
      <c r="BC163" s="2">
        <v>63.28</v>
      </c>
    </row>
    <row r="164" spans="20:55" x14ac:dyDescent="0.3">
      <c r="T164" s="1" t="s">
        <v>20</v>
      </c>
      <c r="U164" s="2">
        <v>19.559999999999999</v>
      </c>
      <c r="V164" s="2">
        <v>11.9</v>
      </c>
      <c r="W164" s="2">
        <v>15.39</v>
      </c>
      <c r="X164" s="2">
        <v>26.31</v>
      </c>
      <c r="Y164" s="2">
        <v>26.16</v>
      </c>
      <c r="Z164" s="2">
        <v>16.760000000000002</v>
      </c>
      <c r="AA164" s="2">
        <v>22.33</v>
      </c>
      <c r="AB164" s="2">
        <v>12.92</v>
      </c>
      <c r="AC164" s="2">
        <v>12.72</v>
      </c>
      <c r="AD164" s="2">
        <v>11.95</v>
      </c>
      <c r="AE164" s="2">
        <v>12.72</v>
      </c>
      <c r="AF164" s="2">
        <v>11.96</v>
      </c>
      <c r="AG164" s="2">
        <v>18.28</v>
      </c>
      <c r="AH164" s="2">
        <v>15.08</v>
      </c>
      <c r="AI164" s="2">
        <v>17.05</v>
      </c>
      <c r="AJ164" s="2">
        <v>43.63</v>
      </c>
      <c r="AM164" s="1" t="s">
        <v>20</v>
      </c>
      <c r="AN164" s="2">
        <v>73.5</v>
      </c>
      <c r="AO164" s="2">
        <v>58.8</v>
      </c>
      <c r="AP164" s="2">
        <v>83.41</v>
      </c>
      <c r="AQ164" s="2">
        <v>89.04</v>
      </c>
      <c r="AR164" s="2">
        <v>101.33</v>
      </c>
      <c r="AS164" s="2">
        <v>64.540000000000006</v>
      </c>
      <c r="AT164" s="2">
        <v>87.57</v>
      </c>
      <c r="AU164" s="2">
        <v>62.98</v>
      </c>
      <c r="AV164" s="2">
        <v>60.28</v>
      </c>
      <c r="AW164" s="2">
        <v>58.25</v>
      </c>
      <c r="AX164" s="2">
        <v>60.28</v>
      </c>
      <c r="AY164" s="2">
        <v>58.24</v>
      </c>
      <c r="AZ164" s="2">
        <v>86.22</v>
      </c>
      <c r="BA164" s="2">
        <v>70.819999999999993</v>
      </c>
      <c r="BB164" s="2">
        <v>60.77</v>
      </c>
      <c r="BC164" s="2">
        <v>146.97</v>
      </c>
    </row>
    <row r="165" spans="20:55" x14ac:dyDescent="0.3">
      <c r="T165" s="1" t="s">
        <v>21</v>
      </c>
      <c r="U165" s="2">
        <v>56.12</v>
      </c>
      <c r="V165" s="2">
        <v>47.37</v>
      </c>
      <c r="W165" s="2">
        <v>49.58</v>
      </c>
      <c r="X165" s="2">
        <v>144.18</v>
      </c>
      <c r="Y165" s="2">
        <v>90.89</v>
      </c>
      <c r="Z165" s="2">
        <v>78.569999999999993</v>
      </c>
      <c r="AA165" s="2">
        <v>58.2</v>
      </c>
      <c r="AB165" s="2">
        <v>51.88</v>
      </c>
      <c r="AC165" s="2">
        <v>30.03</v>
      </c>
      <c r="AD165" s="2">
        <v>35.520000000000003</v>
      </c>
      <c r="AE165" s="2">
        <v>25.5</v>
      </c>
      <c r="AF165" s="2">
        <v>29.87</v>
      </c>
      <c r="AG165" s="2">
        <v>53.52</v>
      </c>
      <c r="AH165" s="2">
        <v>39.33</v>
      </c>
      <c r="AI165" s="2">
        <v>54.21</v>
      </c>
      <c r="AJ165" s="2">
        <v>107.7</v>
      </c>
      <c r="AM165" s="1" t="s">
        <v>21</v>
      </c>
      <c r="AN165" s="2">
        <v>177.88</v>
      </c>
      <c r="AO165" s="2">
        <v>132.38</v>
      </c>
      <c r="AP165" s="2">
        <v>290.92</v>
      </c>
      <c r="AQ165" s="2">
        <v>236.84</v>
      </c>
      <c r="AR165" s="2">
        <v>328.11</v>
      </c>
      <c r="AS165" s="2">
        <v>300.83</v>
      </c>
      <c r="AT165" s="2">
        <v>284.97000000000003</v>
      </c>
      <c r="AU165" s="2">
        <v>270.72000000000003</v>
      </c>
      <c r="AV165" s="2">
        <v>143.62</v>
      </c>
      <c r="AW165" s="2">
        <v>171.76</v>
      </c>
      <c r="AX165" s="2">
        <v>120.6</v>
      </c>
      <c r="AY165" s="2">
        <v>142.03</v>
      </c>
      <c r="AZ165" s="2">
        <v>251.47</v>
      </c>
      <c r="BA165" s="2">
        <v>184.17</v>
      </c>
      <c r="BB165" s="2">
        <v>137.19</v>
      </c>
      <c r="BC165" s="2">
        <v>306.44</v>
      </c>
    </row>
    <row r="166" spans="20:55" x14ac:dyDescent="0.3">
      <c r="T166" s="1" t="s">
        <v>22</v>
      </c>
      <c r="U166" s="2">
        <v>11.09</v>
      </c>
      <c r="V166" s="2">
        <v>14.46</v>
      </c>
      <c r="W166" s="2">
        <v>23.45</v>
      </c>
      <c r="X166" s="2">
        <v>32.799999999999997</v>
      </c>
      <c r="Y166" s="2">
        <v>19.82</v>
      </c>
      <c r="Z166" s="2">
        <v>34.799999999999997</v>
      </c>
      <c r="AA166" s="2">
        <v>19.260000000000002</v>
      </c>
      <c r="AB166" s="2">
        <v>19.45</v>
      </c>
      <c r="AC166" s="2">
        <v>11.86</v>
      </c>
      <c r="AD166" s="2">
        <v>5.44</v>
      </c>
      <c r="AE166" s="2">
        <v>9.49</v>
      </c>
      <c r="AF166" s="2">
        <v>9.51</v>
      </c>
      <c r="AG166" s="2">
        <v>14.87</v>
      </c>
      <c r="AH166" s="2">
        <v>14.87</v>
      </c>
      <c r="AI166" s="2">
        <v>14.65</v>
      </c>
      <c r="AJ166" s="2">
        <v>23.58</v>
      </c>
      <c r="AM166" s="1" t="s">
        <v>22</v>
      </c>
      <c r="AN166" s="2">
        <v>58.22</v>
      </c>
      <c r="AO166" s="2">
        <v>45.46</v>
      </c>
      <c r="AP166" s="2">
        <v>100.65</v>
      </c>
      <c r="AQ166" s="2">
        <v>125.68</v>
      </c>
      <c r="AR166" s="2">
        <v>106.65</v>
      </c>
      <c r="AS166" s="2">
        <v>124.48</v>
      </c>
      <c r="AT166" s="2">
        <v>102.64</v>
      </c>
      <c r="AU166" s="2">
        <v>98.35</v>
      </c>
      <c r="AV166" s="2">
        <v>56.84</v>
      </c>
      <c r="AW166" s="2">
        <v>48.96</v>
      </c>
      <c r="AX166" s="2">
        <v>44.91</v>
      </c>
      <c r="AY166" s="2">
        <v>44.89</v>
      </c>
      <c r="AZ166" s="2">
        <v>69.63</v>
      </c>
      <c r="BA166" s="2">
        <v>69.63</v>
      </c>
      <c r="BB166" s="2">
        <v>48.97</v>
      </c>
      <c r="BC166" s="2">
        <v>79.400000000000006</v>
      </c>
    </row>
    <row r="167" spans="20:55" x14ac:dyDescent="0.3">
      <c r="T167" s="1" t="s">
        <v>23</v>
      </c>
      <c r="U167" s="2">
        <v>42.76</v>
      </c>
      <c r="V167" s="2">
        <v>40.380000000000003</v>
      </c>
      <c r="W167" s="2">
        <v>90.47</v>
      </c>
      <c r="X167" s="2">
        <v>85.44</v>
      </c>
      <c r="Y167" s="2">
        <v>96.21</v>
      </c>
      <c r="Z167" s="2">
        <v>102.11</v>
      </c>
      <c r="AA167" s="2">
        <v>70.069999999999993</v>
      </c>
      <c r="AB167" s="2">
        <v>69.81</v>
      </c>
      <c r="AC167" s="2">
        <v>72.41</v>
      </c>
      <c r="AD167" s="2">
        <v>56.01</v>
      </c>
      <c r="AE167" s="2">
        <v>71.319999999999993</v>
      </c>
      <c r="AF167" s="2">
        <v>54.87</v>
      </c>
      <c r="AG167" s="2">
        <v>63.65</v>
      </c>
      <c r="AH167" s="2">
        <v>62.42</v>
      </c>
      <c r="AI167" s="2">
        <v>83.18</v>
      </c>
      <c r="AJ167" s="2">
        <v>80.040000000000006</v>
      </c>
      <c r="AM167" s="1" t="s">
        <v>23</v>
      </c>
      <c r="AN167" s="2">
        <v>154.43</v>
      </c>
      <c r="AO167" s="2">
        <v>199.23</v>
      </c>
      <c r="AP167" s="2">
        <v>321.20999999999998</v>
      </c>
      <c r="AQ167" s="2">
        <v>316.14</v>
      </c>
      <c r="AR167" s="2">
        <v>364.29</v>
      </c>
      <c r="AS167" s="2">
        <v>398.89</v>
      </c>
      <c r="AT167" s="2">
        <v>349.93</v>
      </c>
      <c r="AU167" s="2">
        <v>350.19</v>
      </c>
      <c r="AV167" s="2">
        <v>350.09</v>
      </c>
      <c r="AW167" s="2">
        <v>265.99</v>
      </c>
      <c r="AX167" s="2">
        <v>344.18</v>
      </c>
      <c r="AY167" s="2">
        <v>260.13</v>
      </c>
      <c r="AZ167" s="2">
        <v>294.35000000000002</v>
      </c>
      <c r="BA167" s="2">
        <v>288.58</v>
      </c>
      <c r="BB167" s="2">
        <v>297.7</v>
      </c>
      <c r="BC167" s="2">
        <v>291.14</v>
      </c>
    </row>
    <row r="168" spans="20:55" x14ac:dyDescent="0.3">
      <c r="T168" s="1" t="s">
        <v>24</v>
      </c>
      <c r="U168" s="2">
        <v>9.99</v>
      </c>
      <c r="V168" s="2">
        <v>3.12</v>
      </c>
      <c r="W168" s="2">
        <v>14.42</v>
      </c>
      <c r="X168" s="2">
        <v>16.7</v>
      </c>
      <c r="Y168" s="2">
        <v>15.1</v>
      </c>
      <c r="Z168" s="2">
        <v>7.56</v>
      </c>
      <c r="AA168" s="2">
        <v>10.56</v>
      </c>
      <c r="AB168" s="2">
        <v>12.65</v>
      </c>
      <c r="AC168" s="2">
        <v>12.09</v>
      </c>
      <c r="AD168" s="2">
        <v>7.83</v>
      </c>
      <c r="AE168" s="2">
        <v>10.51</v>
      </c>
      <c r="AF168" s="2">
        <v>6.42</v>
      </c>
      <c r="AG168" s="2">
        <v>10.18</v>
      </c>
      <c r="AH168" s="2">
        <v>9.2799999999999994</v>
      </c>
      <c r="AI168" s="2">
        <v>13.27</v>
      </c>
      <c r="AJ168" s="2">
        <v>9.58</v>
      </c>
      <c r="AM168" s="1" t="s">
        <v>24</v>
      </c>
      <c r="AN168" s="2">
        <v>36.18</v>
      </c>
      <c r="AO168" s="2">
        <v>12.32</v>
      </c>
      <c r="AP168" s="2">
        <v>61.91</v>
      </c>
      <c r="AQ168" s="2">
        <v>74.209999999999994</v>
      </c>
      <c r="AR168" s="2">
        <v>59.1</v>
      </c>
      <c r="AS168" s="2">
        <v>34.729999999999997</v>
      </c>
      <c r="AT168" s="2">
        <v>44.94</v>
      </c>
      <c r="AU168" s="2">
        <v>59.02</v>
      </c>
      <c r="AV168" s="2">
        <v>46.62</v>
      </c>
      <c r="AW168" s="2">
        <v>29.37</v>
      </c>
      <c r="AX168" s="2">
        <v>39.590000000000003</v>
      </c>
      <c r="AY168" s="2">
        <v>23.68</v>
      </c>
      <c r="AZ168" s="2">
        <v>37.130000000000003</v>
      </c>
      <c r="BA168" s="2">
        <v>33.76</v>
      </c>
      <c r="BB168" s="2">
        <v>38.659999999999997</v>
      </c>
      <c r="BC168" s="2">
        <v>30.77</v>
      </c>
    </row>
    <row r="169" spans="20:55" x14ac:dyDescent="0.3">
      <c r="T169" s="1" t="s">
        <v>25</v>
      </c>
      <c r="U169" s="2">
        <v>22.47</v>
      </c>
      <c r="V169" s="2">
        <v>21.3</v>
      </c>
      <c r="W169" s="2">
        <v>19.829999999999998</v>
      </c>
      <c r="X169" s="2">
        <v>26.8</v>
      </c>
      <c r="Y169" s="2">
        <v>18.57</v>
      </c>
      <c r="Z169" s="2">
        <v>18.93</v>
      </c>
      <c r="AA169" s="2">
        <v>19.39</v>
      </c>
      <c r="AB169" s="2">
        <v>18.18</v>
      </c>
      <c r="AC169" s="2">
        <v>16.41</v>
      </c>
      <c r="AD169" s="2">
        <v>27.42</v>
      </c>
      <c r="AE169" s="2">
        <v>13.42</v>
      </c>
      <c r="AF169" s="2">
        <v>22.34</v>
      </c>
      <c r="AG169" s="2">
        <v>2.16</v>
      </c>
      <c r="AH169" s="2">
        <v>8.24</v>
      </c>
      <c r="AI169" s="2">
        <v>18.82</v>
      </c>
      <c r="AJ169" s="2">
        <v>20.66</v>
      </c>
      <c r="AM169" s="1" t="s">
        <v>25</v>
      </c>
      <c r="AN169" s="2">
        <v>76.81</v>
      </c>
      <c r="AO169" s="2">
        <v>74.7</v>
      </c>
      <c r="AP169" s="2">
        <v>49.17</v>
      </c>
      <c r="AQ169" s="2">
        <v>85.4</v>
      </c>
      <c r="AR169" s="2">
        <v>83.34</v>
      </c>
      <c r="AS169" s="2">
        <v>74.430000000000007</v>
      </c>
      <c r="AT169" s="2">
        <v>84.01</v>
      </c>
      <c r="AU169" s="2">
        <v>83.51</v>
      </c>
      <c r="AV169" s="2">
        <v>65.31</v>
      </c>
      <c r="AW169" s="2">
        <v>106.07</v>
      </c>
      <c r="AX169" s="2">
        <v>51.19</v>
      </c>
      <c r="AY169" s="2">
        <v>83.67</v>
      </c>
      <c r="AZ169" s="2">
        <v>19.440000000000001</v>
      </c>
      <c r="BA169" s="2">
        <v>30.07</v>
      </c>
      <c r="BB169" s="2">
        <v>26.23</v>
      </c>
      <c r="BC169" s="2">
        <v>57.65</v>
      </c>
    </row>
    <row r="170" spans="20:55" x14ac:dyDescent="0.3">
      <c r="T170" s="1" t="s">
        <v>26</v>
      </c>
      <c r="U170" s="2">
        <v>4.04</v>
      </c>
      <c r="V170" s="2">
        <v>7.41</v>
      </c>
      <c r="W170" s="2">
        <v>4.07</v>
      </c>
      <c r="X170" s="2">
        <v>7.46</v>
      </c>
      <c r="Y170" s="2">
        <v>6.34</v>
      </c>
      <c r="Z170" s="2">
        <v>10.28</v>
      </c>
      <c r="AA170" s="2">
        <v>0.88</v>
      </c>
      <c r="AB170" s="2">
        <v>0.88</v>
      </c>
      <c r="AC170" s="2">
        <v>0.91</v>
      </c>
      <c r="AD170" s="2">
        <v>0.91</v>
      </c>
      <c r="AE170" s="2">
        <v>0.91</v>
      </c>
      <c r="AF170" s="2">
        <v>0.91</v>
      </c>
      <c r="AG170" s="2">
        <v>0</v>
      </c>
      <c r="AH170" s="2">
        <v>0</v>
      </c>
      <c r="AI170" s="2">
        <v>6.44</v>
      </c>
      <c r="AJ170" s="2">
        <v>7.6</v>
      </c>
      <c r="AM170" s="1" t="s">
        <v>26</v>
      </c>
      <c r="AN170" s="2">
        <v>16.059999999999999</v>
      </c>
      <c r="AO170" s="2">
        <v>28.59</v>
      </c>
      <c r="AP170" s="2">
        <v>16.03</v>
      </c>
      <c r="AQ170" s="2">
        <v>28.54</v>
      </c>
      <c r="AR170" s="2">
        <v>22.16</v>
      </c>
      <c r="AS170" s="2">
        <v>38.619999999999997</v>
      </c>
      <c r="AT170" s="2">
        <v>3.32</v>
      </c>
      <c r="AU170" s="2">
        <v>3.32</v>
      </c>
      <c r="AV170" s="2">
        <v>3.29</v>
      </c>
      <c r="AW170" s="2">
        <v>3.29</v>
      </c>
      <c r="AX170" s="2">
        <v>3.29</v>
      </c>
      <c r="AY170" s="2">
        <v>3.29</v>
      </c>
      <c r="AZ170" s="2">
        <v>0</v>
      </c>
      <c r="BA170" s="2">
        <v>0</v>
      </c>
      <c r="BB170" s="2">
        <v>17.59</v>
      </c>
      <c r="BC170" s="2">
        <v>23.1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1392.33</v>
      </c>
      <c r="V177" s="2">
        <v>1730.66</v>
      </c>
      <c r="W177" s="2">
        <v>172.69</v>
      </c>
      <c r="X177" s="2">
        <v>215.15</v>
      </c>
      <c r="Y177" s="2">
        <v>308.49</v>
      </c>
      <c r="Z177" s="2">
        <v>308.49</v>
      </c>
      <c r="AA177" s="2">
        <v>83.03</v>
      </c>
      <c r="AB177" s="2">
        <v>1052.48</v>
      </c>
      <c r="AC177" s="2">
        <v>1364.92</v>
      </c>
      <c r="AD177" s="2">
        <v>430.55</v>
      </c>
      <c r="AE177" s="2">
        <v>175.29</v>
      </c>
      <c r="AF177" s="2">
        <v>238.46</v>
      </c>
      <c r="AG177" s="2">
        <v>314.10000000000002</v>
      </c>
      <c r="AH177" s="2">
        <v>728.52</v>
      </c>
      <c r="AI177" s="2">
        <v>79.319999999999993</v>
      </c>
      <c r="AJ177" s="2">
        <v>951.19</v>
      </c>
      <c r="AM177" s="1" t="s">
        <v>19</v>
      </c>
      <c r="AN177" s="2">
        <v>4170.1499999999996</v>
      </c>
      <c r="AO177" s="2">
        <v>7029.84</v>
      </c>
      <c r="AP177" s="2">
        <v>3278.87</v>
      </c>
      <c r="AQ177" s="2">
        <v>3852.76</v>
      </c>
      <c r="AR177" s="2">
        <v>5399.03</v>
      </c>
      <c r="AS177" s="2">
        <v>5399.03</v>
      </c>
      <c r="AT177" s="2">
        <v>1453.12</v>
      </c>
      <c r="AU177" s="2">
        <v>2481.6799999999998</v>
      </c>
      <c r="AV177" s="2">
        <v>4241.24</v>
      </c>
      <c r="AW177" s="2">
        <v>7605.45</v>
      </c>
      <c r="AX177" s="2">
        <v>3195.91</v>
      </c>
      <c r="AY177" s="2">
        <v>4266.04</v>
      </c>
      <c r="AZ177" s="2">
        <v>5497.16</v>
      </c>
      <c r="BA177" s="2">
        <v>4979</v>
      </c>
      <c r="BB177" s="2">
        <v>1415.67</v>
      </c>
      <c r="BC177" s="2">
        <v>2392.0100000000002</v>
      </c>
    </row>
    <row r="178" spans="20:55" x14ac:dyDescent="0.3">
      <c r="T178" s="1" t="s">
        <v>20</v>
      </c>
      <c r="U178" s="2">
        <v>64.7</v>
      </c>
      <c r="V178" s="2">
        <v>63.54</v>
      </c>
      <c r="W178" s="2">
        <v>45.67</v>
      </c>
      <c r="X178" s="2">
        <v>45.67</v>
      </c>
      <c r="Y178" s="2">
        <v>61.06</v>
      </c>
      <c r="Z178" s="2">
        <v>61.06</v>
      </c>
      <c r="AA178" s="2">
        <v>25.71</v>
      </c>
      <c r="AB178" s="2">
        <v>27.78</v>
      </c>
      <c r="AC178" s="2">
        <v>41.38</v>
      </c>
      <c r="AD178" s="2">
        <v>156.02000000000001</v>
      </c>
      <c r="AE178" s="2">
        <v>38.450000000000003</v>
      </c>
      <c r="AF178" s="2">
        <v>43.24</v>
      </c>
      <c r="AG178" s="2">
        <v>55.29</v>
      </c>
      <c r="AH178" s="2">
        <v>54.55</v>
      </c>
      <c r="AI178" s="2">
        <v>21.05</v>
      </c>
      <c r="AJ178" s="2">
        <v>48.27</v>
      </c>
      <c r="AM178" s="1" t="s">
        <v>20</v>
      </c>
      <c r="AN178" s="2">
        <v>661.69</v>
      </c>
      <c r="AO178" s="2">
        <v>1301.46</v>
      </c>
      <c r="AP178" s="2">
        <v>679.39</v>
      </c>
      <c r="AQ178" s="2">
        <v>642.41999999999996</v>
      </c>
      <c r="AR178" s="2">
        <v>1160.1600000000001</v>
      </c>
      <c r="AS178" s="2">
        <v>1160.1600000000001</v>
      </c>
      <c r="AT178" s="2">
        <v>488.58</v>
      </c>
      <c r="AU178" s="2">
        <v>315.33999999999997</v>
      </c>
      <c r="AV178" s="2">
        <v>817.1</v>
      </c>
      <c r="AW178" s="2">
        <v>816.51</v>
      </c>
      <c r="AX178" s="2">
        <v>572.23</v>
      </c>
      <c r="AY178" s="2">
        <v>841.82</v>
      </c>
      <c r="AZ178" s="2">
        <v>1050.49</v>
      </c>
      <c r="BA178" s="2">
        <v>1036.4100000000001</v>
      </c>
      <c r="BB178" s="2">
        <v>400</v>
      </c>
      <c r="BC178" s="2">
        <v>462.32</v>
      </c>
    </row>
    <row r="179" spans="20:55" x14ac:dyDescent="0.3">
      <c r="T179" s="1" t="s">
        <v>21</v>
      </c>
      <c r="U179" s="2">
        <v>363.52</v>
      </c>
      <c r="V179" s="2">
        <v>319.25</v>
      </c>
      <c r="W179" s="2">
        <v>297.69</v>
      </c>
      <c r="X179" s="2">
        <v>218.44</v>
      </c>
      <c r="Y179" s="2">
        <v>186.65</v>
      </c>
      <c r="Z179" s="2">
        <v>154.71</v>
      </c>
      <c r="AA179" s="2">
        <v>85.62</v>
      </c>
      <c r="AB179" s="2">
        <v>122.41</v>
      </c>
      <c r="AC179" s="2">
        <v>262.56</v>
      </c>
      <c r="AD179" s="2">
        <v>847.96</v>
      </c>
      <c r="AE179" s="2">
        <v>233.7</v>
      </c>
      <c r="AF179" s="2">
        <v>250.55</v>
      </c>
      <c r="AG179" s="2">
        <v>184.46</v>
      </c>
      <c r="AH179" s="2">
        <v>150.77000000000001</v>
      </c>
      <c r="AI179" s="2">
        <v>122.66</v>
      </c>
      <c r="AJ179" s="2">
        <v>158.43</v>
      </c>
      <c r="AM179" s="1" t="s">
        <v>21</v>
      </c>
      <c r="AN179" s="2">
        <v>4217.49</v>
      </c>
      <c r="AO179" s="2">
        <v>6538.75</v>
      </c>
      <c r="AP179" s="2">
        <v>4108.4399999999996</v>
      </c>
      <c r="AQ179" s="2">
        <v>4327.6000000000004</v>
      </c>
      <c r="AR179" s="2">
        <v>3546.27</v>
      </c>
      <c r="AS179" s="2">
        <v>2939.55</v>
      </c>
      <c r="AT179" s="2">
        <v>1626.72</v>
      </c>
      <c r="AU179" s="2">
        <v>1116.47</v>
      </c>
      <c r="AV179" s="2">
        <v>2644.55</v>
      </c>
      <c r="AW179" s="2">
        <v>4604.8100000000004</v>
      </c>
      <c r="AX179" s="2">
        <v>3461.48</v>
      </c>
      <c r="AY179" s="2">
        <v>4878.43</v>
      </c>
      <c r="AZ179" s="2">
        <v>3504.77</v>
      </c>
      <c r="BA179" s="2">
        <v>2864.71</v>
      </c>
      <c r="BB179" s="2">
        <v>1103.95</v>
      </c>
      <c r="BC179" s="2">
        <v>1664.03</v>
      </c>
    </row>
    <row r="180" spans="20:55" x14ac:dyDescent="0.3">
      <c r="T180" s="1" t="s">
        <v>22</v>
      </c>
      <c r="U180" s="2">
        <v>73.62</v>
      </c>
      <c r="V180" s="2">
        <v>187.35</v>
      </c>
      <c r="W180" s="2">
        <v>71.510000000000005</v>
      </c>
      <c r="X180" s="2">
        <v>78.39</v>
      </c>
      <c r="Y180" s="2">
        <v>79.489999999999995</v>
      </c>
      <c r="Z180" s="2">
        <v>63.66</v>
      </c>
      <c r="AA180" s="2">
        <v>21.2</v>
      </c>
      <c r="AB180" s="2">
        <v>72.739999999999995</v>
      </c>
      <c r="AC180" s="2">
        <v>103.77</v>
      </c>
      <c r="AD180" s="2">
        <v>262.86</v>
      </c>
      <c r="AE180" s="2">
        <v>129.71</v>
      </c>
      <c r="AF180" s="2">
        <v>93.24</v>
      </c>
      <c r="AG180" s="2">
        <v>93.83</v>
      </c>
      <c r="AH180" s="2">
        <v>46.92</v>
      </c>
      <c r="AI180" s="2">
        <v>21.35</v>
      </c>
      <c r="AJ180" s="2">
        <v>65.8</v>
      </c>
      <c r="AM180" s="1" t="s">
        <v>22</v>
      </c>
      <c r="AN180" s="2">
        <v>1507.82</v>
      </c>
      <c r="AO180" s="2">
        <v>3149.9</v>
      </c>
      <c r="AP180" s="2">
        <v>1416.76</v>
      </c>
      <c r="AQ180" s="2">
        <v>1553.13</v>
      </c>
      <c r="AR180" s="2">
        <v>1510.23</v>
      </c>
      <c r="AS180" s="2">
        <v>1209.56</v>
      </c>
      <c r="AT180" s="2">
        <v>402.8</v>
      </c>
      <c r="AU180" s="2">
        <v>479.61</v>
      </c>
      <c r="AV180" s="2">
        <v>1204.19</v>
      </c>
      <c r="AW180" s="2">
        <v>2111.8200000000002</v>
      </c>
      <c r="AX180" s="2">
        <v>1774.02</v>
      </c>
      <c r="AY180" s="2">
        <v>1815.48</v>
      </c>
      <c r="AZ180" s="2">
        <v>844.51</v>
      </c>
      <c r="BA180" s="2">
        <v>891.42</v>
      </c>
      <c r="BB180" s="2">
        <v>405.58</v>
      </c>
      <c r="BC180" s="2">
        <v>427.37</v>
      </c>
    </row>
    <row r="181" spans="20:55" x14ac:dyDescent="0.3">
      <c r="T181" s="1" t="s">
        <v>23</v>
      </c>
      <c r="U181" s="2">
        <v>686.69</v>
      </c>
      <c r="V181" s="2">
        <v>1001.9</v>
      </c>
      <c r="W181" s="2">
        <v>396.98</v>
      </c>
      <c r="X181" s="2">
        <v>255.61</v>
      </c>
      <c r="Y181" s="2">
        <v>344.37</v>
      </c>
      <c r="Z181" s="2">
        <v>336.96</v>
      </c>
      <c r="AA181" s="2">
        <v>108.99</v>
      </c>
      <c r="AB181" s="2">
        <v>384.3</v>
      </c>
      <c r="AC181" s="2">
        <v>272.02</v>
      </c>
      <c r="AD181" s="2">
        <v>1151.07</v>
      </c>
      <c r="AE181" s="2">
        <v>344.61</v>
      </c>
      <c r="AF181" s="2">
        <v>310.08</v>
      </c>
      <c r="AG181" s="2">
        <v>336.96</v>
      </c>
      <c r="AH181" s="2">
        <v>329.49</v>
      </c>
      <c r="AI181" s="2">
        <v>105.26</v>
      </c>
      <c r="AJ181" s="2">
        <v>375.64</v>
      </c>
      <c r="AM181" s="1" t="s">
        <v>23</v>
      </c>
      <c r="AN181" s="2">
        <v>4304.6899999999996</v>
      </c>
      <c r="AO181" s="2">
        <v>9761.0300000000007</v>
      </c>
      <c r="AP181" s="2">
        <v>5841.42</v>
      </c>
      <c r="AQ181" s="2">
        <v>5063.99</v>
      </c>
      <c r="AR181" s="2">
        <v>6543.03</v>
      </c>
      <c r="AS181" s="2">
        <v>6402.24</v>
      </c>
      <c r="AT181" s="2">
        <v>2070.81</v>
      </c>
      <c r="AU181" s="2">
        <v>2828.09</v>
      </c>
      <c r="AV181" s="2">
        <v>5371.45</v>
      </c>
      <c r="AW181" s="2">
        <v>8412.84</v>
      </c>
      <c r="AX181" s="2">
        <v>5305.79</v>
      </c>
      <c r="AY181" s="2">
        <v>6037.47</v>
      </c>
      <c r="AZ181" s="2">
        <v>6402.24</v>
      </c>
      <c r="BA181" s="2">
        <v>6260.21</v>
      </c>
      <c r="BB181" s="2">
        <v>1999.99</v>
      </c>
      <c r="BC181" s="2">
        <v>2458.16</v>
      </c>
    </row>
    <row r="182" spans="20:55" x14ac:dyDescent="0.3">
      <c r="T182" s="1" t="s">
        <v>24</v>
      </c>
      <c r="U182" s="2">
        <v>161.61000000000001</v>
      </c>
      <c r="V182" s="2">
        <v>129.88999999999999</v>
      </c>
      <c r="W182" s="2">
        <v>143.96</v>
      </c>
      <c r="X182" s="2">
        <v>60.14</v>
      </c>
      <c r="Y182" s="2">
        <v>40.03</v>
      </c>
      <c r="Z182" s="2">
        <v>33.700000000000003</v>
      </c>
      <c r="AA182" s="2">
        <v>20.149999999999999</v>
      </c>
      <c r="AB182" s="2">
        <v>39.51</v>
      </c>
      <c r="AC182" s="2">
        <v>46.27</v>
      </c>
      <c r="AD182" s="2">
        <v>99.46</v>
      </c>
      <c r="AE182" s="2">
        <v>52.53</v>
      </c>
      <c r="AF182" s="2">
        <v>44.65</v>
      </c>
      <c r="AG182" s="2">
        <v>45.24</v>
      </c>
      <c r="AH182" s="2">
        <v>36.119999999999997</v>
      </c>
      <c r="AI182" s="2">
        <v>17.91</v>
      </c>
      <c r="AJ182" s="2">
        <v>44.16</v>
      </c>
      <c r="AM182" s="1" t="s">
        <v>24</v>
      </c>
      <c r="AN182" s="2">
        <v>1042.18</v>
      </c>
      <c r="AO182" s="2">
        <v>2660.36</v>
      </c>
      <c r="AP182" s="2">
        <v>1101.8800000000001</v>
      </c>
      <c r="AQ182" s="2">
        <v>1191.55</v>
      </c>
      <c r="AR182" s="2">
        <v>760.6</v>
      </c>
      <c r="AS182" s="2">
        <v>640.22</v>
      </c>
      <c r="AT182" s="2">
        <v>382.91</v>
      </c>
      <c r="AU182" s="2">
        <v>577.07000000000005</v>
      </c>
      <c r="AV182" s="2">
        <v>913.77</v>
      </c>
      <c r="AW182" s="2">
        <v>1964.01</v>
      </c>
      <c r="AX182" s="2">
        <v>1022.77</v>
      </c>
      <c r="AY182" s="2">
        <v>869.33</v>
      </c>
      <c r="AZ182" s="2">
        <v>859.59</v>
      </c>
      <c r="BA182" s="2">
        <v>686.19</v>
      </c>
      <c r="BB182" s="2">
        <v>340.27</v>
      </c>
      <c r="BC182" s="2">
        <v>248.91</v>
      </c>
    </row>
    <row r="183" spans="20:55" x14ac:dyDescent="0.3">
      <c r="T183" s="1" t="s">
        <v>25</v>
      </c>
      <c r="U183" s="2">
        <v>232.39</v>
      </c>
      <c r="V183" s="2">
        <v>495.91</v>
      </c>
      <c r="W183" s="2">
        <v>196.83</v>
      </c>
      <c r="X183" s="2">
        <v>199.53</v>
      </c>
      <c r="Y183" s="2">
        <v>145.94</v>
      </c>
      <c r="Z183" s="2">
        <v>116.93</v>
      </c>
      <c r="AA183" s="2">
        <v>64.95</v>
      </c>
      <c r="AB183" s="2">
        <v>212.65</v>
      </c>
      <c r="AC183" s="2">
        <v>230.25</v>
      </c>
      <c r="AD183" s="2">
        <v>452.78</v>
      </c>
      <c r="AE183" s="2">
        <v>162.56</v>
      </c>
      <c r="AF183" s="2">
        <v>160.85</v>
      </c>
      <c r="AG183" s="2">
        <v>203.44</v>
      </c>
      <c r="AH183" s="2">
        <v>162.93</v>
      </c>
      <c r="AI183" s="2">
        <v>52.09</v>
      </c>
      <c r="AJ183" s="2">
        <v>114.63</v>
      </c>
      <c r="AM183" s="1" t="s">
        <v>25</v>
      </c>
      <c r="AN183" s="2">
        <v>4025.58</v>
      </c>
      <c r="AO183" s="2">
        <v>5698.57</v>
      </c>
      <c r="AP183" s="2">
        <v>3899.44</v>
      </c>
      <c r="AQ183" s="2">
        <v>3952.94</v>
      </c>
      <c r="AR183" s="2">
        <v>2772.86</v>
      </c>
      <c r="AS183" s="2">
        <v>2221.58</v>
      </c>
      <c r="AT183" s="2">
        <v>584.58000000000004</v>
      </c>
      <c r="AU183" s="2">
        <v>1284.46</v>
      </c>
      <c r="AV183" s="2">
        <v>4209.99</v>
      </c>
      <c r="AW183" s="2">
        <v>7305.97</v>
      </c>
      <c r="AX183" s="2">
        <v>3164.88</v>
      </c>
      <c r="AY183" s="2">
        <v>3131.89</v>
      </c>
      <c r="AZ183" s="2">
        <v>3865.32</v>
      </c>
      <c r="BA183" s="2">
        <v>3095.73</v>
      </c>
      <c r="BB183" s="2">
        <v>989.66</v>
      </c>
      <c r="BC183" s="2">
        <v>1591.88</v>
      </c>
    </row>
    <row r="184" spans="20:55" x14ac:dyDescent="0.3">
      <c r="T184" s="1" t="s">
        <v>26</v>
      </c>
      <c r="U184" s="2">
        <v>118.55</v>
      </c>
      <c r="V184" s="2">
        <v>221.38</v>
      </c>
      <c r="W184" s="2">
        <v>116.55</v>
      </c>
      <c r="X184" s="2">
        <v>105.03</v>
      </c>
      <c r="Y184" s="2">
        <v>150.78</v>
      </c>
      <c r="Z184" s="2">
        <v>150.77000000000001</v>
      </c>
      <c r="AA184" s="2">
        <v>26.07</v>
      </c>
      <c r="AB184" s="2">
        <v>124.46</v>
      </c>
      <c r="AC184" s="2">
        <v>131.56</v>
      </c>
      <c r="AD184" s="2">
        <v>215.24</v>
      </c>
      <c r="AE184" s="2">
        <v>97.83</v>
      </c>
      <c r="AF184" s="2">
        <v>93.68</v>
      </c>
      <c r="AG184" s="2">
        <v>99.41</v>
      </c>
      <c r="AH184" s="2">
        <v>99.41</v>
      </c>
      <c r="AI184" s="2">
        <v>28.32</v>
      </c>
      <c r="AJ184" s="2">
        <v>143.79</v>
      </c>
      <c r="AM184" s="1" t="s">
        <v>26</v>
      </c>
      <c r="AN184" s="2">
        <v>2428.09</v>
      </c>
      <c r="AO184" s="2">
        <v>4534.37</v>
      </c>
      <c r="AP184" s="2">
        <v>2090.9699999999998</v>
      </c>
      <c r="AQ184" s="2">
        <v>2080.89</v>
      </c>
      <c r="AR184" s="2">
        <v>2864.7</v>
      </c>
      <c r="AS184" s="2">
        <v>2864.71</v>
      </c>
      <c r="AT184" s="2">
        <v>406.74</v>
      </c>
      <c r="AU184" s="2">
        <v>1678.18</v>
      </c>
      <c r="AV184" s="2">
        <v>2597.96</v>
      </c>
      <c r="AW184" s="2">
        <v>4250.26</v>
      </c>
      <c r="AX184" s="2">
        <v>1904.73</v>
      </c>
      <c r="AY184" s="2">
        <v>1823.95</v>
      </c>
      <c r="AZ184" s="2">
        <v>1888.81</v>
      </c>
      <c r="BA184" s="2">
        <v>1888.81</v>
      </c>
      <c r="BB184" s="2">
        <v>449.85</v>
      </c>
      <c r="BC184" s="2">
        <v>1153.6600000000001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580.14</v>
      </c>
      <c r="V191" s="2">
        <v>568.71</v>
      </c>
      <c r="W191" s="2">
        <v>692.27</v>
      </c>
      <c r="X191" s="2">
        <v>172.22</v>
      </c>
      <c r="Y191" s="2">
        <v>61.67</v>
      </c>
      <c r="Z191" s="2">
        <v>62.6</v>
      </c>
      <c r="AA191" s="2">
        <v>65.2</v>
      </c>
      <c r="AB191" s="2">
        <v>72.260000000000005</v>
      </c>
      <c r="AC191" s="2">
        <v>118.65</v>
      </c>
      <c r="AD191" s="2">
        <v>120.81</v>
      </c>
      <c r="AE191" s="2">
        <v>118.65</v>
      </c>
      <c r="AF191" s="2">
        <v>280.2</v>
      </c>
      <c r="AG191" s="2">
        <v>39.54</v>
      </c>
      <c r="AH191" s="2">
        <v>37.770000000000003</v>
      </c>
      <c r="AI191" s="2">
        <v>1315.6</v>
      </c>
      <c r="AJ191" s="2">
        <v>1188.99</v>
      </c>
      <c r="AM191" s="1" t="s">
        <v>19</v>
      </c>
      <c r="AN191" s="2">
        <v>1737.56</v>
      </c>
      <c r="AO191" s="2">
        <v>1767.19</v>
      </c>
      <c r="AP191" s="2">
        <v>2811.93</v>
      </c>
      <c r="AQ191" s="2">
        <v>3042.18</v>
      </c>
      <c r="AR191" s="2">
        <v>1171.03</v>
      </c>
      <c r="AS191" s="2">
        <v>1141.4000000000001</v>
      </c>
      <c r="AT191" s="2">
        <v>1167.5</v>
      </c>
      <c r="AU191" s="2">
        <v>1292.74</v>
      </c>
      <c r="AV191" s="2">
        <v>2076.5500000000002</v>
      </c>
      <c r="AW191" s="2">
        <v>2114.29</v>
      </c>
      <c r="AX191" s="2">
        <v>2076.5500000000002</v>
      </c>
      <c r="AY191" s="2">
        <v>1915</v>
      </c>
      <c r="AZ191" s="2">
        <v>691.96</v>
      </c>
      <c r="BA191" s="2">
        <v>674.13</v>
      </c>
      <c r="BB191" s="2">
        <v>3102.1</v>
      </c>
      <c r="BC191" s="2">
        <v>2990.01</v>
      </c>
    </row>
    <row r="192" spans="20:55" x14ac:dyDescent="0.3">
      <c r="T192" s="1" t="s">
        <v>20</v>
      </c>
      <c r="U192" s="2">
        <v>26.96</v>
      </c>
      <c r="V192" s="2">
        <v>17.239999999999998</v>
      </c>
      <c r="W192" s="2">
        <v>25.42</v>
      </c>
      <c r="X192" s="2">
        <v>62.41</v>
      </c>
      <c r="Y192" s="2">
        <v>16.309999999999999</v>
      </c>
      <c r="Z192" s="2">
        <v>13.73</v>
      </c>
      <c r="AA192" s="2">
        <v>13.84</v>
      </c>
      <c r="AB192" s="2">
        <v>13.1</v>
      </c>
      <c r="AC192" s="2">
        <v>23.49</v>
      </c>
      <c r="AD192" s="2">
        <v>21.27</v>
      </c>
      <c r="AE192" s="2">
        <v>23.49</v>
      </c>
      <c r="AF192" s="2">
        <v>20.98</v>
      </c>
      <c r="AG192" s="2">
        <v>12.25</v>
      </c>
      <c r="AH192" s="2">
        <v>10.029999999999999</v>
      </c>
      <c r="AI192" s="2">
        <v>34.72</v>
      </c>
      <c r="AJ192" s="2">
        <v>60.33</v>
      </c>
      <c r="AM192" s="1" t="s">
        <v>20</v>
      </c>
      <c r="AN192" s="2">
        <v>275.70999999999998</v>
      </c>
      <c r="AO192" s="2">
        <v>340.46</v>
      </c>
      <c r="AP192" s="2">
        <v>520.58000000000004</v>
      </c>
      <c r="AQ192" s="2">
        <v>326.61</v>
      </c>
      <c r="AR192" s="2">
        <v>242.64</v>
      </c>
      <c r="AS192" s="2">
        <v>204.37</v>
      </c>
      <c r="AT192" s="2">
        <v>194.67</v>
      </c>
      <c r="AU192" s="2">
        <v>255.1</v>
      </c>
      <c r="AV192" s="2">
        <v>446.21</v>
      </c>
      <c r="AW192" s="2">
        <v>404.03</v>
      </c>
      <c r="AX192" s="2">
        <v>446.21</v>
      </c>
      <c r="AY192" s="2">
        <v>398.62</v>
      </c>
      <c r="AZ192" s="2">
        <v>232.65</v>
      </c>
      <c r="BA192" s="2">
        <v>190.47</v>
      </c>
      <c r="BB192" s="2">
        <v>394.18</v>
      </c>
      <c r="BC192" s="2">
        <v>577.9</v>
      </c>
    </row>
    <row r="193" spans="20:55" x14ac:dyDescent="0.3">
      <c r="T193" s="1" t="s">
        <v>21</v>
      </c>
      <c r="U193" s="2">
        <v>151.47</v>
      </c>
      <c r="V193" s="2">
        <v>109.4</v>
      </c>
      <c r="W193" s="2">
        <v>127.7</v>
      </c>
      <c r="X193" s="2">
        <v>339.18</v>
      </c>
      <c r="Y193" s="2">
        <v>106.32</v>
      </c>
      <c r="Z193" s="2">
        <v>83.47</v>
      </c>
      <c r="AA193" s="2">
        <v>66.19</v>
      </c>
      <c r="AB193" s="2">
        <v>75.92</v>
      </c>
      <c r="AC193" s="2">
        <v>71.790000000000006</v>
      </c>
      <c r="AD193" s="2">
        <v>70.95</v>
      </c>
      <c r="AE193" s="2">
        <v>59.51</v>
      </c>
      <c r="AF193" s="2">
        <v>57.99</v>
      </c>
      <c r="AG193" s="2">
        <v>40.770000000000003</v>
      </c>
      <c r="AH193" s="2">
        <v>58.41</v>
      </c>
      <c r="AI193" s="2">
        <v>153.02000000000001</v>
      </c>
      <c r="AJ193" s="2">
        <v>198.04</v>
      </c>
      <c r="AM193" s="1" t="s">
        <v>21</v>
      </c>
      <c r="AN193" s="2">
        <v>1757.29</v>
      </c>
      <c r="AO193" s="2">
        <v>1101.8900000000001</v>
      </c>
      <c r="AP193" s="2">
        <v>2615.5</v>
      </c>
      <c r="AQ193" s="2">
        <v>1841.92</v>
      </c>
      <c r="AR193" s="2">
        <v>1467.3</v>
      </c>
      <c r="AS193" s="2">
        <v>1236.24</v>
      </c>
      <c r="AT193" s="2">
        <v>1311.39</v>
      </c>
      <c r="AU193" s="2">
        <v>1478.31</v>
      </c>
      <c r="AV193" s="2">
        <v>1363.95</v>
      </c>
      <c r="AW193" s="2">
        <v>1347.99</v>
      </c>
      <c r="AX193" s="2">
        <v>1130.5899999999999</v>
      </c>
      <c r="AY193" s="2">
        <v>1101.81</v>
      </c>
      <c r="AZ193" s="2">
        <v>774.63</v>
      </c>
      <c r="BA193" s="2">
        <v>525.69000000000005</v>
      </c>
      <c r="BB193" s="2">
        <v>1395.58</v>
      </c>
      <c r="BC193" s="2">
        <v>2080.04</v>
      </c>
    </row>
    <row r="194" spans="20:55" x14ac:dyDescent="0.3">
      <c r="T194" s="1" t="s">
        <v>22</v>
      </c>
      <c r="U194" s="2">
        <v>30.67</v>
      </c>
      <c r="V194" s="2">
        <v>43.24</v>
      </c>
      <c r="W194" s="2">
        <v>74.94</v>
      </c>
      <c r="X194" s="2">
        <v>105.14</v>
      </c>
      <c r="Y194" s="2">
        <v>25.54</v>
      </c>
      <c r="Z194" s="2">
        <v>46.32</v>
      </c>
      <c r="AA194" s="2">
        <v>23.76</v>
      </c>
      <c r="AB194" s="2">
        <v>28.25</v>
      </c>
      <c r="AC194" s="2">
        <v>30.57</v>
      </c>
      <c r="AD194" s="2">
        <v>36.090000000000003</v>
      </c>
      <c r="AE194" s="2">
        <v>24.49</v>
      </c>
      <c r="AF194" s="2">
        <v>18.05</v>
      </c>
      <c r="AG194" s="2">
        <v>10.1</v>
      </c>
      <c r="AH194" s="2">
        <v>10.17</v>
      </c>
      <c r="AI194" s="2">
        <v>90.92</v>
      </c>
      <c r="AJ194" s="2">
        <v>82.25</v>
      </c>
      <c r="AM194" s="1" t="s">
        <v>22</v>
      </c>
      <c r="AN194" s="2">
        <v>628.26</v>
      </c>
      <c r="AO194" s="2">
        <v>501.75</v>
      </c>
      <c r="AP194" s="2">
        <v>1259.96</v>
      </c>
      <c r="AQ194" s="2">
        <v>844.73</v>
      </c>
      <c r="AR194" s="2">
        <v>505.99</v>
      </c>
      <c r="AS194" s="2">
        <v>633.58000000000004</v>
      </c>
      <c r="AT194" s="2">
        <v>470.64</v>
      </c>
      <c r="AU194" s="2">
        <v>550.15</v>
      </c>
      <c r="AV194" s="2">
        <v>580.86</v>
      </c>
      <c r="AW194" s="2">
        <v>324.81</v>
      </c>
      <c r="AX194" s="2">
        <v>465.21</v>
      </c>
      <c r="AY194" s="2">
        <v>342.85</v>
      </c>
      <c r="AZ194" s="2">
        <v>191.81</v>
      </c>
      <c r="BA194" s="2">
        <v>193.13</v>
      </c>
      <c r="BB194" s="2">
        <v>599.51</v>
      </c>
      <c r="BC194" s="2">
        <v>534.22</v>
      </c>
    </row>
    <row r="195" spans="20:55" x14ac:dyDescent="0.3">
      <c r="T195" s="1" t="s">
        <v>23</v>
      </c>
      <c r="U195" s="2">
        <v>286.12</v>
      </c>
      <c r="V195" s="2">
        <v>113.34</v>
      </c>
      <c r="W195" s="2">
        <v>400.76</v>
      </c>
      <c r="X195" s="2">
        <v>460.43</v>
      </c>
      <c r="Y195" s="2">
        <v>141.78</v>
      </c>
      <c r="Z195" s="2">
        <v>123.07</v>
      </c>
      <c r="AA195" s="2">
        <v>77.459999999999994</v>
      </c>
      <c r="AB195" s="2">
        <v>93.96</v>
      </c>
      <c r="AC195" s="2">
        <v>132.44999999999999</v>
      </c>
      <c r="AD195" s="2">
        <v>129.6</v>
      </c>
      <c r="AE195" s="2">
        <v>129.6</v>
      </c>
      <c r="AF195" s="2">
        <v>126.73</v>
      </c>
      <c r="AG195" s="2">
        <v>51.9</v>
      </c>
      <c r="AH195" s="2">
        <v>50.13</v>
      </c>
      <c r="AI195" s="2">
        <v>480.38</v>
      </c>
      <c r="AJ195" s="2">
        <v>469.54</v>
      </c>
      <c r="AM195" s="1" t="s">
        <v>23</v>
      </c>
      <c r="AN195" s="2">
        <v>1793.62</v>
      </c>
      <c r="AO195" s="2">
        <v>2238.1</v>
      </c>
      <c r="AP195" s="2">
        <v>3904.41</v>
      </c>
      <c r="AQ195" s="2">
        <v>3365.13</v>
      </c>
      <c r="AR195" s="2">
        <v>2086.2199999999998</v>
      </c>
      <c r="AS195" s="2">
        <v>1894.93</v>
      </c>
      <c r="AT195" s="2">
        <v>1534.54</v>
      </c>
      <c r="AU195" s="2">
        <v>1829.54</v>
      </c>
      <c r="AV195" s="2">
        <v>2516.5500000000002</v>
      </c>
      <c r="AW195" s="2">
        <v>2462.4</v>
      </c>
      <c r="AX195" s="2">
        <v>2462.4</v>
      </c>
      <c r="AY195" s="2">
        <v>2407.77</v>
      </c>
      <c r="AZ195" s="2">
        <v>986.1</v>
      </c>
      <c r="BA195" s="2">
        <v>952.37</v>
      </c>
      <c r="BB195" s="2">
        <v>3535.12</v>
      </c>
      <c r="BC195" s="2">
        <v>3072.7</v>
      </c>
    </row>
    <row r="196" spans="20:55" x14ac:dyDescent="0.3">
      <c r="T196" s="1" t="s">
        <v>24</v>
      </c>
      <c r="U196" s="2">
        <v>67.34</v>
      </c>
      <c r="V196" s="2">
        <v>19.28</v>
      </c>
      <c r="W196" s="2">
        <v>51.95</v>
      </c>
      <c r="X196" s="2">
        <v>39.78</v>
      </c>
      <c r="Y196" s="2">
        <v>51.41</v>
      </c>
      <c r="Z196" s="2">
        <v>18.760000000000002</v>
      </c>
      <c r="AA196" s="2">
        <v>18.23</v>
      </c>
      <c r="AB196" s="2">
        <v>13.53</v>
      </c>
      <c r="AC196" s="2">
        <v>15.4</v>
      </c>
      <c r="AD196" s="2">
        <v>17.399999999999999</v>
      </c>
      <c r="AE196" s="2">
        <v>12.96</v>
      </c>
      <c r="AF196" s="2">
        <v>13.89</v>
      </c>
      <c r="AG196" s="2">
        <v>9.6</v>
      </c>
      <c r="AH196" s="2">
        <v>8.5299999999999994</v>
      </c>
      <c r="AI196" s="2">
        <v>49.39</v>
      </c>
      <c r="AJ196" s="2">
        <v>55.2</v>
      </c>
      <c r="AM196" s="1" t="s">
        <v>24</v>
      </c>
      <c r="AN196" s="2">
        <v>434.24</v>
      </c>
      <c r="AO196" s="2">
        <v>380.74</v>
      </c>
      <c r="AP196" s="2">
        <v>1064.1400000000001</v>
      </c>
      <c r="AQ196" s="2">
        <v>785.6</v>
      </c>
      <c r="AR196" s="2">
        <v>393.53</v>
      </c>
      <c r="AS196" s="2">
        <v>365.28</v>
      </c>
      <c r="AT196" s="2">
        <v>361.07</v>
      </c>
      <c r="AU196" s="2">
        <v>263.43</v>
      </c>
      <c r="AV196" s="2">
        <v>292.54000000000002</v>
      </c>
      <c r="AW196" s="2">
        <v>330.61</v>
      </c>
      <c r="AX196" s="2">
        <v>246.24</v>
      </c>
      <c r="AY196" s="2">
        <v>263.92</v>
      </c>
      <c r="AZ196" s="2">
        <v>182.34</v>
      </c>
      <c r="BA196" s="2">
        <v>162.03</v>
      </c>
      <c r="BB196" s="2">
        <v>721.34</v>
      </c>
      <c r="BC196" s="2">
        <v>311.13</v>
      </c>
    </row>
    <row r="197" spans="20:55" x14ac:dyDescent="0.3">
      <c r="T197" s="1" t="s">
        <v>25</v>
      </c>
      <c r="U197" s="2">
        <v>96.83</v>
      </c>
      <c r="V197" s="2">
        <v>95.94</v>
      </c>
      <c r="W197" s="2">
        <v>198.36</v>
      </c>
      <c r="X197" s="2">
        <v>181.11</v>
      </c>
      <c r="Y197" s="2">
        <v>70.3</v>
      </c>
      <c r="Z197" s="2">
        <v>58.06</v>
      </c>
      <c r="AA197" s="2">
        <v>60.46</v>
      </c>
      <c r="AB197" s="2">
        <v>48.74</v>
      </c>
      <c r="AC197" s="2">
        <v>56.13</v>
      </c>
      <c r="AD197" s="2">
        <v>78.25</v>
      </c>
      <c r="AE197" s="2">
        <v>44.97</v>
      </c>
      <c r="AF197" s="2">
        <v>62.67</v>
      </c>
      <c r="AG197" s="2">
        <v>30.93</v>
      </c>
      <c r="AH197" s="2">
        <v>24.8</v>
      </c>
      <c r="AI197" s="2">
        <v>265.82</v>
      </c>
      <c r="AJ197" s="2">
        <v>143.29</v>
      </c>
      <c r="AM197" s="1" t="s">
        <v>25</v>
      </c>
      <c r="AN197" s="2">
        <v>1677.32</v>
      </c>
      <c r="AO197" s="2">
        <v>1754.16</v>
      </c>
      <c r="AP197" s="2">
        <v>2279.4299999999998</v>
      </c>
      <c r="AQ197" s="2">
        <v>2922.39</v>
      </c>
      <c r="AR197" s="2">
        <v>1392.66</v>
      </c>
      <c r="AS197" s="2">
        <v>1130.31</v>
      </c>
      <c r="AT197" s="2">
        <v>1197.8599999999999</v>
      </c>
      <c r="AU197" s="2">
        <v>949.06</v>
      </c>
      <c r="AV197" s="2">
        <v>1066.49</v>
      </c>
      <c r="AW197" s="2">
        <v>1486.66</v>
      </c>
      <c r="AX197" s="2">
        <v>854.45</v>
      </c>
      <c r="AY197" s="2">
        <v>1190.6600000000001</v>
      </c>
      <c r="AZ197" s="2">
        <v>278.37</v>
      </c>
      <c r="BA197" s="2">
        <v>471.27</v>
      </c>
      <c r="BB197" s="2">
        <v>1605.57</v>
      </c>
      <c r="BC197" s="2">
        <v>1989.85</v>
      </c>
    </row>
    <row r="198" spans="20:55" x14ac:dyDescent="0.3">
      <c r="T198" s="1" t="s">
        <v>26</v>
      </c>
      <c r="U198" s="2">
        <v>49.39</v>
      </c>
      <c r="V198" s="2">
        <v>54.82</v>
      </c>
      <c r="W198" s="2">
        <v>88.55</v>
      </c>
      <c r="X198" s="2">
        <v>86.1</v>
      </c>
      <c r="Y198" s="2">
        <v>41.63</v>
      </c>
      <c r="Z198" s="2">
        <v>34.94</v>
      </c>
      <c r="AA198" s="2">
        <v>31.83</v>
      </c>
      <c r="AB198" s="2">
        <v>28.39</v>
      </c>
      <c r="AC198" s="2">
        <v>57.99</v>
      </c>
      <c r="AD198" s="2">
        <v>38.24</v>
      </c>
      <c r="AE198" s="2">
        <v>57.99</v>
      </c>
      <c r="AF198" s="2">
        <v>38.24</v>
      </c>
      <c r="AG198" s="2">
        <v>12.41</v>
      </c>
      <c r="AH198" s="2">
        <v>13.48</v>
      </c>
      <c r="AI198" s="2">
        <v>155.58000000000001</v>
      </c>
      <c r="AJ198" s="2">
        <v>179.74</v>
      </c>
      <c r="AM198" s="1" t="s">
        <v>26</v>
      </c>
      <c r="AN198" s="2">
        <v>1011.71</v>
      </c>
      <c r="AO198" s="2">
        <v>1082.48</v>
      </c>
      <c r="AP198" s="2">
        <v>1813.75</v>
      </c>
      <c r="AQ198" s="2">
        <v>1700.1</v>
      </c>
      <c r="AR198" s="2">
        <v>746.77</v>
      </c>
      <c r="AS198" s="2">
        <v>680.26</v>
      </c>
      <c r="AT198" s="2">
        <v>630.57000000000005</v>
      </c>
      <c r="AU198" s="2">
        <v>552.71</v>
      </c>
      <c r="AV198" s="2">
        <v>1101.81</v>
      </c>
      <c r="AW198" s="2">
        <v>726.46</v>
      </c>
      <c r="AX198" s="2">
        <v>1101.81</v>
      </c>
      <c r="AY198" s="2">
        <v>726.46</v>
      </c>
      <c r="AZ198" s="2">
        <v>193.69</v>
      </c>
      <c r="BA198" s="2">
        <v>214.22</v>
      </c>
      <c r="BB198" s="2">
        <v>2097.7199999999998</v>
      </c>
      <c r="BC198" s="2">
        <v>1442.07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</v>
      </c>
      <c r="V205" s="2">
        <v>0</v>
      </c>
      <c r="W205" s="2">
        <v>0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0.59</v>
      </c>
      <c r="AG205" s="2">
        <v>0.59</v>
      </c>
      <c r="AH205" s="2">
        <v>0.59</v>
      </c>
      <c r="AI205" s="2">
        <v>7.0000000000000007E-2</v>
      </c>
      <c r="AJ205" s="2">
        <v>0.03</v>
      </c>
      <c r="AM205" s="1" t="s">
        <v>19</v>
      </c>
      <c r="AN205" s="2">
        <v>672</v>
      </c>
      <c r="AO205" s="2">
        <v>140</v>
      </c>
      <c r="AP205" s="2">
        <v>344.96</v>
      </c>
      <c r="AQ205" s="2">
        <v>124.74</v>
      </c>
      <c r="AR205" s="2">
        <v>103.74</v>
      </c>
      <c r="AS205" s="2">
        <v>103.74</v>
      </c>
      <c r="AT205" s="2">
        <v>20.58</v>
      </c>
      <c r="AU205" s="2">
        <v>55.44</v>
      </c>
      <c r="AV205" s="2">
        <v>628.32000000000005</v>
      </c>
      <c r="AW205" s="2">
        <v>257.25</v>
      </c>
      <c r="AX205" s="2">
        <v>397.88</v>
      </c>
      <c r="AY205" s="2">
        <v>219.45</v>
      </c>
      <c r="AZ205" s="2">
        <v>78.260000000000005</v>
      </c>
      <c r="BA205" s="2">
        <v>78.260000000000005</v>
      </c>
      <c r="BB205" s="2">
        <v>20.58</v>
      </c>
      <c r="BC205" s="2">
        <v>103.04</v>
      </c>
    </row>
    <row r="206" spans="20:55" x14ac:dyDescent="0.3">
      <c r="T206" s="1" t="s">
        <v>20</v>
      </c>
      <c r="U206" s="2">
        <v>0.3</v>
      </c>
      <c r="V206" s="2">
        <v>0.12</v>
      </c>
      <c r="W206" s="2">
        <v>0.22</v>
      </c>
      <c r="X206" s="2">
        <v>0.25</v>
      </c>
      <c r="Y206" s="2">
        <v>0.39</v>
      </c>
      <c r="Z206" s="2">
        <v>0.26</v>
      </c>
      <c r="AA206" s="2">
        <v>0.31</v>
      </c>
      <c r="AB206" s="2">
        <v>0.16</v>
      </c>
      <c r="AC206" s="2">
        <v>0.14000000000000001</v>
      </c>
      <c r="AD206" s="2">
        <v>0.15</v>
      </c>
      <c r="AE206" s="2">
        <v>0.14000000000000001</v>
      </c>
      <c r="AF206" s="2">
        <v>0.15</v>
      </c>
      <c r="AG206" s="2">
        <v>0.13</v>
      </c>
      <c r="AH206" s="2">
        <v>0.1</v>
      </c>
      <c r="AI206" s="2">
        <v>0.3</v>
      </c>
      <c r="AJ206" s="2">
        <v>0.3</v>
      </c>
      <c r="AM206" s="1" t="s">
        <v>20</v>
      </c>
      <c r="AN206" s="2">
        <v>33.869999999999997</v>
      </c>
      <c r="AO206" s="2">
        <v>56.75</v>
      </c>
      <c r="AP206" s="2">
        <v>26.35</v>
      </c>
      <c r="AQ206" s="2">
        <v>29.25</v>
      </c>
      <c r="AR206" s="2">
        <v>52</v>
      </c>
      <c r="AS206" s="2">
        <v>52</v>
      </c>
      <c r="AT206" s="2">
        <v>18.059999999999999</v>
      </c>
      <c r="AU206" s="2">
        <v>14.4</v>
      </c>
      <c r="AV206" s="2">
        <v>44.88</v>
      </c>
      <c r="AW206" s="2">
        <v>25.43</v>
      </c>
      <c r="AX206" s="2">
        <v>49.28</v>
      </c>
      <c r="AY206" s="2">
        <v>35.64</v>
      </c>
      <c r="AZ206" s="2">
        <v>52</v>
      </c>
      <c r="BA206" s="2">
        <v>52</v>
      </c>
      <c r="BB206" s="2">
        <v>15.12</v>
      </c>
      <c r="BC206" s="2">
        <v>13.81</v>
      </c>
    </row>
    <row r="207" spans="20:55" x14ac:dyDescent="0.3">
      <c r="T207" s="1" t="s">
        <v>21</v>
      </c>
      <c r="U207" s="2">
        <v>0.39</v>
      </c>
      <c r="V207" s="2">
        <v>0.12</v>
      </c>
      <c r="W207" s="2">
        <v>0.28000000000000003</v>
      </c>
      <c r="X207" s="2">
        <v>0.34</v>
      </c>
      <c r="Y207" s="2">
        <v>0.44</v>
      </c>
      <c r="Z207" s="2">
        <v>0.28000000000000003</v>
      </c>
      <c r="AA207" s="2">
        <v>0.37</v>
      </c>
      <c r="AB207" s="2">
        <v>0.16</v>
      </c>
      <c r="AC207" s="2">
        <v>0.03</v>
      </c>
      <c r="AD207" s="2">
        <v>0.05</v>
      </c>
      <c r="AE207" s="2">
        <v>0.02</v>
      </c>
      <c r="AF207" s="2">
        <v>0.04</v>
      </c>
      <c r="AG207" s="2">
        <v>0.04</v>
      </c>
      <c r="AH207" s="2">
        <v>0</v>
      </c>
      <c r="AI207" s="2">
        <v>0.26</v>
      </c>
      <c r="AJ207" s="2">
        <v>0.4</v>
      </c>
      <c r="AM207" s="1" t="s">
        <v>21</v>
      </c>
      <c r="AN207" s="2">
        <v>105.65</v>
      </c>
      <c r="AO207" s="2">
        <v>140.25</v>
      </c>
      <c r="AP207" s="2">
        <v>87.55</v>
      </c>
      <c r="AQ207" s="2">
        <v>141.69999999999999</v>
      </c>
      <c r="AR207" s="2">
        <v>158.44999999999999</v>
      </c>
      <c r="AS207" s="2">
        <v>123.24</v>
      </c>
      <c r="AT207" s="2">
        <v>39.85</v>
      </c>
      <c r="AU207" s="2">
        <v>27.12</v>
      </c>
      <c r="AV207" s="2">
        <v>110.12</v>
      </c>
      <c r="AW207" s="2">
        <v>126.9</v>
      </c>
      <c r="AX207" s="2">
        <v>150.06</v>
      </c>
      <c r="AY207" s="2">
        <v>207.2</v>
      </c>
      <c r="AZ207" s="2">
        <v>175.83</v>
      </c>
      <c r="BA207" s="2">
        <v>145.08000000000001</v>
      </c>
      <c r="BB207" s="2">
        <v>27.09</v>
      </c>
      <c r="BC207" s="2">
        <v>53.04</v>
      </c>
    </row>
    <row r="208" spans="20:55" x14ac:dyDescent="0.3">
      <c r="T208" s="1" t="s">
        <v>22</v>
      </c>
      <c r="U208" s="2">
        <v>0.31</v>
      </c>
      <c r="V208" s="2">
        <v>0.25</v>
      </c>
      <c r="W208" s="2">
        <v>0.32</v>
      </c>
      <c r="X208" s="2">
        <v>0.32</v>
      </c>
      <c r="Y208" s="2">
        <v>0.37</v>
      </c>
      <c r="Z208" s="2">
        <v>0.39</v>
      </c>
      <c r="AA208" s="2">
        <v>0.23</v>
      </c>
      <c r="AB208" s="2">
        <v>0.2</v>
      </c>
      <c r="AC208" s="2">
        <v>0.11</v>
      </c>
      <c r="AD208" s="2">
        <v>0</v>
      </c>
      <c r="AE208" s="2">
        <v>0.1</v>
      </c>
      <c r="AF208" s="2">
        <v>0.01</v>
      </c>
      <c r="AG208" s="2">
        <v>0.01</v>
      </c>
      <c r="AH208" s="2">
        <v>0.01</v>
      </c>
      <c r="AI208" s="2">
        <v>0.27</v>
      </c>
      <c r="AJ208" s="2">
        <v>0.27</v>
      </c>
      <c r="AM208" s="1" t="s">
        <v>22</v>
      </c>
      <c r="AN208" s="2">
        <v>47.47</v>
      </c>
      <c r="AO208" s="2">
        <v>53.5</v>
      </c>
      <c r="AP208" s="2">
        <v>49.13</v>
      </c>
      <c r="AQ208" s="2">
        <v>49.17</v>
      </c>
      <c r="AR208" s="2">
        <v>74.36</v>
      </c>
      <c r="AS208" s="2">
        <v>59.54</v>
      </c>
      <c r="AT208" s="2">
        <v>6.09</v>
      </c>
      <c r="AU208" s="2">
        <v>8.84</v>
      </c>
      <c r="AV208" s="2">
        <v>40.57</v>
      </c>
      <c r="AW208" s="2">
        <v>36.54</v>
      </c>
      <c r="AX208" s="2">
        <v>78.569999999999993</v>
      </c>
      <c r="AY208" s="2">
        <v>49.17</v>
      </c>
      <c r="AZ208" s="2">
        <v>37.18</v>
      </c>
      <c r="BA208" s="2">
        <v>37.18</v>
      </c>
      <c r="BB208" s="2">
        <v>6.09</v>
      </c>
      <c r="BC208" s="2">
        <v>7.1</v>
      </c>
    </row>
    <row r="209" spans="20:55" x14ac:dyDescent="0.3">
      <c r="T209" s="1" t="s">
        <v>23</v>
      </c>
      <c r="U209" s="2">
        <v>0.26</v>
      </c>
      <c r="V209" s="2">
        <v>0.28999999999999998</v>
      </c>
      <c r="W209" s="2">
        <v>0.31</v>
      </c>
      <c r="X209" s="2">
        <v>0.3</v>
      </c>
      <c r="Y209" s="2">
        <v>0.33</v>
      </c>
      <c r="Z209" s="2">
        <v>0.35</v>
      </c>
      <c r="AA209" s="2">
        <v>0.11</v>
      </c>
      <c r="AB209" s="2">
        <v>0.17</v>
      </c>
      <c r="AC209" s="2">
        <v>0.14000000000000001</v>
      </c>
      <c r="AD209" s="2">
        <v>0.09</v>
      </c>
      <c r="AE209" s="2">
        <v>0.15</v>
      </c>
      <c r="AF209" s="2">
        <v>0.09</v>
      </c>
      <c r="AG209" s="2">
        <v>0.05</v>
      </c>
      <c r="AH209" s="2">
        <v>0.04</v>
      </c>
      <c r="AI209" s="2">
        <v>0.3</v>
      </c>
      <c r="AJ209" s="2">
        <v>0.28999999999999998</v>
      </c>
      <c r="AM209" s="1" t="s">
        <v>23</v>
      </c>
      <c r="AN209" s="2">
        <v>144.63</v>
      </c>
      <c r="AO209" s="2">
        <v>237.15</v>
      </c>
      <c r="AP209" s="2">
        <v>246.4</v>
      </c>
      <c r="AQ209" s="2">
        <v>201.3</v>
      </c>
      <c r="AR209" s="2">
        <v>241.8</v>
      </c>
      <c r="AS209" s="2">
        <v>241.8</v>
      </c>
      <c r="AT209" s="2">
        <v>30.45</v>
      </c>
      <c r="AU209" s="2">
        <v>71.92</v>
      </c>
      <c r="AV209" s="2">
        <v>133.25</v>
      </c>
      <c r="AW209" s="2">
        <v>221.13</v>
      </c>
      <c r="AX209" s="2">
        <v>170.8</v>
      </c>
      <c r="AY209" s="2">
        <v>268.95</v>
      </c>
      <c r="AZ209" s="2">
        <v>223.6</v>
      </c>
      <c r="BA209" s="2">
        <v>223.6</v>
      </c>
      <c r="BB209" s="2">
        <v>30.45</v>
      </c>
      <c r="BC209" s="2">
        <v>63.35</v>
      </c>
    </row>
    <row r="210" spans="20:55" x14ac:dyDescent="0.3">
      <c r="T210" s="1" t="s">
        <v>24</v>
      </c>
      <c r="U210" s="2">
        <v>0.28999999999999998</v>
      </c>
      <c r="V210" s="2">
        <v>0.28000000000000003</v>
      </c>
      <c r="W210" s="2">
        <v>0.31</v>
      </c>
      <c r="X210" s="2">
        <v>0.34</v>
      </c>
      <c r="Y210" s="2">
        <v>0.39</v>
      </c>
      <c r="Z210" s="2">
        <v>0.39</v>
      </c>
      <c r="AA210" s="2">
        <v>0.23</v>
      </c>
      <c r="AB210" s="2">
        <v>0.33</v>
      </c>
      <c r="AC210" s="2">
        <v>0.12</v>
      </c>
      <c r="AD210" s="2">
        <v>0.06</v>
      </c>
      <c r="AE210" s="2">
        <v>0.11</v>
      </c>
      <c r="AF210" s="2">
        <v>0.05</v>
      </c>
      <c r="AG210" s="2">
        <v>0.06</v>
      </c>
      <c r="AH210" s="2">
        <v>0.04</v>
      </c>
      <c r="AI210" s="2">
        <v>0.28999999999999998</v>
      </c>
      <c r="AJ210" s="2">
        <v>0.24</v>
      </c>
      <c r="AM210" s="1" t="s">
        <v>24</v>
      </c>
      <c r="AN210" s="2">
        <v>31.26</v>
      </c>
      <c r="AO210" s="2">
        <v>24.18</v>
      </c>
      <c r="AP210" s="2">
        <v>55.57</v>
      </c>
      <c r="AQ210" s="2">
        <v>35.64</v>
      </c>
      <c r="AR210" s="2">
        <v>37.18</v>
      </c>
      <c r="AS210" s="2">
        <v>29.9</v>
      </c>
      <c r="AT210" s="2">
        <v>18.059999999999999</v>
      </c>
      <c r="AU210" s="2">
        <v>5.47</v>
      </c>
      <c r="AV210" s="2">
        <v>14.83</v>
      </c>
      <c r="AW210" s="2">
        <v>21.39</v>
      </c>
      <c r="AX210" s="2">
        <v>44.64</v>
      </c>
      <c r="AY210" s="2">
        <v>23.56</v>
      </c>
      <c r="AZ210" s="2">
        <v>41.08</v>
      </c>
      <c r="BA210" s="2">
        <v>33.54</v>
      </c>
      <c r="BB210" s="2">
        <v>15.13</v>
      </c>
      <c r="BC210" s="2">
        <v>3.33</v>
      </c>
    </row>
    <row r="211" spans="20:55" x14ac:dyDescent="0.3">
      <c r="T211" s="1" t="s">
        <v>25</v>
      </c>
      <c r="U211" s="2">
        <v>0.36</v>
      </c>
      <c r="V211" s="2">
        <v>0.35</v>
      </c>
      <c r="W211" s="2">
        <v>0.28000000000000003</v>
      </c>
      <c r="X211" s="2">
        <v>0.27</v>
      </c>
      <c r="Y211" s="2">
        <v>0.32</v>
      </c>
      <c r="Z211" s="2">
        <v>0.37</v>
      </c>
      <c r="AA211" s="2">
        <v>0.15</v>
      </c>
      <c r="AB211" s="2">
        <v>0.22</v>
      </c>
      <c r="AC211" s="2">
        <v>0.1</v>
      </c>
      <c r="AD211" s="2">
        <v>0.08</v>
      </c>
      <c r="AE211" s="2">
        <v>0.08</v>
      </c>
      <c r="AF211" s="2">
        <v>7.0000000000000007E-2</v>
      </c>
      <c r="AG211" s="2">
        <v>0.59</v>
      </c>
      <c r="AH211" s="2">
        <v>0.02</v>
      </c>
      <c r="AI211" s="2">
        <v>0.32</v>
      </c>
      <c r="AJ211" s="2">
        <v>0.37</v>
      </c>
      <c r="AM211" s="1" t="s">
        <v>25</v>
      </c>
      <c r="AN211" s="2">
        <v>145.13999999999999</v>
      </c>
      <c r="AO211" s="2">
        <v>126.79</v>
      </c>
      <c r="AP211" s="2">
        <v>176.83</v>
      </c>
      <c r="AQ211" s="2">
        <v>199.49</v>
      </c>
      <c r="AR211" s="2">
        <v>123.41</v>
      </c>
      <c r="AS211" s="2">
        <v>89.85</v>
      </c>
      <c r="AT211" s="2">
        <v>27.09</v>
      </c>
      <c r="AU211" s="2">
        <v>27.87</v>
      </c>
      <c r="AV211" s="2">
        <v>192.24</v>
      </c>
      <c r="AW211" s="2">
        <v>120</v>
      </c>
      <c r="AX211" s="2">
        <v>154.4</v>
      </c>
      <c r="AY211" s="2">
        <v>102.96</v>
      </c>
      <c r="AZ211" s="2">
        <v>115.42</v>
      </c>
      <c r="BA211" s="2">
        <v>92.14</v>
      </c>
      <c r="BB211" s="2">
        <v>39.880000000000003</v>
      </c>
      <c r="BC211" s="2">
        <v>27.32</v>
      </c>
    </row>
    <row r="212" spans="20:55" x14ac:dyDescent="0.3">
      <c r="T212" s="1" t="s">
        <v>26</v>
      </c>
      <c r="U212" s="2">
        <v>0.13</v>
      </c>
      <c r="V212" s="2">
        <v>0.14000000000000001</v>
      </c>
      <c r="W212" s="2">
        <v>0.15</v>
      </c>
      <c r="X212" s="2">
        <v>0.01</v>
      </c>
      <c r="Y212" s="2">
        <v>0.21</v>
      </c>
      <c r="Z212" s="2">
        <v>0.21</v>
      </c>
      <c r="AA212" s="2">
        <v>0.08</v>
      </c>
      <c r="AB212" s="2">
        <v>0.06</v>
      </c>
      <c r="AC212" s="2">
        <v>0.13</v>
      </c>
      <c r="AD212" s="2">
        <v>0.13</v>
      </c>
      <c r="AE212" s="2">
        <v>0.13</v>
      </c>
      <c r="AF212" s="2">
        <v>0.13</v>
      </c>
      <c r="AG212" s="2">
        <v>0.01</v>
      </c>
      <c r="AH212" s="2">
        <v>0.01</v>
      </c>
      <c r="AI212" s="2">
        <v>0.23</v>
      </c>
      <c r="AJ212" s="2">
        <v>0.22</v>
      </c>
      <c r="AM212" s="1" t="s">
        <v>26</v>
      </c>
      <c r="AN212" s="2">
        <v>278.64</v>
      </c>
      <c r="AO212" s="2">
        <v>120</v>
      </c>
      <c r="AP212" s="2">
        <v>170.52</v>
      </c>
      <c r="AQ212" s="2">
        <v>67.319999999999993</v>
      </c>
      <c r="AR212" s="2">
        <v>10.92</v>
      </c>
      <c r="AS212" s="2">
        <v>10.92</v>
      </c>
      <c r="AT212" s="2">
        <v>0</v>
      </c>
      <c r="AU212" s="2">
        <v>45.01</v>
      </c>
      <c r="AV212" s="2">
        <v>221.04</v>
      </c>
      <c r="AW212" s="2">
        <v>30</v>
      </c>
      <c r="AX212" s="2">
        <v>125.16</v>
      </c>
      <c r="AY212" s="2">
        <v>26.73</v>
      </c>
      <c r="AZ212" s="2">
        <v>10.92</v>
      </c>
      <c r="BA212" s="2">
        <v>10.92</v>
      </c>
      <c r="BB212" s="2">
        <v>0</v>
      </c>
      <c r="BC212" s="2">
        <v>9.86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280</v>
      </c>
      <c r="AO219" s="2">
        <v>261.8</v>
      </c>
      <c r="AP219" s="2">
        <v>56</v>
      </c>
      <c r="AQ219" s="2">
        <v>102.9</v>
      </c>
      <c r="AR219" s="2">
        <v>123.2</v>
      </c>
      <c r="AS219" s="2">
        <v>142.1</v>
      </c>
      <c r="AT219" s="2">
        <v>37.799999999999997</v>
      </c>
      <c r="AU219" s="2">
        <v>66.5</v>
      </c>
      <c r="AV219" s="2">
        <v>39.9</v>
      </c>
      <c r="AW219" s="2">
        <v>30.1</v>
      </c>
      <c r="AX219" s="2">
        <v>39.9</v>
      </c>
      <c r="AY219" s="2">
        <v>30.1</v>
      </c>
      <c r="AZ219" s="2">
        <v>9.8000000000000007</v>
      </c>
      <c r="BA219" s="2">
        <v>9.8000000000000007</v>
      </c>
      <c r="BB219" s="2">
        <v>69.3</v>
      </c>
      <c r="BC219" s="2">
        <v>128.80000000000001</v>
      </c>
    </row>
    <row r="220" spans="20:55" x14ac:dyDescent="0.3">
      <c r="T220" s="1" t="s">
        <v>20</v>
      </c>
      <c r="U220" s="2">
        <v>0.72</v>
      </c>
      <c r="V220" s="2">
        <v>0.18</v>
      </c>
      <c r="W220" s="2">
        <v>0.36</v>
      </c>
      <c r="X220" s="2">
        <v>0.67</v>
      </c>
      <c r="Y220" s="2">
        <v>0.94</v>
      </c>
      <c r="Z220" s="2">
        <v>0.49</v>
      </c>
      <c r="AA220" s="2">
        <v>1.01</v>
      </c>
      <c r="AB220" s="2">
        <v>0.42</v>
      </c>
      <c r="AC220" s="2">
        <v>0.26</v>
      </c>
      <c r="AD220" s="2">
        <v>0.21</v>
      </c>
      <c r="AE220" s="2">
        <v>0.26</v>
      </c>
      <c r="AF220" s="2">
        <v>0.21</v>
      </c>
      <c r="AG220" s="2">
        <v>0.2</v>
      </c>
      <c r="AH220" s="2">
        <v>0.16</v>
      </c>
      <c r="AI220" s="2">
        <v>0.24</v>
      </c>
      <c r="AJ220" s="2">
        <v>0.24</v>
      </c>
      <c r="AM220" s="1" t="s">
        <v>20</v>
      </c>
      <c r="AN220" s="2">
        <v>14.11</v>
      </c>
      <c r="AO220" s="2">
        <v>18.7</v>
      </c>
      <c r="AP220" s="2">
        <v>22.7</v>
      </c>
      <c r="AQ220" s="2">
        <v>10.17</v>
      </c>
      <c r="AR220" s="2">
        <v>9.41</v>
      </c>
      <c r="AS220" s="2">
        <v>17.600000000000001</v>
      </c>
      <c r="AT220" s="2">
        <v>8.86</v>
      </c>
      <c r="AU220" s="2">
        <v>10.8</v>
      </c>
      <c r="AV220" s="2">
        <v>20</v>
      </c>
      <c r="AW220" s="2">
        <v>20</v>
      </c>
      <c r="AX220" s="2">
        <v>20</v>
      </c>
      <c r="AY220" s="2">
        <v>20</v>
      </c>
      <c r="AZ220" s="2">
        <v>8.6</v>
      </c>
      <c r="BA220" s="2">
        <v>7.2</v>
      </c>
      <c r="BB220" s="2">
        <v>18</v>
      </c>
      <c r="BC220" s="2">
        <v>17.260000000000002</v>
      </c>
    </row>
    <row r="221" spans="20:55" x14ac:dyDescent="0.3">
      <c r="T221" s="1" t="s">
        <v>21</v>
      </c>
      <c r="U221" s="2">
        <v>3.1</v>
      </c>
      <c r="V221" s="2">
        <v>0.32</v>
      </c>
      <c r="W221" s="2">
        <v>1.1499999999999999</v>
      </c>
      <c r="X221" s="2">
        <v>1.39</v>
      </c>
      <c r="Y221" s="2">
        <v>3.85</v>
      </c>
      <c r="Z221" s="2">
        <v>0.59</v>
      </c>
      <c r="AA221" s="2">
        <v>3.06</v>
      </c>
      <c r="AB221" s="2">
        <v>0.56999999999999995</v>
      </c>
      <c r="AC221" s="2">
        <v>0.04</v>
      </c>
      <c r="AD221" s="2">
        <v>0.08</v>
      </c>
      <c r="AE221" s="2">
        <v>0.04</v>
      </c>
      <c r="AF221" s="2">
        <v>0.08</v>
      </c>
      <c r="AG221" s="2">
        <v>7.0000000000000007E-2</v>
      </c>
      <c r="AH221" s="2">
        <v>0</v>
      </c>
      <c r="AI221" s="2">
        <v>0.24</v>
      </c>
      <c r="AJ221" s="2">
        <v>1</v>
      </c>
      <c r="AM221" s="1" t="s">
        <v>21</v>
      </c>
      <c r="AN221" s="2">
        <v>44.02</v>
      </c>
      <c r="AO221" s="2">
        <v>45.88</v>
      </c>
      <c r="AP221" s="2">
        <v>56.1</v>
      </c>
      <c r="AQ221" s="2">
        <v>50.76</v>
      </c>
      <c r="AR221" s="2">
        <v>31.27</v>
      </c>
      <c r="AS221" s="2">
        <v>53.59</v>
      </c>
      <c r="AT221" s="2">
        <v>42.94</v>
      </c>
      <c r="AU221" s="2">
        <v>62.79</v>
      </c>
      <c r="AV221" s="2">
        <v>60.94</v>
      </c>
      <c r="AW221" s="2">
        <v>67.63</v>
      </c>
      <c r="AX221" s="2">
        <v>47.4</v>
      </c>
      <c r="AY221" s="2">
        <v>55.8</v>
      </c>
      <c r="AZ221" s="2">
        <v>18.98</v>
      </c>
      <c r="BA221" s="2">
        <v>12.9</v>
      </c>
      <c r="BB221" s="2">
        <v>33.9</v>
      </c>
      <c r="BC221" s="2">
        <v>66.3</v>
      </c>
    </row>
    <row r="222" spans="20:55" x14ac:dyDescent="0.3">
      <c r="T222" s="1" t="s">
        <v>22</v>
      </c>
      <c r="U222" s="2">
        <v>1.08</v>
      </c>
      <c r="V222" s="2">
        <v>0.62</v>
      </c>
      <c r="W222" s="2">
        <v>0.78</v>
      </c>
      <c r="X222" s="2">
        <v>0.81</v>
      </c>
      <c r="Y222" s="2">
        <v>1.33</v>
      </c>
      <c r="Z222" s="2">
        <v>0.93</v>
      </c>
      <c r="AA222" s="2">
        <v>0.56000000000000005</v>
      </c>
      <c r="AB222" s="2">
        <v>0.46</v>
      </c>
      <c r="AC222" s="2">
        <v>0.15</v>
      </c>
      <c r="AD222" s="2">
        <v>0</v>
      </c>
      <c r="AE222" s="2">
        <v>0.15</v>
      </c>
      <c r="AF222" s="2">
        <v>0.01</v>
      </c>
      <c r="AG222" s="2">
        <v>0.01</v>
      </c>
      <c r="AH222" s="2">
        <v>0.01</v>
      </c>
      <c r="AI222" s="2">
        <v>0.22</v>
      </c>
      <c r="AJ222" s="2">
        <v>0.22</v>
      </c>
      <c r="AM222" s="1" t="s">
        <v>22</v>
      </c>
      <c r="AN222" s="2">
        <v>19.78</v>
      </c>
      <c r="AO222" s="2">
        <v>16.899999999999999</v>
      </c>
      <c r="AP222" s="2">
        <v>21.4</v>
      </c>
      <c r="AQ222" s="2">
        <v>14.61</v>
      </c>
      <c r="AR222" s="2">
        <v>17.55</v>
      </c>
      <c r="AS222" s="2">
        <v>28.06</v>
      </c>
      <c r="AT222" s="2">
        <v>14.9</v>
      </c>
      <c r="AU222" s="2">
        <v>14.9</v>
      </c>
      <c r="AV222" s="2">
        <v>28.6</v>
      </c>
      <c r="AW222" s="2">
        <v>14.3</v>
      </c>
      <c r="AX222" s="2">
        <v>22.9</v>
      </c>
      <c r="AY222" s="2">
        <v>14.3</v>
      </c>
      <c r="AZ222" s="2">
        <v>2.9</v>
      </c>
      <c r="BA222" s="2">
        <v>2.9</v>
      </c>
      <c r="BB222" s="2">
        <v>11.05</v>
      </c>
      <c r="BC222" s="2">
        <v>8.8699999999999992</v>
      </c>
    </row>
    <row r="223" spans="20:55" x14ac:dyDescent="0.3">
      <c r="T223" s="1" t="s">
        <v>23</v>
      </c>
      <c r="U223" s="2">
        <v>0.67</v>
      </c>
      <c r="V223" s="2">
        <v>1.01</v>
      </c>
      <c r="W223" s="2">
        <v>0.79</v>
      </c>
      <c r="X223" s="2">
        <v>0.76</v>
      </c>
      <c r="Y223" s="2">
        <v>0.7</v>
      </c>
      <c r="Z223" s="2">
        <v>0.76</v>
      </c>
      <c r="AA223" s="2">
        <v>0.18</v>
      </c>
      <c r="AB223" s="2">
        <v>0.33</v>
      </c>
      <c r="AC223" s="2">
        <v>0.19</v>
      </c>
      <c r="AD223" s="2">
        <v>0.11</v>
      </c>
      <c r="AE223" s="2">
        <v>0.22</v>
      </c>
      <c r="AF223" s="2">
        <v>0.11</v>
      </c>
      <c r="AG223" s="2">
        <v>0.06</v>
      </c>
      <c r="AH223" s="2">
        <v>0.05</v>
      </c>
      <c r="AI223" s="2">
        <v>0.24</v>
      </c>
      <c r="AJ223" s="2">
        <v>0.23</v>
      </c>
      <c r="AM223" s="1" t="s">
        <v>23</v>
      </c>
      <c r="AN223" s="2">
        <v>60.26</v>
      </c>
      <c r="AO223" s="2">
        <v>55.52</v>
      </c>
      <c r="AP223" s="2">
        <v>94.86</v>
      </c>
      <c r="AQ223" s="2">
        <v>88.45</v>
      </c>
      <c r="AR223" s="2">
        <v>88</v>
      </c>
      <c r="AS223" s="2">
        <v>61</v>
      </c>
      <c r="AT223" s="2">
        <v>61</v>
      </c>
      <c r="AU223" s="2">
        <v>81.5</v>
      </c>
      <c r="AV223" s="2">
        <v>93</v>
      </c>
      <c r="AW223" s="2">
        <v>86</v>
      </c>
      <c r="AX223" s="2">
        <v>93</v>
      </c>
      <c r="AY223" s="2">
        <v>86</v>
      </c>
      <c r="AZ223" s="2">
        <v>14.5</v>
      </c>
      <c r="BA223" s="2">
        <v>14.5</v>
      </c>
      <c r="BB223" s="2">
        <v>89.9</v>
      </c>
      <c r="BC223" s="2">
        <v>79.19</v>
      </c>
    </row>
    <row r="224" spans="20:55" x14ac:dyDescent="0.3">
      <c r="T224" s="1" t="s">
        <v>24</v>
      </c>
      <c r="U224" s="2">
        <v>0.66</v>
      </c>
      <c r="V224" s="2">
        <v>0.81</v>
      </c>
      <c r="W224" s="2">
        <v>0.75</v>
      </c>
      <c r="X224" s="2">
        <v>0.97</v>
      </c>
      <c r="Y224" s="2">
        <v>0.9</v>
      </c>
      <c r="Z224" s="2">
        <v>1.1299999999999999</v>
      </c>
      <c r="AA224" s="2">
        <v>0.49</v>
      </c>
      <c r="AB224" s="2">
        <v>1.21</v>
      </c>
      <c r="AC224" s="2">
        <v>0.12</v>
      </c>
      <c r="AD224" s="2">
        <v>0.05</v>
      </c>
      <c r="AE224" s="2">
        <v>0.12</v>
      </c>
      <c r="AF224" s="2">
        <v>0.05</v>
      </c>
      <c r="AG224" s="2">
        <v>0.06</v>
      </c>
      <c r="AH224" s="2">
        <v>0.03</v>
      </c>
      <c r="AI224" s="2">
        <v>0.22</v>
      </c>
      <c r="AJ224" s="2">
        <v>0.19</v>
      </c>
      <c r="AM224" s="1" t="s">
        <v>24</v>
      </c>
      <c r="AN224" s="2">
        <v>13.03</v>
      </c>
      <c r="AO224" s="2">
        <v>6.18</v>
      </c>
      <c r="AP224" s="2">
        <v>9.67</v>
      </c>
      <c r="AQ224" s="2">
        <v>8.56</v>
      </c>
      <c r="AR224" s="2">
        <v>19.850000000000001</v>
      </c>
      <c r="AS224" s="2">
        <v>15.94</v>
      </c>
      <c r="AT224" s="2">
        <v>10.8</v>
      </c>
      <c r="AU224" s="2">
        <v>7.14</v>
      </c>
      <c r="AV224" s="2">
        <v>14.3</v>
      </c>
      <c r="AW224" s="2">
        <v>15.8</v>
      </c>
      <c r="AX224" s="2">
        <v>11.5</v>
      </c>
      <c r="AY224" s="2">
        <v>12.9</v>
      </c>
      <c r="AZ224" s="2">
        <v>8.6</v>
      </c>
      <c r="BA224" s="2">
        <v>7.21</v>
      </c>
      <c r="BB224" s="2">
        <v>6.84</v>
      </c>
      <c r="BC224" s="2">
        <v>4.16</v>
      </c>
    </row>
    <row r="225" spans="20:55" x14ac:dyDescent="0.3">
      <c r="T225" s="1" t="s">
        <v>25</v>
      </c>
      <c r="U225" s="2">
        <v>2.38</v>
      </c>
      <c r="V225" s="2">
        <v>2.23</v>
      </c>
      <c r="W225" s="2">
        <v>0.83</v>
      </c>
      <c r="X225" s="2">
        <v>0.74</v>
      </c>
      <c r="Y225" s="2">
        <v>1.3</v>
      </c>
      <c r="Z225" s="2">
        <v>1.66</v>
      </c>
      <c r="AA225" s="2">
        <v>0.42</v>
      </c>
      <c r="AB225" s="2">
        <v>0.8</v>
      </c>
      <c r="AC225" s="2">
        <v>0.16</v>
      </c>
      <c r="AD225" s="2">
        <v>0.12</v>
      </c>
      <c r="AE225" s="2">
        <v>0.15</v>
      </c>
      <c r="AF225" s="2">
        <v>0.11</v>
      </c>
      <c r="AG225" s="2">
        <v>0</v>
      </c>
      <c r="AH225" s="2">
        <v>0.03</v>
      </c>
      <c r="AI225" s="2">
        <v>0.35</v>
      </c>
      <c r="AJ225" s="2">
        <v>0.83</v>
      </c>
      <c r="AM225" s="1" t="s">
        <v>25</v>
      </c>
      <c r="AN225" s="2">
        <v>60.48</v>
      </c>
      <c r="AO225" s="2">
        <v>80.099999999999994</v>
      </c>
      <c r="AP225" s="2">
        <v>50.71</v>
      </c>
      <c r="AQ225" s="2">
        <v>48</v>
      </c>
      <c r="AR225" s="2">
        <v>63.15</v>
      </c>
      <c r="AS225" s="2">
        <v>55.14</v>
      </c>
      <c r="AT225" s="2">
        <v>60.45</v>
      </c>
      <c r="AU225" s="2">
        <v>31.2</v>
      </c>
      <c r="AV225" s="2">
        <v>47.46</v>
      </c>
      <c r="AW225" s="2">
        <v>44.39</v>
      </c>
      <c r="AX225" s="2">
        <v>34.56</v>
      </c>
      <c r="AY225" s="2">
        <v>35.44</v>
      </c>
      <c r="AZ225" s="2">
        <v>12.9</v>
      </c>
      <c r="BA225" s="2">
        <v>18.989999999999998</v>
      </c>
      <c r="BB225" s="2">
        <v>34.840000000000003</v>
      </c>
      <c r="BC225" s="2">
        <v>34.159999999999997</v>
      </c>
    </row>
    <row r="226" spans="20:55" x14ac:dyDescent="0.3">
      <c r="T226" s="1" t="s">
        <v>26</v>
      </c>
      <c r="U226" s="2">
        <v>0.21</v>
      </c>
      <c r="V226" s="2">
        <v>0.21</v>
      </c>
      <c r="W226" s="2">
        <v>0.33</v>
      </c>
      <c r="X226" s="2">
        <v>0.01</v>
      </c>
      <c r="Y226" s="2">
        <v>0.35</v>
      </c>
      <c r="Z226" s="2">
        <v>0.3</v>
      </c>
      <c r="AA226" s="2">
        <v>0.16</v>
      </c>
      <c r="AB226" s="2">
        <v>0.11</v>
      </c>
      <c r="AC226" s="2">
        <v>0.24</v>
      </c>
      <c r="AD226" s="2">
        <v>0.27</v>
      </c>
      <c r="AE226" s="2">
        <v>0.24</v>
      </c>
      <c r="AF226" s="2">
        <v>0.27</v>
      </c>
      <c r="AG226" s="2">
        <v>0.01</v>
      </c>
      <c r="AH226" s="2">
        <v>0.01</v>
      </c>
      <c r="AI226" s="2">
        <v>0.18</v>
      </c>
      <c r="AJ226" s="2">
        <v>0.16</v>
      </c>
      <c r="AM226" s="1" t="s">
        <v>26</v>
      </c>
      <c r="AN226" s="2">
        <v>116.1</v>
      </c>
      <c r="AO226" s="2">
        <v>92.1</v>
      </c>
      <c r="AP226" s="2">
        <v>48</v>
      </c>
      <c r="AQ226" s="2">
        <v>12</v>
      </c>
      <c r="AR226" s="2">
        <v>60.9</v>
      </c>
      <c r="AS226" s="2">
        <v>44.7</v>
      </c>
      <c r="AT226" s="2">
        <v>20.399999999999999</v>
      </c>
      <c r="AU226" s="2">
        <v>8.1</v>
      </c>
      <c r="AV226" s="2">
        <v>4.2</v>
      </c>
      <c r="AW226" s="2">
        <v>4.2</v>
      </c>
      <c r="AX226" s="2">
        <v>4.2</v>
      </c>
      <c r="AY226" s="2">
        <v>4.2</v>
      </c>
      <c r="AZ226" s="2">
        <v>0</v>
      </c>
      <c r="BA226" s="2">
        <v>0</v>
      </c>
      <c r="BB226" s="2">
        <v>56.26</v>
      </c>
      <c r="BC226" s="2">
        <v>12.32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26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2.4</v>
      </c>
      <c r="D3">
        <v>2.5</v>
      </c>
      <c r="E3">
        <v>2.8</v>
      </c>
      <c r="F3">
        <v>3.3</v>
      </c>
      <c r="G3">
        <v>2.6</v>
      </c>
      <c r="H3">
        <v>2.6</v>
      </c>
      <c r="I3">
        <v>2.1</v>
      </c>
      <c r="J3">
        <v>0.8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16279.98</v>
      </c>
      <c r="V9" s="2">
        <v>16206.29</v>
      </c>
      <c r="W9" s="2">
        <v>17152.849999999999</v>
      </c>
      <c r="X9" s="2">
        <v>4438</v>
      </c>
      <c r="Y9" s="2">
        <v>11825.78</v>
      </c>
      <c r="Z9" s="2">
        <v>10450.32</v>
      </c>
      <c r="AA9" s="2">
        <v>2915.41</v>
      </c>
      <c r="AB9" s="2">
        <v>2501.7399999999998</v>
      </c>
      <c r="AC9" s="2">
        <v>2529.4299999999998</v>
      </c>
      <c r="AD9" s="2">
        <v>6622.98</v>
      </c>
      <c r="AE9" s="2">
        <v>6299.02</v>
      </c>
      <c r="AF9" s="2">
        <v>15471.82</v>
      </c>
      <c r="AG9" s="2">
        <v>869.99</v>
      </c>
      <c r="AH9" s="2">
        <v>800.86</v>
      </c>
      <c r="AI9" s="2">
        <v>10841.95</v>
      </c>
      <c r="AJ9" s="2">
        <v>8533.5499999999993</v>
      </c>
      <c r="AM9" s="1" t="s">
        <v>19</v>
      </c>
      <c r="AN9" s="2">
        <v>44050.5</v>
      </c>
      <c r="AO9" s="2">
        <v>43717.63</v>
      </c>
      <c r="AP9" s="2">
        <v>56931.65</v>
      </c>
      <c r="AQ9" s="2">
        <v>52500</v>
      </c>
      <c r="AR9" s="2">
        <v>41886.06</v>
      </c>
      <c r="AS9" s="2">
        <v>37344.28</v>
      </c>
      <c r="AT9" s="2">
        <v>52589.27</v>
      </c>
      <c r="AU9" s="2">
        <v>44698.49</v>
      </c>
      <c r="AV9" s="2">
        <v>47449.59</v>
      </c>
      <c r="AW9" s="2">
        <v>54600</v>
      </c>
      <c r="AX9" s="2">
        <v>43680</v>
      </c>
      <c r="AY9" s="2">
        <v>43680</v>
      </c>
      <c r="AZ9" s="2">
        <v>15598.42</v>
      </c>
      <c r="BA9" s="2">
        <v>14365.13</v>
      </c>
      <c r="BB9" s="2">
        <v>19674.13</v>
      </c>
      <c r="BC9" s="2">
        <v>16297.41</v>
      </c>
      <c r="BF9" s="1" t="s">
        <v>19</v>
      </c>
      <c r="BG9" s="2">
        <v>60330.48</v>
      </c>
      <c r="BH9" s="2">
        <v>59923.92</v>
      </c>
      <c r="BI9" s="2">
        <v>74084.5</v>
      </c>
      <c r="BJ9" s="2">
        <v>56938</v>
      </c>
      <c r="BK9" s="2">
        <v>53711.839999999997</v>
      </c>
      <c r="BL9" s="2">
        <v>47794.6</v>
      </c>
      <c r="BM9" s="2">
        <v>55504.68</v>
      </c>
      <c r="BN9" s="2">
        <v>47200.23</v>
      </c>
      <c r="BO9" s="2">
        <v>49979.02</v>
      </c>
      <c r="BP9" s="2">
        <v>61222.98</v>
      </c>
      <c r="BQ9" s="2">
        <v>49979.02</v>
      </c>
      <c r="BR9" s="2">
        <v>59151.82</v>
      </c>
      <c r="BS9" s="2">
        <v>16468.41</v>
      </c>
      <c r="BT9" s="2">
        <v>15165.99</v>
      </c>
      <c r="BU9" s="2">
        <v>30516.080000000002</v>
      </c>
      <c r="BV9" s="2">
        <v>24830.959999999999</v>
      </c>
    </row>
    <row r="10" spans="2:74" x14ac:dyDescent="0.3">
      <c r="B10" s="1" t="s">
        <v>20</v>
      </c>
      <c r="C10" s="2">
        <v>2.57</v>
      </c>
      <c r="D10" s="2">
        <v>2.57</v>
      </c>
      <c r="E10" s="2">
        <v>4.12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3.4</v>
      </c>
      <c r="M10" s="2">
        <v>2.57</v>
      </c>
      <c r="N10" s="2">
        <v>3.4</v>
      </c>
      <c r="O10" s="2">
        <v>2.57</v>
      </c>
      <c r="P10" s="2">
        <v>2.57</v>
      </c>
      <c r="Q10" s="2">
        <v>2.57</v>
      </c>
      <c r="R10" s="2">
        <v>2.57</v>
      </c>
      <c r="T10" s="1" t="s">
        <v>20</v>
      </c>
      <c r="U10" s="2">
        <v>4046.27</v>
      </c>
      <c r="V10" s="2">
        <v>2646.99</v>
      </c>
      <c r="W10" s="2">
        <v>3874.19</v>
      </c>
      <c r="X10" s="2">
        <v>2903.68</v>
      </c>
      <c r="Y10" s="2">
        <v>6206.71</v>
      </c>
      <c r="Z10" s="2">
        <v>4317.04</v>
      </c>
      <c r="AA10" s="2">
        <v>6231.95</v>
      </c>
      <c r="AB10" s="2">
        <v>4129.09</v>
      </c>
      <c r="AC10" s="2">
        <v>3669.05</v>
      </c>
      <c r="AD10" s="2">
        <v>3619.59</v>
      </c>
      <c r="AE10" s="2">
        <v>3669.05</v>
      </c>
      <c r="AF10" s="2">
        <v>3585.28</v>
      </c>
      <c r="AG10" s="2">
        <v>2524.25</v>
      </c>
      <c r="AH10" s="2">
        <v>2046.94</v>
      </c>
      <c r="AI10" s="2">
        <v>1447.05</v>
      </c>
      <c r="AJ10" s="2">
        <v>1408.2</v>
      </c>
      <c r="AM10" s="1" t="s">
        <v>20</v>
      </c>
      <c r="AN10" s="2">
        <v>15278.71</v>
      </c>
      <c r="AO10" s="2">
        <v>13348.77</v>
      </c>
      <c r="AP10" s="2">
        <v>26534.31</v>
      </c>
      <c r="AQ10" s="2">
        <v>9538.7900000000009</v>
      </c>
      <c r="AR10" s="2">
        <v>24313.29</v>
      </c>
      <c r="AS10" s="2">
        <v>13025.75</v>
      </c>
      <c r="AT10" s="2">
        <v>24310.1</v>
      </c>
      <c r="AU10" s="2">
        <v>15448.16</v>
      </c>
      <c r="AV10" s="2">
        <v>15697.05</v>
      </c>
      <c r="AW10" s="2">
        <v>21940.23</v>
      </c>
      <c r="AX10" s="2">
        <v>15697.05</v>
      </c>
      <c r="AY10" s="2">
        <v>21666.44</v>
      </c>
      <c r="AZ10" s="2">
        <v>9682.42</v>
      </c>
      <c r="BA10" s="2">
        <v>7958.09</v>
      </c>
      <c r="BB10" s="2">
        <v>5354.55</v>
      </c>
      <c r="BC10" s="2">
        <v>5133.1899999999996</v>
      </c>
      <c r="BF10" s="1" t="s">
        <v>20</v>
      </c>
      <c r="BG10" s="2">
        <v>19324.98</v>
      </c>
      <c r="BH10" s="2">
        <v>15995.76</v>
      </c>
      <c r="BI10" s="2">
        <v>30408.5</v>
      </c>
      <c r="BJ10" s="2">
        <v>12442.48</v>
      </c>
      <c r="BK10" s="2">
        <v>30520</v>
      </c>
      <c r="BL10" s="2">
        <v>17342.78</v>
      </c>
      <c r="BM10" s="2">
        <v>30542.05</v>
      </c>
      <c r="BN10" s="2">
        <v>19577.25</v>
      </c>
      <c r="BO10" s="2">
        <v>19366.099999999999</v>
      </c>
      <c r="BP10" s="2">
        <v>25559.82</v>
      </c>
      <c r="BQ10" s="2">
        <v>19366.099999999999</v>
      </c>
      <c r="BR10" s="2">
        <v>25251.72</v>
      </c>
      <c r="BS10" s="2">
        <v>12206.67</v>
      </c>
      <c r="BT10" s="2">
        <v>10005.030000000001</v>
      </c>
      <c r="BU10" s="2">
        <v>6801.6</v>
      </c>
      <c r="BV10" s="2">
        <v>6541.39</v>
      </c>
    </row>
    <row r="11" spans="2:74" x14ac:dyDescent="0.3">
      <c r="B11" s="1" t="s">
        <v>21</v>
      </c>
      <c r="C11" s="2">
        <v>8.81</v>
      </c>
      <c r="D11" s="2">
        <v>2.57</v>
      </c>
      <c r="E11" s="2">
        <v>7.72</v>
      </c>
      <c r="F11" s="2">
        <v>7.73</v>
      </c>
      <c r="G11" s="2">
        <v>10.3</v>
      </c>
      <c r="H11" s="2">
        <v>6.87</v>
      </c>
      <c r="I11" s="2">
        <v>10.050000000000001</v>
      </c>
      <c r="J11" s="2">
        <v>5.15</v>
      </c>
      <c r="K11" s="2">
        <v>2.54</v>
      </c>
      <c r="L11" s="2">
        <v>2.57</v>
      </c>
      <c r="M11" s="2">
        <v>2.57</v>
      </c>
      <c r="N11" s="2">
        <v>2.57</v>
      </c>
      <c r="O11" s="2">
        <v>2.57</v>
      </c>
      <c r="P11" s="2">
        <v>0.9</v>
      </c>
      <c r="Q11" s="2">
        <v>7.73</v>
      </c>
      <c r="R11" s="2">
        <v>8.7799999999999994</v>
      </c>
      <c r="T11" s="1" t="s">
        <v>21</v>
      </c>
      <c r="U11" s="2">
        <v>18936.29</v>
      </c>
      <c r="V11" s="2">
        <v>12749.47</v>
      </c>
      <c r="W11" s="2">
        <v>16725.02</v>
      </c>
      <c r="X11" s="2">
        <v>15073.67</v>
      </c>
      <c r="Y11" s="2">
        <v>25213.27</v>
      </c>
      <c r="Z11" s="2">
        <v>14789.38</v>
      </c>
      <c r="AA11" s="2">
        <v>27002.49</v>
      </c>
      <c r="AB11" s="2">
        <v>15655.86</v>
      </c>
      <c r="AC11" s="2">
        <v>7991.49</v>
      </c>
      <c r="AD11" s="2">
        <v>10239.11</v>
      </c>
      <c r="AE11" s="2">
        <v>7134.75</v>
      </c>
      <c r="AF11" s="2">
        <v>9134.84</v>
      </c>
      <c r="AG11" s="2">
        <v>6371.59</v>
      </c>
      <c r="AH11" s="2">
        <v>4839.3</v>
      </c>
      <c r="AI11" s="2">
        <v>4858.47</v>
      </c>
      <c r="AJ11" s="2">
        <v>5229.45</v>
      </c>
      <c r="AM11" s="1" t="s">
        <v>21</v>
      </c>
      <c r="AN11" s="2">
        <v>64583.71</v>
      </c>
      <c r="AO11" s="2">
        <v>34172.46</v>
      </c>
      <c r="AP11" s="2">
        <v>100780.48</v>
      </c>
      <c r="AQ11" s="2">
        <v>45410.92</v>
      </c>
      <c r="AR11" s="2">
        <v>96586.73</v>
      </c>
      <c r="AS11" s="2">
        <v>80406.34</v>
      </c>
      <c r="AT11" s="2">
        <v>112771.26</v>
      </c>
      <c r="AU11" s="2">
        <v>88504.8</v>
      </c>
      <c r="AV11" s="2">
        <v>49218.67</v>
      </c>
      <c r="AW11" s="2">
        <v>54757.919999999998</v>
      </c>
      <c r="AX11" s="2">
        <v>40106.730000000003</v>
      </c>
      <c r="AY11" s="2">
        <v>43599.4</v>
      </c>
      <c r="AZ11" s="2">
        <v>25609.66</v>
      </c>
      <c r="BA11" s="2">
        <v>18359.189999999999</v>
      </c>
      <c r="BB11" s="2">
        <v>17194.89</v>
      </c>
      <c r="BC11" s="2">
        <v>17022.38</v>
      </c>
      <c r="BF11" s="1" t="s">
        <v>21</v>
      </c>
      <c r="BG11" s="2">
        <v>83520</v>
      </c>
      <c r="BH11" s="2">
        <v>46921.93</v>
      </c>
      <c r="BI11" s="2">
        <v>117505.5</v>
      </c>
      <c r="BJ11" s="2">
        <v>60484.59</v>
      </c>
      <c r="BK11" s="2">
        <v>121800</v>
      </c>
      <c r="BL11" s="2">
        <v>95195.72</v>
      </c>
      <c r="BM11" s="2">
        <v>139773.76000000001</v>
      </c>
      <c r="BN11" s="2">
        <v>104160.66</v>
      </c>
      <c r="BO11" s="2">
        <v>57210.16</v>
      </c>
      <c r="BP11" s="2">
        <v>64997.03</v>
      </c>
      <c r="BQ11" s="2">
        <v>47241.48</v>
      </c>
      <c r="BR11" s="2">
        <v>52734.239999999998</v>
      </c>
      <c r="BS11" s="2">
        <v>31981.25</v>
      </c>
      <c r="BT11" s="2">
        <v>23198.49</v>
      </c>
      <c r="BU11" s="2">
        <v>22053.360000000001</v>
      </c>
      <c r="BV11" s="2">
        <v>22251.83</v>
      </c>
    </row>
    <row r="12" spans="2:74" x14ac:dyDescent="0.3">
      <c r="B12" s="1" t="s">
        <v>22</v>
      </c>
      <c r="C12" s="2">
        <v>5.15</v>
      </c>
      <c r="D12" s="2">
        <v>2.57</v>
      </c>
      <c r="E12" s="2">
        <v>5.15</v>
      </c>
      <c r="F12" s="2">
        <v>5.15</v>
      </c>
      <c r="G12" s="2">
        <v>5.15</v>
      </c>
      <c r="H12" s="2">
        <v>5.15</v>
      </c>
      <c r="I12" s="2">
        <v>5.08</v>
      </c>
      <c r="J12" s="2">
        <v>4.4000000000000004</v>
      </c>
      <c r="K12" s="2">
        <v>2.57</v>
      </c>
      <c r="L12" s="2">
        <v>1.34</v>
      </c>
      <c r="M12" s="2">
        <v>2.57</v>
      </c>
      <c r="N12" s="2">
        <v>1.06</v>
      </c>
      <c r="O12" s="2">
        <v>1.46</v>
      </c>
      <c r="P12" s="2">
        <v>1.46</v>
      </c>
      <c r="Q12" s="2">
        <v>2.57</v>
      </c>
      <c r="R12" s="2">
        <v>2.57</v>
      </c>
      <c r="T12" s="1" t="s">
        <v>22</v>
      </c>
      <c r="U12" s="2">
        <v>3672.93</v>
      </c>
      <c r="V12" s="2">
        <v>3973.35</v>
      </c>
      <c r="W12" s="2">
        <v>5248.58</v>
      </c>
      <c r="X12" s="2">
        <v>4244.6000000000004</v>
      </c>
      <c r="Y12" s="2">
        <v>5475.4</v>
      </c>
      <c r="Z12" s="2">
        <v>5450.01</v>
      </c>
      <c r="AA12" s="2">
        <v>4881.8599999999997</v>
      </c>
      <c r="AB12" s="2">
        <v>4422.99</v>
      </c>
      <c r="AC12" s="2">
        <v>3498.53</v>
      </c>
      <c r="AD12" s="2">
        <v>1476.1</v>
      </c>
      <c r="AE12" s="2">
        <v>3026.69</v>
      </c>
      <c r="AF12" s="2">
        <v>2147.85</v>
      </c>
      <c r="AG12" s="2">
        <v>1050.6400000000001</v>
      </c>
      <c r="AH12" s="2">
        <v>1049.8800000000001</v>
      </c>
      <c r="AI12" s="2">
        <v>1396.89</v>
      </c>
      <c r="AJ12" s="2">
        <v>1360.58</v>
      </c>
      <c r="AM12" s="1" t="s">
        <v>22</v>
      </c>
      <c r="AN12" s="2">
        <v>18587.22</v>
      </c>
      <c r="AO12" s="2">
        <v>12104.08</v>
      </c>
      <c r="AP12" s="2">
        <v>30980.55</v>
      </c>
      <c r="AQ12" s="2">
        <v>22332.06</v>
      </c>
      <c r="AR12" s="2">
        <v>26724.6</v>
      </c>
      <c r="AS12" s="2">
        <v>26749.99</v>
      </c>
      <c r="AT12" s="2">
        <v>33742.660000000003</v>
      </c>
      <c r="AU12" s="2">
        <v>29114.91</v>
      </c>
      <c r="AV12" s="2">
        <v>20404.59</v>
      </c>
      <c r="AW12" s="2">
        <v>13415.14</v>
      </c>
      <c r="AX12" s="2">
        <v>16096.05</v>
      </c>
      <c r="AY12" s="2">
        <v>12743.39</v>
      </c>
      <c r="AZ12" s="2">
        <v>6009.97</v>
      </c>
      <c r="BA12" s="2">
        <v>6013.47</v>
      </c>
      <c r="BB12" s="2">
        <v>4333.3100000000004</v>
      </c>
      <c r="BC12" s="2">
        <v>4159.42</v>
      </c>
      <c r="BF12" s="1" t="s">
        <v>22</v>
      </c>
      <c r="BG12" s="2">
        <v>22260.15</v>
      </c>
      <c r="BH12" s="2">
        <v>16077.43</v>
      </c>
      <c r="BI12" s="2">
        <v>36229.129999999997</v>
      </c>
      <c r="BJ12" s="2">
        <v>26576.66</v>
      </c>
      <c r="BK12" s="2">
        <v>32200</v>
      </c>
      <c r="BL12" s="2">
        <v>32200</v>
      </c>
      <c r="BM12" s="2">
        <v>38624.519999999997</v>
      </c>
      <c r="BN12" s="2">
        <v>33537.9</v>
      </c>
      <c r="BO12" s="2">
        <v>23903.119999999999</v>
      </c>
      <c r="BP12" s="2">
        <v>14891.24</v>
      </c>
      <c r="BQ12" s="2">
        <v>19122.740000000002</v>
      </c>
      <c r="BR12" s="2">
        <v>14891.24</v>
      </c>
      <c r="BS12" s="2">
        <v>7060.61</v>
      </c>
      <c r="BT12" s="2">
        <v>7063.35</v>
      </c>
      <c r="BU12" s="2">
        <v>5730.2</v>
      </c>
      <c r="BV12" s="2">
        <v>5520</v>
      </c>
    </row>
    <row r="13" spans="2:74" x14ac:dyDescent="0.3">
      <c r="B13" s="1" t="s">
        <v>23</v>
      </c>
      <c r="C13" s="2">
        <v>2.57</v>
      </c>
      <c r="D13" s="2">
        <v>5.15</v>
      </c>
      <c r="E13" s="2">
        <v>2.57</v>
      </c>
      <c r="F13" s="2">
        <v>2.57</v>
      </c>
      <c r="G13" s="2">
        <v>2.57</v>
      </c>
      <c r="H13" s="2">
        <v>5.15</v>
      </c>
      <c r="I13" s="2">
        <v>2.57</v>
      </c>
      <c r="J13" s="2">
        <v>3.56</v>
      </c>
      <c r="K13" s="2">
        <v>2.57</v>
      </c>
      <c r="L13" s="2">
        <v>2.37</v>
      </c>
      <c r="M13" s="2">
        <v>3.4</v>
      </c>
      <c r="N13" s="2">
        <v>2.4</v>
      </c>
      <c r="O13" s="2">
        <v>2.57</v>
      </c>
      <c r="P13" s="2">
        <v>2.4900000000000002</v>
      </c>
      <c r="Q13" s="2">
        <v>2.57</v>
      </c>
      <c r="R13" s="2">
        <v>2.57</v>
      </c>
      <c r="T13" s="1" t="s">
        <v>23</v>
      </c>
      <c r="U13" s="2">
        <v>18825.509999999998</v>
      </c>
      <c r="V13" s="2">
        <v>15113.31</v>
      </c>
      <c r="W13" s="2">
        <v>26585.97</v>
      </c>
      <c r="X13" s="2">
        <v>25743.42</v>
      </c>
      <c r="Y13" s="2">
        <v>31423.15</v>
      </c>
      <c r="Z13" s="2">
        <v>25900.43</v>
      </c>
      <c r="AA13" s="2">
        <v>19322.3</v>
      </c>
      <c r="AB13" s="2">
        <v>22153.06</v>
      </c>
      <c r="AC13" s="2">
        <v>20980.720000000001</v>
      </c>
      <c r="AD13" s="2">
        <v>16636.96</v>
      </c>
      <c r="AE13" s="2">
        <v>18681.88</v>
      </c>
      <c r="AF13" s="2">
        <v>16336.62</v>
      </c>
      <c r="AG13" s="2">
        <v>6672.9</v>
      </c>
      <c r="AH13" s="2">
        <v>6377.04</v>
      </c>
      <c r="AI13" s="2">
        <v>8232.98</v>
      </c>
      <c r="AJ13" s="2">
        <v>7862.86</v>
      </c>
      <c r="AM13" s="1" t="s">
        <v>23</v>
      </c>
      <c r="AN13" s="2">
        <v>57560.11</v>
      </c>
      <c r="AO13" s="2">
        <v>71125.69</v>
      </c>
      <c r="AP13" s="2">
        <v>93567.27</v>
      </c>
      <c r="AQ13" s="2">
        <v>87451.12</v>
      </c>
      <c r="AR13" s="2">
        <v>101222.72</v>
      </c>
      <c r="AS13" s="2">
        <v>122088.49</v>
      </c>
      <c r="AT13" s="2">
        <v>112783.3</v>
      </c>
      <c r="AU13" s="2">
        <v>137821.04</v>
      </c>
      <c r="AV13" s="2">
        <v>114916.08</v>
      </c>
      <c r="AW13" s="2">
        <v>100092.64</v>
      </c>
      <c r="AX13" s="2">
        <v>114847.62</v>
      </c>
      <c r="AY13" s="2">
        <v>97941.18</v>
      </c>
      <c r="AZ13" s="2">
        <v>36255.300000000003</v>
      </c>
      <c r="BA13" s="2">
        <v>35004.51</v>
      </c>
      <c r="BB13" s="2">
        <v>27647.02</v>
      </c>
      <c r="BC13" s="2">
        <v>25665.25</v>
      </c>
      <c r="BF13" s="1" t="s">
        <v>23</v>
      </c>
      <c r="BG13" s="2">
        <v>76385.62</v>
      </c>
      <c r="BH13" s="2">
        <v>86239.01</v>
      </c>
      <c r="BI13" s="2">
        <v>120153.23</v>
      </c>
      <c r="BJ13" s="2">
        <v>113194.54</v>
      </c>
      <c r="BK13" s="2">
        <v>132645.87</v>
      </c>
      <c r="BL13" s="2">
        <v>147988.92000000001</v>
      </c>
      <c r="BM13" s="2">
        <v>132105.60000000001</v>
      </c>
      <c r="BN13" s="2">
        <v>159974.1</v>
      </c>
      <c r="BO13" s="2">
        <v>135896.79999999999</v>
      </c>
      <c r="BP13" s="2">
        <v>116729.60000000001</v>
      </c>
      <c r="BQ13" s="2">
        <v>133529.5</v>
      </c>
      <c r="BR13" s="2">
        <v>114277.8</v>
      </c>
      <c r="BS13" s="2">
        <v>42928.2</v>
      </c>
      <c r="BT13" s="2">
        <v>41381.550000000003</v>
      </c>
      <c r="BU13" s="2">
        <v>35880</v>
      </c>
      <c r="BV13" s="2">
        <v>33528.1</v>
      </c>
    </row>
    <row r="14" spans="2:74" x14ac:dyDescent="0.3">
      <c r="B14" s="1" t="s">
        <v>24</v>
      </c>
      <c r="C14" s="2">
        <v>2.57</v>
      </c>
      <c r="D14" s="2">
        <v>5.15</v>
      </c>
      <c r="E14" s="2">
        <v>5.15</v>
      </c>
      <c r="F14" s="2">
        <v>5.15</v>
      </c>
      <c r="G14" s="2">
        <v>5.15</v>
      </c>
      <c r="H14" s="2">
        <v>5.15</v>
      </c>
      <c r="I14" s="2">
        <v>2.57</v>
      </c>
      <c r="J14" s="2">
        <v>5.15</v>
      </c>
      <c r="K14" s="2">
        <v>2.2999999999999998</v>
      </c>
      <c r="L14" s="2">
        <v>1.44</v>
      </c>
      <c r="M14" s="2">
        <v>2.42</v>
      </c>
      <c r="N14" s="2">
        <v>1.69</v>
      </c>
      <c r="O14" s="2">
        <v>2.31</v>
      </c>
      <c r="P14" s="2">
        <v>1.84</v>
      </c>
      <c r="Q14" s="2">
        <v>2.57</v>
      </c>
      <c r="R14" s="2">
        <v>2.57</v>
      </c>
      <c r="T14" s="1" t="s">
        <v>24</v>
      </c>
      <c r="U14" s="2">
        <v>4834.99</v>
      </c>
      <c r="V14" s="2">
        <v>3262.93</v>
      </c>
      <c r="W14" s="2">
        <v>5202.25</v>
      </c>
      <c r="X14" s="2">
        <v>5324.11</v>
      </c>
      <c r="Y14" s="2">
        <v>5774.05</v>
      </c>
      <c r="Z14" s="2">
        <v>6086.15</v>
      </c>
      <c r="AA14" s="2">
        <v>6977.1</v>
      </c>
      <c r="AB14" s="2">
        <v>6522.72</v>
      </c>
      <c r="AC14" s="2">
        <v>4174.42</v>
      </c>
      <c r="AD14" s="2">
        <v>3640.74</v>
      </c>
      <c r="AE14" s="2">
        <v>3675.65</v>
      </c>
      <c r="AF14" s="2">
        <v>3006.38</v>
      </c>
      <c r="AG14" s="2">
        <v>2084.9899999999998</v>
      </c>
      <c r="AH14" s="2">
        <v>1870.14</v>
      </c>
      <c r="AI14" s="2">
        <v>1677.92</v>
      </c>
      <c r="AJ14" s="2">
        <v>1269.7</v>
      </c>
      <c r="AM14" s="1" t="s">
        <v>24</v>
      </c>
      <c r="AN14" s="2">
        <v>14971.5</v>
      </c>
      <c r="AO14" s="2">
        <v>14082.18</v>
      </c>
      <c r="AP14" s="2">
        <v>27860.25</v>
      </c>
      <c r="AQ14" s="2">
        <v>27738.39</v>
      </c>
      <c r="AR14" s="2">
        <v>26425.95</v>
      </c>
      <c r="AS14" s="2">
        <v>28374.65</v>
      </c>
      <c r="AT14" s="2">
        <v>28084.41</v>
      </c>
      <c r="AU14" s="2">
        <v>31427.279999999999</v>
      </c>
      <c r="AV14" s="2">
        <v>20142.2</v>
      </c>
      <c r="AW14" s="2">
        <v>16997.400000000001</v>
      </c>
      <c r="AX14" s="2">
        <v>16788.43</v>
      </c>
      <c r="AY14" s="2">
        <v>13504.13</v>
      </c>
      <c r="AZ14" s="2">
        <v>8910.64</v>
      </c>
      <c r="BA14" s="2">
        <v>7909.51</v>
      </c>
      <c r="BB14" s="2">
        <v>5261.21</v>
      </c>
      <c r="BC14" s="2">
        <v>3422.3</v>
      </c>
      <c r="BF14" s="1" t="s">
        <v>24</v>
      </c>
      <c r="BG14" s="2">
        <v>19806.490000000002</v>
      </c>
      <c r="BH14" s="2">
        <v>17345.11</v>
      </c>
      <c r="BI14" s="2">
        <v>33062.5</v>
      </c>
      <c r="BJ14" s="2">
        <v>33062.5</v>
      </c>
      <c r="BK14" s="2">
        <v>32200</v>
      </c>
      <c r="BL14" s="2">
        <v>34460.800000000003</v>
      </c>
      <c r="BM14" s="2">
        <v>35061.51</v>
      </c>
      <c r="BN14" s="2">
        <v>37950</v>
      </c>
      <c r="BO14" s="2">
        <v>24316.61</v>
      </c>
      <c r="BP14" s="2">
        <v>20638.14</v>
      </c>
      <c r="BQ14" s="2">
        <v>20464.080000000002</v>
      </c>
      <c r="BR14" s="2">
        <v>16510.509999999998</v>
      </c>
      <c r="BS14" s="2">
        <v>10995.63</v>
      </c>
      <c r="BT14" s="2">
        <v>9779.65</v>
      </c>
      <c r="BU14" s="2">
        <v>6939.13</v>
      </c>
      <c r="BV14" s="2">
        <v>4692</v>
      </c>
    </row>
    <row r="15" spans="2:74" x14ac:dyDescent="0.3">
      <c r="B15" s="1" t="s">
        <v>25</v>
      </c>
      <c r="C15" s="2">
        <v>10.3</v>
      </c>
      <c r="D15" s="2">
        <v>10.3</v>
      </c>
      <c r="E15" s="2">
        <v>7.72</v>
      </c>
      <c r="F15" s="2">
        <v>7.72</v>
      </c>
      <c r="G15" s="2">
        <v>7.72</v>
      </c>
      <c r="H15" s="2">
        <v>8.01</v>
      </c>
      <c r="I15" s="2">
        <v>2.57</v>
      </c>
      <c r="J15" s="2">
        <v>5.48</v>
      </c>
      <c r="K15" s="2">
        <v>2.57</v>
      </c>
      <c r="L15" s="2">
        <v>2.57</v>
      </c>
      <c r="M15" s="2">
        <v>2.57</v>
      </c>
      <c r="N15" s="2">
        <v>2.57</v>
      </c>
      <c r="O15" s="2">
        <v>1.69</v>
      </c>
      <c r="P15" s="2">
        <v>2.57</v>
      </c>
      <c r="Q15" s="2">
        <v>7.72</v>
      </c>
      <c r="R15" s="2">
        <v>8.6199999999999992</v>
      </c>
      <c r="T15" s="1" t="s">
        <v>25</v>
      </c>
      <c r="U15" s="2">
        <v>18731.36</v>
      </c>
      <c r="V15" s="2">
        <v>18895.939999999999</v>
      </c>
      <c r="W15" s="2">
        <v>15918.84</v>
      </c>
      <c r="X15" s="2">
        <v>15763.42</v>
      </c>
      <c r="Y15" s="2">
        <v>19547.39</v>
      </c>
      <c r="Z15" s="2">
        <v>23246.560000000001</v>
      </c>
      <c r="AA15" s="2">
        <v>20974.39</v>
      </c>
      <c r="AB15" s="2">
        <v>20145.080000000002</v>
      </c>
      <c r="AC15" s="2">
        <v>14465.19</v>
      </c>
      <c r="AD15" s="2">
        <v>12898.98</v>
      </c>
      <c r="AE15" s="2">
        <v>12897.92</v>
      </c>
      <c r="AF15" s="2">
        <v>11496.85</v>
      </c>
      <c r="AG15" s="2">
        <v>2444.84</v>
      </c>
      <c r="AH15" s="2">
        <v>5847.99</v>
      </c>
      <c r="AI15" s="2">
        <v>4535.5</v>
      </c>
      <c r="AJ15" s="2">
        <v>5176.29</v>
      </c>
      <c r="AM15" s="1" t="s">
        <v>25</v>
      </c>
      <c r="AN15" s="2">
        <v>64788.639999999999</v>
      </c>
      <c r="AO15" s="2">
        <v>65178</v>
      </c>
      <c r="AP15" s="2">
        <v>64211.72</v>
      </c>
      <c r="AQ15" s="2">
        <v>83212.58</v>
      </c>
      <c r="AR15" s="2">
        <v>85548.94</v>
      </c>
      <c r="AS15" s="2">
        <v>89259.94</v>
      </c>
      <c r="AT15" s="2">
        <v>81112.22</v>
      </c>
      <c r="AU15" s="2">
        <v>92825.34</v>
      </c>
      <c r="AV15" s="2">
        <v>61052.72</v>
      </c>
      <c r="AW15" s="2">
        <v>58592.03</v>
      </c>
      <c r="AX15" s="2">
        <v>47518.06</v>
      </c>
      <c r="AY15" s="2">
        <v>45698.34</v>
      </c>
      <c r="AZ15" s="2">
        <v>15568.75</v>
      </c>
      <c r="BA15" s="2">
        <v>23490.15</v>
      </c>
      <c r="BB15" s="2">
        <v>12189.96</v>
      </c>
      <c r="BC15" s="2">
        <v>15382.19</v>
      </c>
      <c r="BF15" s="1" t="s">
        <v>25</v>
      </c>
      <c r="BG15" s="2">
        <v>83520</v>
      </c>
      <c r="BH15" s="2">
        <v>84073.95</v>
      </c>
      <c r="BI15" s="2">
        <v>80130.559999999998</v>
      </c>
      <c r="BJ15" s="2">
        <v>98976</v>
      </c>
      <c r="BK15" s="2">
        <v>105096.33</v>
      </c>
      <c r="BL15" s="2">
        <v>112506.5</v>
      </c>
      <c r="BM15" s="2">
        <v>102086.6</v>
      </c>
      <c r="BN15" s="2">
        <v>112970.42</v>
      </c>
      <c r="BO15" s="2">
        <v>75517.91</v>
      </c>
      <c r="BP15" s="2">
        <v>71491.02</v>
      </c>
      <c r="BQ15" s="2">
        <v>60415.97</v>
      </c>
      <c r="BR15" s="2">
        <v>57195.199999999997</v>
      </c>
      <c r="BS15" s="2">
        <v>18013.59</v>
      </c>
      <c r="BT15" s="2">
        <v>29338.14</v>
      </c>
      <c r="BU15" s="2">
        <v>16725.46</v>
      </c>
      <c r="BV15" s="2">
        <v>20558.48</v>
      </c>
    </row>
    <row r="16" spans="2:74" x14ac:dyDescent="0.3">
      <c r="B16" s="1" t="s">
        <v>26</v>
      </c>
      <c r="C16" s="2">
        <v>2.57</v>
      </c>
      <c r="D16" s="2">
        <v>3.28</v>
      </c>
      <c r="E16" s="2">
        <v>2.57</v>
      </c>
      <c r="F16" s="2">
        <v>0.81</v>
      </c>
      <c r="G16" s="2">
        <v>2.57</v>
      </c>
      <c r="H16" s="2">
        <v>2.57</v>
      </c>
      <c r="I16" s="2">
        <v>2.57</v>
      </c>
      <c r="J16" s="2">
        <v>2.4</v>
      </c>
      <c r="K16" s="2">
        <v>2.57</v>
      </c>
      <c r="L16" s="2">
        <v>2.57</v>
      </c>
      <c r="M16" s="2">
        <v>2.57</v>
      </c>
      <c r="N16" s="2">
        <v>2.57</v>
      </c>
      <c r="O16" s="2">
        <v>1.57</v>
      </c>
      <c r="P16" s="2">
        <v>1.83</v>
      </c>
      <c r="Q16" s="2">
        <v>2.57</v>
      </c>
      <c r="R16" s="2">
        <v>2.57</v>
      </c>
      <c r="T16" s="1" t="s">
        <v>26</v>
      </c>
      <c r="U16" s="2">
        <v>8140.73</v>
      </c>
      <c r="V16" s="2">
        <v>8472.75</v>
      </c>
      <c r="W16" s="2">
        <v>8946.85</v>
      </c>
      <c r="X16" s="2">
        <v>7263.88</v>
      </c>
      <c r="Y16" s="2">
        <v>9676.36</v>
      </c>
      <c r="Z16" s="2">
        <v>10465.76</v>
      </c>
      <c r="AA16" s="2">
        <v>6965.71</v>
      </c>
      <c r="AB16" s="2">
        <v>8212.6299999999992</v>
      </c>
      <c r="AC16" s="2">
        <v>9854.68</v>
      </c>
      <c r="AD16" s="2">
        <v>8643.82</v>
      </c>
      <c r="AE16" s="2">
        <v>9854.68</v>
      </c>
      <c r="AF16" s="2">
        <v>8643.82</v>
      </c>
      <c r="AG16" s="2">
        <v>1888.3</v>
      </c>
      <c r="AH16" s="2">
        <v>2078.8200000000002</v>
      </c>
      <c r="AI16" s="2">
        <v>3382.63</v>
      </c>
      <c r="AJ16" s="2">
        <v>2976.38</v>
      </c>
      <c r="AM16" s="1" t="s">
        <v>26</v>
      </c>
      <c r="AN16" s="2">
        <v>33032.47</v>
      </c>
      <c r="AO16" s="2">
        <v>41943.09</v>
      </c>
      <c r="AP16" s="2">
        <v>34399.4</v>
      </c>
      <c r="AQ16" s="2">
        <v>39986.120000000003</v>
      </c>
      <c r="AR16" s="2">
        <v>27762.44</v>
      </c>
      <c r="AS16" s="2">
        <v>32505.279999999999</v>
      </c>
      <c r="AT16" s="2">
        <v>28154.54</v>
      </c>
      <c r="AU16" s="2">
        <v>36632.39</v>
      </c>
      <c r="AV16" s="2">
        <v>33897.08</v>
      </c>
      <c r="AW16" s="2">
        <v>26275.32</v>
      </c>
      <c r="AX16" s="2">
        <v>33897.08</v>
      </c>
      <c r="AY16" s="2">
        <v>26275.32</v>
      </c>
      <c r="AZ16" s="2">
        <v>7061.48</v>
      </c>
      <c r="BA16" s="2">
        <v>7964.64</v>
      </c>
      <c r="BB16" s="2">
        <v>11525.28</v>
      </c>
      <c r="BC16" s="2">
        <v>9417.81</v>
      </c>
      <c r="BF16" s="1" t="s">
        <v>26</v>
      </c>
      <c r="BG16" s="2">
        <v>41173.199999999997</v>
      </c>
      <c r="BH16" s="2">
        <v>50415.839999999997</v>
      </c>
      <c r="BI16" s="2">
        <v>43346.25</v>
      </c>
      <c r="BJ16" s="2">
        <v>47250</v>
      </c>
      <c r="BK16" s="2">
        <v>37438.800000000003</v>
      </c>
      <c r="BL16" s="2">
        <v>42971.040000000001</v>
      </c>
      <c r="BM16" s="2">
        <v>35120.25</v>
      </c>
      <c r="BN16" s="2">
        <v>44845.02</v>
      </c>
      <c r="BO16" s="2">
        <v>43751.76</v>
      </c>
      <c r="BP16" s="2">
        <v>34919.14</v>
      </c>
      <c r="BQ16" s="2">
        <v>43751.76</v>
      </c>
      <c r="BR16" s="2">
        <v>34919.14</v>
      </c>
      <c r="BS16" s="2">
        <v>8949.7800000000007</v>
      </c>
      <c r="BT16" s="2">
        <v>10043.459999999999</v>
      </c>
      <c r="BU16" s="2">
        <v>14907.91</v>
      </c>
      <c r="BV16" s="2">
        <v>12394.19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0.33</v>
      </c>
      <c r="D23" s="2">
        <v>0.34</v>
      </c>
      <c r="E23" s="2">
        <v>0.28000000000000003</v>
      </c>
      <c r="F23" s="2">
        <v>0.08</v>
      </c>
      <c r="G23" s="2">
        <v>0.25</v>
      </c>
      <c r="H23" s="2">
        <v>0.26</v>
      </c>
      <c r="I23" s="2">
        <v>0.05</v>
      </c>
      <c r="J23" s="2">
        <v>0.05</v>
      </c>
      <c r="K23" s="2">
        <v>0.05</v>
      </c>
      <c r="L23" s="2">
        <v>0.11</v>
      </c>
      <c r="M23" s="2">
        <v>0.13</v>
      </c>
      <c r="N23" s="2">
        <v>0.27</v>
      </c>
      <c r="O23" s="2">
        <v>0.05</v>
      </c>
      <c r="P23" s="2">
        <v>0.05</v>
      </c>
      <c r="Q23" s="2">
        <v>0.46</v>
      </c>
      <c r="R23" s="2">
        <v>0.46</v>
      </c>
      <c r="T23" s="1" t="s">
        <v>19</v>
      </c>
      <c r="U23" s="2">
        <v>6783.33</v>
      </c>
      <c r="V23" s="2">
        <v>6752.62</v>
      </c>
      <c r="W23" s="2">
        <v>6861.14</v>
      </c>
      <c r="X23" s="2">
        <v>1775.2</v>
      </c>
      <c r="Y23" s="2">
        <v>4223.49</v>
      </c>
      <c r="Z23" s="2">
        <v>3732.26</v>
      </c>
      <c r="AA23" s="2">
        <v>883.46</v>
      </c>
      <c r="AB23" s="2">
        <v>758.1</v>
      </c>
      <c r="AC23" s="2">
        <v>972.86</v>
      </c>
      <c r="AD23" s="2">
        <v>2547.3000000000002</v>
      </c>
      <c r="AE23" s="2">
        <v>2422.6999999999998</v>
      </c>
      <c r="AF23" s="2">
        <v>5950.7</v>
      </c>
      <c r="AG23" s="2">
        <v>414.28</v>
      </c>
      <c r="AH23" s="2">
        <v>381.36</v>
      </c>
      <c r="AI23" s="2">
        <v>13552.44</v>
      </c>
      <c r="AJ23" s="2">
        <v>10666.93</v>
      </c>
      <c r="AM23" s="1" t="s">
        <v>19</v>
      </c>
      <c r="AN23" s="2">
        <v>18354.37</v>
      </c>
      <c r="AO23" s="2">
        <v>18215.68</v>
      </c>
      <c r="AP23" s="2">
        <v>22772.66</v>
      </c>
      <c r="AQ23" s="2">
        <v>21000</v>
      </c>
      <c r="AR23" s="2">
        <v>14959.31</v>
      </c>
      <c r="AS23" s="2">
        <v>13337.24</v>
      </c>
      <c r="AT23" s="2">
        <v>15936.14</v>
      </c>
      <c r="AU23" s="2">
        <v>13545</v>
      </c>
      <c r="AV23" s="2">
        <v>18249.84</v>
      </c>
      <c r="AW23" s="2">
        <v>21000</v>
      </c>
      <c r="AX23" s="2">
        <v>16800</v>
      </c>
      <c r="AY23" s="2">
        <v>16800</v>
      </c>
      <c r="AZ23" s="2">
        <v>7427.82</v>
      </c>
      <c r="BA23" s="2">
        <v>6840.54</v>
      </c>
      <c r="BB23" s="2">
        <v>24592.66</v>
      </c>
      <c r="BC23" s="2">
        <v>20371.77</v>
      </c>
      <c r="BF23" s="1" t="s">
        <v>19</v>
      </c>
      <c r="BG23" s="2">
        <v>25137.7</v>
      </c>
      <c r="BH23" s="2">
        <v>24968.3</v>
      </c>
      <c r="BI23" s="2">
        <v>29633.8</v>
      </c>
      <c r="BJ23" s="2">
        <v>22775.200000000001</v>
      </c>
      <c r="BK23" s="2">
        <v>19182.8</v>
      </c>
      <c r="BL23" s="2">
        <v>17069.5</v>
      </c>
      <c r="BM23" s="2">
        <v>16819.599999999999</v>
      </c>
      <c r="BN23" s="2">
        <v>14303.1</v>
      </c>
      <c r="BO23" s="2">
        <v>19222.7</v>
      </c>
      <c r="BP23" s="2">
        <v>23547.3</v>
      </c>
      <c r="BQ23" s="2">
        <v>19222.7</v>
      </c>
      <c r="BR23" s="2">
        <v>22750.7</v>
      </c>
      <c r="BS23" s="2">
        <v>7842.1</v>
      </c>
      <c r="BT23" s="2">
        <v>7221.9</v>
      </c>
      <c r="BU23" s="2">
        <v>38145.1</v>
      </c>
      <c r="BV23" s="2">
        <v>31038.7</v>
      </c>
    </row>
    <row r="24" spans="2:74" x14ac:dyDescent="0.3">
      <c r="B24" s="1" t="s">
        <v>20</v>
      </c>
      <c r="C24" s="2">
        <v>0.22</v>
      </c>
      <c r="D24" s="2">
        <v>0.19</v>
      </c>
      <c r="E24" s="2">
        <v>0.14000000000000001</v>
      </c>
      <c r="F24" s="2">
        <v>0.23</v>
      </c>
      <c r="G24" s="2">
        <v>0.21</v>
      </c>
      <c r="H24" s="2">
        <v>0.27</v>
      </c>
      <c r="I24" s="2">
        <v>0.21</v>
      </c>
      <c r="J24" s="2">
        <v>0.24</v>
      </c>
      <c r="K24" s="2">
        <v>0.23</v>
      </c>
      <c r="L24" s="2">
        <v>0.16</v>
      </c>
      <c r="M24" s="2">
        <v>0.23</v>
      </c>
      <c r="N24" s="2">
        <v>0.16</v>
      </c>
      <c r="O24" s="2">
        <v>0.23</v>
      </c>
      <c r="P24" s="2">
        <v>0.23</v>
      </c>
      <c r="Q24" s="2">
        <v>0.23</v>
      </c>
      <c r="R24" s="2">
        <v>0.24</v>
      </c>
      <c r="T24" s="1" t="s">
        <v>20</v>
      </c>
      <c r="U24" s="2">
        <v>1685.95</v>
      </c>
      <c r="V24" s="2">
        <v>1102.9100000000001</v>
      </c>
      <c r="W24" s="2">
        <v>1549.68</v>
      </c>
      <c r="X24" s="2">
        <v>1161.47</v>
      </c>
      <c r="Y24" s="2">
        <v>2216.6799999999998</v>
      </c>
      <c r="Z24" s="2">
        <v>1541.8</v>
      </c>
      <c r="AA24" s="2">
        <v>1888.47</v>
      </c>
      <c r="AB24" s="2">
        <v>1251.24</v>
      </c>
      <c r="AC24" s="2">
        <v>1411.17</v>
      </c>
      <c r="AD24" s="2">
        <v>1392.15</v>
      </c>
      <c r="AE24" s="2">
        <v>1411.17</v>
      </c>
      <c r="AF24" s="2">
        <v>1378.95</v>
      </c>
      <c r="AG24" s="2">
        <v>1202.02</v>
      </c>
      <c r="AH24" s="2">
        <v>974.74</v>
      </c>
      <c r="AI24" s="2">
        <v>1808.81</v>
      </c>
      <c r="AJ24" s="2">
        <v>1760.25</v>
      </c>
      <c r="AM24" s="1" t="s">
        <v>20</v>
      </c>
      <c r="AN24" s="2">
        <v>6366.13</v>
      </c>
      <c r="AO24" s="2">
        <v>5561.99</v>
      </c>
      <c r="AP24" s="2">
        <v>10613.72</v>
      </c>
      <c r="AQ24" s="2">
        <v>3815.52</v>
      </c>
      <c r="AR24" s="2">
        <v>8683.32</v>
      </c>
      <c r="AS24" s="2">
        <v>4652.05</v>
      </c>
      <c r="AT24" s="2">
        <v>7366.7</v>
      </c>
      <c r="AU24" s="2">
        <v>4681.26</v>
      </c>
      <c r="AV24" s="2">
        <v>6037.33</v>
      </c>
      <c r="AW24" s="2">
        <v>8438.5499999999993</v>
      </c>
      <c r="AX24" s="2">
        <v>6037.33</v>
      </c>
      <c r="AY24" s="2">
        <v>8333.25</v>
      </c>
      <c r="AZ24" s="2">
        <v>4610.68</v>
      </c>
      <c r="BA24" s="2">
        <v>3789.56</v>
      </c>
      <c r="BB24" s="2">
        <v>6693.19</v>
      </c>
      <c r="BC24" s="2">
        <v>6416.49</v>
      </c>
      <c r="BF24" s="1" t="s">
        <v>20</v>
      </c>
      <c r="BG24" s="2">
        <v>8052.08</v>
      </c>
      <c r="BH24" s="2">
        <v>6664.9</v>
      </c>
      <c r="BI24" s="2">
        <v>12163.4</v>
      </c>
      <c r="BJ24" s="2">
        <v>4976.99</v>
      </c>
      <c r="BK24" s="2">
        <v>10900</v>
      </c>
      <c r="BL24" s="2">
        <v>6193.85</v>
      </c>
      <c r="BM24" s="2">
        <v>9255.17</v>
      </c>
      <c r="BN24" s="2">
        <v>5932.5</v>
      </c>
      <c r="BO24" s="2">
        <v>7448.5</v>
      </c>
      <c r="BP24" s="2">
        <v>9830.7000000000007</v>
      </c>
      <c r="BQ24" s="2">
        <v>7448.5</v>
      </c>
      <c r="BR24" s="2">
        <v>9712.2000000000007</v>
      </c>
      <c r="BS24" s="2">
        <v>5812.7</v>
      </c>
      <c r="BT24" s="2">
        <v>4764.3</v>
      </c>
      <c r="BU24" s="2">
        <v>8502</v>
      </c>
      <c r="BV24" s="2">
        <v>8176.74</v>
      </c>
    </row>
    <row r="25" spans="2:74" x14ac:dyDescent="0.3">
      <c r="B25" s="1" t="s">
        <v>21</v>
      </c>
      <c r="C25" s="2">
        <v>0.26</v>
      </c>
      <c r="D25" s="2">
        <v>0.32</v>
      </c>
      <c r="E25" s="2">
        <v>0.17</v>
      </c>
      <c r="F25" s="2">
        <v>0.3</v>
      </c>
      <c r="G25" s="2">
        <v>0.22</v>
      </c>
      <c r="H25" s="2">
        <v>0.17</v>
      </c>
      <c r="I25" s="2">
        <v>0.21</v>
      </c>
      <c r="J25" s="2">
        <v>0.17</v>
      </c>
      <c r="K25" s="2">
        <v>0.17</v>
      </c>
      <c r="L25" s="2">
        <v>0.19</v>
      </c>
      <c r="M25" s="2">
        <v>0.18</v>
      </c>
      <c r="N25" s="2">
        <v>0.2</v>
      </c>
      <c r="O25" s="2">
        <v>0.23</v>
      </c>
      <c r="P25" s="2">
        <v>0.23</v>
      </c>
      <c r="Q25" s="2">
        <v>0.26</v>
      </c>
      <c r="R25" s="2">
        <v>0.28000000000000003</v>
      </c>
      <c r="T25" s="1" t="s">
        <v>21</v>
      </c>
      <c r="U25" s="2">
        <v>7890.12</v>
      </c>
      <c r="V25" s="2">
        <v>5312.28</v>
      </c>
      <c r="W25" s="2">
        <v>6690.01</v>
      </c>
      <c r="X25" s="2">
        <v>6029.47</v>
      </c>
      <c r="Y25" s="2">
        <v>9004.74</v>
      </c>
      <c r="Z25" s="2">
        <v>5281.92</v>
      </c>
      <c r="AA25" s="2">
        <v>8182.57</v>
      </c>
      <c r="AB25" s="2">
        <v>4744.2</v>
      </c>
      <c r="AC25" s="2">
        <v>3073.65</v>
      </c>
      <c r="AD25" s="2">
        <v>3938.12</v>
      </c>
      <c r="AE25" s="2">
        <v>2744.13</v>
      </c>
      <c r="AF25" s="2">
        <v>3513.4</v>
      </c>
      <c r="AG25" s="2">
        <v>3034.09</v>
      </c>
      <c r="AH25" s="2">
        <v>2304.4299999999998</v>
      </c>
      <c r="AI25" s="2">
        <v>6073.09</v>
      </c>
      <c r="AJ25" s="2">
        <v>6536.81</v>
      </c>
      <c r="AM25" s="1" t="s">
        <v>21</v>
      </c>
      <c r="AN25" s="2">
        <v>26909.88</v>
      </c>
      <c r="AO25" s="2">
        <v>14238.52</v>
      </c>
      <c r="AP25" s="2">
        <v>40312.19</v>
      </c>
      <c r="AQ25" s="2">
        <v>18164.37</v>
      </c>
      <c r="AR25" s="2">
        <v>34495.26</v>
      </c>
      <c r="AS25" s="2">
        <v>28716.55</v>
      </c>
      <c r="AT25" s="2">
        <v>34173.11</v>
      </c>
      <c r="AU25" s="2">
        <v>26819.64</v>
      </c>
      <c r="AV25" s="2">
        <v>18930.259999999998</v>
      </c>
      <c r="AW25" s="2">
        <v>21060.74</v>
      </c>
      <c r="AX25" s="2">
        <v>15425.67</v>
      </c>
      <c r="AY25" s="2">
        <v>16769</v>
      </c>
      <c r="AZ25" s="2">
        <v>12195.08</v>
      </c>
      <c r="BA25" s="2">
        <v>8742.4699999999993</v>
      </c>
      <c r="BB25" s="2">
        <v>21493.61</v>
      </c>
      <c r="BC25" s="2">
        <v>21277.97</v>
      </c>
      <c r="BF25" s="1" t="s">
        <v>21</v>
      </c>
      <c r="BG25" s="2">
        <v>34800</v>
      </c>
      <c r="BH25" s="2">
        <v>19550.8</v>
      </c>
      <c r="BI25" s="2">
        <v>47002.2</v>
      </c>
      <c r="BJ25" s="2">
        <v>24193.84</v>
      </c>
      <c r="BK25" s="2">
        <v>43500</v>
      </c>
      <c r="BL25" s="2">
        <v>33998.47</v>
      </c>
      <c r="BM25" s="2">
        <v>42355.68</v>
      </c>
      <c r="BN25" s="2">
        <v>31563.84</v>
      </c>
      <c r="BO25" s="2">
        <v>22003.91</v>
      </c>
      <c r="BP25" s="2">
        <v>24998.86</v>
      </c>
      <c r="BQ25" s="2">
        <v>18169.8</v>
      </c>
      <c r="BR25" s="2">
        <v>20282.400000000001</v>
      </c>
      <c r="BS25" s="2">
        <v>15229.17</v>
      </c>
      <c r="BT25" s="2">
        <v>11046.9</v>
      </c>
      <c r="BU25" s="2">
        <v>27566.7</v>
      </c>
      <c r="BV25" s="2">
        <v>27814.78</v>
      </c>
    </row>
    <row r="26" spans="2:74" x14ac:dyDescent="0.3">
      <c r="B26" s="1" t="s">
        <v>22</v>
      </c>
      <c r="C26" s="2">
        <v>0.2</v>
      </c>
      <c r="D26" s="2">
        <v>0.3</v>
      </c>
      <c r="E26" s="2">
        <v>0.19</v>
      </c>
      <c r="F26" s="2">
        <v>0.2</v>
      </c>
      <c r="G26" s="2">
        <v>0.19</v>
      </c>
      <c r="H26" s="2">
        <v>0.2</v>
      </c>
      <c r="I26" s="2">
        <v>0.14000000000000001</v>
      </c>
      <c r="J26" s="2">
        <v>0.15</v>
      </c>
      <c r="K26" s="2">
        <v>0.18</v>
      </c>
      <c r="L26" s="2">
        <v>0.1</v>
      </c>
      <c r="M26" s="2">
        <v>0.19</v>
      </c>
      <c r="N26" s="2">
        <v>0.17</v>
      </c>
      <c r="O26" s="2">
        <v>0.18</v>
      </c>
      <c r="P26" s="2">
        <v>0.18</v>
      </c>
      <c r="Q26" s="2">
        <v>0.28000000000000003</v>
      </c>
      <c r="R26" s="2">
        <v>0.28000000000000003</v>
      </c>
      <c r="T26" s="1" t="s">
        <v>22</v>
      </c>
      <c r="U26" s="2">
        <v>1530.39</v>
      </c>
      <c r="V26" s="2">
        <v>1655.56</v>
      </c>
      <c r="W26" s="2">
        <v>2099.4299999999998</v>
      </c>
      <c r="X26" s="2">
        <v>1697.84</v>
      </c>
      <c r="Y26" s="2">
        <v>1955.5</v>
      </c>
      <c r="Z26" s="2">
        <v>1946.43</v>
      </c>
      <c r="AA26" s="2">
        <v>1479.35</v>
      </c>
      <c r="AB26" s="2">
        <v>1340.3</v>
      </c>
      <c r="AC26" s="2">
        <v>1345.59</v>
      </c>
      <c r="AD26" s="2">
        <v>567.73</v>
      </c>
      <c r="AE26" s="2">
        <v>1164.1099999999999</v>
      </c>
      <c r="AF26" s="2">
        <v>826.1</v>
      </c>
      <c r="AG26" s="2">
        <v>500.3</v>
      </c>
      <c r="AH26" s="2">
        <v>499.94</v>
      </c>
      <c r="AI26" s="2">
        <v>1746.11</v>
      </c>
      <c r="AJ26" s="2">
        <v>1700.72</v>
      </c>
      <c r="AM26" s="1" t="s">
        <v>22</v>
      </c>
      <c r="AN26" s="2">
        <v>7744.68</v>
      </c>
      <c r="AO26" s="2">
        <v>5043.37</v>
      </c>
      <c r="AP26" s="2">
        <v>12392.22</v>
      </c>
      <c r="AQ26" s="2">
        <v>8932.82</v>
      </c>
      <c r="AR26" s="2">
        <v>9544.5</v>
      </c>
      <c r="AS26" s="2">
        <v>9553.57</v>
      </c>
      <c r="AT26" s="2">
        <v>10225.049999999999</v>
      </c>
      <c r="AU26" s="2">
        <v>8822.7000000000007</v>
      </c>
      <c r="AV26" s="2">
        <v>7847.92</v>
      </c>
      <c r="AW26" s="2">
        <v>5159.67</v>
      </c>
      <c r="AX26" s="2">
        <v>6190.79</v>
      </c>
      <c r="AY26" s="2">
        <v>4901.3</v>
      </c>
      <c r="AZ26" s="2">
        <v>2861.89</v>
      </c>
      <c r="BA26" s="2">
        <v>2863.56</v>
      </c>
      <c r="BB26" s="2">
        <v>5416.64</v>
      </c>
      <c r="BC26" s="2">
        <v>5199.28</v>
      </c>
      <c r="BF26" s="1" t="s">
        <v>22</v>
      </c>
      <c r="BG26" s="2">
        <v>9275.06</v>
      </c>
      <c r="BH26" s="2">
        <v>6698.93</v>
      </c>
      <c r="BI26" s="2">
        <v>14491.65</v>
      </c>
      <c r="BJ26" s="2">
        <v>10630.67</v>
      </c>
      <c r="BK26" s="2">
        <v>11500</v>
      </c>
      <c r="BL26" s="2">
        <v>11500</v>
      </c>
      <c r="BM26" s="2">
        <v>11704.4</v>
      </c>
      <c r="BN26" s="2">
        <v>10163</v>
      </c>
      <c r="BO26" s="2">
        <v>9193.51</v>
      </c>
      <c r="BP26" s="2">
        <v>5727.4</v>
      </c>
      <c r="BQ26" s="2">
        <v>7354.9</v>
      </c>
      <c r="BR26" s="2">
        <v>5727.4</v>
      </c>
      <c r="BS26" s="2">
        <v>3362.19</v>
      </c>
      <c r="BT26" s="2">
        <v>3363.5</v>
      </c>
      <c r="BU26" s="2">
        <v>7162.75</v>
      </c>
      <c r="BV26" s="2">
        <v>6900</v>
      </c>
    </row>
    <row r="27" spans="2:74" x14ac:dyDescent="0.3">
      <c r="B27" s="1" t="s">
        <v>23</v>
      </c>
      <c r="C27" s="2">
        <v>0.27</v>
      </c>
      <c r="D27" s="2">
        <v>0.21</v>
      </c>
      <c r="E27" s="2">
        <v>0.27</v>
      </c>
      <c r="F27" s="2">
        <v>0.27</v>
      </c>
      <c r="G27" s="2">
        <v>0.27</v>
      </c>
      <c r="H27" s="2">
        <v>0.19</v>
      </c>
      <c r="I27" s="2">
        <v>0.16</v>
      </c>
      <c r="J27" s="2">
        <v>0.15</v>
      </c>
      <c r="K27" s="2">
        <v>0.18</v>
      </c>
      <c r="L27" s="2">
        <v>0.17</v>
      </c>
      <c r="M27" s="2">
        <v>0.16</v>
      </c>
      <c r="N27" s="2">
        <v>0.17</v>
      </c>
      <c r="O27" s="2">
        <v>0.18</v>
      </c>
      <c r="P27" s="2">
        <v>0.18</v>
      </c>
      <c r="Q27" s="2">
        <v>0.27</v>
      </c>
      <c r="R27" s="2">
        <v>0.27</v>
      </c>
      <c r="T27" s="1" t="s">
        <v>23</v>
      </c>
      <c r="U27" s="2">
        <v>7843.96</v>
      </c>
      <c r="V27" s="2">
        <v>6297.21</v>
      </c>
      <c r="W27" s="2">
        <v>10634.39</v>
      </c>
      <c r="X27" s="2">
        <v>10297.370000000001</v>
      </c>
      <c r="Y27" s="2">
        <v>11222.55</v>
      </c>
      <c r="Z27" s="2">
        <v>9250.15</v>
      </c>
      <c r="AA27" s="2">
        <v>5855.24</v>
      </c>
      <c r="AB27" s="2">
        <v>6713.05</v>
      </c>
      <c r="AC27" s="2">
        <v>8069.51</v>
      </c>
      <c r="AD27" s="2">
        <v>6398.83</v>
      </c>
      <c r="AE27" s="2">
        <v>7185.34</v>
      </c>
      <c r="AF27" s="2">
        <v>6283.32</v>
      </c>
      <c r="AG27" s="2">
        <v>3177.57</v>
      </c>
      <c r="AH27" s="2">
        <v>3036.69</v>
      </c>
      <c r="AI27" s="2">
        <v>10291.219999999999</v>
      </c>
      <c r="AJ27" s="2">
        <v>9828.57</v>
      </c>
      <c r="AM27" s="1" t="s">
        <v>23</v>
      </c>
      <c r="AN27" s="2">
        <v>23983.38</v>
      </c>
      <c r="AO27" s="2">
        <v>29635.71</v>
      </c>
      <c r="AP27" s="2">
        <v>37426.910000000003</v>
      </c>
      <c r="AQ27" s="2">
        <v>34980.449999999997</v>
      </c>
      <c r="AR27" s="2">
        <v>36150.97</v>
      </c>
      <c r="AS27" s="2">
        <v>43603.03</v>
      </c>
      <c r="AT27" s="2">
        <v>34176.76</v>
      </c>
      <c r="AU27" s="2">
        <v>41763.949999999997</v>
      </c>
      <c r="AV27" s="2">
        <v>44198.49</v>
      </c>
      <c r="AW27" s="2">
        <v>38497.17</v>
      </c>
      <c r="AX27" s="2">
        <v>44172.160000000003</v>
      </c>
      <c r="AY27" s="2">
        <v>37669.68</v>
      </c>
      <c r="AZ27" s="2">
        <v>17264.43</v>
      </c>
      <c r="BA27" s="2">
        <v>16668.810000000001</v>
      </c>
      <c r="BB27" s="2">
        <v>34558.78</v>
      </c>
      <c r="BC27" s="2">
        <v>32081.56</v>
      </c>
      <c r="BF27" s="1" t="s">
        <v>23</v>
      </c>
      <c r="BG27" s="2">
        <v>31827.34</v>
      </c>
      <c r="BH27" s="2">
        <v>35932.92</v>
      </c>
      <c r="BI27" s="2">
        <v>48061.29</v>
      </c>
      <c r="BJ27" s="2">
        <v>45277.82</v>
      </c>
      <c r="BK27" s="2">
        <v>47373.53</v>
      </c>
      <c r="BL27" s="2">
        <v>52853.19</v>
      </c>
      <c r="BM27" s="2">
        <v>40032</v>
      </c>
      <c r="BN27" s="2">
        <v>48477</v>
      </c>
      <c r="BO27" s="2">
        <v>52268</v>
      </c>
      <c r="BP27" s="2">
        <v>44896</v>
      </c>
      <c r="BQ27" s="2">
        <v>51357.5</v>
      </c>
      <c r="BR27" s="2">
        <v>43953</v>
      </c>
      <c r="BS27" s="2">
        <v>20442</v>
      </c>
      <c r="BT27" s="2">
        <v>19705.5</v>
      </c>
      <c r="BU27" s="2">
        <v>44850</v>
      </c>
      <c r="BV27" s="2">
        <v>41910.129999999997</v>
      </c>
    </row>
    <row r="28" spans="2:74" x14ac:dyDescent="0.3">
      <c r="B28" s="1" t="s">
        <v>24</v>
      </c>
      <c r="C28" s="2">
        <v>0.27</v>
      </c>
      <c r="D28" s="2">
        <v>0.22</v>
      </c>
      <c r="E28" s="2">
        <v>0.2</v>
      </c>
      <c r="F28" s="2">
        <v>0.19</v>
      </c>
      <c r="G28" s="2">
        <v>0.2</v>
      </c>
      <c r="H28" s="2">
        <v>0.19</v>
      </c>
      <c r="I28" s="2">
        <v>0.22</v>
      </c>
      <c r="J28" s="2">
        <v>0.18</v>
      </c>
      <c r="K28" s="2">
        <v>0.19</v>
      </c>
      <c r="L28" s="2">
        <v>0.2</v>
      </c>
      <c r="M28" s="2">
        <v>0.2</v>
      </c>
      <c r="N28" s="2">
        <v>0.21</v>
      </c>
      <c r="O28" s="2">
        <v>0.21</v>
      </c>
      <c r="P28" s="2">
        <v>0.21</v>
      </c>
      <c r="Q28" s="2">
        <v>0.31</v>
      </c>
      <c r="R28" s="2">
        <v>0.28999999999999998</v>
      </c>
      <c r="T28" s="1" t="s">
        <v>24</v>
      </c>
      <c r="U28" s="2">
        <v>2014.58</v>
      </c>
      <c r="V28" s="2">
        <v>1359.55</v>
      </c>
      <c r="W28" s="2">
        <v>2080.9</v>
      </c>
      <c r="X28" s="2">
        <v>2129.64</v>
      </c>
      <c r="Y28" s="2">
        <v>2062.16</v>
      </c>
      <c r="Z28" s="2">
        <v>2173.63</v>
      </c>
      <c r="AA28" s="2">
        <v>2114.27</v>
      </c>
      <c r="AB28" s="2">
        <v>1976.58</v>
      </c>
      <c r="AC28" s="2">
        <v>1605.55</v>
      </c>
      <c r="AD28" s="2">
        <v>1400.29</v>
      </c>
      <c r="AE28" s="2">
        <v>1413.71</v>
      </c>
      <c r="AF28" s="2">
        <v>1156.3</v>
      </c>
      <c r="AG28" s="2">
        <v>992.85</v>
      </c>
      <c r="AH28" s="2">
        <v>890.55</v>
      </c>
      <c r="AI28" s="2">
        <v>2097.4</v>
      </c>
      <c r="AJ28" s="2">
        <v>1587.13</v>
      </c>
      <c r="AM28" s="1" t="s">
        <v>24</v>
      </c>
      <c r="AN28" s="2">
        <v>6238.12</v>
      </c>
      <c r="AO28" s="2">
        <v>5867.57</v>
      </c>
      <c r="AP28" s="2">
        <v>11144.1</v>
      </c>
      <c r="AQ28" s="2">
        <v>11095.36</v>
      </c>
      <c r="AR28" s="2">
        <v>9437.84</v>
      </c>
      <c r="AS28" s="2">
        <v>10133.799999999999</v>
      </c>
      <c r="AT28" s="2">
        <v>8510.43</v>
      </c>
      <c r="AU28" s="2">
        <v>9523.42</v>
      </c>
      <c r="AV28" s="2">
        <v>7747</v>
      </c>
      <c r="AW28" s="2">
        <v>6537.46</v>
      </c>
      <c r="AX28" s="2">
        <v>6457.09</v>
      </c>
      <c r="AY28" s="2">
        <v>5193.8999999999996</v>
      </c>
      <c r="AZ28" s="2">
        <v>4243.16</v>
      </c>
      <c r="BA28" s="2">
        <v>3766.43</v>
      </c>
      <c r="BB28" s="2">
        <v>6576.51</v>
      </c>
      <c r="BC28" s="2">
        <v>4277.87</v>
      </c>
      <c r="BF28" s="1" t="s">
        <v>24</v>
      </c>
      <c r="BG28" s="2">
        <v>8252.7000000000007</v>
      </c>
      <c r="BH28" s="2">
        <v>7227.13</v>
      </c>
      <c r="BI28" s="2">
        <v>13225</v>
      </c>
      <c r="BJ28" s="2">
        <v>13225</v>
      </c>
      <c r="BK28" s="2">
        <v>11500</v>
      </c>
      <c r="BL28" s="2">
        <v>12307.43</v>
      </c>
      <c r="BM28" s="2">
        <v>10624.7</v>
      </c>
      <c r="BN28" s="2">
        <v>11500</v>
      </c>
      <c r="BO28" s="2">
        <v>9352.5400000000009</v>
      </c>
      <c r="BP28" s="2">
        <v>7937.75</v>
      </c>
      <c r="BQ28" s="2">
        <v>7870.8</v>
      </c>
      <c r="BR28" s="2">
        <v>6350.2</v>
      </c>
      <c r="BS28" s="2">
        <v>5236.01</v>
      </c>
      <c r="BT28" s="2">
        <v>4656.9799999999996</v>
      </c>
      <c r="BU28" s="2">
        <v>8673.91</v>
      </c>
      <c r="BV28" s="2">
        <v>5865</v>
      </c>
    </row>
    <row r="29" spans="2:74" x14ac:dyDescent="0.3">
      <c r="B29" s="1" t="s">
        <v>25</v>
      </c>
      <c r="C29" s="2">
        <v>0.26</v>
      </c>
      <c r="D29" s="2">
        <v>0.26</v>
      </c>
      <c r="E29" s="2">
        <v>0.25</v>
      </c>
      <c r="F29" s="2">
        <v>0.2</v>
      </c>
      <c r="G29" s="2">
        <v>0.21</v>
      </c>
      <c r="H29" s="2">
        <v>0.22</v>
      </c>
      <c r="I29" s="2">
        <v>0.23</v>
      </c>
      <c r="J29" s="2">
        <v>0.19</v>
      </c>
      <c r="K29" s="2">
        <v>0.21</v>
      </c>
      <c r="L29" s="2">
        <v>0.21</v>
      </c>
      <c r="M29" s="2">
        <v>0.24</v>
      </c>
      <c r="N29" s="2">
        <v>0.24</v>
      </c>
      <c r="O29" s="2">
        <v>0.14000000000000001</v>
      </c>
      <c r="P29" s="2">
        <v>0.22</v>
      </c>
      <c r="Q29" s="2">
        <v>0.34</v>
      </c>
      <c r="R29" s="2">
        <v>0.31</v>
      </c>
      <c r="T29" s="1" t="s">
        <v>25</v>
      </c>
      <c r="U29" s="2">
        <v>7804.73</v>
      </c>
      <c r="V29" s="2">
        <v>7873.31</v>
      </c>
      <c r="W29" s="2">
        <v>6367.54</v>
      </c>
      <c r="X29" s="2">
        <v>6305.37</v>
      </c>
      <c r="Y29" s="2">
        <v>6981.21</v>
      </c>
      <c r="Z29" s="2">
        <v>8302.34</v>
      </c>
      <c r="AA29" s="2">
        <v>6355.88</v>
      </c>
      <c r="AB29" s="2">
        <v>6104.57</v>
      </c>
      <c r="AC29" s="2">
        <v>5563.53</v>
      </c>
      <c r="AD29" s="2">
        <v>4961.1499999999996</v>
      </c>
      <c r="AE29" s="2">
        <v>4960.74</v>
      </c>
      <c r="AF29" s="2">
        <v>4421.87</v>
      </c>
      <c r="AG29" s="2">
        <v>1164.21</v>
      </c>
      <c r="AH29" s="2">
        <v>2784.76</v>
      </c>
      <c r="AI29" s="2">
        <v>5669.37</v>
      </c>
      <c r="AJ29" s="2">
        <v>6470.36</v>
      </c>
      <c r="AM29" s="1" t="s">
        <v>25</v>
      </c>
      <c r="AN29" s="2">
        <v>26995.27</v>
      </c>
      <c r="AO29" s="2">
        <v>27157.5</v>
      </c>
      <c r="AP29" s="2">
        <v>25684.69</v>
      </c>
      <c r="AQ29" s="2">
        <v>33285.03</v>
      </c>
      <c r="AR29" s="2">
        <v>30553.19</v>
      </c>
      <c r="AS29" s="2">
        <v>31878.55</v>
      </c>
      <c r="AT29" s="2">
        <v>24579.46</v>
      </c>
      <c r="AU29" s="2">
        <v>28128.89</v>
      </c>
      <c r="AV29" s="2">
        <v>23481.82</v>
      </c>
      <c r="AW29" s="2">
        <v>22535.4</v>
      </c>
      <c r="AX29" s="2">
        <v>18276.18</v>
      </c>
      <c r="AY29" s="2">
        <v>17576.29</v>
      </c>
      <c r="AZ29" s="2">
        <v>7413.69</v>
      </c>
      <c r="BA29" s="2">
        <v>11185.79</v>
      </c>
      <c r="BB29" s="2">
        <v>15237.45</v>
      </c>
      <c r="BC29" s="2">
        <v>19227.740000000002</v>
      </c>
      <c r="BF29" s="1" t="s">
        <v>25</v>
      </c>
      <c r="BG29" s="2">
        <v>34800</v>
      </c>
      <c r="BH29" s="2">
        <v>35030.81</v>
      </c>
      <c r="BI29" s="2">
        <v>32052.22</v>
      </c>
      <c r="BJ29" s="2">
        <v>39590.400000000001</v>
      </c>
      <c r="BK29" s="2">
        <v>37534.400000000001</v>
      </c>
      <c r="BL29" s="2">
        <v>40180.89</v>
      </c>
      <c r="BM29" s="2">
        <v>30935.33</v>
      </c>
      <c r="BN29" s="2">
        <v>34233.46</v>
      </c>
      <c r="BO29" s="2">
        <v>29045.35</v>
      </c>
      <c r="BP29" s="2">
        <v>27496.54</v>
      </c>
      <c r="BQ29" s="2">
        <v>23236.91</v>
      </c>
      <c r="BR29" s="2">
        <v>21998.15</v>
      </c>
      <c r="BS29" s="2">
        <v>8577.9</v>
      </c>
      <c r="BT29" s="2">
        <v>13970.54</v>
      </c>
      <c r="BU29" s="2">
        <v>20906.82</v>
      </c>
      <c r="BV29" s="2">
        <v>25698.1</v>
      </c>
    </row>
    <row r="30" spans="2:74" x14ac:dyDescent="0.3">
      <c r="B30" s="1" t="s">
        <v>26</v>
      </c>
      <c r="C30" s="2">
        <v>0.24</v>
      </c>
      <c r="D30" s="2">
        <v>0.2</v>
      </c>
      <c r="E30" s="2">
        <v>0.28999999999999998</v>
      </c>
      <c r="F30" s="2">
        <v>0.2</v>
      </c>
      <c r="G30" s="2">
        <v>0.31</v>
      </c>
      <c r="H30" s="2">
        <v>0.28000000000000003</v>
      </c>
      <c r="I30" s="2">
        <v>0.24</v>
      </c>
      <c r="J30" s="2">
        <v>0.21</v>
      </c>
      <c r="K30" s="2">
        <v>0.27</v>
      </c>
      <c r="L30" s="2">
        <v>0.28999999999999998</v>
      </c>
      <c r="M30" s="2">
        <v>0.27</v>
      </c>
      <c r="N30" s="2">
        <v>0.28999999999999998</v>
      </c>
      <c r="O30" s="2">
        <v>0.24</v>
      </c>
      <c r="P30" s="2">
        <v>0.24</v>
      </c>
      <c r="Q30" s="2">
        <v>0.28999999999999998</v>
      </c>
      <c r="R30" s="2">
        <v>0.27</v>
      </c>
      <c r="T30" s="1" t="s">
        <v>26</v>
      </c>
      <c r="U30" s="2">
        <v>3391.97</v>
      </c>
      <c r="V30" s="2">
        <v>3530.31</v>
      </c>
      <c r="W30" s="2">
        <v>3578.74</v>
      </c>
      <c r="X30" s="2">
        <v>2905.55</v>
      </c>
      <c r="Y30" s="2">
        <v>3455.84</v>
      </c>
      <c r="Z30" s="2">
        <v>3737.77</v>
      </c>
      <c r="AA30" s="2">
        <v>2110.8200000000002</v>
      </c>
      <c r="AB30" s="2">
        <v>2488.6799999999998</v>
      </c>
      <c r="AC30" s="2">
        <v>3790.26</v>
      </c>
      <c r="AD30" s="2">
        <v>3324.55</v>
      </c>
      <c r="AE30" s="2">
        <v>3790.26</v>
      </c>
      <c r="AF30" s="2">
        <v>3324.55</v>
      </c>
      <c r="AG30" s="2">
        <v>899.19</v>
      </c>
      <c r="AH30" s="2">
        <v>989.92</v>
      </c>
      <c r="AI30" s="2">
        <v>4228.28</v>
      </c>
      <c r="AJ30" s="2">
        <v>3720.48</v>
      </c>
      <c r="AM30" s="1" t="s">
        <v>26</v>
      </c>
      <c r="AN30" s="2">
        <v>13763.53</v>
      </c>
      <c r="AO30" s="2">
        <v>17476.29</v>
      </c>
      <c r="AP30" s="2">
        <v>13759.76</v>
      </c>
      <c r="AQ30" s="2">
        <v>15994.45</v>
      </c>
      <c r="AR30" s="2">
        <v>9915.16</v>
      </c>
      <c r="AS30" s="2">
        <v>11609.03</v>
      </c>
      <c r="AT30" s="2">
        <v>8531.68</v>
      </c>
      <c r="AU30" s="2">
        <v>11100.72</v>
      </c>
      <c r="AV30" s="2">
        <v>13037.34</v>
      </c>
      <c r="AW30" s="2">
        <v>10105.89</v>
      </c>
      <c r="AX30" s="2">
        <v>13037.34</v>
      </c>
      <c r="AY30" s="2">
        <v>10105.89</v>
      </c>
      <c r="AZ30" s="2">
        <v>3362.61</v>
      </c>
      <c r="BA30" s="2">
        <v>3792.68</v>
      </c>
      <c r="BB30" s="2">
        <v>14406.6</v>
      </c>
      <c r="BC30" s="2">
        <v>11772.26</v>
      </c>
      <c r="BF30" s="1" t="s">
        <v>26</v>
      </c>
      <c r="BG30" s="2">
        <v>17155.5</v>
      </c>
      <c r="BH30" s="2">
        <v>21006.6</v>
      </c>
      <c r="BI30" s="2">
        <v>17338.5</v>
      </c>
      <c r="BJ30" s="2">
        <v>18900</v>
      </c>
      <c r="BK30" s="2">
        <v>13371</v>
      </c>
      <c r="BL30" s="2">
        <v>15346.8</v>
      </c>
      <c r="BM30" s="2">
        <v>10642.5</v>
      </c>
      <c r="BN30" s="2">
        <v>13589.4</v>
      </c>
      <c r="BO30" s="2">
        <v>16827.599999999999</v>
      </c>
      <c r="BP30" s="2">
        <v>13430.44</v>
      </c>
      <c r="BQ30" s="2">
        <v>16827.599999999999</v>
      </c>
      <c r="BR30" s="2">
        <v>13430.44</v>
      </c>
      <c r="BS30" s="2">
        <v>4261.8</v>
      </c>
      <c r="BT30" s="2">
        <v>4782.6000000000004</v>
      </c>
      <c r="BU30" s="2">
        <v>18634.89</v>
      </c>
      <c r="BV30" s="2">
        <v>15492.74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3256</v>
      </c>
      <c r="D37" s="2">
        <v>3241.26</v>
      </c>
      <c r="E37" s="2">
        <v>3430.57</v>
      </c>
      <c r="F37" s="2">
        <v>887.6</v>
      </c>
      <c r="G37" s="2">
        <v>2365.16</v>
      </c>
      <c r="H37" s="2">
        <v>2090.06</v>
      </c>
      <c r="I37" s="2">
        <v>583.08000000000004</v>
      </c>
      <c r="J37" s="2">
        <v>500.35</v>
      </c>
      <c r="K37" s="2">
        <v>505.89</v>
      </c>
      <c r="L37" s="2">
        <v>1324.6</v>
      </c>
      <c r="M37" s="2">
        <v>1259.8</v>
      </c>
      <c r="N37" s="2">
        <v>3094.36</v>
      </c>
      <c r="O37" s="2">
        <v>174</v>
      </c>
      <c r="P37" s="2">
        <v>160.16999999999999</v>
      </c>
      <c r="Q37" s="2">
        <v>2168.39</v>
      </c>
      <c r="R37" s="2">
        <v>1706.71</v>
      </c>
      <c r="T37" s="1" t="s">
        <v>19</v>
      </c>
      <c r="U37" s="2">
        <v>969.05</v>
      </c>
      <c r="V37" s="2">
        <v>964.66</v>
      </c>
      <c r="W37" s="2">
        <v>980.16</v>
      </c>
      <c r="X37" s="2">
        <v>253.6</v>
      </c>
      <c r="Y37" s="2">
        <v>603.36</v>
      </c>
      <c r="Z37" s="2">
        <v>533.17999999999995</v>
      </c>
      <c r="AA37" s="2">
        <v>126.21</v>
      </c>
      <c r="AB37" s="2">
        <v>108.3</v>
      </c>
      <c r="AC37" s="2">
        <v>138.97999999999999</v>
      </c>
      <c r="AD37" s="2">
        <v>363.9</v>
      </c>
      <c r="AE37" s="2">
        <v>346.1</v>
      </c>
      <c r="AF37" s="2">
        <v>850.1</v>
      </c>
      <c r="AG37" s="2">
        <v>59.18</v>
      </c>
      <c r="AH37" s="2">
        <v>54.48</v>
      </c>
      <c r="AI37" s="2">
        <v>1936.06</v>
      </c>
      <c r="AJ37" s="2">
        <v>1523.85</v>
      </c>
      <c r="AM37" s="1" t="s">
        <v>19</v>
      </c>
      <c r="AN37" s="2">
        <v>2622.05</v>
      </c>
      <c r="AO37" s="2">
        <v>2602.2399999999998</v>
      </c>
      <c r="AP37" s="2">
        <v>3253.24</v>
      </c>
      <c r="AQ37" s="2">
        <v>3000</v>
      </c>
      <c r="AR37" s="2">
        <v>2137.04</v>
      </c>
      <c r="AS37" s="2">
        <v>1905.32</v>
      </c>
      <c r="AT37" s="2">
        <v>2276.59</v>
      </c>
      <c r="AU37" s="2">
        <v>1935</v>
      </c>
      <c r="AV37" s="2">
        <v>2607.12</v>
      </c>
      <c r="AW37" s="2">
        <v>3000</v>
      </c>
      <c r="AX37" s="2">
        <v>2400</v>
      </c>
      <c r="AY37" s="2">
        <v>2400</v>
      </c>
      <c r="AZ37" s="2">
        <v>1061.1199999999999</v>
      </c>
      <c r="BA37" s="2">
        <v>977.22</v>
      </c>
      <c r="BB37" s="2">
        <v>3513.24</v>
      </c>
      <c r="BC37" s="2">
        <v>2910.25</v>
      </c>
      <c r="BF37" s="1" t="s">
        <v>19</v>
      </c>
      <c r="BG37" s="2">
        <v>3591.1</v>
      </c>
      <c r="BH37" s="2">
        <v>3566.9</v>
      </c>
      <c r="BI37" s="2">
        <v>4233.3999999999996</v>
      </c>
      <c r="BJ37" s="2">
        <v>3253.6</v>
      </c>
      <c r="BK37" s="2">
        <v>2740.4</v>
      </c>
      <c r="BL37" s="2">
        <v>2438.5</v>
      </c>
      <c r="BM37" s="2">
        <v>2402.8000000000002</v>
      </c>
      <c r="BN37" s="2">
        <v>2043.3</v>
      </c>
      <c r="BO37" s="2">
        <v>2746.1</v>
      </c>
      <c r="BP37" s="2">
        <v>3363.9</v>
      </c>
      <c r="BQ37" s="2">
        <v>2746.1</v>
      </c>
      <c r="BR37" s="2">
        <v>3250.1</v>
      </c>
      <c r="BS37" s="2">
        <v>1120.3</v>
      </c>
      <c r="BT37" s="2">
        <v>1031.7</v>
      </c>
      <c r="BU37" s="2">
        <v>5449.3</v>
      </c>
      <c r="BV37" s="2">
        <v>4434.1000000000004</v>
      </c>
    </row>
    <row r="38" spans="2:74" x14ac:dyDescent="0.3">
      <c r="B38" s="1" t="s">
        <v>20</v>
      </c>
      <c r="C38" s="2">
        <v>10419.15</v>
      </c>
      <c r="D38" s="2">
        <v>6816</v>
      </c>
      <c r="E38" s="2">
        <v>15976.79</v>
      </c>
      <c r="F38" s="2">
        <v>7476.98</v>
      </c>
      <c r="G38" s="2">
        <v>15982.28</v>
      </c>
      <c r="H38" s="2">
        <v>11116.37</v>
      </c>
      <c r="I38" s="2">
        <v>16047.27</v>
      </c>
      <c r="J38" s="2">
        <v>10632.4</v>
      </c>
      <c r="K38" s="2">
        <v>9447.82</v>
      </c>
      <c r="L38" s="2">
        <v>12297.05</v>
      </c>
      <c r="M38" s="2">
        <v>9447.82</v>
      </c>
      <c r="N38" s="2">
        <v>12207.77</v>
      </c>
      <c r="O38" s="2">
        <v>6499.95</v>
      </c>
      <c r="P38" s="2">
        <v>5270.88</v>
      </c>
      <c r="Q38" s="2">
        <v>3726.16</v>
      </c>
      <c r="R38" s="2">
        <v>3626.12</v>
      </c>
      <c r="T38" s="1" t="s">
        <v>20</v>
      </c>
      <c r="U38" s="2">
        <v>1685.95</v>
      </c>
      <c r="V38" s="2">
        <v>1102.9100000000001</v>
      </c>
      <c r="W38" s="2">
        <v>1549.68</v>
      </c>
      <c r="X38" s="2">
        <v>1161.47</v>
      </c>
      <c r="Y38" s="2">
        <v>2216.6799999999998</v>
      </c>
      <c r="Z38" s="2">
        <v>1541.8</v>
      </c>
      <c r="AA38" s="2">
        <v>1888.47</v>
      </c>
      <c r="AB38" s="2">
        <v>1251.24</v>
      </c>
      <c r="AC38" s="2">
        <v>1411.17</v>
      </c>
      <c r="AD38" s="2">
        <v>1392.15</v>
      </c>
      <c r="AE38" s="2">
        <v>1411.17</v>
      </c>
      <c r="AF38" s="2">
        <v>1378.95</v>
      </c>
      <c r="AG38" s="2">
        <v>1202.02</v>
      </c>
      <c r="AH38" s="2">
        <v>974.74</v>
      </c>
      <c r="AI38" s="2">
        <v>1808.81</v>
      </c>
      <c r="AJ38" s="2">
        <v>1760.25</v>
      </c>
      <c r="AM38" s="1" t="s">
        <v>20</v>
      </c>
      <c r="AN38" s="2">
        <v>6366.13</v>
      </c>
      <c r="AO38" s="2">
        <v>5561.99</v>
      </c>
      <c r="AP38" s="2">
        <v>10613.72</v>
      </c>
      <c r="AQ38" s="2">
        <v>3815.52</v>
      </c>
      <c r="AR38" s="2">
        <v>8683.32</v>
      </c>
      <c r="AS38" s="2">
        <v>4652.05</v>
      </c>
      <c r="AT38" s="2">
        <v>7366.7</v>
      </c>
      <c r="AU38" s="2">
        <v>4681.26</v>
      </c>
      <c r="AV38" s="2">
        <v>6037.33</v>
      </c>
      <c r="AW38" s="2">
        <v>8438.5499999999993</v>
      </c>
      <c r="AX38" s="2">
        <v>6037.33</v>
      </c>
      <c r="AY38" s="2">
        <v>8333.25</v>
      </c>
      <c r="AZ38" s="2">
        <v>4610.68</v>
      </c>
      <c r="BA38" s="2">
        <v>3789.56</v>
      </c>
      <c r="BB38" s="2">
        <v>6693.19</v>
      </c>
      <c r="BC38" s="2">
        <v>6416.49</v>
      </c>
      <c r="BF38" s="1" t="s">
        <v>20</v>
      </c>
      <c r="BG38" s="2">
        <v>8052.08</v>
      </c>
      <c r="BH38" s="2">
        <v>6664.9</v>
      </c>
      <c r="BI38" s="2">
        <v>12163.4</v>
      </c>
      <c r="BJ38" s="2">
        <v>4976.99</v>
      </c>
      <c r="BK38" s="2">
        <v>10900</v>
      </c>
      <c r="BL38" s="2">
        <v>6193.85</v>
      </c>
      <c r="BM38" s="2">
        <v>9255.17</v>
      </c>
      <c r="BN38" s="2">
        <v>5932.5</v>
      </c>
      <c r="BO38" s="2">
        <v>7448.5</v>
      </c>
      <c r="BP38" s="2">
        <v>9830.7000000000007</v>
      </c>
      <c r="BQ38" s="2">
        <v>7448.5</v>
      </c>
      <c r="BR38" s="2">
        <v>9712.2000000000007</v>
      </c>
      <c r="BS38" s="2">
        <v>5812.7</v>
      </c>
      <c r="BT38" s="2">
        <v>4764.3</v>
      </c>
      <c r="BU38" s="2">
        <v>8502</v>
      </c>
      <c r="BV38" s="2">
        <v>8176.74</v>
      </c>
    </row>
    <row r="39" spans="2:74" x14ac:dyDescent="0.3">
      <c r="B39" s="1" t="s">
        <v>21</v>
      </c>
      <c r="C39" s="2">
        <v>166872.93</v>
      </c>
      <c r="D39" s="2">
        <v>32829.9</v>
      </c>
      <c r="E39" s="2">
        <v>129200.79</v>
      </c>
      <c r="F39" s="2">
        <v>116444.08</v>
      </c>
      <c r="G39" s="2">
        <v>259696.63</v>
      </c>
      <c r="H39" s="2">
        <v>101650.76</v>
      </c>
      <c r="I39" s="2">
        <v>271315.48</v>
      </c>
      <c r="J39" s="2">
        <v>80627.67</v>
      </c>
      <c r="K39" s="2">
        <v>20317.54</v>
      </c>
      <c r="L39" s="2">
        <v>26365.71</v>
      </c>
      <c r="M39" s="2">
        <v>18371.97</v>
      </c>
      <c r="N39" s="2">
        <v>23522.22</v>
      </c>
      <c r="O39" s="2">
        <v>16406.830000000002</v>
      </c>
      <c r="P39" s="2">
        <v>4355.37</v>
      </c>
      <c r="Q39" s="2">
        <v>37531.68</v>
      </c>
      <c r="R39" s="2">
        <v>45898.49</v>
      </c>
      <c r="T39" s="1" t="s">
        <v>21</v>
      </c>
      <c r="U39" s="2">
        <v>2630.04</v>
      </c>
      <c r="V39" s="2">
        <v>1770.76</v>
      </c>
      <c r="W39" s="2">
        <v>2230</v>
      </c>
      <c r="X39" s="2">
        <v>2009.82</v>
      </c>
      <c r="Y39" s="2">
        <v>3001.58</v>
      </c>
      <c r="Z39" s="2">
        <v>1760.64</v>
      </c>
      <c r="AA39" s="2">
        <v>2727.52</v>
      </c>
      <c r="AB39" s="2">
        <v>1581.4</v>
      </c>
      <c r="AC39" s="2">
        <v>1024.55</v>
      </c>
      <c r="AD39" s="2">
        <v>1312.71</v>
      </c>
      <c r="AE39" s="2">
        <v>914.71</v>
      </c>
      <c r="AF39" s="2">
        <v>1171.1300000000001</v>
      </c>
      <c r="AG39" s="2">
        <v>1011.36</v>
      </c>
      <c r="AH39" s="2">
        <v>768.14</v>
      </c>
      <c r="AI39" s="2">
        <v>2024.36</v>
      </c>
      <c r="AJ39" s="2">
        <v>2178.94</v>
      </c>
      <c r="AM39" s="1" t="s">
        <v>21</v>
      </c>
      <c r="AN39" s="2">
        <v>8969.9599999999991</v>
      </c>
      <c r="AO39" s="2">
        <v>4746.17</v>
      </c>
      <c r="AP39" s="2">
        <v>13437.4</v>
      </c>
      <c r="AQ39" s="2">
        <v>6054.79</v>
      </c>
      <c r="AR39" s="2">
        <v>11498.42</v>
      </c>
      <c r="AS39" s="2">
        <v>9572.18</v>
      </c>
      <c r="AT39" s="2">
        <v>11391.04</v>
      </c>
      <c r="AU39" s="2">
        <v>8939.8799999999992</v>
      </c>
      <c r="AV39" s="2">
        <v>6310.09</v>
      </c>
      <c r="AW39" s="2">
        <v>7020.25</v>
      </c>
      <c r="AX39" s="2">
        <v>5141.8900000000003</v>
      </c>
      <c r="AY39" s="2">
        <v>5589.67</v>
      </c>
      <c r="AZ39" s="2">
        <v>4065.03</v>
      </c>
      <c r="BA39" s="2">
        <v>2914.16</v>
      </c>
      <c r="BB39" s="2">
        <v>7164.54</v>
      </c>
      <c r="BC39" s="2">
        <v>7092.66</v>
      </c>
      <c r="BF39" s="1" t="s">
        <v>21</v>
      </c>
      <c r="BG39" s="2">
        <v>11600</v>
      </c>
      <c r="BH39" s="2">
        <v>6516.93</v>
      </c>
      <c r="BI39" s="2">
        <v>15667.4</v>
      </c>
      <c r="BJ39" s="2">
        <v>8064.61</v>
      </c>
      <c r="BK39" s="2">
        <v>14500</v>
      </c>
      <c r="BL39" s="2">
        <v>11332.82</v>
      </c>
      <c r="BM39" s="2">
        <v>14118.56</v>
      </c>
      <c r="BN39" s="2">
        <v>10521.28</v>
      </c>
      <c r="BO39" s="2">
        <v>7334.64</v>
      </c>
      <c r="BP39" s="2">
        <v>8332.9500000000007</v>
      </c>
      <c r="BQ39" s="2">
        <v>6056.6</v>
      </c>
      <c r="BR39" s="2">
        <v>6760.8</v>
      </c>
      <c r="BS39" s="2">
        <v>5076.3900000000003</v>
      </c>
      <c r="BT39" s="2">
        <v>3682.3</v>
      </c>
      <c r="BU39" s="2">
        <v>9188.9</v>
      </c>
      <c r="BV39" s="2">
        <v>9271.59</v>
      </c>
    </row>
    <row r="40" spans="2:74" x14ac:dyDescent="0.3">
      <c r="B40" s="1" t="s">
        <v>22</v>
      </c>
      <c r="C40" s="2">
        <v>18915.57</v>
      </c>
      <c r="D40" s="2">
        <v>10231.36</v>
      </c>
      <c r="E40" s="2">
        <v>27030.18</v>
      </c>
      <c r="F40" s="2">
        <v>21859.71</v>
      </c>
      <c r="G40" s="2">
        <v>28198.3</v>
      </c>
      <c r="H40" s="2">
        <v>28067.55</v>
      </c>
      <c r="I40" s="2">
        <v>24810.47</v>
      </c>
      <c r="J40" s="2">
        <v>19456.7</v>
      </c>
      <c r="K40" s="2">
        <v>9008.7199999999993</v>
      </c>
      <c r="L40" s="2">
        <v>1984.18</v>
      </c>
      <c r="M40" s="2">
        <v>7793.72</v>
      </c>
      <c r="N40" s="2">
        <v>2274.06</v>
      </c>
      <c r="O40" s="2">
        <v>1530.48</v>
      </c>
      <c r="P40" s="2">
        <v>1530.07</v>
      </c>
      <c r="Q40" s="2">
        <v>3596.98</v>
      </c>
      <c r="R40" s="2">
        <v>3503.48</v>
      </c>
      <c r="T40" s="1" t="s">
        <v>22</v>
      </c>
      <c r="U40" s="2">
        <v>1530.39</v>
      </c>
      <c r="V40" s="2">
        <v>1655.56</v>
      </c>
      <c r="W40" s="2">
        <v>2099.4299999999998</v>
      </c>
      <c r="X40" s="2">
        <v>1697.84</v>
      </c>
      <c r="Y40" s="2">
        <v>1955.5</v>
      </c>
      <c r="Z40" s="2">
        <v>1946.43</v>
      </c>
      <c r="AA40" s="2">
        <v>1479.35</v>
      </c>
      <c r="AB40" s="2">
        <v>1340.3</v>
      </c>
      <c r="AC40" s="2">
        <v>1345.59</v>
      </c>
      <c r="AD40" s="2">
        <v>567.73</v>
      </c>
      <c r="AE40" s="2">
        <v>1164.1099999999999</v>
      </c>
      <c r="AF40" s="2">
        <v>826.1</v>
      </c>
      <c r="AG40" s="2">
        <v>500.3</v>
      </c>
      <c r="AH40" s="2">
        <v>499.94</v>
      </c>
      <c r="AI40" s="2">
        <v>1746.11</v>
      </c>
      <c r="AJ40" s="2">
        <v>1700.72</v>
      </c>
      <c r="AM40" s="1" t="s">
        <v>22</v>
      </c>
      <c r="AN40" s="2">
        <v>7744.68</v>
      </c>
      <c r="AO40" s="2">
        <v>5043.37</v>
      </c>
      <c r="AP40" s="2">
        <v>12392.22</v>
      </c>
      <c r="AQ40" s="2">
        <v>8932.82</v>
      </c>
      <c r="AR40" s="2">
        <v>9544.5</v>
      </c>
      <c r="AS40" s="2">
        <v>9553.57</v>
      </c>
      <c r="AT40" s="2">
        <v>10225.049999999999</v>
      </c>
      <c r="AU40" s="2">
        <v>8822.7000000000007</v>
      </c>
      <c r="AV40" s="2">
        <v>7847.92</v>
      </c>
      <c r="AW40" s="2">
        <v>5159.67</v>
      </c>
      <c r="AX40" s="2">
        <v>6190.79</v>
      </c>
      <c r="AY40" s="2">
        <v>4901.3</v>
      </c>
      <c r="AZ40" s="2">
        <v>2861.89</v>
      </c>
      <c r="BA40" s="2">
        <v>2863.56</v>
      </c>
      <c r="BB40" s="2">
        <v>5416.64</v>
      </c>
      <c r="BC40" s="2">
        <v>5199.28</v>
      </c>
      <c r="BF40" s="1" t="s">
        <v>22</v>
      </c>
      <c r="BG40" s="2">
        <v>9275.06</v>
      </c>
      <c r="BH40" s="2">
        <v>6698.93</v>
      </c>
      <c r="BI40" s="2">
        <v>14491.65</v>
      </c>
      <c r="BJ40" s="2">
        <v>10630.67</v>
      </c>
      <c r="BK40" s="2">
        <v>11500</v>
      </c>
      <c r="BL40" s="2">
        <v>11500</v>
      </c>
      <c r="BM40" s="2">
        <v>11704.4</v>
      </c>
      <c r="BN40" s="2">
        <v>10163</v>
      </c>
      <c r="BO40" s="2">
        <v>9193.51</v>
      </c>
      <c r="BP40" s="2">
        <v>5727.4</v>
      </c>
      <c r="BQ40" s="2">
        <v>7354.9</v>
      </c>
      <c r="BR40" s="2">
        <v>5727.4</v>
      </c>
      <c r="BS40" s="2">
        <v>3362.19</v>
      </c>
      <c r="BT40" s="2">
        <v>3363.5</v>
      </c>
      <c r="BU40" s="2">
        <v>7162.75</v>
      </c>
      <c r="BV40" s="2">
        <v>6900</v>
      </c>
    </row>
    <row r="41" spans="2:74" x14ac:dyDescent="0.3">
      <c r="B41" s="1" t="s">
        <v>23</v>
      </c>
      <c r="C41" s="2">
        <v>48475.69</v>
      </c>
      <c r="D41" s="2">
        <v>77833.570000000007</v>
      </c>
      <c r="E41" s="2">
        <v>68458.86</v>
      </c>
      <c r="F41" s="2">
        <v>66289.31</v>
      </c>
      <c r="G41" s="2">
        <v>80914.61</v>
      </c>
      <c r="H41" s="2">
        <v>133387.22</v>
      </c>
      <c r="I41" s="2">
        <v>49754.9</v>
      </c>
      <c r="J41" s="2">
        <v>78971.320000000007</v>
      </c>
      <c r="K41" s="2">
        <v>54025.31</v>
      </c>
      <c r="L41" s="2">
        <v>39507</v>
      </c>
      <c r="M41" s="2">
        <v>63595.1</v>
      </c>
      <c r="N41" s="2">
        <v>39136.230000000003</v>
      </c>
      <c r="O41" s="2">
        <v>17182.72</v>
      </c>
      <c r="P41" s="2">
        <v>15890.8</v>
      </c>
      <c r="Q41" s="2">
        <v>21199.91</v>
      </c>
      <c r="R41" s="2">
        <v>20246.86</v>
      </c>
      <c r="T41" s="1" t="s">
        <v>23</v>
      </c>
      <c r="U41" s="2">
        <v>1568.79</v>
      </c>
      <c r="V41" s="2">
        <v>1259.44</v>
      </c>
      <c r="W41" s="2">
        <v>2126.88</v>
      </c>
      <c r="X41" s="2">
        <v>2059.4699999999998</v>
      </c>
      <c r="Y41" s="2">
        <v>2244.5100000000002</v>
      </c>
      <c r="Z41" s="2">
        <v>1850.03</v>
      </c>
      <c r="AA41" s="2">
        <v>1171.05</v>
      </c>
      <c r="AB41" s="2">
        <v>1342.61</v>
      </c>
      <c r="AC41" s="2">
        <v>1613.9</v>
      </c>
      <c r="AD41" s="2">
        <v>1279.77</v>
      </c>
      <c r="AE41" s="2">
        <v>1437.07</v>
      </c>
      <c r="AF41" s="2">
        <v>1256.6600000000001</v>
      </c>
      <c r="AG41" s="2">
        <v>635.51</v>
      </c>
      <c r="AH41" s="2">
        <v>607.34</v>
      </c>
      <c r="AI41" s="2">
        <v>2058.2399999999998</v>
      </c>
      <c r="AJ41" s="2">
        <v>1965.71</v>
      </c>
      <c r="AM41" s="1" t="s">
        <v>23</v>
      </c>
      <c r="AN41" s="2">
        <v>4796.68</v>
      </c>
      <c r="AO41" s="2">
        <v>5927.14</v>
      </c>
      <c r="AP41" s="2">
        <v>7485.38</v>
      </c>
      <c r="AQ41" s="2">
        <v>6996.09</v>
      </c>
      <c r="AR41" s="2">
        <v>7230.19</v>
      </c>
      <c r="AS41" s="2">
        <v>8720.61</v>
      </c>
      <c r="AT41" s="2">
        <v>6835.35</v>
      </c>
      <c r="AU41" s="2">
        <v>8352.7900000000009</v>
      </c>
      <c r="AV41" s="2">
        <v>8839.7000000000007</v>
      </c>
      <c r="AW41" s="2">
        <v>7699.43</v>
      </c>
      <c r="AX41" s="2">
        <v>8834.43</v>
      </c>
      <c r="AY41" s="2">
        <v>7533.94</v>
      </c>
      <c r="AZ41" s="2">
        <v>3452.89</v>
      </c>
      <c r="BA41" s="2">
        <v>3333.76</v>
      </c>
      <c r="BB41" s="2">
        <v>6911.76</v>
      </c>
      <c r="BC41" s="2">
        <v>6416.31</v>
      </c>
      <c r="BF41" s="1" t="s">
        <v>23</v>
      </c>
      <c r="BG41" s="2">
        <v>6365.47</v>
      </c>
      <c r="BH41" s="2">
        <v>7186.58</v>
      </c>
      <c r="BI41" s="2">
        <v>9612.26</v>
      </c>
      <c r="BJ41" s="2">
        <v>9055.56</v>
      </c>
      <c r="BK41" s="2">
        <v>9474.7099999999991</v>
      </c>
      <c r="BL41" s="2">
        <v>10570.64</v>
      </c>
      <c r="BM41" s="2">
        <v>8006.4</v>
      </c>
      <c r="BN41" s="2">
        <v>9695.4</v>
      </c>
      <c r="BO41" s="2">
        <v>10453.6</v>
      </c>
      <c r="BP41" s="2">
        <v>8979.2000000000007</v>
      </c>
      <c r="BQ41" s="2">
        <v>10271.5</v>
      </c>
      <c r="BR41" s="2">
        <v>8790.6</v>
      </c>
      <c r="BS41" s="2">
        <v>4088.4</v>
      </c>
      <c r="BT41" s="2">
        <v>3941.1</v>
      </c>
      <c r="BU41" s="2">
        <v>8970</v>
      </c>
      <c r="BV41" s="2">
        <v>8382.0300000000007</v>
      </c>
    </row>
    <row r="42" spans="2:74" x14ac:dyDescent="0.3">
      <c r="B42" s="1" t="s">
        <v>24</v>
      </c>
      <c r="C42" s="2">
        <v>12450.1</v>
      </c>
      <c r="D42" s="2">
        <v>16804.080000000002</v>
      </c>
      <c r="E42" s="2">
        <v>26791.59</v>
      </c>
      <c r="F42" s="2">
        <v>27419.16</v>
      </c>
      <c r="G42" s="2">
        <v>29736.34</v>
      </c>
      <c r="H42" s="2">
        <v>31343.69</v>
      </c>
      <c r="I42" s="2">
        <v>17966.03</v>
      </c>
      <c r="J42" s="2">
        <v>33592</v>
      </c>
      <c r="K42" s="2">
        <v>9593.84</v>
      </c>
      <c r="L42" s="2">
        <v>5243.48</v>
      </c>
      <c r="M42" s="2">
        <v>8903.14</v>
      </c>
      <c r="N42" s="2">
        <v>5068.67</v>
      </c>
      <c r="O42" s="2">
        <v>4809.6899999999996</v>
      </c>
      <c r="P42" s="2">
        <v>3440.3</v>
      </c>
      <c r="Q42" s="2">
        <v>4320.6400000000003</v>
      </c>
      <c r="R42" s="2">
        <v>3269.48</v>
      </c>
      <c r="T42" s="1" t="s">
        <v>24</v>
      </c>
      <c r="U42" s="2">
        <v>2014.58</v>
      </c>
      <c r="V42" s="2">
        <v>1359.55</v>
      </c>
      <c r="W42" s="2">
        <v>2080.9</v>
      </c>
      <c r="X42" s="2">
        <v>2129.64</v>
      </c>
      <c r="Y42" s="2">
        <v>2062.16</v>
      </c>
      <c r="Z42" s="2">
        <v>2173.63</v>
      </c>
      <c r="AA42" s="2">
        <v>2114.27</v>
      </c>
      <c r="AB42" s="2">
        <v>1976.58</v>
      </c>
      <c r="AC42" s="2">
        <v>1605.55</v>
      </c>
      <c r="AD42" s="2">
        <v>1400.29</v>
      </c>
      <c r="AE42" s="2">
        <v>1413.71</v>
      </c>
      <c r="AF42" s="2">
        <v>1156.3</v>
      </c>
      <c r="AG42" s="2">
        <v>992.85</v>
      </c>
      <c r="AH42" s="2">
        <v>890.55</v>
      </c>
      <c r="AI42" s="2">
        <v>2097.4</v>
      </c>
      <c r="AJ42" s="2">
        <v>1587.13</v>
      </c>
      <c r="AM42" s="1" t="s">
        <v>24</v>
      </c>
      <c r="AN42" s="2">
        <v>6238.12</v>
      </c>
      <c r="AO42" s="2">
        <v>5867.57</v>
      </c>
      <c r="AP42" s="2">
        <v>11144.1</v>
      </c>
      <c r="AQ42" s="2">
        <v>11095.36</v>
      </c>
      <c r="AR42" s="2">
        <v>9437.84</v>
      </c>
      <c r="AS42" s="2">
        <v>10133.799999999999</v>
      </c>
      <c r="AT42" s="2">
        <v>8510.43</v>
      </c>
      <c r="AU42" s="2">
        <v>9523.42</v>
      </c>
      <c r="AV42" s="2">
        <v>7747</v>
      </c>
      <c r="AW42" s="2">
        <v>6537.46</v>
      </c>
      <c r="AX42" s="2">
        <v>6457.09</v>
      </c>
      <c r="AY42" s="2">
        <v>5193.8999999999996</v>
      </c>
      <c r="AZ42" s="2">
        <v>4243.16</v>
      </c>
      <c r="BA42" s="2">
        <v>3766.43</v>
      </c>
      <c r="BB42" s="2">
        <v>6576.51</v>
      </c>
      <c r="BC42" s="2">
        <v>4277.87</v>
      </c>
      <c r="BF42" s="1" t="s">
        <v>24</v>
      </c>
      <c r="BG42" s="2">
        <v>8252.7000000000007</v>
      </c>
      <c r="BH42" s="2">
        <v>7227.13</v>
      </c>
      <c r="BI42" s="2">
        <v>13225</v>
      </c>
      <c r="BJ42" s="2">
        <v>13225</v>
      </c>
      <c r="BK42" s="2">
        <v>11500</v>
      </c>
      <c r="BL42" s="2">
        <v>12307.43</v>
      </c>
      <c r="BM42" s="2">
        <v>10624.7</v>
      </c>
      <c r="BN42" s="2">
        <v>11500</v>
      </c>
      <c r="BO42" s="2">
        <v>9352.5400000000009</v>
      </c>
      <c r="BP42" s="2">
        <v>7937.75</v>
      </c>
      <c r="BQ42" s="2">
        <v>7870.8</v>
      </c>
      <c r="BR42" s="2">
        <v>6350.2</v>
      </c>
      <c r="BS42" s="2">
        <v>5236.01</v>
      </c>
      <c r="BT42" s="2">
        <v>4656.9799999999996</v>
      </c>
      <c r="BU42" s="2">
        <v>8673.91</v>
      </c>
      <c r="BV42" s="2">
        <v>5865</v>
      </c>
    </row>
    <row r="43" spans="2:74" x14ac:dyDescent="0.3">
      <c r="B43" s="1" t="s">
        <v>25</v>
      </c>
      <c r="C43" s="2">
        <v>192931.5</v>
      </c>
      <c r="D43" s="2">
        <v>194628.22</v>
      </c>
      <c r="E43" s="2">
        <v>122973.05</v>
      </c>
      <c r="F43" s="2">
        <v>121772.46</v>
      </c>
      <c r="G43" s="2">
        <v>151003.62</v>
      </c>
      <c r="H43" s="2">
        <v>186299.41</v>
      </c>
      <c r="I43" s="2">
        <v>54009.05</v>
      </c>
      <c r="J43" s="2">
        <v>110328.43</v>
      </c>
      <c r="K43" s="2">
        <v>37247.85</v>
      </c>
      <c r="L43" s="2">
        <v>33214.769999999997</v>
      </c>
      <c r="M43" s="2">
        <v>33212.14</v>
      </c>
      <c r="N43" s="2">
        <v>29604.37</v>
      </c>
      <c r="O43" s="2">
        <v>4119.9799999999996</v>
      </c>
      <c r="P43" s="2">
        <v>15058.56</v>
      </c>
      <c r="Q43" s="2">
        <v>35036.730000000003</v>
      </c>
      <c r="R43" s="2">
        <v>44601.87</v>
      </c>
      <c r="T43" s="1" t="s">
        <v>25</v>
      </c>
      <c r="U43" s="2">
        <v>2601.58</v>
      </c>
      <c r="V43" s="2">
        <v>2624.44</v>
      </c>
      <c r="W43" s="2">
        <v>2122.5100000000002</v>
      </c>
      <c r="X43" s="2">
        <v>2101.79</v>
      </c>
      <c r="Y43" s="2">
        <v>2327.0700000000002</v>
      </c>
      <c r="Z43" s="2">
        <v>2767.45</v>
      </c>
      <c r="AA43" s="2">
        <v>2118.63</v>
      </c>
      <c r="AB43" s="2">
        <v>2034.86</v>
      </c>
      <c r="AC43" s="2">
        <v>1854.51</v>
      </c>
      <c r="AD43" s="2">
        <v>1653.72</v>
      </c>
      <c r="AE43" s="2">
        <v>1653.58</v>
      </c>
      <c r="AF43" s="2">
        <v>1473.96</v>
      </c>
      <c r="AG43" s="2">
        <v>388.07</v>
      </c>
      <c r="AH43" s="2">
        <v>928.25</v>
      </c>
      <c r="AI43" s="2">
        <v>1889.79</v>
      </c>
      <c r="AJ43" s="2">
        <v>2156.79</v>
      </c>
      <c r="AM43" s="1" t="s">
        <v>25</v>
      </c>
      <c r="AN43" s="2">
        <v>8998.42</v>
      </c>
      <c r="AO43" s="2">
        <v>9052.5</v>
      </c>
      <c r="AP43" s="2">
        <v>8561.56</v>
      </c>
      <c r="AQ43" s="2">
        <v>11095.01</v>
      </c>
      <c r="AR43" s="2">
        <v>10184.4</v>
      </c>
      <c r="AS43" s="2">
        <v>10626.18</v>
      </c>
      <c r="AT43" s="2">
        <v>8193.15</v>
      </c>
      <c r="AU43" s="2">
        <v>9376.2999999999993</v>
      </c>
      <c r="AV43" s="2">
        <v>7827.27</v>
      </c>
      <c r="AW43" s="2">
        <v>7511.8</v>
      </c>
      <c r="AX43" s="2">
        <v>6092.06</v>
      </c>
      <c r="AY43" s="2">
        <v>5858.76</v>
      </c>
      <c r="AZ43" s="2">
        <v>2471.23</v>
      </c>
      <c r="BA43" s="2">
        <v>3728.6</v>
      </c>
      <c r="BB43" s="2">
        <v>5079.1499999999996</v>
      </c>
      <c r="BC43" s="2">
        <v>6409.25</v>
      </c>
      <c r="BF43" s="1" t="s">
        <v>25</v>
      </c>
      <c r="BG43" s="2">
        <v>11600</v>
      </c>
      <c r="BH43" s="2">
        <v>11676.94</v>
      </c>
      <c r="BI43" s="2">
        <v>10684.08</v>
      </c>
      <c r="BJ43" s="2">
        <v>13196.8</v>
      </c>
      <c r="BK43" s="2">
        <v>12511.47</v>
      </c>
      <c r="BL43" s="2">
        <v>13393.63</v>
      </c>
      <c r="BM43" s="2">
        <v>10311.780000000001</v>
      </c>
      <c r="BN43" s="2">
        <v>11411.15</v>
      </c>
      <c r="BO43" s="2">
        <v>9681.7800000000007</v>
      </c>
      <c r="BP43" s="2">
        <v>9165.51</v>
      </c>
      <c r="BQ43" s="2">
        <v>7745.64</v>
      </c>
      <c r="BR43" s="2">
        <v>7332.72</v>
      </c>
      <c r="BS43" s="2">
        <v>2859.3</v>
      </c>
      <c r="BT43" s="2">
        <v>4656.8500000000004</v>
      </c>
      <c r="BU43" s="2">
        <v>6968.94</v>
      </c>
      <c r="BV43" s="2">
        <v>8566.0300000000007</v>
      </c>
    </row>
    <row r="44" spans="2:74" x14ac:dyDescent="0.3">
      <c r="B44" s="1" t="s">
        <v>26</v>
      </c>
      <c r="C44" s="2">
        <v>20962.38</v>
      </c>
      <c r="D44" s="2">
        <v>27816.34</v>
      </c>
      <c r="E44" s="2">
        <v>23038.1</v>
      </c>
      <c r="F44" s="2">
        <v>5887.98</v>
      </c>
      <c r="G44" s="2">
        <v>24916.639999999999</v>
      </c>
      <c r="H44" s="2">
        <v>26949.32</v>
      </c>
      <c r="I44" s="2">
        <v>17936.68</v>
      </c>
      <c r="J44" s="2">
        <v>19730.43</v>
      </c>
      <c r="K44" s="2">
        <v>25375.79</v>
      </c>
      <c r="L44" s="2">
        <v>22257.83</v>
      </c>
      <c r="M44" s="2">
        <v>25375.79</v>
      </c>
      <c r="N44" s="2">
        <v>22257.83</v>
      </c>
      <c r="O44" s="2">
        <v>2965.41</v>
      </c>
      <c r="P44" s="2">
        <v>3809.8</v>
      </c>
      <c r="Q44" s="2">
        <v>8710.27</v>
      </c>
      <c r="R44" s="2">
        <v>7664.19</v>
      </c>
      <c r="T44" s="1" t="s">
        <v>26</v>
      </c>
      <c r="U44" s="2">
        <v>1130.6600000000001</v>
      </c>
      <c r="V44" s="2">
        <v>1176.77</v>
      </c>
      <c r="W44" s="2">
        <v>1192.9100000000001</v>
      </c>
      <c r="X44" s="2">
        <v>968.52</v>
      </c>
      <c r="Y44" s="2">
        <v>1151.95</v>
      </c>
      <c r="Z44" s="2">
        <v>1245.92</v>
      </c>
      <c r="AA44" s="2">
        <v>703.61</v>
      </c>
      <c r="AB44" s="2">
        <v>829.56</v>
      </c>
      <c r="AC44" s="2">
        <v>1263.42</v>
      </c>
      <c r="AD44" s="2">
        <v>1108.18</v>
      </c>
      <c r="AE44" s="2">
        <v>1263.42</v>
      </c>
      <c r="AF44" s="2">
        <v>1108.18</v>
      </c>
      <c r="AG44" s="2">
        <v>299.73</v>
      </c>
      <c r="AH44" s="2">
        <v>329.97</v>
      </c>
      <c r="AI44" s="2">
        <v>1409.43</v>
      </c>
      <c r="AJ44" s="2">
        <v>1240.1600000000001</v>
      </c>
      <c r="AM44" s="1" t="s">
        <v>26</v>
      </c>
      <c r="AN44" s="2">
        <v>4587.84</v>
      </c>
      <c r="AO44" s="2">
        <v>5825.43</v>
      </c>
      <c r="AP44" s="2">
        <v>4586.59</v>
      </c>
      <c r="AQ44" s="2">
        <v>5331.48</v>
      </c>
      <c r="AR44" s="2">
        <v>3305.05</v>
      </c>
      <c r="AS44" s="2">
        <v>3869.68</v>
      </c>
      <c r="AT44" s="2">
        <v>2843.89</v>
      </c>
      <c r="AU44" s="2">
        <v>3700.24</v>
      </c>
      <c r="AV44" s="2">
        <v>4345.78</v>
      </c>
      <c r="AW44" s="2">
        <v>3368.63</v>
      </c>
      <c r="AX44" s="2">
        <v>4345.78</v>
      </c>
      <c r="AY44" s="2">
        <v>3368.63</v>
      </c>
      <c r="AZ44" s="2">
        <v>1120.8699999999999</v>
      </c>
      <c r="BA44" s="2">
        <v>1264.23</v>
      </c>
      <c r="BB44" s="2">
        <v>4802.2</v>
      </c>
      <c r="BC44" s="2">
        <v>3924.09</v>
      </c>
      <c r="BF44" s="1" t="s">
        <v>26</v>
      </c>
      <c r="BG44" s="2">
        <v>5718.5</v>
      </c>
      <c r="BH44" s="2">
        <v>7002.2</v>
      </c>
      <c r="BI44" s="2">
        <v>5779.5</v>
      </c>
      <c r="BJ44" s="2">
        <v>6300</v>
      </c>
      <c r="BK44" s="2">
        <v>4457</v>
      </c>
      <c r="BL44" s="2">
        <v>5115.6000000000004</v>
      </c>
      <c r="BM44" s="2">
        <v>3547.5</v>
      </c>
      <c r="BN44" s="2">
        <v>4529.8</v>
      </c>
      <c r="BO44" s="2">
        <v>5609.2</v>
      </c>
      <c r="BP44" s="2">
        <v>4476.8100000000004</v>
      </c>
      <c r="BQ44" s="2">
        <v>5609.2</v>
      </c>
      <c r="BR44" s="2">
        <v>4476.8100000000004</v>
      </c>
      <c r="BS44" s="2">
        <v>1420.6</v>
      </c>
      <c r="BT44" s="2">
        <v>1594.2</v>
      </c>
      <c r="BU44" s="2">
        <v>6211.63</v>
      </c>
      <c r="BV44" s="2">
        <v>5164.25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2379.96</v>
      </c>
      <c r="D51" s="2">
        <v>2313.4699999999998</v>
      </c>
      <c r="E51" s="2">
        <v>2269.2600000000002</v>
      </c>
      <c r="F51" s="2">
        <v>380.04</v>
      </c>
      <c r="G51" s="2">
        <v>1893.93</v>
      </c>
      <c r="H51" s="2">
        <v>1600.88</v>
      </c>
      <c r="I51" s="2">
        <v>402.38</v>
      </c>
      <c r="J51" s="2">
        <v>293.36</v>
      </c>
      <c r="K51" s="2">
        <v>263.32</v>
      </c>
      <c r="L51" s="2">
        <v>836.34</v>
      </c>
      <c r="M51" s="2">
        <v>664.84</v>
      </c>
      <c r="N51" s="2">
        <v>1901.75</v>
      </c>
      <c r="O51" s="2">
        <v>102.1</v>
      </c>
      <c r="P51" s="2">
        <v>91.41</v>
      </c>
      <c r="Q51" s="2">
        <v>1494.21</v>
      </c>
      <c r="R51" s="2">
        <v>970.42</v>
      </c>
      <c r="T51" s="1" t="s">
        <v>19</v>
      </c>
      <c r="U51" s="2">
        <v>0.27</v>
      </c>
      <c r="V51" s="2">
        <v>0.27</v>
      </c>
      <c r="W51" s="2">
        <v>0.27</v>
      </c>
      <c r="X51" s="2">
        <v>7.0000000000000007E-2</v>
      </c>
      <c r="Y51" s="2">
        <v>0.17</v>
      </c>
      <c r="Z51" s="2">
        <v>0.15</v>
      </c>
      <c r="AA51" s="2">
        <v>0.04</v>
      </c>
      <c r="AB51" s="2">
        <v>0.03</v>
      </c>
      <c r="AC51" s="2">
        <v>0.04</v>
      </c>
      <c r="AD51" s="2">
        <v>0.1</v>
      </c>
      <c r="AE51" s="2">
        <v>0.1</v>
      </c>
      <c r="AF51" s="2">
        <v>0.24</v>
      </c>
      <c r="AG51" s="2">
        <v>0.02</v>
      </c>
      <c r="AH51" s="2">
        <v>0.02</v>
      </c>
      <c r="AI51" s="2">
        <v>0.54</v>
      </c>
      <c r="AJ51" s="2">
        <v>0.42</v>
      </c>
      <c r="AM51" s="1" t="s">
        <v>19</v>
      </c>
      <c r="AN51" s="2">
        <v>0.33</v>
      </c>
      <c r="AO51" s="2">
        <v>0.33</v>
      </c>
      <c r="AP51" s="2">
        <v>0.33</v>
      </c>
      <c r="AQ51" s="2">
        <v>0.3</v>
      </c>
      <c r="AR51" s="2">
        <v>0.21</v>
      </c>
      <c r="AS51" s="2">
        <v>0.19</v>
      </c>
      <c r="AT51" s="2">
        <v>0.23</v>
      </c>
      <c r="AU51" s="2">
        <v>0.19</v>
      </c>
      <c r="AV51" s="2">
        <v>0.26</v>
      </c>
      <c r="AW51" s="2">
        <v>0.3</v>
      </c>
      <c r="AX51" s="2">
        <v>0.3</v>
      </c>
      <c r="AY51" s="2">
        <v>0.3</v>
      </c>
      <c r="AZ51" s="2">
        <v>0.18</v>
      </c>
      <c r="BA51" s="2">
        <v>0.16</v>
      </c>
      <c r="BB51" s="2">
        <v>0.59</v>
      </c>
      <c r="BC51" s="2">
        <v>0.49</v>
      </c>
      <c r="BF51" s="1" t="s">
        <v>19</v>
      </c>
      <c r="BG51" s="2">
        <v>0.45</v>
      </c>
      <c r="BH51" s="2">
        <v>0.45</v>
      </c>
      <c r="BI51" s="2">
        <v>0.42</v>
      </c>
      <c r="BJ51" s="2">
        <v>0.33</v>
      </c>
      <c r="BK51" s="2">
        <v>0.27</v>
      </c>
      <c r="BL51" s="2">
        <v>0.24</v>
      </c>
      <c r="BM51" s="2">
        <v>0.24</v>
      </c>
      <c r="BN51" s="2">
        <v>0.2</v>
      </c>
      <c r="BO51" s="2">
        <v>0.27</v>
      </c>
      <c r="BP51" s="2">
        <v>0.34</v>
      </c>
      <c r="BQ51" s="2">
        <v>0.34</v>
      </c>
      <c r="BR51" s="2">
        <v>0.41</v>
      </c>
      <c r="BS51" s="2">
        <v>0.19</v>
      </c>
      <c r="BT51" s="2">
        <v>0.17</v>
      </c>
      <c r="BU51" s="2">
        <v>0.91</v>
      </c>
      <c r="BV51" s="2">
        <v>0.74</v>
      </c>
    </row>
    <row r="52" spans="2:74" x14ac:dyDescent="0.3">
      <c r="B52" s="1" t="s">
        <v>20</v>
      </c>
      <c r="C52" s="2">
        <v>8405.5300000000007</v>
      </c>
      <c r="D52" s="2">
        <v>5454.25</v>
      </c>
      <c r="E52" s="2">
        <v>13331.99</v>
      </c>
      <c r="F52" s="2">
        <v>4607.57</v>
      </c>
      <c r="G52" s="2">
        <v>13945.17</v>
      </c>
      <c r="H52" s="2">
        <v>9080.94</v>
      </c>
      <c r="I52" s="2">
        <v>14019.58</v>
      </c>
      <c r="J52" s="2">
        <v>8530.68</v>
      </c>
      <c r="K52" s="2">
        <v>7479.57</v>
      </c>
      <c r="L52" s="2">
        <v>10311.56</v>
      </c>
      <c r="M52" s="2">
        <v>7479.57</v>
      </c>
      <c r="N52" s="2">
        <v>10237.950000000001</v>
      </c>
      <c r="O52" s="2">
        <v>5091.18</v>
      </c>
      <c r="P52" s="2">
        <v>4132.42</v>
      </c>
      <c r="Q52" s="2">
        <v>2953.83</v>
      </c>
      <c r="R52" s="2">
        <v>2434.7600000000002</v>
      </c>
      <c r="T52" s="1" t="s">
        <v>20</v>
      </c>
      <c r="U52" s="2">
        <v>0.47</v>
      </c>
      <c r="V52" s="2">
        <v>0.31</v>
      </c>
      <c r="W52" s="2">
        <v>0.43</v>
      </c>
      <c r="X52" s="2">
        <v>0.32</v>
      </c>
      <c r="Y52" s="2">
        <v>0.62</v>
      </c>
      <c r="Z52" s="2">
        <v>0.43</v>
      </c>
      <c r="AA52" s="2">
        <v>0.52</v>
      </c>
      <c r="AB52" s="2">
        <v>0.35</v>
      </c>
      <c r="AC52" s="2">
        <v>0.39</v>
      </c>
      <c r="AD52" s="2">
        <v>0.39</v>
      </c>
      <c r="AE52" s="2">
        <v>0.39</v>
      </c>
      <c r="AF52" s="2">
        <v>0.38</v>
      </c>
      <c r="AG52" s="2">
        <v>0.33</v>
      </c>
      <c r="AH52" s="2">
        <v>0.27</v>
      </c>
      <c r="AI52" s="2">
        <v>0.5</v>
      </c>
      <c r="AJ52" s="2">
        <v>0.49</v>
      </c>
      <c r="AM52" s="1" t="s">
        <v>20</v>
      </c>
      <c r="AN52" s="2">
        <v>0.86</v>
      </c>
      <c r="AO52" s="2">
        <v>0.76</v>
      </c>
      <c r="AP52" s="2">
        <v>0.88</v>
      </c>
      <c r="AQ52" s="2">
        <v>0.84</v>
      </c>
      <c r="AR52" s="2">
        <v>0.87</v>
      </c>
      <c r="AS52" s="2">
        <v>0.82</v>
      </c>
      <c r="AT52" s="2">
        <v>0.87</v>
      </c>
      <c r="AU52" s="2">
        <v>0.8</v>
      </c>
      <c r="AV52" s="2">
        <v>0.82</v>
      </c>
      <c r="AW52" s="2">
        <v>0.84</v>
      </c>
      <c r="AX52" s="2">
        <v>0.82</v>
      </c>
      <c r="AY52" s="2">
        <v>0.84</v>
      </c>
      <c r="AZ52" s="2">
        <v>0.8</v>
      </c>
      <c r="BA52" s="2">
        <v>0.78</v>
      </c>
      <c r="BB52" s="2">
        <v>0.86</v>
      </c>
      <c r="BC52" s="2">
        <v>0.86</v>
      </c>
      <c r="BF52" s="1" t="s">
        <v>20</v>
      </c>
      <c r="BG52" s="2">
        <v>1.0900000000000001</v>
      </c>
      <c r="BH52" s="2">
        <v>0.91</v>
      </c>
      <c r="BI52" s="2">
        <v>1.01</v>
      </c>
      <c r="BJ52" s="2">
        <v>1.0900000000000001</v>
      </c>
      <c r="BK52" s="2">
        <v>1.0900000000000001</v>
      </c>
      <c r="BL52" s="2">
        <v>1.0900000000000001</v>
      </c>
      <c r="BM52" s="2">
        <v>1.0900000000000001</v>
      </c>
      <c r="BN52" s="2">
        <v>1.01</v>
      </c>
      <c r="BO52" s="2">
        <v>1.01</v>
      </c>
      <c r="BP52" s="2">
        <v>0.98</v>
      </c>
      <c r="BQ52" s="2">
        <v>1.01</v>
      </c>
      <c r="BR52" s="2">
        <v>0.98</v>
      </c>
      <c r="BS52" s="2">
        <v>1.01</v>
      </c>
      <c r="BT52" s="2">
        <v>0.98</v>
      </c>
      <c r="BU52" s="2">
        <v>1.0900000000000001</v>
      </c>
      <c r="BV52" s="2">
        <v>1.0900000000000001</v>
      </c>
    </row>
    <row r="53" spans="2:74" x14ac:dyDescent="0.3">
      <c r="B53" s="1" t="s">
        <v>21</v>
      </c>
      <c r="C53" s="2">
        <v>135514.21</v>
      </c>
      <c r="D53" s="2">
        <v>25179.74</v>
      </c>
      <c r="E53" s="2">
        <v>104221.44</v>
      </c>
      <c r="F53" s="2">
        <v>82981.919999999998</v>
      </c>
      <c r="G53" s="2">
        <v>219664.49</v>
      </c>
      <c r="H53" s="2">
        <v>81263.38</v>
      </c>
      <c r="I53" s="2">
        <v>227885.16</v>
      </c>
      <c r="J53" s="2">
        <v>62359.5</v>
      </c>
      <c r="K53" s="2">
        <v>15511.74</v>
      </c>
      <c r="L53" s="2">
        <v>20467.53</v>
      </c>
      <c r="M53" s="2">
        <v>14052.5</v>
      </c>
      <c r="N53" s="2">
        <v>18151.46</v>
      </c>
      <c r="O53" s="2">
        <v>11799.21</v>
      </c>
      <c r="P53" s="2">
        <v>3047.95</v>
      </c>
      <c r="Q53" s="2">
        <v>30059.22</v>
      </c>
      <c r="R53" s="2">
        <v>34010.129999999997</v>
      </c>
      <c r="T53" s="1" t="s">
        <v>21</v>
      </c>
      <c r="U53" s="2">
        <v>0.73</v>
      </c>
      <c r="V53" s="2">
        <v>0.49</v>
      </c>
      <c r="W53" s="2">
        <v>0.62</v>
      </c>
      <c r="X53" s="2">
        <v>0.56000000000000005</v>
      </c>
      <c r="Y53" s="2">
        <v>0.83</v>
      </c>
      <c r="Z53" s="2">
        <v>0.49</v>
      </c>
      <c r="AA53" s="2">
        <v>0.76</v>
      </c>
      <c r="AB53" s="2">
        <v>0.44</v>
      </c>
      <c r="AC53" s="2">
        <v>0.28000000000000003</v>
      </c>
      <c r="AD53" s="2">
        <v>0.36</v>
      </c>
      <c r="AE53" s="2">
        <v>0.25</v>
      </c>
      <c r="AF53" s="2">
        <v>0.33</v>
      </c>
      <c r="AG53" s="2">
        <v>0.28000000000000003</v>
      </c>
      <c r="AH53" s="2">
        <v>0.21</v>
      </c>
      <c r="AI53" s="2">
        <v>0.56000000000000005</v>
      </c>
      <c r="AJ53" s="2">
        <v>0.61</v>
      </c>
      <c r="AM53" s="1" t="s">
        <v>21</v>
      </c>
      <c r="AN53" s="2">
        <v>1.1200000000000001</v>
      </c>
      <c r="AO53" s="2">
        <v>0.81</v>
      </c>
      <c r="AP53" s="2">
        <v>1.03</v>
      </c>
      <c r="AQ53" s="2">
        <v>1.0900000000000001</v>
      </c>
      <c r="AR53" s="2">
        <v>1.1499999999999999</v>
      </c>
      <c r="AS53" s="2">
        <v>0.96</v>
      </c>
      <c r="AT53" s="2">
        <v>1.1399999999999999</v>
      </c>
      <c r="AU53" s="2">
        <v>0.89</v>
      </c>
      <c r="AV53" s="2">
        <v>0.63</v>
      </c>
      <c r="AW53" s="2">
        <v>0.7</v>
      </c>
      <c r="AX53" s="2">
        <v>0.62</v>
      </c>
      <c r="AY53" s="2">
        <v>0.69</v>
      </c>
      <c r="AZ53" s="2">
        <v>0.68</v>
      </c>
      <c r="BA53" s="2">
        <v>0.37</v>
      </c>
      <c r="BB53" s="2">
        <v>1.06</v>
      </c>
      <c r="BC53" s="2">
        <v>1.1100000000000001</v>
      </c>
      <c r="BF53" s="1" t="s">
        <v>21</v>
      </c>
      <c r="BG53" s="2">
        <v>1.45</v>
      </c>
      <c r="BH53" s="2">
        <v>1.1100000000000001</v>
      </c>
      <c r="BI53" s="2">
        <v>1.21</v>
      </c>
      <c r="BJ53" s="2">
        <v>1.45</v>
      </c>
      <c r="BK53" s="2">
        <v>1.45</v>
      </c>
      <c r="BL53" s="2">
        <v>1.1299999999999999</v>
      </c>
      <c r="BM53" s="2">
        <v>1.41</v>
      </c>
      <c r="BN53" s="2">
        <v>1.05</v>
      </c>
      <c r="BO53" s="2">
        <v>0.73</v>
      </c>
      <c r="BP53" s="2">
        <v>0.83</v>
      </c>
      <c r="BQ53" s="2">
        <v>0.73</v>
      </c>
      <c r="BR53" s="2">
        <v>0.83</v>
      </c>
      <c r="BS53" s="2">
        <v>0.85</v>
      </c>
      <c r="BT53" s="2">
        <v>0.47</v>
      </c>
      <c r="BU53" s="2">
        <v>1.36</v>
      </c>
      <c r="BV53" s="2">
        <v>1.45</v>
      </c>
    </row>
    <row r="54" spans="2:74" x14ac:dyDescent="0.3">
      <c r="B54" s="1" t="s">
        <v>22</v>
      </c>
      <c r="C54" s="2">
        <v>14781.98</v>
      </c>
      <c r="D54" s="2">
        <v>7714.7</v>
      </c>
      <c r="E54" s="2">
        <v>19710.82</v>
      </c>
      <c r="F54" s="2">
        <v>15579.06</v>
      </c>
      <c r="G54" s="2">
        <v>23008.76</v>
      </c>
      <c r="H54" s="2">
        <v>21531.84</v>
      </c>
      <c r="I54" s="2">
        <v>19180.09</v>
      </c>
      <c r="J54" s="2">
        <v>15205.25</v>
      </c>
      <c r="K54" s="2">
        <v>6968.44</v>
      </c>
      <c r="L54" s="2">
        <v>1289.3499999999999</v>
      </c>
      <c r="M54" s="2">
        <v>6015.57</v>
      </c>
      <c r="N54" s="2">
        <v>1753.99</v>
      </c>
      <c r="O54" s="2">
        <v>1050.6099999999999</v>
      </c>
      <c r="P54" s="2">
        <v>1049.25</v>
      </c>
      <c r="Q54" s="2">
        <v>2378.9499999999998</v>
      </c>
      <c r="R54" s="2">
        <v>2280.0500000000002</v>
      </c>
      <c r="T54" s="1" t="s">
        <v>22</v>
      </c>
      <c r="U54" s="2">
        <v>0.43</v>
      </c>
      <c r="V54" s="2">
        <v>0.46</v>
      </c>
      <c r="W54" s="2">
        <v>0.57999999999999996</v>
      </c>
      <c r="X54" s="2">
        <v>0.47</v>
      </c>
      <c r="Y54" s="2">
        <v>0.54</v>
      </c>
      <c r="Z54" s="2">
        <v>0.54</v>
      </c>
      <c r="AA54" s="2">
        <v>0.41</v>
      </c>
      <c r="AB54" s="2">
        <v>0.37</v>
      </c>
      <c r="AC54" s="2">
        <v>0.37</v>
      </c>
      <c r="AD54" s="2">
        <v>0.16</v>
      </c>
      <c r="AE54" s="2">
        <v>0.32</v>
      </c>
      <c r="AF54" s="2">
        <v>0.23</v>
      </c>
      <c r="AG54" s="2">
        <v>0.14000000000000001</v>
      </c>
      <c r="AH54" s="2">
        <v>0.14000000000000001</v>
      </c>
      <c r="AI54" s="2">
        <v>0.49</v>
      </c>
      <c r="AJ54" s="2">
        <v>0.47</v>
      </c>
      <c r="AM54" s="1" t="s">
        <v>22</v>
      </c>
      <c r="AN54" s="2">
        <v>0.96</v>
      </c>
      <c r="AO54" s="2">
        <v>0.87</v>
      </c>
      <c r="AP54" s="2">
        <v>0.98</v>
      </c>
      <c r="AQ54" s="2">
        <v>0.97</v>
      </c>
      <c r="AR54" s="2">
        <v>0.95</v>
      </c>
      <c r="AS54" s="2">
        <v>0.96</v>
      </c>
      <c r="AT54" s="2">
        <v>0.92</v>
      </c>
      <c r="AU54" s="2">
        <v>0.88</v>
      </c>
      <c r="AV54" s="2">
        <v>0.78</v>
      </c>
      <c r="AW54" s="2">
        <v>0.4</v>
      </c>
      <c r="AX54" s="2">
        <v>0.77</v>
      </c>
      <c r="AY54" s="2">
        <v>0.47</v>
      </c>
      <c r="AZ54" s="2">
        <v>0.48</v>
      </c>
      <c r="BA54" s="2">
        <v>0.48</v>
      </c>
      <c r="BB54" s="2">
        <v>0.87</v>
      </c>
      <c r="BC54" s="2">
        <v>0.87</v>
      </c>
      <c r="BF54" s="1" t="s">
        <v>22</v>
      </c>
      <c r="BG54" s="2">
        <v>1.1499999999999999</v>
      </c>
      <c r="BH54" s="2">
        <v>1.1499999999999999</v>
      </c>
      <c r="BI54" s="2">
        <v>1.1499999999999999</v>
      </c>
      <c r="BJ54" s="2">
        <v>1.1499999999999999</v>
      </c>
      <c r="BK54" s="2">
        <v>1.1499999999999999</v>
      </c>
      <c r="BL54" s="2">
        <v>1.1499999999999999</v>
      </c>
      <c r="BM54" s="2">
        <v>1.05</v>
      </c>
      <c r="BN54" s="2">
        <v>1.02</v>
      </c>
      <c r="BO54" s="2">
        <v>0.92</v>
      </c>
      <c r="BP54" s="2">
        <v>0.44</v>
      </c>
      <c r="BQ54" s="2">
        <v>0.92</v>
      </c>
      <c r="BR54" s="2">
        <v>0.55000000000000004</v>
      </c>
      <c r="BS54" s="2">
        <v>0.56000000000000005</v>
      </c>
      <c r="BT54" s="2">
        <v>0.56000000000000005</v>
      </c>
      <c r="BU54" s="2">
        <v>1.1499999999999999</v>
      </c>
      <c r="BV54" s="2">
        <v>1.1499999999999999</v>
      </c>
    </row>
    <row r="55" spans="2:74" x14ac:dyDescent="0.3">
      <c r="B55" s="1" t="s">
        <v>23</v>
      </c>
      <c r="C55" s="2">
        <v>36175.269999999997</v>
      </c>
      <c r="D55" s="2">
        <v>63561.72</v>
      </c>
      <c r="E55" s="2">
        <v>49334.21</v>
      </c>
      <c r="F55" s="2">
        <v>47239.13</v>
      </c>
      <c r="G55" s="2">
        <v>66259.28</v>
      </c>
      <c r="H55" s="2">
        <v>111937.43</v>
      </c>
      <c r="I55" s="2">
        <v>40826.19</v>
      </c>
      <c r="J55" s="2">
        <v>65506.42</v>
      </c>
      <c r="K55" s="2">
        <v>44664.89</v>
      </c>
      <c r="L55" s="2">
        <v>31350.27</v>
      </c>
      <c r="M55" s="2">
        <v>52226.38</v>
      </c>
      <c r="N55" s="2">
        <v>31086.12</v>
      </c>
      <c r="O55" s="2">
        <v>13139.5</v>
      </c>
      <c r="P55" s="2">
        <v>12113.2</v>
      </c>
      <c r="Q55" s="2">
        <v>14945.22</v>
      </c>
      <c r="R55" s="2">
        <v>14271.66</v>
      </c>
      <c r="T55" s="1" t="s">
        <v>23</v>
      </c>
      <c r="U55" s="2">
        <v>0.44</v>
      </c>
      <c r="V55" s="2">
        <v>0.35</v>
      </c>
      <c r="W55" s="2">
        <v>0.59</v>
      </c>
      <c r="X55" s="2">
        <v>0.56999999999999995</v>
      </c>
      <c r="Y55" s="2">
        <v>0.62</v>
      </c>
      <c r="Z55" s="2">
        <v>0.51</v>
      </c>
      <c r="AA55" s="2">
        <v>0.33</v>
      </c>
      <c r="AB55" s="2">
        <v>0.37</v>
      </c>
      <c r="AC55" s="2">
        <v>0.45</v>
      </c>
      <c r="AD55" s="2">
        <v>0.36</v>
      </c>
      <c r="AE55" s="2">
        <v>0.4</v>
      </c>
      <c r="AF55" s="2">
        <v>0.35</v>
      </c>
      <c r="AG55" s="2">
        <v>0.18</v>
      </c>
      <c r="AH55" s="2">
        <v>0.17</v>
      </c>
      <c r="AI55" s="2">
        <v>0.56999999999999995</v>
      </c>
      <c r="AJ55" s="2">
        <v>0.55000000000000004</v>
      </c>
      <c r="AM55" s="1" t="s">
        <v>23</v>
      </c>
      <c r="AN55" s="2">
        <v>0.87</v>
      </c>
      <c r="AO55" s="2">
        <v>0.95</v>
      </c>
      <c r="AP55" s="2">
        <v>0.9</v>
      </c>
      <c r="AQ55" s="2">
        <v>0.89</v>
      </c>
      <c r="AR55" s="2">
        <v>0.88</v>
      </c>
      <c r="AS55" s="2">
        <v>0.95</v>
      </c>
      <c r="AT55" s="2">
        <v>0.75</v>
      </c>
      <c r="AU55" s="2">
        <v>0.84</v>
      </c>
      <c r="AV55" s="2">
        <v>0.81</v>
      </c>
      <c r="AW55" s="2">
        <v>0.75</v>
      </c>
      <c r="AX55" s="2">
        <v>0.85</v>
      </c>
      <c r="AY55" s="2">
        <v>0.75</v>
      </c>
      <c r="AZ55" s="2">
        <v>0.7</v>
      </c>
      <c r="BA55" s="2">
        <v>0.68</v>
      </c>
      <c r="BB55" s="2">
        <v>0.89</v>
      </c>
      <c r="BC55" s="2">
        <v>0.88</v>
      </c>
      <c r="BF55" s="1" t="s">
        <v>23</v>
      </c>
      <c r="BG55" s="2">
        <v>1.1499999999999999</v>
      </c>
      <c r="BH55" s="2">
        <v>1.1499999999999999</v>
      </c>
      <c r="BI55" s="2">
        <v>1.1499999999999999</v>
      </c>
      <c r="BJ55" s="2">
        <v>1.1499999999999999</v>
      </c>
      <c r="BK55" s="2">
        <v>1.1499999999999999</v>
      </c>
      <c r="BL55" s="2">
        <v>1.1499999999999999</v>
      </c>
      <c r="BM55" s="2">
        <v>0.88</v>
      </c>
      <c r="BN55" s="2">
        <v>0.97</v>
      </c>
      <c r="BO55" s="2">
        <v>0.96</v>
      </c>
      <c r="BP55" s="2">
        <v>0.88</v>
      </c>
      <c r="BQ55" s="2">
        <v>0.99</v>
      </c>
      <c r="BR55" s="2">
        <v>0.88</v>
      </c>
      <c r="BS55" s="2">
        <v>0.82</v>
      </c>
      <c r="BT55" s="2">
        <v>0.8</v>
      </c>
      <c r="BU55" s="2">
        <v>1.1499999999999999</v>
      </c>
      <c r="BV55" s="2">
        <v>1.1499999999999999</v>
      </c>
    </row>
    <row r="56" spans="2:74" x14ac:dyDescent="0.3">
      <c r="B56" s="1" t="s">
        <v>24</v>
      </c>
      <c r="C56" s="2">
        <v>9870.5300000000007</v>
      </c>
      <c r="D56" s="2">
        <v>14836.94</v>
      </c>
      <c r="E56" s="2">
        <v>21870.16</v>
      </c>
      <c r="F56" s="2">
        <v>23703.34</v>
      </c>
      <c r="G56" s="2">
        <v>25716.83</v>
      </c>
      <c r="H56" s="2">
        <v>28256.87</v>
      </c>
      <c r="I56" s="2">
        <v>15641.76</v>
      </c>
      <c r="J56" s="2">
        <v>30449.09</v>
      </c>
      <c r="K56" s="2">
        <v>8301.7800000000007</v>
      </c>
      <c r="L56" s="2">
        <v>4498.58</v>
      </c>
      <c r="M56" s="2">
        <v>7715.45</v>
      </c>
      <c r="N56" s="2">
        <v>4355.6400000000003</v>
      </c>
      <c r="O56" s="2">
        <v>4069.73</v>
      </c>
      <c r="P56" s="2">
        <v>2910.66</v>
      </c>
      <c r="Q56" s="2">
        <v>3472.12</v>
      </c>
      <c r="R56" s="2">
        <v>2577.59</v>
      </c>
      <c r="T56" s="1" t="s">
        <v>24</v>
      </c>
      <c r="U56" s="2">
        <v>0.56000000000000005</v>
      </c>
      <c r="V56" s="2">
        <v>0.38</v>
      </c>
      <c r="W56" s="2">
        <v>0.57999999999999996</v>
      </c>
      <c r="X56" s="2">
        <v>0.59</v>
      </c>
      <c r="Y56" s="2">
        <v>0.56999999999999995</v>
      </c>
      <c r="Z56" s="2">
        <v>0.6</v>
      </c>
      <c r="AA56" s="2">
        <v>0.59</v>
      </c>
      <c r="AB56" s="2">
        <v>0.55000000000000004</v>
      </c>
      <c r="AC56" s="2">
        <v>0.45</v>
      </c>
      <c r="AD56" s="2">
        <v>0.39</v>
      </c>
      <c r="AE56" s="2">
        <v>0.39</v>
      </c>
      <c r="AF56" s="2">
        <v>0.32</v>
      </c>
      <c r="AG56" s="2">
        <v>0.28000000000000003</v>
      </c>
      <c r="AH56" s="2">
        <v>0.25</v>
      </c>
      <c r="AI56" s="2">
        <v>0.57999999999999996</v>
      </c>
      <c r="AJ56" s="2">
        <v>0.44</v>
      </c>
      <c r="AM56" s="1" t="s">
        <v>24</v>
      </c>
      <c r="AN56" s="2">
        <v>0.87</v>
      </c>
      <c r="AO56" s="2">
        <v>0.93</v>
      </c>
      <c r="AP56" s="2">
        <v>0.97</v>
      </c>
      <c r="AQ56" s="2">
        <v>0.96</v>
      </c>
      <c r="AR56" s="2">
        <v>0.94</v>
      </c>
      <c r="AS56" s="2">
        <v>0.95</v>
      </c>
      <c r="AT56" s="2">
        <v>0.85</v>
      </c>
      <c r="AU56" s="2">
        <v>0.95</v>
      </c>
      <c r="AV56" s="2">
        <v>0.77</v>
      </c>
      <c r="AW56" s="2">
        <v>0.65</v>
      </c>
      <c r="AX56" s="2">
        <v>0.77</v>
      </c>
      <c r="AY56" s="2">
        <v>0.65</v>
      </c>
      <c r="AZ56" s="2">
        <v>0.71</v>
      </c>
      <c r="BA56" s="2">
        <v>0.63</v>
      </c>
      <c r="BB56" s="2">
        <v>0.87</v>
      </c>
      <c r="BC56" s="2">
        <v>0.84</v>
      </c>
      <c r="BF56" s="1" t="s">
        <v>24</v>
      </c>
      <c r="BG56" s="2">
        <v>1.1499999999999999</v>
      </c>
      <c r="BH56" s="2">
        <v>1.1499999999999999</v>
      </c>
      <c r="BI56" s="2">
        <v>1.1499999999999999</v>
      </c>
      <c r="BJ56" s="2">
        <v>1.1499999999999999</v>
      </c>
      <c r="BK56" s="2">
        <v>1.1499999999999999</v>
      </c>
      <c r="BL56" s="2">
        <v>1.1499999999999999</v>
      </c>
      <c r="BM56" s="2">
        <v>1.06</v>
      </c>
      <c r="BN56" s="2">
        <v>1.1499999999999999</v>
      </c>
      <c r="BO56" s="2">
        <v>0.94</v>
      </c>
      <c r="BP56" s="2">
        <v>0.79</v>
      </c>
      <c r="BQ56" s="2">
        <v>0.94</v>
      </c>
      <c r="BR56" s="2">
        <v>0.79</v>
      </c>
      <c r="BS56" s="2">
        <v>0.87</v>
      </c>
      <c r="BT56" s="2">
        <v>0.78</v>
      </c>
      <c r="BU56" s="2">
        <v>1.1499999999999999</v>
      </c>
      <c r="BV56" s="2">
        <v>1.1499999999999999</v>
      </c>
    </row>
    <row r="57" spans="2:74" x14ac:dyDescent="0.3">
      <c r="B57" s="1" t="s">
        <v>25</v>
      </c>
      <c r="C57" s="2">
        <v>171050.75</v>
      </c>
      <c r="D57" s="2">
        <v>170695.31</v>
      </c>
      <c r="E57" s="2">
        <v>103850.15</v>
      </c>
      <c r="F57" s="2">
        <v>104005.02</v>
      </c>
      <c r="G57" s="2">
        <v>137186.29</v>
      </c>
      <c r="H57" s="2">
        <v>171713.19</v>
      </c>
      <c r="I57" s="2">
        <v>47634.94</v>
      </c>
      <c r="J57" s="2">
        <v>102237.59</v>
      </c>
      <c r="K57" s="2">
        <v>33615</v>
      </c>
      <c r="L57" s="2">
        <v>28907.35</v>
      </c>
      <c r="M57" s="2">
        <v>29921.21</v>
      </c>
      <c r="N57" s="2">
        <v>25704.22</v>
      </c>
      <c r="O57" s="2">
        <v>3366.4</v>
      </c>
      <c r="P57" s="2">
        <v>13190.96</v>
      </c>
      <c r="Q57" s="2">
        <v>28970.720000000001</v>
      </c>
      <c r="R57" s="2">
        <v>37601.620000000003</v>
      </c>
      <c r="T57" s="1" t="s">
        <v>25</v>
      </c>
      <c r="U57" s="2">
        <v>0.72</v>
      </c>
      <c r="V57" s="2">
        <v>0.73</v>
      </c>
      <c r="W57" s="2">
        <v>0.59</v>
      </c>
      <c r="X57" s="2">
        <v>0.57999999999999996</v>
      </c>
      <c r="Y57" s="2">
        <v>0.65</v>
      </c>
      <c r="Z57" s="2">
        <v>0.77</v>
      </c>
      <c r="AA57" s="2">
        <v>0.59</v>
      </c>
      <c r="AB57" s="2">
        <v>0.56999999999999995</v>
      </c>
      <c r="AC57" s="2">
        <v>0.52</v>
      </c>
      <c r="AD57" s="2">
        <v>0.46</v>
      </c>
      <c r="AE57" s="2">
        <v>0.46</v>
      </c>
      <c r="AF57" s="2">
        <v>0.41</v>
      </c>
      <c r="AG57" s="2">
        <v>0.11</v>
      </c>
      <c r="AH57" s="2">
        <v>0.26</v>
      </c>
      <c r="AI57" s="2">
        <v>0.52</v>
      </c>
      <c r="AJ57" s="2">
        <v>0.6</v>
      </c>
      <c r="AM57" s="1" t="s">
        <v>25</v>
      </c>
      <c r="AN57" s="2">
        <v>1.1200000000000001</v>
      </c>
      <c r="AO57" s="2">
        <v>1.1200000000000001</v>
      </c>
      <c r="AP57" s="2">
        <v>1.04</v>
      </c>
      <c r="AQ57" s="2">
        <v>1.02</v>
      </c>
      <c r="AR57" s="2">
        <v>1.02</v>
      </c>
      <c r="AS57" s="2">
        <v>1.06</v>
      </c>
      <c r="AT57" s="2">
        <v>0.82</v>
      </c>
      <c r="AU57" s="2">
        <v>0.94</v>
      </c>
      <c r="AV57" s="2">
        <v>0.78</v>
      </c>
      <c r="AW57" s="2">
        <v>0.75</v>
      </c>
      <c r="AX57" s="2">
        <v>0.76</v>
      </c>
      <c r="AY57" s="2">
        <v>0.73</v>
      </c>
      <c r="AZ57" s="2">
        <v>0.33</v>
      </c>
      <c r="BA57" s="2">
        <v>0.62</v>
      </c>
      <c r="BB57" s="2">
        <v>1.06</v>
      </c>
      <c r="BC57" s="2">
        <v>1.08</v>
      </c>
      <c r="BF57" s="1" t="s">
        <v>25</v>
      </c>
      <c r="BG57" s="2">
        <v>1.45</v>
      </c>
      <c r="BH57" s="2">
        <v>1.45</v>
      </c>
      <c r="BI57" s="2">
        <v>1.3</v>
      </c>
      <c r="BJ57" s="2">
        <v>1.21</v>
      </c>
      <c r="BK57" s="2">
        <v>1.25</v>
      </c>
      <c r="BL57" s="2">
        <v>1.34</v>
      </c>
      <c r="BM57" s="2">
        <v>1.03</v>
      </c>
      <c r="BN57" s="2">
        <v>1.1399999999999999</v>
      </c>
      <c r="BO57" s="2">
        <v>0.97</v>
      </c>
      <c r="BP57" s="2">
        <v>0.92</v>
      </c>
      <c r="BQ57" s="2">
        <v>0.97</v>
      </c>
      <c r="BR57" s="2">
        <v>0.92</v>
      </c>
      <c r="BS57" s="2">
        <v>0.38</v>
      </c>
      <c r="BT57" s="2">
        <v>0.78</v>
      </c>
      <c r="BU57" s="2">
        <v>1.45</v>
      </c>
      <c r="BV57" s="2">
        <v>1.45</v>
      </c>
    </row>
    <row r="58" spans="2:74" x14ac:dyDescent="0.3">
      <c r="B58" s="1" t="s">
        <v>26</v>
      </c>
      <c r="C58" s="2">
        <v>18456.46</v>
      </c>
      <c r="D58" s="2">
        <v>25312.43</v>
      </c>
      <c r="E58" s="2">
        <v>18378</v>
      </c>
      <c r="F58" s="2">
        <v>5056.42</v>
      </c>
      <c r="G58" s="2">
        <v>21893.57</v>
      </c>
      <c r="H58" s="2">
        <v>24357.38</v>
      </c>
      <c r="I58" s="2">
        <v>15978.58</v>
      </c>
      <c r="J58" s="2">
        <v>18705.97</v>
      </c>
      <c r="K58" s="2">
        <v>22454.46</v>
      </c>
      <c r="L58" s="2">
        <v>20161.849999999999</v>
      </c>
      <c r="M58" s="2">
        <v>22454.45</v>
      </c>
      <c r="N58" s="2">
        <v>20161.849999999999</v>
      </c>
      <c r="O58" s="2">
        <v>2692.87</v>
      </c>
      <c r="P58" s="2">
        <v>3470.33</v>
      </c>
      <c r="Q58" s="2">
        <v>6376.73</v>
      </c>
      <c r="R58" s="2">
        <v>5530.78</v>
      </c>
      <c r="T58" s="1" t="s">
        <v>26</v>
      </c>
      <c r="U58" s="2">
        <v>0.31</v>
      </c>
      <c r="V58" s="2">
        <v>0.33</v>
      </c>
      <c r="W58" s="2">
        <v>0.33</v>
      </c>
      <c r="X58" s="2">
        <v>0.27</v>
      </c>
      <c r="Y58" s="2">
        <v>0.32</v>
      </c>
      <c r="Z58" s="2">
        <v>0.35</v>
      </c>
      <c r="AA58" s="2">
        <v>0.2</v>
      </c>
      <c r="AB58" s="2">
        <v>0.23</v>
      </c>
      <c r="AC58" s="2">
        <v>0.35</v>
      </c>
      <c r="AD58" s="2">
        <v>0.31</v>
      </c>
      <c r="AE58" s="2">
        <v>0.35</v>
      </c>
      <c r="AF58" s="2">
        <v>0.31</v>
      </c>
      <c r="AG58" s="2">
        <v>0.08</v>
      </c>
      <c r="AH58" s="2">
        <v>0.09</v>
      </c>
      <c r="AI58" s="2">
        <v>0.39</v>
      </c>
      <c r="AJ58" s="2">
        <v>0.34</v>
      </c>
      <c r="AM58" s="1" t="s">
        <v>26</v>
      </c>
      <c r="AN58" s="2">
        <v>0.77</v>
      </c>
      <c r="AO58" s="2">
        <v>0.81</v>
      </c>
      <c r="AP58" s="2">
        <v>0.79</v>
      </c>
      <c r="AQ58" s="2">
        <v>0.45</v>
      </c>
      <c r="AR58" s="2">
        <v>0.77</v>
      </c>
      <c r="AS58" s="2">
        <v>0.76</v>
      </c>
      <c r="AT58" s="2">
        <v>0.71</v>
      </c>
      <c r="AU58" s="2">
        <v>0.69</v>
      </c>
      <c r="AV58" s="2">
        <v>0.8</v>
      </c>
      <c r="AW58" s="2">
        <v>0.79</v>
      </c>
      <c r="AX58" s="2">
        <v>0.8</v>
      </c>
      <c r="AY58" s="2">
        <v>0.79</v>
      </c>
      <c r="AZ58" s="2">
        <v>0.47</v>
      </c>
      <c r="BA58" s="2">
        <v>0.53</v>
      </c>
      <c r="BB58" s="2">
        <v>0.81</v>
      </c>
      <c r="BC58" s="2">
        <v>0.8</v>
      </c>
      <c r="BF58" s="1" t="s">
        <v>26</v>
      </c>
      <c r="BG58" s="2">
        <v>0.96</v>
      </c>
      <c r="BH58" s="2">
        <v>0.97</v>
      </c>
      <c r="BI58" s="2">
        <v>1</v>
      </c>
      <c r="BJ58" s="2">
        <v>0.53</v>
      </c>
      <c r="BK58" s="2">
        <v>1.04</v>
      </c>
      <c r="BL58" s="2">
        <v>1.01</v>
      </c>
      <c r="BM58" s="2">
        <v>0.89</v>
      </c>
      <c r="BN58" s="2">
        <v>0.84</v>
      </c>
      <c r="BO58" s="2">
        <v>1.03</v>
      </c>
      <c r="BP58" s="2">
        <v>1.05</v>
      </c>
      <c r="BQ58" s="2">
        <v>1.03</v>
      </c>
      <c r="BR58" s="2">
        <v>1.05</v>
      </c>
      <c r="BS58" s="2">
        <v>0.59</v>
      </c>
      <c r="BT58" s="2">
        <v>0.66</v>
      </c>
      <c r="BU58" s="2">
        <v>1.05</v>
      </c>
      <c r="BV58" s="2">
        <v>1.05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189.04</v>
      </c>
      <c r="D65" s="2">
        <v>199.23</v>
      </c>
      <c r="E65" s="2">
        <v>208.1</v>
      </c>
      <c r="F65" s="2">
        <v>63.57</v>
      </c>
      <c r="G65" s="2">
        <v>138.76</v>
      </c>
      <c r="H65" s="2">
        <v>140.59</v>
      </c>
      <c r="I65" s="2">
        <v>27.29</v>
      </c>
      <c r="J65" s="2">
        <v>37.020000000000003</v>
      </c>
      <c r="K65" s="2">
        <v>37.19</v>
      </c>
      <c r="L65" s="2">
        <v>61.1</v>
      </c>
      <c r="M65" s="2">
        <v>81.98</v>
      </c>
      <c r="N65" s="2">
        <v>140.56</v>
      </c>
      <c r="O65" s="2">
        <v>10.95</v>
      </c>
      <c r="P65" s="2">
        <v>10.16</v>
      </c>
      <c r="Q65" s="2">
        <v>137.34</v>
      </c>
      <c r="R65" s="2">
        <v>168.72</v>
      </c>
      <c r="T65" s="1" t="s">
        <v>19</v>
      </c>
      <c r="U65" s="2">
        <v>59.98</v>
      </c>
      <c r="V65" s="2">
        <v>59.98</v>
      </c>
      <c r="W65" s="2">
        <v>59.97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69.989999999999995</v>
      </c>
      <c r="AG65" s="2">
        <v>70</v>
      </c>
      <c r="AH65" s="2">
        <v>70</v>
      </c>
      <c r="AI65" s="2">
        <v>58.13</v>
      </c>
      <c r="AJ65" s="2">
        <v>59.58</v>
      </c>
      <c r="AM65" s="1" t="s">
        <v>19</v>
      </c>
      <c r="AN65" s="2">
        <v>59.93</v>
      </c>
      <c r="AO65" s="2">
        <v>59.93</v>
      </c>
      <c r="AP65" s="2">
        <v>59.93</v>
      </c>
      <c r="AQ65" s="2">
        <v>59.96</v>
      </c>
      <c r="AR65" s="2">
        <v>54.99</v>
      </c>
      <c r="AS65" s="2">
        <v>55</v>
      </c>
      <c r="AT65" s="2">
        <v>59.99</v>
      </c>
      <c r="AU65" s="2">
        <v>60</v>
      </c>
      <c r="AV65" s="2">
        <v>69.98</v>
      </c>
      <c r="AW65" s="2">
        <v>69.95</v>
      </c>
      <c r="AX65" s="2">
        <v>69.95</v>
      </c>
      <c r="AY65" s="2">
        <v>69.95</v>
      </c>
      <c r="AZ65" s="2">
        <v>70</v>
      </c>
      <c r="BA65" s="2">
        <v>70</v>
      </c>
      <c r="BB65" s="2">
        <v>57.68</v>
      </c>
      <c r="BC65" s="2">
        <v>59.23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0</v>
      </c>
    </row>
    <row r="66" spans="2:74" x14ac:dyDescent="0.3">
      <c r="B66" s="1" t="s">
        <v>20</v>
      </c>
      <c r="C66" s="2">
        <v>721.36</v>
      </c>
      <c r="D66" s="2">
        <v>643.44000000000005</v>
      </c>
      <c r="E66" s="2">
        <v>1243.96</v>
      </c>
      <c r="F66" s="2">
        <v>560.79999999999995</v>
      </c>
      <c r="G66" s="2">
        <v>757.45</v>
      </c>
      <c r="H66" s="2">
        <v>981.71</v>
      </c>
      <c r="I66" s="2">
        <v>737.79</v>
      </c>
      <c r="J66" s="2">
        <v>969.01</v>
      </c>
      <c r="K66" s="2">
        <v>798.02</v>
      </c>
      <c r="L66" s="2">
        <v>976.28</v>
      </c>
      <c r="M66" s="2">
        <v>798.02</v>
      </c>
      <c r="N66" s="2">
        <v>966.45</v>
      </c>
      <c r="O66" s="2">
        <v>608.75</v>
      </c>
      <c r="P66" s="2">
        <v>490.5</v>
      </c>
      <c r="Q66" s="2">
        <v>267.74</v>
      </c>
      <c r="R66" s="2">
        <v>295.11</v>
      </c>
      <c r="T66" s="1" t="s">
        <v>20</v>
      </c>
      <c r="U66" s="2">
        <v>59.2</v>
      </c>
      <c r="V66" s="2">
        <v>59.94</v>
      </c>
      <c r="W66" s="2">
        <v>59.53</v>
      </c>
      <c r="X66" s="2">
        <v>59.92</v>
      </c>
      <c r="Y66" s="2">
        <v>55.79</v>
      </c>
      <c r="Z66" s="2">
        <v>59.54</v>
      </c>
      <c r="AA66" s="2">
        <v>58.4</v>
      </c>
      <c r="AB66" s="2">
        <v>59.88</v>
      </c>
      <c r="AC66" s="2">
        <v>69.69</v>
      </c>
      <c r="AD66" s="2">
        <v>69.72</v>
      </c>
      <c r="AE66" s="2">
        <v>69.69</v>
      </c>
      <c r="AF66" s="2">
        <v>69.739999999999995</v>
      </c>
      <c r="AG66" s="2">
        <v>69.89</v>
      </c>
      <c r="AH66" s="2">
        <v>69.97</v>
      </c>
      <c r="AI66" s="2">
        <v>58.77</v>
      </c>
      <c r="AJ66" s="2">
        <v>58.96</v>
      </c>
      <c r="AM66" s="1" t="s">
        <v>20</v>
      </c>
      <c r="AN66" s="2">
        <v>42.57</v>
      </c>
      <c r="AO66" s="2">
        <v>50.33</v>
      </c>
      <c r="AP66" s="2">
        <v>40.97</v>
      </c>
      <c r="AQ66" s="2">
        <v>44.76</v>
      </c>
      <c r="AR66" s="2">
        <v>38.5</v>
      </c>
      <c r="AS66" s="2">
        <v>42.27</v>
      </c>
      <c r="AT66" s="2">
        <v>42.06</v>
      </c>
      <c r="AU66" s="2">
        <v>47.52</v>
      </c>
      <c r="AV66" s="2">
        <v>53.7</v>
      </c>
      <c r="AW66" s="2">
        <v>51.44</v>
      </c>
      <c r="AX66" s="2">
        <v>53.7</v>
      </c>
      <c r="AY66" s="2">
        <v>51.48</v>
      </c>
      <c r="AZ66" s="2">
        <v>55.26</v>
      </c>
      <c r="BA66" s="2">
        <v>57.38</v>
      </c>
      <c r="BB66" s="2">
        <v>42.88</v>
      </c>
      <c r="BC66" s="2">
        <v>43.12</v>
      </c>
      <c r="BF66" s="1" t="s">
        <v>20</v>
      </c>
      <c r="BG66" s="2">
        <v>-0.95</v>
      </c>
      <c r="BH66" s="2">
        <v>-0.46</v>
      </c>
      <c r="BI66" s="2">
        <v>-1.1399999999999999</v>
      </c>
      <c r="BJ66" s="2">
        <v>-0.85</v>
      </c>
      <c r="BK66" s="2">
        <v>-1.35</v>
      </c>
      <c r="BL66" s="2">
        <v>-1.1499999999999999</v>
      </c>
      <c r="BM66" s="2">
        <v>-1.32</v>
      </c>
      <c r="BN66" s="2">
        <v>-0.86</v>
      </c>
      <c r="BO66" s="2">
        <v>-0.67</v>
      </c>
      <c r="BP66" s="2">
        <v>-0.79</v>
      </c>
      <c r="BQ66" s="2">
        <v>-0.67</v>
      </c>
      <c r="BR66" s="2">
        <v>-0.79</v>
      </c>
      <c r="BS66" s="2">
        <v>-0.48</v>
      </c>
      <c r="BT66" s="2">
        <v>-0.39</v>
      </c>
      <c r="BU66" s="2">
        <v>-0.3</v>
      </c>
      <c r="BV66" s="2">
        <v>-0.3</v>
      </c>
    </row>
    <row r="67" spans="2:74" x14ac:dyDescent="0.3">
      <c r="B67" s="1" t="s">
        <v>21</v>
      </c>
      <c r="C67" s="2">
        <v>16152.3</v>
      </c>
      <c r="D67" s="2">
        <v>3434.55</v>
      </c>
      <c r="E67" s="2">
        <v>12482.25</v>
      </c>
      <c r="F67" s="2">
        <v>11713.65</v>
      </c>
      <c r="G67" s="2">
        <v>20380.37</v>
      </c>
      <c r="H67" s="2">
        <v>11613.68</v>
      </c>
      <c r="I67" s="2">
        <v>24304.25</v>
      </c>
      <c r="J67" s="2">
        <v>10533.37</v>
      </c>
      <c r="K67" s="2">
        <v>2464.65</v>
      </c>
      <c r="L67" s="2">
        <v>3204.63</v>
      </c>
      <c r="M67" s="2">
        <v>2228.4899999999998</v>
      </c>
      <c r="N67" s="2">
        <v>2878.43</v>
      </c>
      <c r="O67" s="2">
        <v>2156.31</v>
      </c>
      <c r="P67" s="2">
        <v>568.61</v>
      </c>
      <c r="Q67" s="2">
        <v>3509.82</v>
      </c>
      <c r="R67" s="2">
        <v>4374.04</v>
      </c>
      <c r="T67" s="1" t="s">
        <v>21</v>
      </c>
      <c r="U67" s="2">
        <v>49.12</v>
      </c>
      <c r="V67" s="2">
        <v>58.92</v>
      </c>
      <c r="W67" s="2">
        <v>55.64</v>
      </c>
      <c r="X67" s="2">
        <v>57.65</v>
      </c>
      <c r="Y67" s="2">
        <v>39.76</v>
      </c>
      <c r="Z67" s="2">
        <v>58.96</v>
      </c>
      <c r="AA67" s="2">
        <v>46.93</v>
      </c>
      <c r="AB67" s="2">
        <v>59.47</v>
      </c>
      <c r="AC67" s="2">
        <v>69.959999999999994</v>
      </c>
      <c r="AD67" s="2">
        <v>69.81</v>
      </c>
      <c r="AE67" s="2">
        <v>69.98</v>
      </c>
      <c r="AF67" s="2">
        <v>69.91</v>
      </c>
      <c r="AG67" s="2">
        <v>69.959999999999994</v>
      </c>
      <c r="AH67" s="2">
        <v>69.989999999999995</v>
      </c>
      <c r="AI67" s="2">
        <v>57.55</v>
      </c>
      <c r="AJ67" s="2">
        <v>56.2</v>
      </c>
      <c r="AM67" s="1" t="s">
        <v>21</v>
      </c>
      <c r="AN67" s="2">
        <v>20.09</v>
      </c>
      <c r="AO67" s="2">
        <v>47</v>
      </c>
      <c r="AP67" s="2">
        <v>27.03</v>
      </c>
      <c r="AQ67" s="2">
        <v>22.52</v>
      </c>
      <c r="AR67" s="2">
        <v>16.61</v>
      </c>
      <c r="AS67" s="2">
        <v>31.09</v>
      </c>
      <c r="AT67" s="2">
        <v>18.84</v>
      </c>
      <c r="AU67" s="2">
        <v>39.72</v>
      </c>
      <c r="AV67" s="2">
        <v>65.84</v>
      </c>
      <c r="AW67" s="2">
        <v>62.52</v>
      </c>
      <c r="AX67" s="2">
        <v>66.14</v>
      </c>
      <c r="AY67" s="2">
        <v>63.24</v>
      </c>
      <c r="AZ67" s="2">
        <v>63.83</v>
      </c>
      <c r="BA67" s="2">
        <v>69.81</v>
      </c>
      <c r="BB67" s="2">
        <v>24.84</v>
      </c>
      <c r="BC67" s="2">
        <v>20.96</v>
      </c>
      <c r="BF67" s="1" t="s">
        <v>21</v>
      </c>
      <c r="BG67" s="2">
        <v>-4.24</v>
      </c>
      <c r="BH67" s="2">
        <v>-0.62</v>
      </c>
      <c r="BI67" s="2">
        <v>-2.85</v>
      </c>
      <c r="BJ67" s="2">
        <v>-4.0599999999999996</v>
      </c>
      <c r="BK67" s="2">
        <v>-5.89</v>
      </c>
      <c r="BL67" s="2">
        <v>-2.5499999999999998</v>
      </c>
      <c r="BM67" s="2">
        <v>-6.29</v>
      </c>
      <c r="BN67" s="2">
        <v>-1.65</v>
      </c>
      <c r="BO67" s="2">
        <v>-0.14000000000000001</v>
      </c>
      <c r="BP67" s="2">
        <v>-0.26</v>
      </c>
      <c r="BQ67" s="2">
        <v>-0.13</v>
      </c>
      <c r="BR67" s="2">
        <v>-0.24</v>
      </c>
      <c r="BS67" s="2">
        <v>-0.17</v>
      </c>
      <c r="BT67" s="2">
        <v>0</v>
      </c>
      <c r="BU67" s="2">
        <v>-1.1000000000000001</v>
      </c>
      <c r="BV67" s="2">
        <v>-1.44</v>
      </c>
    </row>
    <row r="68" spans="2:74" x14ac:dyDescent="0.3">
      <c r="B68" s="1" t="s">
        <v>22</v>
      </c>
      <c r="C68" s="2">
        <v>1985.9</v>
      </c>
      <c r="D68" s="2">
        <v>937.12</v>
      </c>
      <c r="E68" s="2">
        <v>3095.62</v>
      </c>
      <c r="F68" s="2">
        <v>2547.1799999999998</v>
      </c>
      <c r="G68" s="2">
        <v>2621.2600000000002</v>
      </c>
      <c r="H68" s="2">
        <v>3172.79</v>
      </c>
      <c r="I68" s="2">
        <v>3241.68</v>
      </c>
      <c r="J68" s="2">
        <v>1923.07</v>
      </c>
      <c r="K68" s="2">
        <v>1026.29</v>
      </c>
      <c r="L68" s="2">
        <v>187.26</v>
      </c>
      <c r="M68" s="2">
        <v>885.37</v>
      </c>
      <c r="N68" s="2">
        <v>255.59</v>
      </c>
      <c r="O68" s="2">
        <v>212.87</v>
      </c>
      <c r="P68" s="2">
        <v>212.97</v>
      </c>
      <c r="Q68" s="2">
        <v>367.05</v>
      </c>
      <c r="R68" s="2">
        <v>369.85</v>
      </c>
      <c r="T68" s="1" t="s">
        <v>22</v>
      </c>
      <c r="U68" s="2">
        <v>59.56</v>
      </c>
      <c r="V68" s="2">
        <v>59.29</v>
      </c>
      <c r="W68" s="2">
        <v>56.95</v>
      </c>
      <c r="X68" s="2">
        <v>59.17</v>
      </c>
      <c r="Y68" s="2">
        <v>58.01</v>
      </c>
      <c r="Z68" s="2">
        <v>58.07</v>
      </c>
      <c r="AA68" s="2">
        <v>59.65</v>
      </c>
      <c r="AB68" s="2">
        <v>59.81</v>
      </c>
      <c r="AC68" s="2">
        <v>69.77</v>
      </c>
      <c r="AD68" s="2">
        <v>70</v>
      </c>
      <c r="AE68" s="2">
        <v>69.91</v>
      </c>
      <c r="AF68" s="2">
        <v>69.989999999999995</v>
      </c>
      <c r="AG68" s="2">
        <v>70</v>
      </c>
      <c r="AH68" s="2">
        <v>70</v>
      </c>
      <c r="AI68" s="2">
        <v>59.01</v>
      </c>
      <c r="AJ68" s="2">
        <v>59.16</v>
      </c>
      <c r="AM68" s="1" t="s">
        <v>22</v>
      </c>
      <c r="AN68" s="2">
        <v>33.630000000000003</v>
      </c>
      <c r="AO68" s="2">
        <v>42.22</v>
      </c>
      <c r="AP68" s="2">
        <v>31.51</v>
      </c>
      <c r="AQ68" s="2">
        <v>33.07</v>
      </c>
      <c r="AR68" s="2">
        <v>31.32</v>
      </c>
      <c r="AS68" s="2">
        <v>31.24</v>
      </c>
      <c r="AT68" s="2">
        <v>37.61</v>
      </c>
      <c r="AU68" s="2">
        <v>40.770000000000003</v>
      </c>
      <c r="AV68" s="2">
        <v>56.74</v>
      </c>
      <c r="AW68" s="2">
        <v>69.73</v>
      </c>
      <c r="AX68" s="2">
        <v>57.63</v>
      </c>
      <c r="AY68" s="2">
        <v>69.239999999999995</v>
      </c>
      <c r="AZ68" s="2">
        <v>69.19</v>
      </c>
      <c r="BA68" s="2">
        <v>69.180000000000007</v>
      </c>
      <c r="BB68" s="2">
        <v>41.88</v>
      </c>
      <c r="BC68" s="2">
        <v>42.15</v>
      </c>
      <c r="BF68" s="1" t="s">
        <v>22</v>
      </c>
      <c r="BG68" s="2">
        <v>-1.86</v>
      </c>
      <c r="BH68" s="2">
        <v>-0.98</v>
      </c>
      <c r="BI68" s="2">
        <v>-2.13</v>
      </c>
      <c r="BJ68" s="2">
        <v>-2</v>
      </c>
      <c r="BK68" s="2">
        <v>-2.4700000000000002</v>
      </c>
      <c r="BL68" s="2">
        <v>-2.48</v>
      </c>
      <c r="BM68" s="2">
        <v>-1.94</v>
      </c>
      <c r="BN68" s="2">
        <v>-1.55</v>
      </c>
      <c r="BO68" s="2">
        <v>-0.51</v>
      </c>
      <c r="BP68" s="2">
        <v>-0.01</v>
      </c>
      <c r="BQ68" s="2">
        <v>-0.48</v>
      </c>
      <c r="BR68" s="2">
        <v>-0.02</v>
      </c>
      <c r="BS68" s="2">
        <v>-0.02</v>
      </c>
      <c r="BT68" s="2">
        <v>-0.02</v>
      </c>
      <c r="BU68" s="2">
        <v>-0.33</v>
      </c>
      <c r="BV68" s="2">
        <v>-0.33</v>
      </c>
    </row>
    <row r="69" spans="2:74" x14ac:dyDescent="0.3">
      <c r="B69" s="1" t="s">
        <v>23</v>
      </c>
      <c r="C69" s="2">
        <v>3837.32</v>
      </c>
      <c r="D69" s="2">
        <v>6381.35</v>
      </c>
      <c r="E69" s="2">
        <v>7076.12</v>
      </c>
      <c r="F69" s="2">
        <v>6267.28</v>
      </c>
      <c r="G69" s="2">
        <v>6656.82</v>
      </c>
      <c r="H69" s="2">
        <v>11097.42</v>
      </c>
      <c r="I69" s="2">
        <v>4650.9399999999996</v>
      </c>
      <c r="J69" s="2">
        <v>7002.19</v>
      </c>
      <c r="K69" s="2">
        <v>4460.34</v>
      </c>
      <c r="L69" s="2">
        <v>4181.3100000000004</v>
      </c>
      <c r="M69" s="2">
        <v>5253.79</v>
      </c>
      <c r="N69" s="2">
        <v>4124.22</v>
      </c>
      <c r="O69" s="2">
        <v>1842.4</v>
      </c>
      <c r="P69" s="2">
        <v>1720.61</v>
      </c>
      <c r="Q69" s="2">
        <v>2127.94</v>
      </c>
      <c r="R69" s="2">
        <v>1891.31</v>
      </c>
      <c r="T69" s="1" t="s">
        <v>23</v>
      </c>
      <c r="U69" s="2">
        <v>59.49</v>
      </c>
      <c r="V69" s="2">
        <v>59.87</v>
      </c>
      <c r="W69" s="2">
        <v>56.71</v>
      </c>
      <c r="X69" s="2">
        <v>57.28</v>
      </c>
      <c r="Y69" s="2">
        <v>55.48</v>
      </c>
      <c r="Z69" s="2">
        <v>58.59</v>
      </c>
      <c r="AA69" s="2">
        <v>59.92</v>
      </c>
      <c r="AB69" s="2">
        <v>59.81</v>
      </c>
      <c r="AC69" s="2">
        <v>69.290000000000006</v>
      </c>
      <c r="AD69" s="2">
        <v>69.83</v>
      </c>
      <c r="AE69" s="2">
        <v>69.66</v>
      </c>
      <c r="AF69" s="2">
        <v>69.849999999999994</v>
      </c>
      <c r="AG69" s="2">
        <v>70</v>
      </c>
      <c r="AH69" s="2">
        <v>70</v>
      </c>
      <c r="AI69" s="2">
        <v>57.29</v>
      </c>
      <c r="AJ69" s="2">
        <v>57.95</v>
      </c>
      <c r="AM69" s="1" t="s">
        <v>23</v>
      </c>
      <c r="AN69" s="2">
        <v>42.15</v>
      </c>
      <c r="AO69" s="2">
        <v>34.72</v>
      </c>
      <c r="AP69" s="2">
        <v>39.58</v>
      </c>
      <c r="AQ69" s="2">
        <v>40.22</v>
      </c>
      <c r="AR69" s="2">
        <v>37.75</v>
      </c>
      <c r="AS69" s="2">
        <v>31.81</v>
      </c>
      <c r="AT69" s="2">
        <v>50.99</v>
      </c>
      <c r="AU69" s="2">
        <v>44.79</v>
      </c>
      <c r="AV69" s="2">
        <v>54.24</v>
      </c>
      <c r="AW69" s="2">
        <v>59.29</v>
      </c>
      <c r="AX69" s="2">
        <v>50.88</v>
      </c>
      <c r="AY69" s="2">
        <v>59.32</v>
      </c>
      <c r="AZ69" s="2">
        <v>62.85</v>
      </c>
      <c r="BA69" s="2">
        <v>63.72</v>
      </c>
      <c r="BB69" s="2">
        <v>40.43</v>
      </c>
      <c r="BC69" s="2">
        <v>40.950000000000003</v>
      </c>
      <c r="BF69" s="1" t="s">
        <v>23</v>
      </c>
      <c r="BG69" s="2">
        <v>-1</v>
      </c>
      <c r="BH69" s="2">
        <v>-1.74</v>
      </c>
      <c r="BI69" s="2">
        <v>-1.1399999999999999</v>
      </c>
      <c r="BJ69" s="2">
        <v>-1.1100000000000001</v>
      </c>
      <c r="BK69" s="2">
        <v>-1.42</v>
      </c>
      <c r="BL69" s="2">
        <v>-2.41</v>
      </c>
      <c r="BM69" s="2">
        <v>-0.57999999999999996</v>
      </c>
      <c r="BN69" s="2">
        <v>-1.1100000000000001</v>
      </c>
      <c r="BO69" s="2">
        <v>-0.62</v>
      </c>
      <c r="BP69" s="2">
        <v>-0.4</v>
      </c>
      <c r="BQ69" s="2">
        <v>-0.83</v>
      </c>
      <c r="BR69" s="2">
        <v>-0.4</v>
      </c>
      <c r="BS69" s="2">
        <v>-0.2</v>
      </c>
      <c r="BT69" s="2">
        <v>-0.18</v>
      </c>
      <c r="BU69" s="2">
        <v>-0.35</v>
      </c>
      <c r="BV69" s="2">
        <v>-0.34</v>
      </c>
    </row>
    <row r="70" spans="2:74" x14ac:dyDescent="0.3">
      <c r="B70" s="1" t="s">
        <v>24</v>
      </c>
      <c r="C70" s="2">
        <v>727.47</v>
      </c>
      <c r="D70" s="2">
        <v>1006.45</v>
      </c>
      <c r="E70" s="2">
        <v>1961.74</v>
      </c>
      <c r="F70" s="2">
        <v>1326.2</v>
      </c>
      <c r="G70" s="2">
        <v>2321.19</v>
      </c>
      <c r="H70" s="2">
        <v>1824.86</v>
      </c>
      <c r="I70" s="2">
        <v>1380.51</v>
      </c>
      <c r="J70" s="2">
        <v>1654.14</v>
      </c>
      <c r="K70" s="2">
        <v>734.85</v>
      </c>
      <c r="L70" s="2">
        <v>418.16</v>
      </c>
      <c r="M70" s="2">
        <v>681.41</v>
      </c>
      <c r="N70" s="2">
        <v>403.63</v>
      </c>
      <c r="O70" s="2">
        <v>407.22</v>
      </c>
      <c r="P70" s="2">
        <v>290.05</v>
      </c>
      <c r="Q70" s="2">
        <v>306.74</v>
      </c>
      <c r="R70" s="2">
        <v>139.77000000000001</v>
      </c>
      <c r="T70" s="1" t="s">
        <v>24</v>
      </c>
      <c r="U70" s="2">
        <v>57.62</v>
      </c>
      <c r="V70" s="2">
        <v>59.79</v>
      </c>
      <c r="W70" s="2">
        <v>57.11</v>
      </c>
      <c r="X70" s="2">
        <v>56.68</v>
      </c>
      <c r="Y70" s="2">
        <v>57.26</v>
      </c>
      <c r="Z70" s="2">
        <v>56.25</v>
      </c>
      <c r="AA70" s="2">
        <v>56.82</v>
      </c>
      <c r="AB70" s="2">
        <v>57.88</v>
      </c>
      <c r="AC70" s="2">
        <v>69.319999999999993</v>
      </c>
      <c r="AD70" s="2">
        <v>69.709999999999994</v>
      </c>
      <c r="AE70" s="2">
        <v>69.69</v>
      </c>
      <c r="AF70" s="2">
        <v>69.91</v>
      </c>
      <c r="AG70" s="2">
        <v>69.97</v>
      </c>
      <c r="AH70" s="2">
        <v>69.98</v>
      </c>
      <c r="AI70" s="2">
        <v>56.97</v>
      </c>
      <c r="AJ70" s="2">
        <v>59.45</v>
      </c>
      <c r="AM70" s="1" t="s">
        <v>24</v>
      </c>
      <c r="AN70" s="2">
        <v>41.92</v>
      </c>
      <c r="AO70" s="2">
        <v>36.090000000000003</v>
      </c>
      <c r="AP70" s="2">
        <v>32.82</v>
      </c>
      <c r="AQ70" s="2">
        <v>33.21</v>
      </c>
      <c r="AR70" s="2">
        <v>32.229999999999997</v>
      </c>
      <c r="AS70" s="2">
        <v>31.96</v>
      </c>
      <c r="AT70" s="2">
        <v>43.48</v>
      </c>
      <c r="AU70" s="2">
        <v>34.36</v>
      </c>
      <c r="AV70" s="2">
        <v>57.56</v>
      </c>
      <c r="AW70" s="2">
        <v>64.930000000000007</v>
      </c>
      <c r="AX70" s="2">
        <v>58.14</v>
      </c>
      <c r="AY70" s="2">
        <v>65.12</v>
      </c>
      <c r="AZ70" s="2">
        <v>62.22</v>
      </c>
      <c r="BA70" s="2">
        <v>65.959999999999994</v>
      </c>
      <c r="BB70" s="2">
        <v>41.68</v>
      </c>
      <c r="BC70" s="2">
        <v>44.5</v>
      </c>
      <c r="BF70" s="1" t="s">
        <v>24</v>
      </c>
      <c r="BG70" s="2">
        <v>-0.94</v>
      </c>
      <c r="BH70" s="2">
        <v>-1.58</v>
      </c>
      <c r="BI70" s="2">
        <v>-1.94</v>
      </c>
      <c r="BJ70" s="2">
        <v>-1.87</v>
      </c>
      <c r="BK70" s="2">
        <v>-2.2799999999999998</v>
      </c>
      <c r="BL70" s="2">
        <v>-2.27</v>
      </c>
      <c r="BM70" s="2">
        <v>-1.07</v>
      </c>
      <c r="BN70" s="2">
        <v>-2.34</v>
      </c>
      <c r="BO70" s="2">
        <v>-0.46</v>
      </c>
      <c r="BP70" s="2">
        <v>-0.16</v>
      </c>
      <c r="BQ70" s="2">
        <v>-0.44</v>
      </c>
      <c r="BR70" s="2">
        <v>-0.16</v>
      </c>
      <c r="BS70" s="2">
        <v>-0.22</v>
      </c>
      <c r="BT70" s="2">
        <v>-0.11</v>
      </c>
      <c r="BU70" s="2">
        <v>-0.31</v>
      </c>
      <c r="BV70" s="2">
        <v>-0.27</v>
      </c>
    </row>
    <row r="71" spans="2:74" x14ac:dyDescent="0.3">
      <c r="B71" s="1" t="s">
        <v>25</v>
      </c>
      <c r="C71" s="2">
        <v>9754.32</v>
      </c>
      <c r="D71" s="2">
        <v>11204.51</v>
      </c>
      <c r="E71" s="2">
        <v>7558.72</v>
      </c>
      <c r="F71" s="2">
        <v>6412.07</v>
      </c>
      <c r="G71" s="2">
        <v>6972.52</v>
      </c>
      <c r="H71" s="2">
        <v>7837.24</v>
      </c>
      <c r="I71" s="2">
        <v>3584.22</v>
      </c>
      <c r="J71" s="2">
        <v>3799.14</v>
      </c>
      <c r="K71" s="2">
        <v>1902.8</v>
      </c>
      <c r="L71" s="2">
        <v>1799.81</v>
      </c>
      <c r="M71" s="2">
        <v>1698.98</v>
      </c>
      <c r="N71" s="2">
        <v>1609.38</v>
      </c>
      <c r="O71" s="2">
        <v>330.4</v>
      </c>
      <c r="P71" s="2">
        <v>1221.95</v>
      </c>
      <c r="Q71" s="2">
        <v>2150.88</v>
      </c>
      <c r="R71" s="2">
        <v>2253.36</v>
      </c>
      <c r="T71" s="1" t="s">
        <v>25</v>
      </c>
      <c r="U71" s="2">
        <v>49.72</v>
      </c>
      <c r="V71" s="2">
        <v>49.24</v>
      </c>
      <c r="W71" s="2">
        <v>56.75</v>
      </c>
      <c r="X71" s="2">
        <v>56.93</v>
      </c>
      <c r="Y71" s="2">
        <v>54.43</v>
      </c>
      <c r="Z71" s="2">
        <v>45.97</v>
      </c>
      <c r="AA71" s="2">
        <v>56.78</v>
      </c>
      <c r="AB71" s="2">
        <v>57.47</v>
      </c>
      <c r="AC71" s="2">
        <v>68.33</v>
      </c>
      <c r="AD71" s="2">
        <v>69.180000000000007</v>
      </c>
      <c r="AE71" s="2">
        <v>69.180000000000007</v>
      </c>
      <c r="AF71" s="2">
        <v>69.599999999999994</v>
      </c>
      <c r="AG71" s="2">
        <v>70</v>
      </c>
      <c r="AH71" s="2">
        <v>69.98</v>
      </c>
      <c r="AI71" s="2">
        <v>58.39</v>
      </c>
      <c r="AJ71" s="2">
        <v>56.42</v>
      </c>
      <c r="AM71" s="1" t="s">
        <v>25</v>
      </c>
      <c r="AN71" s="2">
        <v>19.829999999999998</v>
      </c>
      <c r="AO71" s="2">
        <v>19.88</v>
      </c>
      <c r="AP71" s="2">
        <v>26.22</v>
      </c>
      <c r="AQ71" s="2">
        <v>28.34</v>
      </c>
      <c r="AR71" s="2">
        <v>25.99</v>
      </c>
      <c r="AS71" s="2">
        <v>22.54</v>
      </c>
      <c r="AT71" s="2">
        <v>46.07</v>
      </c>
      <c r="AU71" s="2">
        <v>35.72</v>
      </c>
      <c r="AV71" s="2">
        <v>56.91</v>
      </c>
      <c r="AW71" s="2">
        <v>59.34</v>
      </c>
      <c r="AX71" s="2">
        <v>58.58</v>
      </c>
      <c r="AY71" s="2">
        <v>60.64</v>
      </c>
      <c r="AZ71" s="2">
        <v>69.91</v>
      </c>
      <c r="BA71" s="2">
        <v>66.19</v>
      </c>
      <c r="BB71" s="2">
        <v>25.07</v>
      </c>
      <c r="BC71" s="2">
        <v>22.81</v>
      </c>
      <c r="BF71" s="1" t="s">
        <v>25</v>
      </c>
      <c r="BG71" s="2">
        <v>-4.3600000000000003</v>
      </c>
      <c r="BH71" s="2">
        <v>-4.32</v>
      </c>
      <c r="BI71" s="2">
        <v>-3.08</v>
      </c>
      <c r="BJ71" s="2">
        <v>-2.66</v>
      </c>
      <c r="BK71" s="2">
        <v>-3.38</v>
      </c>
      <c r="BL71" s="2">
        <v>-3.8</v>
      </c>
      <c r="BM71" s="2">
        <v>-0.81</v>
      </c>
      <c r="BN71" s="2">
        <v>-2.1</v>
      </c>
      <c r="BO71" s="2">
        <v>-0.46</v>
      </c>
      <c r="BP71" s="2">
        <v>-0.37</v>
      </c>
      <c r="BQ71" s="2">
        <v>-0.41</v>
      </c>
      <c r="BR71" s="2">
        <v>-0.33</v>
      </c>
      <c r="BS71" s="2">
        <v>0</v>
      </c>
      <c r="BT71" s="2">
        <v>-0.1</v>
      </c>
      <c r="BU71" s="2">
        <v>-1.0900000000000001</v>
      </c>
      <c r="BV71" s="2">
        <v>-1.25</v>
      </c>
    </row>
    <row r="72" spans="2:74" x14ac:dyDescent="0.3">
      <c r="B72" s="1" t="s">
        <v>26</v>
      </c>
      <c r="C72" s="2">
        <v>1038.78</v>
      </c>
      <c r="D72" s="2">
        <v>840.38</v>
      </c>
      <c r="E72" s="2">
        <v>1208.04</v>
      </c>
      <c r="F72" s="2">
        <v>187.04</v>
      </c>
      <c r="G72" s="2">
        <v>1084.75</v>
      </c>
      <c r="H72" s="2">
        <v>928.36</v>
      </c>
      <c r="I72" s="2">
        <v>792.67</v>
      </c>
      <c r="J72" s="2">
        <v>230.13</v>
      </c>
      <c r="K72" s="2">
        <v>942.27</v>
      </c>
      <c r="L72" s="2">
        <v>689.75</v>
      </c>
      <c r="M72" s="2">
        <v>942.27</v>
      </c>
      <c r="N72" s="2">
        <v>689.75</v>
      </c>
      <c r="O72" s="2">
        <v>132.16999999999999</v>
      </c>
      <c r="P72" s="2">
        <v>164.22</v>
      </c>
      <c r="Q72" s="2">
        <v>419.93</v>
      </c>
      <c r="R72" s="2">
        <v>204.55</v>
      </c>
      <c r="T72" s="1" t="s">
        <v>26</v>
      </c>
      <c r="U72" s="2">
        <v>59.93</v>
      </c>
      <c r="V72" s="2">
        <v>59.92</v>
      </c>
      <c r="W72" s="2">
        <v>59.91</v>
      </c>
      <c r="X72" s="2">
        <v>59.98</v>
      </c>
      <c r="Y72" s="2">
        <v>59.93</v>
      </c>
      <c r="Z72" s="2">
        <v>59.88</v>
      </c>
      <c r="AA72" s="2">
        <v>60</v>
      </c>
      <c r="AB72" s="2">
        <v>59.99</v>
      </c>
      <c r="AC72" s="2">
        <v>69.849999999999994</v>
      </c>
      <c r="AD72" s="2">
        <v>69.930000000000007</v>
      </c>
      <c r="AE72" s="2">
        <v>69.849999999999994</v>
      </c>
      <c r="AF72" s="2">
        <v>69.930000000000007</v>
      </c>
      <c r="AG72" s="2">
        <v>70</v>
      </c>
      <c r="AH72" s="2">
        <v>70</v>
      </c>
      <c r="AI72" s="2">
        <v>59.74</v>
      </c>
      <c r="AJ72" s="2">
        <v>59.88</v>
      </c>
      <c r="AM72" s="1" t="s">
        <v>26</v>
      </c>
      <c r="AN72" s="2">
        <v>49.9</v>
      </c>
      <c r="AO72" s="2">
        <v>47.1</v>
      </c>
      <c r="AP72" s="2">
        <v>48.04</v>
      </c>
      <c r="AQ72" s="2">
        <v>59.49</v>
      </c>
      <c r="AR72" s="2">
        <v>45.66</v>
      </c>
      <c r="AS72" s="2">
        <v>45.98</v>
      </c>
      <c r="AT72" s="2">
        <v>53.14</v>
      </c>
      <c r="AU72" s="2">
        <v>54.29</v>
      </c>
      <c r="AV72" s="2">
        <v>55.5</v>
      </c>
      <c r="AW72" s="2">
        <v>56.3</v>
      </c>
      <c r="AX72" s="2">
        <v>55.5</v>
      </c>
      <c r="AY72" s="2">
        <v>56.3</v>
      </c>
      <c r="AZ72" s="2">
        <v>69.28</v>
      </c>
      <c r="BA72" s="2">
        <v>68.540000000000006</v>
      </c>
      <c r="BB72" s="2">
        <v>46.65</v>
      </c>
      <c r="BC72" s="2">
        <v>47.7</v>
      </c>
      <c r="BF72" s="1" t="s">
        <v>26</v>
      </c>
      <c r="BG72" s="2">
        <v>-0.48</v>
      </c>
      <c r="BH72" s="2">
        <v>-0.65</v>
      </c>
      <c r="BI72" s="2">
        <v>-0.62</v>
      </c>
      <c r="BJ72" s="2">
        <v>-0.02</v>
      </c>
      <c r="BK72" s="2">
        <v>-0.88</v>
      </c>
      <c r="BL72" s="2">
        <v>-0.85</v>
      </c>
      <c r="BM72" s="2">
        <v>-0.43</v>
      </c>
      <c r="BN72" s="2">
        <v>-0.35</v>
      </c>
      <c r="BO72" s="2">
        <v>-0.57999999999999996</v>
      </c>
      <c r="BP72" s="2">
        <v>-0.54</v>
      </c>
      <c r="BQ72" s="2">
        <v>-0.57999999999999996</v>
      </c>
      <c r="BR72" s="2">
        <v>-0.54</v>
      </c>
      <c r="BS72" s="2">
        <v>-0.02</v>
      </c>
      <c r="BT72" s="2">
        <v>-0.04</v>
      </c>
      <c r="BU72" s="2">
        <v>-0.23</v>
      </c>
      <c r="BV72" s="2">
        <v>-0.2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50.96</v>
      </c>
      <c r="D79" s="2">
        <v>81.709999999999994</v>
      </c>
      <c r="E79" s="2">
        <v>18.239999999999998</v>
      </c>
      <c r="F79" s="2">
        <v>9.73</v>
      </c>
      <c r="G79" s="2">
        <v>32.229999999999997</v>
      </c>
      <c r="H79" s="2">
        <v>51.4</v>
      </c>
      <c r="I79" s="2">
        <v>5.65</v>
      </c>
      <c r="J79" s="2">
        <v>3.43</v>
      </c>
      <c r="K79" s="2">
        <v>1.84</v>
      </c>
      <c r="L79" s="2">
        <v>5.31</v>
      </c>
      <c r="M79" s="2">
        <v>3.98</v>
      </c>
      <c r="N79" s="2">
        <v>7.54</v>
      </c>
      <c r="O79" s="2">
        <v>3.88</v>
      </c>
      <c r="P79" s="2">
        <v>3.14</v>
      </c>
      <c r="Q79" s="2">
        <v>12.98</v>
      </c>
      <c r="R79" s="2">
        <v>25.9</v>
      </c>
      <c r="T79" s="1" t="s">
        <v>19</v>
      </c>
      <c r="U79" s="2">
        <v>2.4</v>
      </c>
      <c r="V79" s="2">
        <v>2.4</v>
      </c>
      <c r="W79" s="2">
        <v>2.5</v>
      </c>
      <c r="X79" s="2">
        <v>2.5</v>
      </c>
      <c r="Y79" s="2">
        <v>2.8</v>
      </c>
      <c r="Z79" s="2">
        <v>2.8</v>
      </c>
      <c r="AA79" s="2">
        <v>3.3</v>
      </c>
      <c r="AB79" s="2">
        <v>3.3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0.83</v>
      </c>
      <c r="AJ79" s="2">
        <v>0.81</v>
      </c>
      <c r="AM79" s="1" t="s">
        <v>19</v>
      </c>
      <c r="AN79" s="2">
        <v>2.4</v>
      </c>
      <c r="AO79" s="2">
        <v>2.4</v>
      </c>
      <c r="AP79" s="2">
        <v>2.5</v>
      </c>
      <c r="AQ79" s="2">
        <v>2.5</v>
      </c>
      <c r="AR79" s="2">
        <v>3.05</v>
      </c>
      <c r="AS79" s="2">
        <v>3.05</v>
      </c>
      <c r="AT79" s="2">
        <v>3.3</v>
      </c>
      <c r="AU79" s="2">
        <v>3.3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0.83</v>
      </c>
      <c r="BC79" s="2">
        <v>0.81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-0.01</v>
      </c>
    </row>
    <row r="80" spans="2:74" x14ac:dyDescent="0.3">
      <c r="B80" s="1" t="s">
        <v>20</v>
      </c>
      <c r="C80" s="2">
        <v>377.4</v>
      </c>
      <c r="D80" s="2">
        <v>286.45999999999998</v>
      </c>
      <c r="E80" s="2">
        <v>509.34</v>
      </c>
      <c r="F80" s="2">
        <v>528.08000000000004</v>
      </c>
      <c r="G80" s="2">
        <v>584.98</v>
      </c>
      <c r="H80" s="2">
        <v>545.84</v>
      </c>
      <c r="I80" s="2">
        <v>594.46</v>
      </c>
      <c r="J80" s="2">
        <v>527.15</v>
      </c>
      <c r="K80" s="2">
        <v>387.52</v>
      </c>
      <c r="L80" s="2">
        <v>352.29</v>
      </c>
      <c r="M80" s="2">
        <v>387.52</v>
      </c>
      <c r="N80" s="2">
        <v>353.87</v>
      </c>
      <c r="O80" s="2">
        <v>458.4</v>
      </c>
      <c r="P80" s="2">
        <v>372.64</v>
      </c>
      <c r="Q80" s="2">
        <v>109.77</v>
      </c>
      <c r="R80" s="2">
        <v>280.63</v>
      </c>
      <c r="T80" s="1" t="s">
        <v>20</v>
      </c>
      <c r="U80" s="2">
        <v>2.4300000000000002</v>
      </c>
      <c r="V80" s="2">
        <v>2.4</v>
      </c>
      <c r="W80" s="2">
        <v>2.52</v>
      </c>
      <c r="X80" s="2">
        <v>2.5</v>
      </c>
      <c r="Y80" s="2">
        <v>3.01</v>
      </c>
      <c r="Z80" s="2">
        <v>2.82</v>
      </c>
      <c r="AA80" s="2">
        <v>3.39</v>
      </c>
      <c r="AB80" s="2">
        <v>3.31</v>
      </c>
      <c r="AC80" s="2">
        <v>2.2400000000000002</v>
      </c>
      <c r="AD80" s="2">
        <v>2.2400000000000002</v>
      </c>
      <c r="AE80" s="2">
        <v>2.2400000000000002</v>
      </c>
      <c r="AF80" s="2">
        <v>2.2400000000000002</v>
      </c>
      <c r="AG80" s="2">
        <v>1.8</v>
      </c>
      <c r="AH80" s="2">
        <v>1.8</v>
      </c>
      <c r="AI80" s="2">
        <v>0.82</v>
      </c>
      <c r="AJ80" s="2">
        <v>0.81</v>
      </c>
      <c r="AM80" s="1" t="s">
        <v>20</v>
      </c>
      <c r="AN80" s="2">
        <v>3.38</v>
      </c>
      <c r="AO80" s="2">
        <v>2.86</v>
      </c>
      <c r="AP80" s="2">
        <v>3.66</v>
      </c>
      <c r="AQ80" s="2">
        <v>3.35</v>
      </c>
      <c r="AR80" s="2">
        <v>4.3600000000000003</v>
      </c>
      <c r="AS80" s="2">
        <v>3.97</v>
      </c>
      <c r="AT80" s="2">
        <v>4.71</v>
      </c>
      <c r="AU80" s="2">
        <v>4.17</v>
      </c>
      <c r="AV80" s="2">
        <v>2.91</v>
      </c>
      <c r="AW80" s="2">
        <v>3.03</v>
      </c>
      <c r="AX80" s="2">
        <v>2.91</v>
      </c>
      <c r="AY80" s="2">
        <v>3.03</v>
      </c>
      <c r="AZ80" s="2">
        <v>2.2799999999999998</v>
      </c>
      <c r="BA80" s="2">
        <v>2.2000000000000002</v>
      </c>
      <c r="BB80" s="2">
        <v>1.1200000000000001</v>
      </c>
      <c r="BC80" s="2">
        <v>1.1100000000000001</v>
      </c>
      <c r="BF80" s="1" t="s">
        <v>20</v>
      </c>
      <c r="BG80" s="2">
        <v>-0.28000000000000003</v>
      </c>
      <c r="BH80" s="2">
        <v>-0.16</v>
      </c>
      <c r="BI80" s="2">
        <v>-0.31</v>
      </c>
      <c r="BJ80" s="2">
        <v>-0.25</v>
      </c>
      <c r="BK80" s="2">
        <v>-0.31</v>
      </c>
      <c r="BL80" s="2">
        <v>-0.28999999999999998</v>
      </c>
      <c r="BM80" s="2">
        <v>-0.28000000000000003</v>
      </c>
      <c r="BN80" s="2">
        <v>-0.21</v>
      </c>
      <c r="BO80" s="2">
        <v>-0.23</v>
      </c>
      <c r="BP80" s="2">
        <v>-0.26</v>
      </c>
      <c r="BQ80" s="2">
        <v>-0.23</v>
      </c>
      <c r="BR80" s="2">
        <v>-0.26</v>
      </c>
      <c r="BS80" s="2">
        <v>-0.21</v>
      </c>
      <c r="BT80" s="2">
        <v>-0.18</v>
      </c>
      <c r="BU80" s="2">
        <v>-0.27</v>
      </c>
      <c r="BV80" s="2">
        <v>-0.27</v>
      </c>
    </row>
    <row r="81" spans="2:74" x14ac:dyDescent="0.3">
      <c r="B81" s="1" t="s">
        <v>21</v>
      </c>
      <c r="C81" s="2">
        <v>4002.81</v>
      </c>
      <c r="D81" s="2">
        <v>1195.1600000000001</v>
      </c>
      <c r="E81" s="2">
        <v>3841.4</v>
      </c>
      <c r="F81" s="2">
        <v>7034.13</v>
      </c>
      <c r="G81" s="2">
        <v>8925.8700000000008</v>
      </c>
      <c r="H81" s="2">
        <v>4425.13</v>
      </c>
      <c r="I81" s="2">
        <v>8518.07</v>
      </c>
      <c r="J81" s="2">
        <v>3306.56</v>
      </c>
      <c r="K81" s="2">
        <v>681.71</v>
      </c>
      <c r="L81" s="2">
        <v>905.3</v>
      </c>
      <c r="M81" s="2">
        <v>626.99</v>
      </c>
      <c r="N81" s="2">
        <v>823.28</v>
      </c>
      <c r="O81" s="2">
        <v>1326.83</v>
      </c>
      <c r="P81" s="2">
        <v>352.69</v>
      </c>
      <c r="Q81" s="2">
        <v>1075.3599999999999</v>
      </c>
      <c r="R81" s="2">
        <v>2573.42</v>
      </c>
      <c r="T81" s="1" t="s">
        <v>21</v>
      </c>
      <c r="U81" s="2">
        <v>2.93</v>
      </c>
      <c r="V81" s="2">
        <v>2.44</v>
      </c>
      <c r="W81" s="2">
        <v>2.7</v>
      </c>
      <c r="X81" s="2">
        <v>2.6</v>
      </c>
      <c r="Y81" s="2">
        <v>4.2300000000000004</v>
      </c>
      <c r="Z81" s="2">
        <v>2.85</v>
      </c>
      <c r="AA81" s="2">
        <v>4.22</v>
      </c>
      <c r="AB81" s="2">
        <v>3.33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0.83</v>
      </c>
      <c r="AJ81" s="2">
        <v>0.85</v>
      </c>
      <c r="AM81" s="1" t="s">
        <v>21</v>
      </c>
      <c r="AN81" s="2">
        <v>7.17</v>
      </c>
      <c r="AO81" s="2">
        <v>3.06</v>
      </c>
      <c r="AP81" s="2">
        <v>5.55</v>
      </c>
      <c r="AQ81" s="2">
        <v>6.66</v>
      </c>
      <c r="AR81" s="2">
        <v>10.11</v>
      </c>
      <c r="AS81" s="2">
        <v>5.4</v>
      </c>
      <c r="AT81" s="2">
        <v>10.51</v>
      </c>
      <c r="AU81" s="2">
        <v>4.9800000000000004</v>
      </c>
      <c r="AV81" s="2">
        <v>2.37</v>
      </c>
      <c r="AW81" s="2">
        <v>2.5</v>
      </c>
      <c r="AX81" s="2">
        <v>2.36</v>
      </c>
      <c r="AY81" s="2">
        <v>2.4700000000000002</v>
      </c>
      <c r="AZ81" s="2">
        <v>1.97</v>
      </c>
      <c r="BA81" s="2">
        <v>1.8</v>
      </c>
      <c r="BB81" s="2">
        <v>1.93</v>
      </c>
      <c r="BC81" s="2">
        <v>2.29</v>
      </c>
      <c r="BF81" s="1" t="s">
        <v>21</v>
      </c>
      <c r="BG81" s="2">
        <v>-0.59</v>
      </c>
      <c r="BH81" s="2">
        <v>-0.2</v>
      </c>
      <c r="BI81" s="2">
        <v>-0.51</v>
      </c>
      <c r="BJ81" s="2">
        <v>-0.61</v>
      </c>
      <c r="BK81" s="2">
        <v>-0.57999999999999996</v>
      </c>
      <c r="BL81" s="2">
        <v>-0.47</v>
      </c>
      <c r="BM81" s="2">
        <v>-0.6</v>
      </c>
      <c r="BN81" s="2">
        <v>-0.33</v>
      </c>
      <c r="BO81" s="2">
        <v>-0.06</v>
      </c>
      <c r="BP81" s="2">
        <v>-0.1</v>
      </c>
      <c r="BQ81" s="2">
        <v>-0.05</v>
      </c>
      <c r="BR81" s="2">
        <v>-0.1</v>
      </c>
      <c r="BS81" s="2">
        <v>-0.09</v>
      </c>
      <c r="BT81" s="2">
        <v>0</v>
      </c>
      <c r="BU81" s="2">
        <v>-0.56999999999999995</v>
      </c>
      <c r="BV81" s="2">
        <v>-0.63</v>
      </c>
    </row>
    <row r="82" spans="2:74" x14ac:dyDescent="0.3">
      <c r="B82" s="1" t="s">
        <v>22</v>
      </c>
      <c r="C82" s="2">
        <v>551.88</v>
      </c>
      <c r="D82" s="2">
        <v>365.28</v>
      </c>
      <c r="E82" s="2">
        <v>1022.9</v>
      </c>
      <c r="F82" s="2">
        <v>1336.42</v>
      </c>
      <c r="G82" s="2">
        <v>1143.05</v>
      </c>
      <c r="H82" s="2">
        <v>1483.17</v>
      </c>
      <c r="I82" s="2">
        <v>1021.57</v>
      </c>
      <c r="J82" s="2">
        <v>921.09</v>
      </c>
      <c r="K82" s="2">
        <v>288.19</v>
      </c>
      <c r="L82" s="2">
        <v>66.48</v>
      </c>
      <c r="M82" s="2">
        <v>245.6</v>
      </c>
      <c r="N82" s="2">
        <v>90.76</v>
      </c>
      <c r="O82" s="2">
        <v>158.97999999999999</v>
      </c>
      <c r="P82" s="2">
        <v>159.05000000000001</v>
      </c>
      <c r="Q82" s="2">
        <v>120.05</v>
      </c>
      <c r="R82" s="2">
        <v>193.19</v>
      </c>
      <c r="T82" s="1" t="s">
        <v>22</v>
      </c>
      <c r="U82" s="2">
        <v>2.42</v>
      </c>
      <c r="V82" s="2">
        <v>2.4300000000000002</v>
      </c>
      <c r="W82" s="2">
        <v>2.63</v>
      </c>
      <c r="X82" s="2">
        <v>2.54</v>
      </c>
      <c r="Y82" s="2">
        <v>2.9</v>
      </c>
      <c r="Z82" s="2">
        <v>2.89</v>
      </c>
      <c r="AA82" s="2">
        <v>3.32</v>
      </c>
      <c r="AB82" s="2">
        <v>3.31</v>
      </c>
      <c r="AC82" s="2">
        <v>2.2400000000000002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0.81</v>
      </c>
      <c r="AJ82" s="2">
        <v>0.81</v>
      </c>
      <c r="AM82" s="1" t="s">
        <v>22</v>
      </c>
      <c r="AN82" s="2">
        <v>4.28</v>
      </c>
      <c r="AO82" s="2">
        <v>3.41</v>
      </c>
      <c r="AP82" s="2">
        <v>4.76</v>
      </c>
      <c r="AQ82" s="2">
        <v>4.54</v>
      </c>
      <c r="AR82" s="2">
        <v>5.36</v>
      </c>
      <c r="AS82" s="2">
        <v>5.38</v>
      </c>
      <c r="AT82" s="2">
        <v>5.26</v>
      </c>
      <c r="AU82" s="2">
        <v>4.8600000000000003</v>
      </c>
      <c r="AV82" s="2">
        <v>2.75</v>
      </c>
      <c r="AW82" s="2">
        <v>2.2400000000000002</v>
      </c>
      <c r="AX82" s="2">
        <v>2.71</v>
      </c>
      <c r="AY82" s="2">
        <v>2.25</v>
      </c>
      <c r="AZ82" s="2">
        <v>1.82</v>
      </c>
      <c r="BA82" s="2">
        <v>1.82</v>
      </c>
      <c r="BB82" s="2">
        <v>1.1499999999999999</v>
      </c>
      <c r="BC82" s="2">
        <v>1.1399999999999999</v>
      </c>
      <c r="BF82" s="1" t="s">
        <v>22</v>
      </c>
      <c r="BG82" s="2">
        <v>-0.44</v>
      </c>
      <c r="BH82" s="2">
        <v>-0.28999999999999998</v>
      </c>
      <c r="BI82" s="2">
        <v>-0.45</v>
      </c>
      <c r="BJ82" s="2">
        <v>-0.44</v>
      </c>
      <c r="BK82" s="2">
        <v>-0.46</v>
      </c>
      <c r="BL82" s="2">
        <v>-0.46</v>
      </c>
      <c r="BM82" s="2">
        <v>-0.37</v>
      </c>
      <c r="BN82" s="2">
        <v>-0.32</v>
      </c>
      <c r="BO82" s="2">
        <v>-0.19</v>
      </c>
      <c r="BP82" s="2">
        <v>0</v>
      </c>
      <c r="BQ82" s="2">
        <v>-0.18</v>
      </c>
      <c r="BR82" s="2">
        <v>-0.01</v>
      </c>
      <c r="BS82" s="2">
        <v>-0.01</v>
      </c>
      <c r="BT82" s="2">
        <v>-0.01</v>
      </c>
      <c r="BU82" s="2">
        <v>-0.28999999999999998</v>
      </c>
      <c r="BV82" s="2">
        <v>-0.28999999999999998</v>
      </c>
    </row>
    <row r="83" spans="2:74" x14ac:dyDescent="0.3">
      <c r="B83" s="1" t="s">
        <v>23</v>
      </c>
      <c r="C83" s="2">
        <v>1046.19</v>
      </c>
      <c r="D83" s="2">
        <v>1990.01</v>
      </c>
      <c r="E83" s="2">
        <v>2299.5100000000002</v>
      </c>
      <c r="F83" s="2">
        <v>2209.21</v>
      </c>
      <c r="G83" s="2">
        <v>3017.43</v>
      </c>
      <c r="H83" s="2">
        <v>4751.16</v>
      </c>
      <c r="I83" s="2">
        <v>2019.64</v>
      </c>
      <c r="J83" s="2">
        <v>2669.93</v>
      </c>
      <c r="K83" s="2">
        <v>1779.18</v>
      </c>
      <c r="L83" s="2">
        <v>1177.17</v>
      </c>
      <c r="M83" s="2">
        <v>2103.58</v>
      </c>
      <c r="N83" s="2">
        <v>1165.53</v>
      </c>
      <c r="O83" s="2">
        <v>1212.44</v>
      </c>
      <c r="P83" s="2">
        <v>1139.78</v>
      </c>
      <c r="Q83" s="2">
        <v>690.24</v>
      </c>
      <c r="R83" s="2">
        <v>665.96</v>
      </c>
      <c r="T83" s="1" t="s">
        <v>23</v>
      </c>
      <c r="U83" s="2">
        <v>2.42</v>
      </c>
      <c r="V83" s="2">
        <v>2.41</v>
      </c>
      <c r="W83" s="2">
        <v>2.65</v>
      </c>
      <c r="X83" s="2">
        <v>2.62</v>
      </c>
      <c r="Y83" s="2">
        <v>3.03</v>
      </c>
      <c r="Z83" s="2">
        <v>2.87</v>
      </c>
      <c r="AA83" s="2">
        <v>3.3</v>
      </c>
      <c r="AB83" s="2">
        <v>3.31</v>
      </c>
      <c r="AC83" s="2">
        <v>2.25</v>
      </c>
      <c r="AD83" s="2">
        <v>2.23</v>
      </c>
      <c r="AE83" s="2">
        <v>2.2400000000000002</v>
      </c>
      <c r="AF83" s="2">
        <v>2.23</v>
      </c>
      <c r="AG83" s="2">
        <v>1.8</v>
      </c>
      <c r="AH83" s="2">
        <v>1.8</v>
      </c>
      <c r="AI83" s="2">
        <v>0.84</v>
      </c>
      <c r="AJ83" s="2">
        <v>0.83</v>
      </c>
      <c r="AM83" s="1" t="s">
        <v>23</v>
      </c>
      <c r="AN83" s="2">
        <v>3.42</v>
      </c>
      <c r="AO83" s="2">
        <v>4.1500000000000004</v>
      </c>
      <c r="AP83" s="2">
        <v>3.79</v>
      </c>
      <c r="AQ83" s="2">
        <v>3.73</v>
      </c>
      <c r="AR83" s="2">
        <v>4.45</v>
      </c>
      <c r="AS83" s="2">
        <v>5.28</v>
      </c>
      <c r="AT83" s="2">
        <v>3.88</v>
      </c>
      <c r="AU83" s="2">
        <v>4.42</v>
      </c>
      <c r="AV83" s="2">
        <v>2.88</v>
      </c>
      <c r="AW83" s="2">
        <v>2.63</v>
      </c>
      <c r="AX83" s="2">
        <v>3.07</v>
      </c>
      <c r="AY83" s="2">
        <v>2.63</v>
      </c>
      <c r="AZ83" s="2">
        <v>2</v>
      </c>
      <c r="BA83" s="2">
        <v>1.98</v>
      </c>
      <c r="BB83" s="2">
        <v>1.19</v>
      </c>
      <c r="BC83" s="2">
        <v>1.17</v>
      </c>
      <c r="BF83" s="1" t="s">
        <v>23</v>
      </c>
      <c r="BG83" s="2">
        <v>-0.28999999999999998</v>
      </c>
      <c r="BH83" s="2">
        <v>-0.42</v>
      </c>
      <c r="BI83" s="2">
        <v>-0.3</v>
      </c>
      <c r="BJ83" s="2">
        <v>-0.3</v>
      </c>
      <c r="BK83" s="2">
        <v>-0.32</v>
      </c>
      <c r="BL83" s="2">
        <v>-0.46</v>
      </c>
      <c r="BM83" s="2">
        <v>-0.15</v>
      </c>
      <c r="BN83" s="2">
        <v>-0.25</v>
      </c>
      <c r="BO83" s="2">
        <v>-0.22</v>
      </c>
      <c r="BP83" s="2">
        <v>-0.15</v>
      </c>
      <c r="BQ83" s="2">
        <v>-0.27</v>
      </c>
      <c r="BR83" s="2">
        <v>-0.15</v>
      </c>
      <c r="BS83" s="2">
        <v>-0.1</v>
      </c>
      <c r="BT83" s="2">
        <v>-0.09</v>
      </c>
      <c r="BU83" s="2">
        <v>-0.28999999999999998</v>
      </c>
      <c r="BV83" s="2">
        <v>-0.28999999999999998</v>
      </c>
    </row>
    <row r="84" spans="2:74" x14ac:dyDescent="0.3">
      <c r="B84" s="1" t="s">
        <v>24</v>
      </c>
      <c r="C84" s="2">
        <v>244.42</v>
      </c>
      <c r="D84" s="2">
        <v>136</v>
      </c>
      <c r="E84" s="2">
        <v>688.26</v>
      </c>
      <c r="F84" s="2">
        <v>738.08</v>
      </c>
      <c r="G84" s="2">
        <v>704.17</v>
      </c>
      <c r="H84" s="2">
        <v>389.78</v>
      </c>
      <c r="I84" s="2">
        <v>360.76</v>
      </c>
      <c r="J84" s="2">
        <v>747.35</v>
      </c>
      <c r="K84" s="2">
        <v>235.49</v>
      </c>
      <c r="L84" s="2">
        <v>98.92</v>
      </c>
      <c r="M84" s="2">
        <v>220.9</v>
      </c>
      <c r="N84" s="2">
        <v>96.49</v>
      </c>
      <c r="O84" s="2">
        <v>170.16</v>
      </c>
      <c r="P84" s="2">
        <v>124.33</v>
      </c>
      <c r="Q84" s="2">
        <v>105.63</v>
      </c>
      <c r="R84" s="2">
        <v>77.88</v>
      </c>
      <c r="T84" s="1" t="s">
        <v>24</v>
      </c>
      <c r="U84" s="2">
        <v>2.5</v>
      </c>
      <c r="V84" s="2">
        <v>2.41</v>
      </c>
      <c r="W84" s="2">
        <v>2.63</v>
      </c>
      <c r="X84" s="2">
        <v>2.65</v>
      </c>
      <c r="Y84" s="2">
        <v>2.93</v>
      </c>
      <c r="Z84" s="2">
        <v>2.99</v>
      </c>
      <c r="AA84" s="2">
        <v>3.48</v>
      </c>
      <c r="AB84" s="2">
        <v>3.42</v>
      </c>
      <c r="AC84" s="2">
        <v>2.25</v>
      </c>
      <c r="AD84" s="2">
        <v>2.2400000000000002</v>
      </c>
      <c r="AE84" s="2">
        <v>2.2400000000000002</v>
      </c>
      <c r="AF84" s="2">
        <v>2.23</v>
      </c>
      <c r="AG84" s="2">
        <v>1.8</v>
      </c>
      <c r="AH84" s="2">
        <v>1.8</v>
      </c>
      <c r="AI84" s="2">
        <v>0.84</v>
      </c>
      <c r="AJ84" s="2">
        <v>0.81</v>
      </c>
      <c r="AM84" s="1" t="s">
        <v>24</v>
      </c>
      <c r="AN84" s="2">
        <v>3.44</v>
      </c>
      <c r="AO84" s="2">
        <v>3.99</v>
      </c>
      <c r="AP84" s="2">
        <v>4.57</v>
      </c>
      <c r="AQ84" s="2">
        <v>4.5199999999999996</v>
      </c>
      <c r="AR84" s="2">
        <v>5.21</v>
      </c>
      <c r="AS84" s="2">
        <v>5.26</v>
      </c>
      <c r="AT84" s="2">
        <v>4.55</v>
      </c>
      <c r="AU84" s="2">
        <v>5.76</v>
      </c>
      <c r="AV84" s="2">
        <v>2.71</v>
      </c>
      <c r="AW84" s="2">
        <v>2.4</v>
      </c>
      <c r="AX84" s="2">
        <v>2.68</v>
      </c>
      <c r="AY84" s="2">
        <v>2.4</v>
      </c>
      <c r="AZ84" s="2">
        <v>2.0299999999999998</v>
      </c>
      <c r="BA84" s="2">
        <v>1.91</v>
      </c>
      <c r="BB84" s="2">
        <v>1.1499999999999999</v>
      </c>
      <c r="BC84" s="2">
        <v>1.08</v>
      </c>
      <c r="BF84" s="1" t="s">
        <v>24</v>
      </c>
      <c r="BG84" s="2">
        <v>-0.27</v>
      </c>
      <c r="BH84" s="2">
        <v>-0.4</v>
      </c>
      <c r="BI84" s="2">
        <v>-0.43</v>
      </c>
      <c r="BJ84" s="2">
        <v>-0.41</v>
      </c>
      <c r="BK84" s="2">
        <v>-0.44</v>
      </c>
      <c r="BL84" s="2">
        <v>-0.43</v>
      </c>
      <c r="BM84" s="2">
        <v>-0.23</v>
      </c>
      <c r="BN84" s="2">
        <v>-0.41</v>
      </c>
      <c r="BO84" s="2">
        <v>-0.17</v>
      </c>
      <c r="BP84" s="2">
        <v>-7.0000000000000007E-2</v>
      </c>
      <c r="BQ84" s="2">
        <v>-0.17</v>
      </c>
      <c r="BR84" s="2">
        <v>-7.0000000000000007E-2</v>
      </c>
      <c r="BS84" s="2">
        <v>-0.11</v>
      </c>
      <c r="BT84" s="2">
        <v>-0.06</v>
      </c>
      <c r="BU84" s="2">
        <v>-0.27</v>
      </c>
      <c r="BV84" s="2">
        <v>-0.25</v>
      </c>
    </row>
    <row r="85" spans="2:74" x14ac:dyDescent="0.3">
      <c r="B85" s="1" t="s">
        <v>25</v>
      </c>
      <c r="C85" s="2">
        <v>2136.96</v>
      </c>
      <c r="D85" s="2">
        <v>2134.2399999999998</v>
      </c>
      <c r="E85" s="2">
        <v>1145.8499999999999</v>
      </c>
      <c r="F85" s="2">
        <v>1523.55</v>
      </c>
      <c r="G85" s="2">
        <v>1627.55</v>
      </c>
      <c r="H85" s="2">
        <v>1676.68</v>
      </c>
      <c r="I85" s="2">
        <v>705.98</v>
      </c>
      <c r="J85" s="2">
        <v>1268.6400000000001</v>
      </c>
      <c r="K85" s="2">
        <v>415.62</v>
      </c>
      <c r="L85" s="2">
        <v>675.7</v>
      </c>
      <c r="M85" s="2">
        <v>363.46</v>
      </c>
      <c r="N85" s="2">
        <v>594.95000000000005</v>
      </c>
      <c r="O85" s="2">
        <v>40.35</v>
      </c>
      <c r="P85" s="2">
        <v>160.88999999999999</v>
      </c>
      <c r="Q85" s="2">
        <v>293.98</v>
      </c>
      <c r="R85" s="2">
        <v>546.52</v>
      </c>
      <c r="T85" s="1" t="s">
        <v>25</v>
      </c>
      <c r="U85" s="2">
        <v>2.9</v>
      </c>
      <c r="V85" s="2">
        <v>2.92</v>
      </c>
      <c r="W85" s="2">
        <v>2.64</v>
      </c>
      <c r="X85" s="2">
        <v>2.63</v>
      </c>
      <c r="Y85" s="2">
        <v>3.09</v>
      </c>
      <c r="Z85" s="2">
        <v>3.65</v>
      </c>
      <c r="AA85" s="2">
        <v>3.49</v>
      </c>
      <c r="AB85" s="2">
        <v>3.45</v>
      </c>
      <c r="AC85" s="2">
        <v>2.2799999999999998</v>
      </c>
      <c r="AD85" s="2">
        <v>2.2599999999999998</v>
      </c>
      <c r="AE85" s="2">
        <v>2.2599999999999998</v>
      </c>
      <c r="AF85" s="2">
        <v>2.2400000000000002</v>
      </c>
      <c r="AG85" s="2">
        <v>1.8</v>
      </c>
      <c r="AH85" s="2">
        <v>1.8</v>
      </c>
      <c r="AI85" s="2">
        <v>0.82</v>
      </c>
      <c r="AJ85" s="2">
        <v>0.85</v>
      </c>
      <c r="AM85" s="1" t="s">
        <v>25</v>
      </c>
      <c r="AN85" s="2">
        <v>7.26</v>
      </c>
      <c r="AO85" s="2">
        <v>7.24</v>
      </c>
      <c r="AP85" s="2">
        <v>5.72</v>
      </c>
      <c r="AQ85" s="2">
        <v>5.29</v>
      </c>
      <c r="AR85" s="2">
        <v>6.46</v>
      </c>
      <c r="AS85" s="2">
        <v>7.45</v>
      </c>
      <c r="AT85" s="2">
        <v>4.3</v>
      </c>
      <c r="AU85" s="2">
        <v>5.54</v>
      </c>
      <c r="AV85" s="2">
        <v>2.74</v>
      </c>
      <c r="AW85" s="2">
        <v>2.63</v>
      </c>
      <c r="AX85" s="2">
        <v>2.66</v>
      </c>
      <c r="AY85" s="2">
        <v>2.57</v>
      </c>
      <c r="AZ85" s="2">
        <v>1.8</v>
      </c>
      <c r="BA85" s="2">
        <v>1.9</v>
      </c>
      <c r="BB85" s="2">
        <v>1.91</v>
      </c>
      <c r="BC85" s="2">
        <v>2.1</v>
      </c>
      <c r="BF85" s="1" t="s">
        <v>25</v>
      </c>
      <c r="BG85" s="2">
        <v>-0.6</v>
      </c>
      <c r="BH85" s="2">
        <v>-0.6</v>
      </c>
      <c r="BI85" s="2">
        <v>-0.54</v>
      </c>
      <c r="BJ85" s="2">
        <v>-0.5</v>
      </c>
      <c r="BK85" s="2">
        <v>-0.52</v>
      </c>
      <c r="BL85" s="2">
        <v>-0.51</v>
      </c>
      <c r="BM85" s="2">
        <v>-0.19</v>
      </c>
      <c r="BN85" s="2">
        <v>-0.38</v>
      </c>
      <c r="BO85" s="2">
        <v>-0.17</v>
      </c>
      <c r="BP85" s="2">
        <v>-0.14000000000000001</v>
      </c>
      <c r="BQ85" s="2">
        <v>-0.15</v>
      </c>
      <c r="BR85" s="2">
        <v>-0.13</v>
      </c>
      <c r="BS85" s="2">
        <v>0</v>
      </c>
      <c r="BT85" s="2">
        <v>-0.05</v>
      </c>
      <c r="BU85" s="2">
        <v>-0.56999999999999995</v>
      </c>
      <c r="BV85" s="2">
        <v>-0.6</v>
      </c>
    </row>
    <row r="86" spans="2:74" x14ac:dyDescent="0.3">
      <c r="B86" s="1" t="s">
        <v>26</v>
      </c>
      <c r="C86" s="2">
        <v>102.28</v>
      </c>
      <c r="D86" s="2">
        <v>193.77</v>
      </c>
      <c r="E86" s="2">
        <v>126.31</v>
      </c>
      <c r="F86" s="2">
        <v>50.88</v>
      </c>
      <c r="G86" s="2">
        <v>216.17</v>
      </c>
      <c r="H86" s="2">
        <v>337.95</v>
      </c>
      <c r="I86" s="2">
        <v>27.4</v>
      </c>
      <c r="J86" s="2">
        <v>22.27</v>
      </c>
      <c r="K86" s="2">
        <v>28.21</v>
      </c>
      <c r="L86" s="2">
        <v>29.24</v>
      </c>
      <c r="M86" s="2">
        <v>28.21</v>
      </c>
      <c r="N86" s="2">
        <v>29.24</v>
      </c>
      <c r="O86" s="2">
        <v>0</v>
      </c>
      <c r="P86" s="2">
        <v>0</v>
      </c>
      <c r="Q86" s="2">
        <v>43.97</v>
      </c>
      <c r="R86" s="2">
        <v>52.31</v>
      </c>
      <c r="T86" s="1" t="s">
        <v>26</v>
      </c>
      <c r="U86" s="2">
        <v>2.4</v>
      </c>
      <c r="V86" s="2">
        <v>2.4</v>
      </c>
      <c r="W86" s="2">
        <v>2.5</v>
      </c>
      <c r="X86" s="2">
        <v>2.5</v>
      </c>
      <c r="Y86" s="2">
        <v>2.8</v>
      </c>
      <c r="Z86" s="2">
        <v>2.81</v>
      </c>
      <c r="AA86" s="2">
        <v>3.3</v>
      </c>
      <c r="AB86" s="2">
        <v>3.3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0.8</v>
      </c>
      <c r="AJ86" s="2">
        <v>0.8</v>
      </c>
      <c r="AM86" s="1" t="s">
        <v>26</v>
      </c>
      <c r="AN86" s="2">
        <v>2.89</v>
      </c>
      <c r="AO86" s="2">
        <v>3.06</v>
      </c>
      <c r="AP86" s="2">
        <v>3.12</v>
      </c>
      <c r="AQ86" s="2">
        <v>2.52</v>
      </c>
      <c r="AR86" s="2">
        <v>3.68</v>
      </c>
      <c r="AS86" s="2">
        <v>3.65</v>
      </c>
      <c r="AT86" s="2">
        <v>3.73</v>
      </c>
      <c r="AU86" s="2">
        <v>3.65</v>
      </c>
      <c r="AV86" s="2">
        <v>2.81</v>
      </c>
      <c r="AW86" s="2">
        <v>2.77</v>
      </c>
      <c r="AX86" s="2">
        <v>2.81</v>
      </c>
      <c r="AY86" s="2">
        <v>2.77</v>
      </c>
      <c r="AZ86" s="2">
        <v>1.82</v>
      </c>
      <c r="BA86" s="2">
        <v>1.84</v>
      </c>
      <c r="BB86" s="2">
        <v>1.03</v>
      </c>
      <c r="BC86" s="2">
        <v>1.01</v>
      </c>
      <c r="BF86" s="1" t="s">
        <v>26</v>
      </c>
      <c r="BG86" s="2">
        <v>-0.17</v>
      </c>
      <c r="BH86" s="2">
        <v>-0.21</v>
      </c>
      <c r="BI86" s="2">
        <v>-0.2</v>
      </c>
      <c r="BJ86" s="2">
        <v>-0.01</v>
      </c>
      <c r="BK86" s="2">
        <v>-0.24</v>
      </c>
      <c r="BL86" s="2">
        <v>-0.23</v>
      </c>
      <c r="BM86" s="2">
        <v>-0.11</v>
      </c>
      <c r="BN86" s="2">
        <v>-0.1</v>
      </c>
      <c r="BO86" s="2">
        <v>-0.21</v>
      </c>
      <c r="BP86" s="2">
        <v>-0.19</v>
      </c>
      <c r="BQ86" s="2">
        <v>-0.21</v>
      </c>
      <c r="BR86" s="2">
        <v>-0.19</v>
      </c>
      <c r="BS86" s="2">
        <v>-0.01</v>
      </c>
      <c r="BT86" s="2">
        <v>-0.02</v>
      </c>
      <c r="BU86" s="2">
        <v>-0.22</v>
      </c>
      <c r="BV86" s="2">
        <v>-0.2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636.04</v>
      </c>
      <c r="D93" s="2">
        <v>646.85</v>
      </c>
      <c r="E93" s="2">
        <v>934.97</v>
      </c>
      <c r="F93" s="2">
        <v>434.26</v>
      </c>
      <c r="G93" s="2">
        <v>300.24</v>
      </c>
      <c r="H93" s="2">
        <v>297.2</v>
      </c>
      <c r="I93" s="2">
        <v>147.76</v>
      </c>
      <c r="J93" s="2">
        <v>166.53</v>
      </c>
      <c r="K93" s="2">
        <v>203.54</v>
      </c>
      <c r="L93" s="2">
        <v>421.85</v>
      </c>
      <c r="M93" s="2">
        <v>509.01</v>
      </c>
      <c r="N93" s="2">
        <v>1044.51</v>
      </c>
      <c r="O93" s="2">
        <v>57.06</v>
      </c>
      <c r="P93" s="2">
        <v>55.47</v>
      </c>
      <c r="Q93" s="2">
        <v>523.87</v>
      </c>
      <c r="R93" s="2">
        <v>541.66</v>
      </c>
      <c r="T93" s="1" t="s">
        <v>19</v>
      </c>
      <c r="U93" s="2">
        <v>11899.78</v>
      </c>
      <c r="V93" s="2">
        <v>11346.32</v>
      </c>
      <c r="W93" s="2">
        <v>9469.67</v>
      </c>
      <c r="X93" s="2">
        <v>2011.88</v>
      </c>
      <c r="Y93" s="2">
        <v>1316.58</v>
      </c>
      <c r="Z93" s="2">
        <v>3324.21</v>
      </c>
      <c r="AA93" s="2">
        <v>510.51</v>
      </c>
      <c r="AB93" s="2">
        <v>7471.03</v>
      </c>
      <c r="AC93" s="2">
        <v>11567.35</v>
      </c>
      <c r="AD93" s="2">
        <v>1900.19</v>
      </c>
      <c r="AE93" s="2">
        <v>8004.38</v>
      </c>
      <c r="AF93" s="2">
        <v>1466.78</v>
      </c>
      <c r="AG93" s="2">
        <v>4181.68</v>
      </c>
      <c r="AH93" s="2">
        <v>9508.75</v>
      </c>
      <c r="AI93" s="2">
        <v>457.07</v>
      </c>
      <c r="AJ93" s="2">
        <v>4852.12</v>
      </c>
      <c r="AM93" s="1" t="s">
        <v>19</v>
      </c>
      <c r="AN93" s="2">
        <v>23633.9</v>
      </c>
      <c r="AO93" s="2">
        <v>28476.68</v>
      </c>
      <c r="AP93" s="2">
        <v>27848.73</v>
      </c>
      <c r="AQ93" s="2">
        <v>35994.550000000003</v>
      </c>
      <c r="AR93" s="2">
        <v>24507.4</v>
      </c>
      <c r="AS93" s="2">
        <v>22499.77</v>
      </c>
      <c r="AT93" s="2">
        <v>9109.17</v>
      </c>
      <c r="AU93" s="2">
        <v>8696.17</v>
      </c>
      <c r="AV93" s="2">
        <v>22949.93</v>
      </c>
      <c r="AW93" s="2">
        <v>22052.06</v>
      </c>
      <c r="AX93" s="2">
        <v>23120.42</v>
      </c>
      <c r="AY93" s="2">
        <v>25768.12</v>
      </c>
      <c r="AZ93" s="2">
        <v>33066.44</v>
      </c>
      <c r="BA93" s="2">
        <v>26219.67</v>
      </c>
      <c r="BB93" s="2">
        <v>8155.66</v>
      </c>
      <c r="BC93" s="2">
        <v>5660.2</v>
      </c>
      <c r="BF93" s="1" t="s">
        <v>19</v>
      </c>
      <c r="BG93" s="2">
        <v>0.48</v>
      </c>
      <c r="BH93" s="2">
        <v>0.48</v>
      </c>
      <c r="BI93" s="2">
        <v>0.5</v>
      </c>
      <c r="BJ93" s="2">
        <v>0.5</v>
      </c>
      <c r="BK93" s="2">
        <v>0.56000000000000005</v>
      </c>
      <c r="BL93" s="2">
        <v>0.56000000000000005</v>
      </c>
      <c r="BM93" s="2">
        <v>0.66</v>
      </c>
      <c r="BN93" s="2">
        <v>0.66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0.16</v>
      </c>
      <c r="BV93" s="2">
        <v>0.16</v>
      </c>
    </row>
    <row r="94" spans="2:74" x14ac:dyDescent="0.3">
      <c r="B94" s="1" t="s">
        <v>20</v>
      </c>
      <c r="C94" s="2">
        <v>914.86</v>
      </c>
      <c r="D94" s="2">
        <v>431.84</v>
      </c>
      <c r="E94" s="2">
        <v>891.5</v>
      </c>
      <c r="F94" s="2">
        <v>1780.54</v>
      </c>
      <c r="G94" s="2">
        <v>694.68</v>
      </c>
      <c r="H94" s="2">
        <v>507.88</v>
      </c>
      <c r="I94" s="2">
        <v>695.43</v>
      </c>
      <c r="J94" s="2">
        <v>605.55999999999995</v>
      </c>
      <c r="K94" s="2">
        <v>782.71</v>
      </c>
      <c r="L94" s="2">
        <v>656.92</v>
      </c>
      <c r="M94" s="2">
        <v>782.71</v>
      </c>
      <c r="N94" s="2">
        <v>649.49</v>
      </c>
      <c r="O94" s="2">
        <v>341.62</v>
      </c>
      <c r="P94" s="2">
        <v>275.32</v>
      </c>
      <c r="Q94" s="2">
        <v>394.82</v>
      </c>
      <c r="R94" s="2">
        <v>615.61</v>
      </c>
      <c r="T94" s="1" t="s">
        <v>20</v>
      </c>
      <c r="U94" s="2">
        <v>3264.29</v>
      </c>
      <c r="V94" s="2">
        <v>3232.86</v>
      </c>
      <c r="W94" s="2">
        <v>5415.6</v>
      </c>
      <c r="X94" s="2">
        <v>5444.5</v>
      </c>
      <c r="Y94" s="2">
        <v>2904.69</v>
      </c>
      <c r="Z94" s="2">
        <v>2904.69</v>
      </c>
      <c r="AA94" s="2">
        <v>1977.16</v>
      </c>
      <c r="AB94" s="2">
        <v>1147.1199999999999</v>
      </c>
      <c r="AC94" s="2">
        <v>2118.16</v>
      </c>
      <c r="AD94" s="2">
        <v>1789.35</v>
      </c>
      <c r="AE94" s="2">
        <v>3526.58</v>
      </c>
      <c r="AF94" s="2">
        <v>3312.88</v>
      </c>
      <c r="AG94" s="2">
        <v>3035.17</v>
      </c>
      <c r="AH94" s="2">
        <v>3006.77</v>
      </c>
      <c r="AI94" s="2">
        <v>1604.82</v>
      </c>
      <c r="AJ94" s="2">
        <v>945.54</v>
      </c>
      <c r="AM94" s="1" t="s">
        <v>20</v>
      </c>
      <c r="AN94" s="2">
        <v>11790.73</v>
      </c>
      <c r="AO94" s="2">
        <v>19443.89</v>
      </c>
      <c r="AP94" s="2">
        <v>20349.45</v>
      </c>
      <c r="AQ94" s="2">
        <v>20464.37</v>
      </c>
      <c r="AR94" s="2">
        <v>9977.27</v>
      </c>
      <c r="AS94" s="2">
        <v>9977.27</v>
      </c>
      <c r="AT94" s="2">
        <v>6579.92</v>
      </c>
      <c r="AU94" s="2">
        <v>3923.9</v>
      </c>
      <c r="AV94" s="2">
        <v>8928.32</v>
      </c>
      <c r="AW94" s="2">
        <v>5830.63</v>
      </c>
      <c r="AX94" s="2">
        <v>9406.64</v>
      </c>
      <c r="AY94" s="2">
        <v>10664.93</v>
      </c>
      <c r="AZ94" s="2">
        <v>16066.25</v>
      </c>
      <c r="BA94" s="2">
        <v>15864.55</v>
      </c>
      <c r="BB94" s="2">
        <v>5413.38</v>
      </c>
      <c r="BC94" s="2">
        <v>3060.89</v>
      </c>
      <c r="BF94" s="1" t="s">
        <v>20</v>
      </c>
      <c r="BG94" s="2">
        <v>6.18</v>
      </c>
      <c r="BH94" s="2">
        <v>6.18</v>
      </c>
      <c r="BI94" s="2">
        <v>10.31</v>
      </c>
      <c r="BJ94" s="2">
        <v>6.44</v>
      </c>
      <c r="BK94" s="2">
        <v>7.21</v>
      </c>
      <c r="BL94" s="2">
        <v>7.21</v>
      </c>
      <c r="BM94" s="2">
        <v>8.5</v>
      </c>
      <c r="BN94" s="2">
        <v>8.5</v>
      </c>
      <c r="BO94" s="2">
        <v>6.69</v>
      </c>
      <c r="BP94" s="2">
        <v>8.83</v>
      </c>
      <c r="BQ94" s="2">
        <v>6.69</v>
      </c>
      <c r="BR94" s="2">
        <v>8.85</v>
      </c>
      <c r="BS94" s="2">
        <v>5.41</v>
      </c>
      <c r="BT94" s="2">
        <v>5.41</v>
      </c>
      <c r="BU94" s="2">
        <v>2.06</v>
      </c>
      <c r="BV94" s="2">
        <v>2.06</v>
      </c>
    </row>
    <row r="95" spans="2:74" x14ac:dyDescent="0.3">
      <c r="B95" s="1" t="s">
        <v>21</v>
      </c>
      <c r="C95" s="2">
        <v>11203.61</v>
      </c>
      <c r="D95" s="2">
        <v>3020.45</v>
      </c>
      <c r="E95" s="2">
        <v>8655.7099999999991</v>
      </c>
      <c r="F95" s="2">
        <v>14714.37</v>
      </c>
      <c r="G95" s="2">
        <v>10725.9</v>
      </c>
      <c r="H95" s="2">
        <v>4348.58</v>
      </c>
      <c r="I95" s="2">
        <v>10607.99</v>
      </c>
      <c r="J95" s="2">
        <v>4428.2299999999996</v>
      </c>
      <c r="K95" s="2">
        <v>1659.44</v>
      </c>
      <c r="L95" s="2">
        <v>1788.25</v>
      </c>
      <c r="M95" s="2">
        <v>1463.98</v>
      </c>
      <c r="N95" s="2">
        <v>1669.05</v>
      </c>
      <c r="O95" s="2">
        <v>1124.47</v>
      </c>
      <c r="P95" s="2">
        <v>386.13</v>
      </c>
      <c r="Q95" s="2">
        <v>2887.28</v>
      </c>
      <c r="R95" s="2">
        <v>4940.91</v>
      </c>
      <c r="T95" s="1" t="s">
        <v>21</v>
      </c>
      <c r="U95" s="2">
        <v>15377.78</v>
      </c>
      <c r="V95" s="2">
        <v>13491.45</v>
      </c>
      <c r="W95" s="2">
        <v>21326.65</v>
      </c>
      <c r="X95" s="2">
        <v>22680.12</v>
      </c>
      <c r="Y95" s="2">
        <v>6101.23</v>
      </c>
      <c r="Z95" s="2">
        <v>5457.28</v>
      </c>
      <c r="AA95" s="2">
        <v>4582.22</v>
      </c>
      <c r="AB95" s="2">
        <v>3891.16</v>
      </c>
      <c r="AC95" s="2">
        <v>9778.5400000000009</v>
      </c>
      <c r="AD95" s="2">
        <v>10742</v>
      </c>
      <c r="AE95" s="2">
        <v>11823.17</v>
      </c>
      <c r="AF95" s="2">
        <v>12108.64</v>
      </c>
      <c r="AG95" s="2">
        <v>7948.56</v>
      </c>
      <c r="AH95" s="2">
        <v>7049.11</v>
      </c>
      <c r="AI95" s="2">
        <v>3386.61</v>
      </c>
      <c r="AJ95" s="2">
        <v>3874.95</v>
      </c>
      <c r="AM95" s="1" t="s">
        <v>21</v>
      </c>
      <c r="AN95" s="2">
        <v>44784.01</v>
      </c>
      <c r="AO95" s="2">
        <v>67870.05</v>
      </c>
      <c r="AP95" s="2">
        <v>73946.64</v>
      </c>
      <c r="AQ95" s="2">
        <v>86005.440000000002</v>
      </c>
      <c r="AR95" s="2">
        <v>30203.94</v>
      </c>
      <c r="AS95" s="2">
        <v>24477.56</v>
      </c>
      <c r="AT95" s="2">
        <v>15388.23</v>
      </c>
      <c r="AU95" s="2">
        <v>11361.08</v>
      </c>
      <c r="AV95" s="2">
        <v>21198.6</v>
      </c>
      <c r="AW95" s="2">
        <v>24511.23</v>
      </c>
      <c r="AX95" s="2">
        <v>56942.69</v>
      </c>
      <c r="AY95" s="2">
        <v>58418.16</v>
      </c>
      <c r="AZ95" s="2">
        <v>34974.43</v>
      </c>
      <c r="BA95" s="2">
        <v>27599.27</v>
      </c>
      <c r="BB95" s="2">
        <v>11136.78</v>
      </c>
      <c r="BC95" s="2">
        <v>9769.77</v>
      </c>
      <c r="BF95" s="1" t="s">
        <v>21</v>
      </c>
      <c r="BG95" s="2">
        <v>21.15</v>
      </c>
      <c r="BH95" s="2">
        <v>6.18</v>
      </c>
      <c r="BI95" s="2">
        <v>19.309999999999999</v>
      </c>
      <c r="BJ95" s="2">
        <v>19.309999999999999</v>
      </c>
      <c r="BK95" s="2">
        <v>28.84</v>
      </c>
      <c r="BL95" s="2">
        <v>19.25</v>
      </c>
      <c r="BM95" s="2">
        <v>33.159999999999997</v>
      </c>
      <c r="BN95" s="2">
        <v>16.989999999999998</v>
      </c>
      <c r="BO95" s="2">
        <v>6.61</v>
      </c>
      <c r="BP95" s="2">
        <v>6.69</v>
      </c>
      <c r="BQ95" s="2">
        <v>6.69</v>
      </c>
      <c r="BR95" s="2">
        <v>6.69</v>
      </c>
      <c r="BS95" s="2">
        <v>5.41</v>
      </c>
      <c r="BT95" s="2">
        <v>1.89</v>
      </c>
      <c r="BU95" s="2">
        <v>6.18</v>
      </c>
      <c r="BV95" s="2">
        <v>7.02</v>
      </c>
    </row>
    <row r="96" spans="2:74" x14ac:dyDescent="0.3">
      <c r="B96" s="1" t="s">
        <v>22</v>
      </c>
      <c r="C96" s="2">
        <v>1595.8</v>
      </c>
      <c r="D96" s="2">
        <v>1214.27</v>
      </c>
      <c r="E96" s="2">
        <v>3200.84</v>
      </c>
      <c r="F96" s="2">
        <v>2397.04</v>
      </c>
      <c r="G96" s="2">
        <v>1425.22</v>
      </c>
      <c r="H96" s="2">
        <v>1879.74</v>
      </c>
      <c r="I96" s="2">
        <v>1367.13</v>
      </c>
      <c r="J96" s="2">
        <v>1407.29</v>
      </c>
      <c r="K96" s="2">
        <v>725.8</v>
      </c>
      <c r="L96" s="2">
        <v>441.09</v>
      </c>
      <c r="M96" s="2">
        <v>647.17999999999995</v>
      </c>
      <c r="N96" s="2">
        <v>173.71</v>
      </c>
      <c r="O96" s="2">
        <v>108.02</v>
      </c>
      <c r="P96" s="2">
        <v>108.8</v>
      </c>
      <c r="Q96" s="2">
        <v>730.93</v>
      </c>
      <c r="R96" s="2">
        <v>660.39</v>
      </c>
      <c r="T96" s="1" t="s">
        <v>22</v>
      </c>
      <c r="U96" s="2">
        <v>2870.29</v>
      </c>
      <c r="V96" s="2">
        <v>3827.34</v>
      </c>
      <c r="W96" s="2">
        <v>4467.72</v>
      </c>
      <c r="X96" s="2">
        <v>3773.99</v>
      </c>
      <c r="Y96" s="2">
        <v>2706.19</v>
      </c>
      <c r="Z96" s="2">
        <v>2336.15</v>
      </c>
      <c r="AA96" s="2">
        <v>721.22</v>
      </c>
      <c r="AB96" s="2">
        <v>923.86</v>
      </c>
      <c r="AC96" s="2">
        <v>2996</v>
      </c>
      <c r="AD96" s="2">
        <v>3025.06</v>
      </c>
      <c r="AE96" s="2">
        <v>4180.9399999999996</v>
      </c>
      <c r="AF96" s="2">
        <v>3456.53</v>
      </c>
      <c r="AG96" s="2">
        <v>959.19</v>
      </c>
      <c r="AH96" s="2">
        <v>1656.64</v>
      </c>
      <c r="AI96" s="2">
        <v>719.96</v>
      </c>
      <c r="AJ96" s="2">
        <v>885.46</v>
      </c>
      <c r="AM96" s="1" t="s">
        <v>22</v>
      </c>
      <c r="AN96" s="2">
        <v>11668.83</v>
      </c>
      <c r="AO96" s="2">
        <v>16741.28</v>
      </c>
      <c r="AP96" s="2">
        <v>19012.11</v>
      </c>
      <c r="AQ96" s="2">
        <v>23302.18</v>
      </c>
      <c r="AR96" s="2">
        <v>12524.51</v>
      </c>
      <c r="AS96" s="2">
        <v>9846.93</v>
      </c>
      <c r="AT96" s="2">
        <v>3383.98</v>
      </c>
      <c r="AU96" s="2">
        <v>2330.58</v>
      </c>
      <c r="AV96" s="2">
        <v>6979.88</v>
      </c>
      <c r="AW96" s="2">
        <v>12062</v>
      </c>
      <c r="AX96" s="2">
        <v>17108.43</v>
      </c>
      <c r="AY96" s="2">
        <v>19237.900000000001</v>
      </c>
      <c r="AZ96" s="2">
        <v>8632.73</v>
      </c>
      <c r="BA96" s="2">
        <v>7935.28</v>
      </c>
      <c r="BB96" s="2">
        <v>3377.98</v>
      </c>
      <c r="BC96" s="2">
        <v>2247.77</v>
      </c>
      <c r="BF96" s="1" t="s">
        <v>22</v>
      </c>
      <c r="BG96" s="2">
        <v>12.36</v>
      </c>
      <c r="BH96" s="2">
        <v>6.18</v>
      </c>
      <c r="BI96" s="2">
        <v>12.87</v>
      </c>
      <c r="BJ96" s="2">
        <v>12.87</v>
      </c>
      <c r="BK96" s="2">
        <v>14.42</v>
      </c>
      <c r="BL96" s="2">
        <v>14.42</v>
      </c>
      <c r="BM96" s="2">
        <v>16.77</v>
      </c>
      <c r="BN96" s="2">
        <v>14.52</v>
      </c>
      <c r="BO96" s="2">
        <v>6.69</v>
      </c>
      <c r="BP96" s="2">
        <v>3.49</v>
      </c>
      <c r="BQ96" s="2">
        <v>6.69</v>
      </c>
      <c r="BR96" s="2">
        <v>2.75</v>
      </c>
      <c r="BS96" s="2">
        <v>3.06</v>
      </c>
      <c r="BT96" s="2">
        <v>3.06</v>
      </c>
      <c r="BU96" s="2">
        <v>2.06</v>
      </c>
      <c r="BV96" s="2">
        <v>2.06</v>
      </c>
    </row>
    <row r="97" spans="2:74" x14ac:dyDescent="0.3">
      <c r="B97" s="1" t="s">
        <v>23</v>
      </c>
      <c r="C97" s="2">
        <v>7416.9</v>
      </c>
      <c r="D97" s="2">
        <v>5900.49</v>
      </c>
      <c r="E97" s="2">
        <v>9749.02</v>
      </c>
      <c r="F97" s="2">
        <v>10573.68</v>
      </c>
      <c r="G97" s="2">
        <v>4981.09</v>
      </c>
      <c r="H97" s="2">
        <v>5601.22</v>
      </c>
      <c r="I97" s="2">
        <v>2258.13</v>
      </c>
      <c r="J97" s="2">
        <v>3792.78</v>
      </c>
      <c r="K97" s="2">
        <v>3120.91</v>
      </c>
      <c r="L97" s="2">
        <v>2798.25</v>
      </c>
      <c r="M97" s="2">
        <v>4011.35</v>
      </c>
      <c r="N97" s="2">
        <v>2760.36</v>
      </c>
      <c r="O97" s="2">
        <v>988.38</v>
      </c>
      <c r="P97" s="2">
        <v>917.2</v>
      </c>
      <c r="Q97" s="2">
        <v>3436.51</v>
      </c>
      <c r="R97" s="2">
        <v>3417.93</v>
      </c>
      <c r="T97" s="1" t="s">
        <v>23</v>
      </c>
      <c r="U97" s="2">
        <v>14048.65</v>
      </c>
      <c r="V97" s="2">
        <v>19158.919999999998</v>
      </c>
      <c r="W97" s="2">
        <v>25731.759999999998</v>
      </c>
      <c r="X97" s="2">
        <v>15854.83</v>
      </c>
      <c r="Y97" s="2">
        <v>17345.599999999999</v>
      </c>
      <c r="Z97" s="2">
        <v>15342.17</v>
      </c>
      <c r="AA97" s="2">
        <v>5102.72</v>
      </c>
      <c r="AB97" s="2">
        <v>5803.97</v>
      </c>
      <c r="AC97" s="2">
        <v>12342.08</v>
      </c>
      <c r="AD97" s="2">
        <v>18345.3</v>
      </c>
      <c r="AE97" s="2">
        <v>21735.42</v>
      </c>
      <c r="AF97" s="2">
        <v>18375.88</v>
      </c>
      <c r="AG97" s="2">
        <v>13202.05</v>
      </c>
      <c r="AH97" s="2">
        <v>12976.27</v>
      </c>
      <c r="AI97" s="2">
        <v>4861.08</v>
      </c>
      <c r="AJ97" s="2">
        <v>5542.39</v>
      </c>
      <c r="AM97" s="1" t="s">
        <v>23</v>
      </c>
      <c r="AN97" s="2">
        <v>38662.43</v>
      </c>
      <c r="AO97" s="2">
        <v>52000.68</v>
      </c>
      <c r="AP97" s="2">
        <v>70915.649999999994</v>
      </c>
      <c r="AQ97" s="2">
        <v>81590.87</v>
      </c>
      <c r="AR97" s="2">
        <v>80136.2</v>
      </c>
      <c r="AS97" s="2">
        <v>80556.23</v>
      </c>
      <c r="AT97" s="2">
        <v>23467.78</v>
      </c>
      <c r="AU97" s="2">
        <v>15474.41</v>
      </c>
      <c r="AV97" s="2">
        <v>47467.01</v>
      </c>
      <c r="AW97" s="2">
        <v>50878.1</v>
      </c>
      <c r="AX97" s="2">
        <v>91129.39</v>
      </c>
      <c r="AY97" s="2">
        <v>101641.82</v>
      </c>
      <c r="AZ97" s="2">
        <v>65834.05</v>
      </c>
      <c r="BA97" s="2">
        <v>64454.33</v>
      </c>
      <c r="BB97" s="2">
        <v>22588.02</v>
      </c>
      <c r="BC97" s="2">
        <v>14969.16</v>
      </c>
      <c r="BF97" s="1" t="s">
        <v>23</v>
      </c>
      <c r="BG97" s="2">
        <v>6.18</v>
      </c>
      <c r="BH97" s="2">
        <v>12.36</v>
      </c>
      <c r="BI97" s="2">
        <v>6.44</v>
      </c>
      <c r="BJ97" s="2">
        <v>6.44</v>
      </c>
      <c r="BK97" s="2">
        <v>7.21</v>
      </c>
      <c r="BL97" s="2">
        <v>14.42</v>
      </c>
      <c r="BM97" s="2">
        <v>8.5</v>
      </c>
      <c r="BN97" s="2">
        <v>11.76</v>
      </c>
      <c r="BO97" s="2">
        <v>6.69</v>
      </c>
      <c r="BP97" s="2">
        <v>6.17</v>
      </c>
      <c r="BQ97" s="2">
        <v>8.85</v>
      </c>
      <c r="BR97" s="2">
        <v>6.23</v>
      </c>
      <c r="BS97" s="2">
        <v>5.41</v>
      </c>
      <c r="BT97" s="2">
        <v>5.23</v>
      </c>
      <c r="BU97" s="2">
        <v>2.06</v>
      </c>
      <c r="BV97" s="2">
        <v>2.06</v>
      </c>
    </row>
    <row r="98" spans="2:74" x14ac:dyDescent="0.3">
      <c r="B98" s="1" t="s">
        <v>24</v>
      </c>
      <c r="C98" s="2">
        <v>1607.68</v>
      </c>
      <c r="D98" s="2">
        <v>824.7</v>
      </c>
      <c r="E98" s="2">
        <v>2271.4299999999998</v>
      </c>
      <c r="F98" s="2">
        <v>1651.54</v>
      </c>
      <c r="G98" s="2">
        <v>994.16</v>
      </c>
      <c r="H98" s="2">
        <v>872.18</v>
      </c>
      <c r="I98" s="2">
        <v>583</v>
      </c>
      <c r="J98" s="2">
        <v>741.41</v>
      </c>
      <c r="K98" s="2">
        <v>321.72000000000003</v>
      </c>
      <c r="L98" s="2">
        <v>227.83</v>
      </c>
      <c r="M98" s="2">
        <v>285.38</v>
      </c>
      <c r="N98" s="2">
        <v>212.91</v>
      </c>
      <c r="O98" s="2">
        <v>162.58000000000001</v>
      </c>
      <c r="P98" s="2">
        <v>115.25</v>
      </c>
      <c r="Q98" s="2">
        <v>436.15</v>
      </c>
      <c r="R98" s="2">
        <v>474.25</v>
      </c>
      <c r="T98" s="1" t="s">
        <v>24</v>
      </c>
      <c r="U98" s="2">
        <v>3833.22</v>
      </c>
      <c r="V98" s="2">
        <v>4246.63</v>
      </c>
      <c r="W98" s="2">
        <v>4993.5600000000004</v>
      </c>
      <c r="X98" s="2">
        <v>6074.47</v>
      </c>
      <c r="Y98" s="2">
        <v>3612.22</v>
      </c>
      <c r="Z98" s="2">
        <v>3185.31</v>
      </c>
      <c r="AA98" s="2">
        <v>1764.22</v>
      </c>
      <c r="AB98" s="2">
        <v>1348.4</v>
      </c>
      <c r="AC98" s="2">
        <v>2880.96</v>
      </c>
      <c r="AD98" s="2">
        <v>4602.59</v>
      </c>
      <c r="AE98" s="2">
        <v>5486.77</v>
      </c>
      <c r="AF98" s="2">
        <v>5912.44</v>
      </c>
      <c r="AG98" s="2">
        <v>3123.53</v>
      </c>
      <c r="AH98" s="2">
        <v>2583.46</v>
      </c>
      <c r="AI98" s="2">
        <v>1582.23</v>
      </c>
      <c r="AJ98" s="2">
        <v>1001.01</v>
      </c>
      <c r="AM98" s="1" t="s">
        <v>24</v>
      </c>
      <c r="AN98" s="2">
        <v>10572.27</v>
      </c>
      <c r="AO98" s="2">
        <v>16760.57</v>
      </c>
      <c r="AP98" s="2">
        <v>20128.57</v>
      </c>
      <c r="AQ98" s="2">
        <v>21533.33</v>
      </c>
      <c r="AR98" s="2">
        <v>15573.76</v>
      </c>
      <c r="AS98" s="2">
        <v>12956.01</v>
      </c>
      <c r="AT98" s="2">
        <v>6580.54</v>
      </c>
      <c r="AU98" s="2">
        <v>3062.12</v>
      </c>
      <c r="AV98" s="2">
        <v>10314.98</v>
      </c>
      <c r="AW98" s="2">
        <v>19687.91</v>
      </c>
      <c r="AX98" s="2">
        <v>23193.33</v>
      </c>
      <c r="AY98" s="2">
        <v>26561.77</v>
      </c>
      <c r="AZ98" s="2">
        <v>12436.65</v>
      </c>
      <c r="BA98" s="2">
        <v>9864.68</v>
      </c>
      <c r="BB98" s="2">
        <v>5839</v>
      </c>
      <c r="BC98" s="2">
        <v>2444.41</v>
      </c>
      <c r="BF98" s="1" t="s">
        <v>24</v>
      </c>
      <c r="BG98" s="2">
        <v>6.18</v>
      </c>
      <c r="BH98" s="2">
        <v>12.36</v>
      </c>
      <c r="BI98" s="2">
        <v>12.88</v>
      </c>
      <c r="BJ98" s="2">
        <v>12.88</v>
      </c>
      <c r="BK98" s="2">
        <v>14.42</v>
      </c>
      <c r="BL98" s="2">
        <v>14.42</v>
      </c>
      <c r="BM98" s="2">
        <v>8.5</v>
      </c>
      <c r="BN98" s="2">
        <v>17</v>
      </c>
      <c r="BO98" s="2">
        <v>5.98</v>
      </c>
      <c r="BP98" s="2">
        <v>3.74</v>
      </c>
      <c r="BQ98" s="2">
        <v>6.3</v>
      </c>
      <c r="BR98" s="2">
        <v>4.38</v>
      </c>
      <c r="BS98" s="2">
        <v>4.84</v>
      </c>
      <c r="BT98" s="2">
        <v>3.86</v>
      </c>
      <c r="BU98" s="2">
        <v>2.06</v>
      </c>
      <c r="BV98" s="2">
        <v>2.06</v>
      </c>
    </row>
    <row r="99" spans="2:74" x14ac:dyDescent="0.3">
      <c r="B99" s="1" t="s">
        <v>25</v>
      </c>
      <c r="C99" s="2">
        <v>9989.4699999999993</v>
      </c>
      <c r="D99" s="2">
        <v>10594.16</v>
      </c>
      <c r="E99" s="2">
        <v>10418.34</v>
      </c>
      <c r="F99" s="2">
        <v>9831.82</v>
      </c>
      <c r="G99" s="2">
        <v>5217.25</v>
      </c>
      <c r="H99" s="2">
        <v>5072.3</v>
      </c>
      <c r="I99" s="2">
        <v>2083.9</v>
      </c>
      <c r="J99" s="2">
        <v>3023.06</v>
      </c>
      <c r="K99" s="2">
        <v>1314.43</v>
      </c>
      <c r="L99" s="2">
        <v>1831.91</v>
      </c>
      <c r="M99" s="2">
        <v>1228.49</v>
      </c>
      <c r="N99" s="2">
        <v>1695.82</v>
      </c>
      <c r="O99" s="2">
        <v>382.83</v>
      </c>
      <c r="P99" s="2">
        <v>484.77</v>
      </c>
      <c r="Q99" s="2">
        <v>3621.14</v>
      </c>
      <c r="R99" s="2">
        <v>4200.38</v>
      </c>
      <c r="T99" s="1" t="s">
        <v>25</v>
      </c>
      <c r="U99" s="2">
        <v>16607</v>
      </c>
      <c r="V99" s="2">
        <v>13443.38</v>
      </c>
      <c r="W99" s="2">
        <v>17758.740000000002</v>
      </c>
      <c r="X99" s="2">
        <v>18499.009999999998</v>
      </c>
      <c r="Y99" s="2">
        <v>13054.37</v>
      </c>
      <c r="Z99" s="2">
        <v>11619.89</v>
      </c>
      <c r="AA99" s="2">
        <v>1997.65</v>
      </c>
      <c r="AB99" s="2">
        <v>3750.26</v>
      </c>
      <c r="AC99" s="2">
        <v>16572.36</v>
      </c>
      <c r="AD99" s="2">
        <v>13463.43</v>
      </c>
      <c r="AE99" s="2">
        <v>21426.48</v>
      </c>
      <c r="AF99" s="2">
        <v>18667.75</v>
      </c>
      <c r="AG99" s="2">
        <v>11226.19</v>
      </c>
      <c r="AH99" s="2">
        <v>9982.23</v>
      </c>
      <c r="AI99" s="2">
        <v>5122.7</v>
      </c>
      <c r="AJ99" s="2">
        <v>4363.87</v>
      </c>
      <c r="AM99" s="1" t="s">
        <v>25</v>
      </c>
      <c r="AN99" s="2">
        <v>47934.34</v>
      </c>
      <c r="AO99" s="2">
        <v>40711.269999999997</v>
      </c>
      <c r="AP99" s="2">
        <v>67495.259999999995</v>
      </c>
      <c r="AQ99" s="2">
        <v>61529.66</v>
      </c>
      <c r="AR99" s="2">
        <v>47678.16</v>
      </c>
      <c r="AS99" s="2">
        <v>36977.760000000002</v>
      </c>
      <c r="AT99" s="2">
        <v>12200.03</v>
      </c>
      <c r="AU99" s="2">
        <v>7306.3</v>
      </c>
      <c r="AV99" s="2">
        <v>47020.160000000003</v>
      </c>
      <c r="AW99" s="2">
        <v>53726.82</v>
      </c>
      <c r="AX99" s="2">
        <v>74036.66</v>
      </c>
      <c r="AY99" s="2">
        <v>78041.06</v>
      </c>
      <c r="AZ99" s="2">
        <v>41186.620000000003</v>
      </c>
      <c r="BA99" s="2">
        <v>31922.83</v>
      </c>
      <c r="BB99" s="2">
        <v>18013.25</v>
      </c>
      <c r="BC99" s="2">
        <v>9570.68</v>
      </c>
      <c r="BF99" s="1" t="s">
        <v>25</v>
      </c>
      <c r="BG99" s="2">
        <v>24.72</v>
      </c>
      <c r="BH99" s="2">
        <v>24.72</v>
      </c>
      <c r="BI99" s="2">
        <v>19.309999999999999</v>
      </c>
      <c r="BJ99" s="2">
        <v>19.309999999999999</v>
      </c>
      <c r="BK99" s="2">
        <v>21.63</v>
      </c>
      <c r="BL99" s="2">
        <v>22.44</v>
      </c>
      <c r="BM99" s="2">
        <v>8.5</v>
      </c>
      <c r="BN99" s="2">
        <v>18.07</v>
      </c>
      <c r="BO99" s="2">
        <v>6.69</v>
      </c>
      <c r="BP99" s="2">
        <v>6.69</v>
      </c>
      <c r="BQ99" s="2">
        <v>6.69</v>
      </c>
      <c r="BR99" s="2">
        <v>6.69</v>
      </c>
      <c r="BS99" s="2">
        <v>3.54</v>
      </c>
      <c r="BT99" s="2">
        <v>5.41</v>
      </c>
      <c r="BU99" s="2">
        <v>6.18</v>
      </c>
      <c r="BV99" s="2">
        <v>6.89</v>
      </c>
    </row>
    <row r="100" spans="2:74" x14ac:dyDescent="0.3">
      <c r="B100" s="1" t="s">
        <v>26</v>
      </c>
      <c r="C100" s="2">
        <v>1364.86</v>
      </c>
      <c r="D100" s="2">
        <v>1469.76</v>
      </c>
      <c r="E100" s="2">
        <v>3325.75</v>
      </c>
      <c r="F100" s="2">
        <v>593.64</v>
      </c>
      <c r="G100" s="2">
        <v>1722.14</v>
      </c>
      <c r="H100" s="2">
        <v>1325.63</v>
      </c>
      <c r="I100" s="2">
        <v>1138.04</v>
      </c>
      <c r="J100" s="2">
        <v>772.06</v>
      </c>
      <c r="K100" s="2">
        <v>1950.86</v>
      </c>
      <c r="L100" s="2">
        <v>1376.99</v>
      </c>
      <c r="M100" s="2">
        <v>1950.86</v>
      </c>
      <c r="N100" s="2">
        <v>1376.99</v>
      </c>
      <c r="O100" s="2">
        <v>140.37</v>
      </c>
      <c r="P100" s="2">
        <v>175.26</v>
      </c>
      <c r="Q100" s="2">
        <v>1869.64</v>
      </c>
      <c r="R100" s="2">
        <v>1876.54</v>
      </c>
      <c r="T100" s="1" t="s">
        <v>26</v>
      </c>
      <c r="U100" s="2">
        <v>7167.56</v>
      </c>
      <c r="V100" s="2">
        <v>7137.1</v>
      </c>
      <c r="W100" s="2">
        <v>8502.36</v>
      </c>
      <c r="X100" s="2">
        <v>6205.28</v>
      </c>
      <c r="Y100" s="2">
        <v>8720.18</v>
      </c>
      <c r="Z100" s="2">
        <v>8720.18</v>
      </c>
      <c r="AA100" s="2">
        <v>1714.75</v>
      </c>
      <c r="AB100" s="2">
        <v>2476.4</v>
      </c>
      <c r="AC100" s="2">
        <v>7710.07</v>
      </c>
      <c r="AD100" s="2">
        <v>6238</v>
      </c>
      <c r="AE100" s="2">
        <v>9459.18</v>
      </c>
      <c r="AF100" s="2">
        <v>7786.21</v>
      </c>
      <c r="AG100" s="2">
        <v>7829.85</v>
      </c>
      <c r="AH100" s="2">
        <v>7829.85</v>
      </c>
      <c r="AI100" s="2">
        <v>1893.59</v>
      </c>
      <c r="AJ100" s="2">
        <v>2147.87</v>
      </c>
      <c r="AM100" s="1" t="s">
        <v>26</v>
      </c>
      <c r="AN100" s="2">
        <v>22559.8</v>
      </c>
      <c r="AO100" s="2">
        <v>17810.900000000001</v>
      </c>
      <c r="AP100" s="2">
        <v>19138.68</v>
      </c>
      <c r="AQ100" s="2">
        <v>19853.5</v>
      </c>
      <c r="AR100" s="2">
        <v>23076.52</v>
      </c>
      <c r="AS100" s="2">
        <v>23076.52</v>
      </c>
      <c r="AT100" s="2">
        <v>5373.38</v>
      </c>
      <c r="AU100" s="2">
        <v>6102.07</v>
      </c>
      <c r="AV100" s="2">
        <v>31097.93</v>
      </c>
      <c r="AW100" s="2">
        <v>24285.5</v>
      </c>
      <c r="AX100" s="2">
        <v>24454.98</v>
      </c>
      <c r="AY100" s="2">
        <v>29883.29</v>
      </c>
      <c r="AZ100" s="2">
        <v>19245.900000000001</v>
      </c>
      <c r="BA100" s="2">
        <v>19245.900000000001</v>
      </c>
      <c r="BB100" s="2">
        <v>6099.22</v>
      </c>
      <c r="BC100" s="2">
        <v>5838.11</v>
      </c>
      <c r="BF100" s="1" t="s">
        <v>26</v>
      </c>
      <c r="BG100" s="2">
        <v>6.18</v>
      </c>
      <c r="BH100" s="2">
        <v>7.88</v>
      </c>
      <c r="BI100" s="2">
        <v>6.44</v>
      </c>
      <c r="BJ100" s="2">
        <v>2.0299999999999998</v>
      </c>
      <c r="BK100" s="2">
        <v>7.21</v>
      </c>
      <c r="BL100" s="2">
        <v>7.21</v>
      </c>
      <c r="BM100" s="2">
        <v>8.5</v>
      </c>
      <c r="BN100" s="2">
        <v>7.93</v>
      </c>
      <c r="BO100" s="2">
        <v>6.69</v>
      </c>
      <c r="BP100" s="2">
        <v>6.69</v>
      </c>
      <c r="BQ100" s="2">
        <v>6.69</v>
      </c>
      <c r="BR100" s="2">
        <v>6.69</v>
      </c>
      <c r="BS100" s="2">
        <v>3.3</v>
      </c>
      <c r="BT100" s="2">
        <v>3.85</v>
      </c>
      <c r="BU100" s="2">
        <v>2.06</v>
      </c>
      <c r="BV100" s="2">
        <v>2.06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6.8650948972862882E-3</v>
      </c>
      <c r="D107" s="2">
        <v>8.7554122327095345E-3</v>
      </c>
      <c r="E107" s="2">
        <v>8.228761276117269E-3</v>
      </c>
      <c r="F107" s="2">
        <v>2.4117122048070779E-3</v>
      </c>
      <c r="G107" s="2">
        <v>3.989719668702596E-3</v>
      </c>
      <c r="H107" s="2">
        <v>4.0123678745031862E-3</v>
      </c>
      <c r="I107" s="2">
        <v>1.2887940081555539E-3</v>
      </c>
      <c r="J107" s="2">
        <v>1.4140599984230129E-3</v>
      </c>
      <c r="K107" s="2">
        <v>3.056316847302449E-3</v>
      </c>
      <c r="L107" s="2">
        <v>9.315401665688899E-3</v>
      </c>
      <c r="M107" s="2">
        <v>7.5006186015817624E-3</v>
      </c>
      <c r="N107" s="2">
        <v>2.255931538474942E-2</v>
      </c>
      <c r="O107" s="2">
        <v>3.2408837107596958E-3</v>
      </c>
      <c r="P107" s="2">
        <v>3.2347152786122448E-3</v>
      </c>
      <c r="Q107" s="2">
        <v>1.8646279377656491E-2</v>
      </c>
      <c r="R107" s="2">
        <v>1.307651405332017E-2</v>
      </c>
      <c r="T107" s="1" t="s">
        <v>19</v>
      </c>
      <c r="U107" s="2">
        <v>4958.24</v>
      </c>
      <c r="V107" s="2">
        <v>4819.7299999999996</v>
      </c>
      <c r="W107" s="2">
        <v>4538.53</v>
      </c>
      <c r="X107" s="2">
        <v>760.08</v>
      </c>
      <c r="Y107" s="2">
        <v>3382.03</v>
      </c>
      <c r="Z107" s="2">
        <v>2858.71</v>
      </c>
      <c r="AA107" s="2">
        <v>609.66</v>
      </c>
      <c r="AB107" s="2">
        <v>444.48</v>
      </c>
      <c r="AC107" s="2">
        <v>506.38</v>
      </c>
      <c r="AD107" s="2">
        <v>1608.34</v>
      </c>
      <c r="AE107" s="2">
        <v>1278.54</v>
      </c>
      <c r="AF107" s="2">
        <v>3657.21</v>
      </c>
      <c r="AG107" s="2">
        <v>243.1</v>
      </c>
      <c r="AH107" s="2">
        <v>217.65</v>
      </c>
      <c r="AI107" s="2">
        <v>9338.7900000000009</v>
      </c>
      <c r="AJ107" s="2">
        <v>6065.15</v>
      </c>
      <c r="AM107" s="1" t="s">
        <v>19</v>
      </c>
      <c r="AN107" s="2">
        <v>9847.4599999999991</v>
      </c>
      <c r="AO107" s="2">
        <v>9562.4699999999993</v>
      </c>
      <c r="AP107" s="2">
        <v>11390.67</v>
      </c>
      <c r="AQ107" s="2">
        <v>8820.82</v>
      </c>
      <c r="AR107" s="2">
        <v>9945.9699999999993</v>
      </c>
      <c r="AS107" s="2">
        <v>8257.2900000000009</v>
      </c>
      <c r="AT107" s="2">
        <v>10907.44</v>
      </c>
      <c r="AU107" s="2">
        <v>7808.52</v>
      </c>
      <c r="AV107" s="2">
        <v>9425.92</v>
      </c>
      <c r="AW107" s="2">
        <v>12717.86</v>
      </c>
      <c r="AX107" s="2">
        <v>8653.76</v>
      </c>
      <c r="AY107" s="2">
        <v>10084.49</v>
      </c>
      <c r="AZ107" s="2">
        <v>4337.7</v>
      </c>
      <c r="BA107" s="2">
        <v>3883.65</v>
      </c>
      <c r="BB107" s="2">
        <v>10870.21</v>
      </c>
      <c r="BC107" s="2">
        <v>7075.25</v>
      </c>
      <c r="BF107" s="1" t="s">
        <v>19</v>
      </c>
      <c r="BG107" s="2">
        <v>1.44</v>
      </c>
      <c r="BH107" s="2">
        <v>1.44</v>
      </c>
      <c r="BI107" s="2">
        <v>1.5</v>
      </c>
      <c r="BJ107" s="2">
        <v>1.5</v>
      </c>
      <c r="BK107" s="2">
        <v>1.68</v>
      </c>
      <c r="BL107" s="2">
        <v>1.68</v>
      </c>
      <c r="BM107" s="2">
        <v>1.98</v>
      </c>
      <c r="BN107" s="2">
        <v>1.98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0.48</v>
      </c>
      <c r="BV107" s="2">
        <v>0.48</v>
      </c>
    </row>
    <row r="108" spans="2:74" x14ac:dyDescent="0.3">
      <c r="B108" s="1" t="s">
        <v>20</v>
      </c>
      <c r="C108" s="2">
        <v>2.1968198249097189E-2</v>
      </c>
      <c r="D108" s="2">
        <v>1.8411633061879699E-2</v>
      </c>
      <c r="E108" s="2">
        <v>3.8322841646915129E-2</v>
      </c>
      <c r="F108" s="2">
        <v>2.0315822353648521E-2</v>
      </c>
      <c r="G108" s="2">
        <v>2.6960043661617871E-2</v>
      </c>
      <c r="H108" s="2">
        <v>2.1340519348291911E-2</v>
      </c>
      <c r="I108" s="2">
        <v>3.5469618960098759E-2</v>
      </c>
      <c r="J108" s="2">
        <v>3.0048668986175361E-2</v>
      </c>
      <c r="K108" s="2">
        <v>5.7078676068475408E-2</v>
      </c>
      <c r="L108" s="2">
        <v>8.6480416769635873E-2</v>
      </c>
      <c r="M108" s="2">
        <v>5.6250590916332908E-2</v>
      </c>
      <c r="N108" s="2">
        <v>8.9000288775217609E-2</v>
      </c>
      <c r="O108" s="2">
        <v>0.1210665636537499</v>
      </c>
      <c r="P108" s="2">
        <v>0.1064481242912637</v>
      </c>
      <c r="Q108" s="2">
        <v>3.2041754650154491E-2</v>
      </c>
      <c r="R108" s="2">
        <v>2.778269837232181E-2</v>
      </c>
      <c r="T108" s="1" t="s">
        <v>20</v>
      </c>
      <c r="U108" s="2">
        <v>1360.12</v>
      </c>
      <c r="V108" s="2">
        <v>882.57</v>
      </c>
      <c r="W108" s="2">
        <v>1293.1400000000001</v>
      </c>
      <c r="X108" s="2">
        <v>715.74</v>
      </c>
      <c r="Y108" s="2">
        <v>1934.14</v>
      </c>
      <c r="Z108" s="2">
        <v>1259.49</v>
      </c>
      <c r="AA108" s="2">
        <v>1649.85</v>
      </c>
      <c r="AB108" s="2">
        <v>1003.9</v>
      </c>
      <c r="AC108" s="2">
        <v>1117.19</v>
      </c>
      <c r="AD108" s="2">
        <v>1167.3699999999999</v>
      </c>
      <c r="AE108" s="2">
        <v>1117.19</v>
      </c>
      <c r="AF108" s="2">
        <v>1156.45</v>
      </c>
      <c r="AG108" s="2">
        <v>941.5</v>
      </c>
      <c r="AH108" s="2">
        <v>764.2</v>
      </c>
      <c r="AI108" s="2">
        <v>1433.9</v>
      </c>
      <c r="AJ108" s="2">
        <v>1181.92</v>
      </c>
      <c r="AM108" s="1" t="s">
        <v>20</v>
      </c>
      <c r="AN108" s="2">
        <v>4912.8</v>
      </c>
      <c r="AO108" s="2">
        <v>3720.13</v>
      </c>
      <c r="AP108" s="2">
        <v>7777.56</v>
      </c>
      <c r="AQ108" s="2">
        <v>2332.25</v>
      </c>
      <c r="AR108" s="2">
        <v>7267.66</v>
      </c>
      <c r="AS108" s="2">
        <v>3359.51</v>
      </c>
      <c r="AT108" s="2">
        <v>6201.32</v>
      </c>
      <c r="AU108" s="2">
        <v>3231.8</v>
      </c>
      <c r="AV108" s="2">
        <v>3837.41</v>
      </c>
      <c r="AW108" s="2">
        <v>6179.33</v>
      </c>
      <c r="AX108" s="2">
        <v>3837.41</v>
      </c>
      <c r="AY108" s="2">
        <v>6101.75</v>
      </c>
      <c r="AZ108" s="2">
        <v>3133.3</v>
      </c>
      <c r="BA108" s="2">
        <v>2577.8000000000002</v>
      </c>
      <c r="BB108" s="2">
        <v>4904.87</v>
      </c>
      <c r="BC108" s="2">
        <v>3826.12</v>
      </c>
      <c r="BF108" s="1" t="s">
        <v>20</v>
      </c>
      <c r="BG108" s="2">
        <v>18.54</v>
      </c>
      <c r="BH108" s="2">
        <v>18.54</v>
      </c>
      <c r="BI108" s="2">
        <v>30.93</v>
      </c>
      <c r="BJ108" s="2">
        <v>19.309999999999999</v>
      </c>
      <c r="BK108" s="2">
        <v>21.63</v>
      </c>
      <c r="BL108" s="2">
        <v>21.63</v>
      </c>
      <c r="BM108" s="2">
        <v>25.49</v>
      </c>
      <c r="BN108" s="2">
        <v>25.49</v>
      </c>
      <c r="BO108" s="2">
        <v>20.079999999999998</v>
      </c>
      <c r="BP108" s="2">
        <v>26.5</v>
      </c>
      <c r="BQ108" s="2">
        <v>20.079999999999998</v>
      </c>
      <c r="BR108" s="2">
        <v>26.56</v>
      </c>
      <c r="BS108" s="2">
        <v>16.22</v>
      </c>
      <c r="BT108" s="2">
        <v>16.22</v>
      </c>
      <c r="BU108" s="2">
        <v>6.18</v>
      </c>
      <c r="BV108" s="2">
        <v>6.18</v>
      </c>
    </row>
    <row r="109" spans="2:74" x14ac:dyDescent="0.3">
      <c r="B109" s="1" t="s">
        <v>21</v>
      </c>
      <c r="C109" s="2">
        <v>0.35184229122795208</v>
      </c>
      <c r="D109" s="2">
        <v>8.8681348629431389E-2</v>
      </c>
      <c r="E109" s="2">
        <v>0.30990839936096892</v>
      </c>
      <c r="F109" s="2">
        <v>0.31639207854160872</v>
      </c>
      <c r="G109" s="2">
        <v>0.43807469795142012</v>
      </c>
      <c r="H109" s="2">
        <v>0.1951428398432741</v>
      </c>
      <c r="I109" s="2">
        <v>0.59969432143762114</v>
      </c>
      <c r="J109" s="2">
        <v>0.22786522017198199</v>
      </c>
      <c r="K109" s="2">
        <v>0.122747711553384</v>
      </c>
      <c r="L109" s="2">
        <v>0.18541988438099841</v>
      </c>
      <c r="M109" s="2">
        <v>0.10938334650714571</v>
      </c>
      <c r="N109" s="2">
        <v>0.171487861635188</v>
      </c>
      <c r="O109" s="2">
        <v>0.30558981662185919</v>
      </c>
      <c r="P109" s="2">
        <v>8.7958930405253252E-2</v>
      </c>
      <c r="Q109" s="2">
        <v>0.32274000101125833</v>
      </c>
      <c r="R109" s="2">
        <v>0.35166621717290902</v>
      </c>
      <c r="T109" s="1" t="s">
        <v>21</v>
      </c>
      <c r="U109" s="2">
        <v>6407.41</v>
      </c>
      <c r="V109" s="2">
        <v>4074.39</v>
      </c>
      <c r="W109" s="2">
        <v>5396.58</v>
      </c>
      <c r="X109" s="2">
        <v>4296.8</v>
      </c>
      <c r="Y109" s="2">
        <v>7616.66</v>
      </c>
      <c r="Z109" s="2">
        <v>4222.5600000000004</v>
      </c>
      <c r="AA109" s="2">
        <v>6872.76</v>
      </c>
      <c r="AB109" s="2">
        <v>3669.29</v>
      </c>
      <c r="AC109" s="2">
        <v>2346.63</v>
      </c>
      <c r="AD109" s="2">
        <v>3057.14</v>
      </c>
      <c r="AE109" s="2">
        <v>2098.9499999999998</v>
      </c>
      <c r="AF109" s="2">
        <v>2711.2</v>
      </c>
      <c r="AG109" s="2">
        <v>2182.0100000000002</v>
      </c>
      <c r="AH109" s="2">
        <v>1612.67</v>
      </c>
      <c r="AI109" s="2">
        <v>4863.95</v>
      </c>
      <c r="AJ109" s="2">
        <v>4843.6899999999996</v>
      </c>
      <c r="AM109" s="1" t="s">
        <v>21</v>
      </c>
      <c r="AN109" s="2">
        <v>18660</v>
      </c>
      <c r="AO109" s="2">
        <v>8832.75</v>
      </c>
      <c r="AP109" s="2">
        <v>27148.02</v>
      </c>
      <c r="AQ109" s="2">
        <v>9804.49</v>
      </c>
      <c r="AR109" s="2">
        <v>26409.51</v>
      </c>
      <c r="AS109" s="2">
        <v>20336.68</v>
      </c>
      <c r="AT109" s="2">
        <v>26062.26</v>
      </c>
      <c r="AU109" s="2">
        <v>17702.47</v>
      </c>
      <c r="AV109" s="2">
        <v>11616.9</v>
      </c>
      <c r="AW109" s="2">
        <v>13451.7</v>
      </c>
      <c r="AX109" s="2">
        <v>9414.4500000000007</v>
      </c>
      <c r="AY109" s="2">
        <v>10615.1</v>
      </c>
      <c r="AZ109" s="2">
        <v>7327.73</v>
      </c>
      <c r="BA109" s="2">
        <v>5303.23</v>
      </c>
      <c r="BB109" s="2">
        <v>14201.35</v>
      </c>
      <c r="BC109" s="2">
        <v>12212.22</v>
      </c>
      <c r="BF109" s="1" t="s">
        <v>21</v>
      </c>
      <c r="BG109" s="2">
        <v>63.45</v>
      </c>
      <c r="BH109" s="2">
        <v>18.54</v>
      </c>
      <c r="BI109" s="2">
        <v>57.94</v>
      </c>
      <c r="BJ109" s="2">
        <v>57.94</v>
      </c>
      <c r="BK109" s="2">
        <v>86.52</v>
      </c>
      <c r="BL109" s="2">
        <v>57.74</v>
      </c>
      <c r="BM109" s="2">
        <v>99.47</v>
      </c>
      <c r="BN109" s="2">
        <v>50.98</v>
      </c>
      <c r="BO109" s="2">
        <v>19.829999999999998</v>
      </c>
      <c r="BP109" s="2">
        <v>20.079999999999998</v>
      </c>
      <c r="BQ109" s="2">
        <v>20.079999999999998</v>
      </c>
      <c r="BR109" s="2">
        <v>20.079999999999998</v>
      </c>
      <c r="BS109" s="2">
        <v>16.22</v>
      </c>
      <c r="BT109" s="2">
        <v>5.67</v>
      </c>
      <c r="BU109" s="2">
        <v>18.54</v>
      </c>
      <c r="BV109" s="2">
        <v>21.06</v>
      </c>
    </row>
    <row r="110" spans="2:74" x14ac:dyDescent="0.3">
      <c r="B110" s="1" t="s">
        <v>22</v>
      </c>
      <c r="C110" s="2">
        <v>3.988242723779533E-2</v>
      </c>
      <c r="D110" s="2">
        <v>2.76373306989427E-2</v>
      </c>
      <c r="E110" s="2">
        <v>6.4836134657062672E-2</v>
      </c>
      <c r="F110" s="2">
        <v>5.9395368860458923E-2</v>
      </c>
      <c r="G110" s="2">
        <v>4.7566892782719319E-2</v>
      </c>
      <c r="H110" s="2">
        <v>5.3882345930744528E-2</v>
      </c>
      <c r="I110" s="2">
        <v>5.4839104540583002E-2</v>
      </c>
      <c r="J110" s="2">
        <v>5.4987391168815902E-2</v>
      </c>
      <c r="K110" s="2">
        <v>5.4425868684161618E-2</v>
      </c>
      <c r="L110" s="2">
        <v>1.3953973786068699E-2</v>
      </c>
      <c r="M110" s="2">
        <v>4.64023822888711E-2</v>
      </c>
      <c r="N110" s="2">
        <v>1.6578949037553241E-2</v>
      </c>
      <c r="O110" s="2">
        <v>2.8506366101399418E-2</v>
      </c>
      <c r="P110" s="2">
        <v>3.0900548207193838E-2</v>
      </c>
      <c r="Q110" s="2">
        <v>3.0930918329194861E-2</v>
      </c>
      <c r="R110" s="2">
        <v>2.6843052103477549E-2</v>
      </c>
      <c r="T110" s="1" t="s">
        <v>22</v>
      </c>
      <c r="U110" s="2">
        <v>1195.95</v>
      </c>
      <c r="V110" s="2">
        <v>1248.33</v>
      </c>
      <c r="W110" s="2">
        <v>1530.94</v>
      </c>
      <c r="X110" s="2">
        <v>1210.02</v>
      </c>
      <c r="Y110" s="2">
        <v>1595.61</v>
      </c>
      <c r="Z110" s="2">
        <v>1493.19</v>
      </c>
      <c r="AA110" s="2">
        <v>1143.6300000000001</v>
      </c>
      <c r="AB110" s="2">
        <v>1047.43</v>
      </c>
      <c r="AC110" s="2">
        <v>1040.8399999999999</v>
      </c>
      <c r="AD110" s="2">
        <v>368.92</v>
      </c>
      <c r="AE110" s="2">
        <v>898.52</v>
      </c>
      <c r="AF110" s="2">
        <v>637.16999999999996</v>
      </c>
      <c r="AG110" s="2">
        <v>343.44</v>
      </c>
      <c r="AH110" s="2">
        <v>342.84</v>
      </c>
      <c r="AI110" s="2">
        <v>1154.83</v>
      </c>
      <c r="AJ110" s="2">
        <v>1106.82</v>
      </c>
      <c r="AM110" s="1" t="s">
        <v>22</v>
      </c>
      <c r="AN110" s="2">
        <v>4862.01</v>
      </c>
      <c r="AO110" s="2">
        <v>2908.28</v>
      </c>
      <c r="AP110" s="2">
        <v>6696.51</v>
      </c>
      <c r="AQ110" s="2">
        <v>4824.8</v>
      </c>
      <c r="AR110" s="2">
        <v>6790.04</v>
      </c>
      <c r="AS110" s="2">
        <v>6110.15</v>
      </c>
      <c r="AT110" s="2">
        <v>7061.27</v>
      </c>
      <c r="AU110" s="2">
        <v>5829.67</v>
      </c>
      <c r="AV110" s="2">
        <v>4817.12</v>
      </c>
      <c r="AW110" s="2">
        <v>3320.28</v>
      </c>
      <c r="AX110" s="2">
        <v>3787.28</v>
      </c>
      <c r="AY110" s="2">
        <v>3052.03</v>
      </c>
      <c r="AZ110" s="2">
        <v>1611.42</v>
      </c>
      <c r="BA110" s="2">
        <v>1608.56</v>
      </c>
      <c r="BB110" s="2">
        <v>2913.22</v>
      </c>
      <c r="BC110" s="2">
        <v>2809.71</v>
      </c>
      <c r="BF110" s="1" t="s">
        <v>22</v>
      </c>
      <c r="BG110" s="2">
        <v>37.08</v>
      </c>
      <c r="BH110" s="2">
        <v>18.54</v>
      </c>
      <c r="BI110" s="2">
        <v>38.619999999999997</v>
      </c>
      <c r="BJ110" s="2">
        <v>38.619999999999997</v>
      </c>
      <c r="BK110" s="2">
        <v>43.26</v>
      </c>
      <c r="BL110" s="2">
        <v>43.26</v>
      </c>
      <c r="BM110" s="2">
        <v>50.31</v>
      </c>
      <c r="BN110" s="2">
        <v>43.55</v>
      </c>
      <c r="BO110" s="2">
        <v>20.079999999999998</v>
      </c>
      <c r="BP110" s="2">
        <v>10.48</v>
      </c>
      <c r="BQ110" s="2">
        <v>20.079999999999998</v>
      </c>
      <c r="BR110" s="2">
        <v>8.26</v>
      </c>
      <c r="BS110" s="2">
        <v>9.18</v>
      </c>
      <c r="BT110" s="2">
        <v>9.18</v>
      </c>
      <c r="BU110" s="2">
        <v>6.18</v>
      </c>
      <c r="BV110" s="2">
        <v>6.18</v>
      </c>
    </row>
    <row r="111" spans="2:74" x14ac:dyDescent="0.3">
      <c r="B111" s="1" t="s">
        <v>23</v>
      </c>
      <c r="C111" s="2">
        <v>0.10220829608766339</v>
      </c>
      <c r="D111" s="2">
        <v>0.21024693819485449</v>
      </c>
      <c r="E111" s="2">
        <v>0.1642093343599266</v>
      </c>
      <c r="F111" s="2">
        <v>0.18011574805682731</v>
      </c>
      <c r="G111" s="2">
        <v>0.13649250410221711</v>
      </c>
      <c r="H111" s="2">
        <v>0.25606853219395093</v>
      </c>
      <c r="I111" s="2">
        <v>0.1099743036913953</v>
      </c>
      <c r="J111" s="2">
        <v>0.22318414037106679</v>
      </c>
      <c r="K111" s="2">
        <v>0.32639203212899542</v>
      </c>
      <c r="L111" s="2">
        <v>0.27783751593414718</v>
      </c>
      <c r="M111" s="2">
        <v>0.37863358471936198</v>
      </c>
      <c r="N111" s="2">
        <v>0.28532121522385617</v>
      </c>
      <c r="O111" s="2">
        <v>0.32004136410657957</v>
      </c>
      <c r="P111" s="2">
        <v>0.32092285415103622</v>
      </c>
      <c r="Q111" s="2">
        <v>0.1823008981968989</v>
      </c>
      <c r="R111" s="2">
        <v>0.155127906513471</v>
      </c>
      <c r="T111" s="1" t="s">
        <v>23</v>
      </c>
      <c r="U111" s="2">
        <v>5853.6</v>
      </c>
      <c r="V111" s="2">
        <v>5142.53</v>
      </c>
      <c r="W111" s="2">
        <v>7663.57</v>
      </c>
      <c r="X111" s="2">
        <v>7338.12</v>
      </c>
      <c r="Y111" s="2">
        <v>9189.91</v>
      </c>
      <c r="Z111" s="2">
        <v>7762.65</v>
      </c>
      <c r="AA111" s="2">
        <v>4804.49</v>
      </c>
      <c r="AB111" s="2">
        <v>5568.45</v>
      </c>
      <c r="AC111" s="2">
        <v>6671.39</v>
      </c>
      <c r="AD111" s="2">
        <v>5077.71</v>
      </c>
      <c r="AE111" s="2">
        <v>5900.84</v>
      </c>
      <c r="AF111" s="2">
        <v>4990.87</v>
      </c>
      <c r="AG111" s="2">
        <v>2429.87</v>
      </c>
      <c r="AH111" s="2">
        <v>2314.8000000000002</v>
      </c>
      <c r="AI111" s="2">
        <v>7254.96</v>
      </c>
      <c r="AJ111" s="2">
        <v>6927.99</v>
      </c>
      <c r="AM111" s="1" t="s">
        <v>23</v>
      </c>
      <c r="AN111" s="2">
        <v>16109.35</v>
      </c>
      <c r="AO111" s="2">
        <v>19777.919999999998</v>
      </c>
      <c r="AP111" s="2">
        <v>20800.27</v>
      </c>
      <c r="AQ111" s="2">
        <v>20351.240000000002</v>
      </c>
      <c r="AR111" s="2">
        <v>25327.02</v>
      </c>
      <c r="AS111" s="2">
        <v>32546.21</v>
      </c>
      <c r="AT111" s="2">
        <v>24724.51</v>
      </c>
      <c r="AU111" s="2">
        <v>30800.55</v>
      </c>
      <c r="AV111" s="2">
        <v>30821.61</v>
      </c>
      <c r="AW111" s="2">
        <v>25320.79</v>
      </c>
      <c r="AX111" s="2">
        <v>30983.16</v>
      </c>
      <c r="AY111" s="2">
        <v>24790.13</v>
      </c>
      <c r="AZ111" s="2">
        <v>11175.13</v>
      </c>
      <c r="BA111" s="2">
        <v>10756.2</v>
      </c>
      <c r="BB111" s="2">
        <v>19343.009999999998</v>
      </c>
      <c r="BC111" s="2">
        <v>18711.45</v>
      </c>
      <c r="BF111" s="1" t="s">
        <v>23</v>
      </c>
      <c r="BG111" s="2">
        <v>18.54</v>
      </c>
      <c r="BH111" s="2">
        <v>37.08</v>
      </c>
      <c r="BI111" s="2">
        <v>19.309999999999999</v>
      </c>
      <c r="BJ111" s="2">
        <v>19.309999999999999</v>
      </c>
      <c r="BK111" s="2">
        <v>21.63</v>
      </c>
      <c r="BL111" s="2">
        <v>43.26</v>
      </c>
      <c r="BM111" s="2">
        <v>25.49</v>
      </c>
      <c r="BN111" s="2">
        <v>35.29</v>
      </c>
      <c r="BO111" s="2">
        <v>20.079999999999998</v>
      </c>
      <c r="BP111" s="2">
        <v>18.52</v>
      </c>
      <c r="BQ111" s="2">
        <v>26.55</v>
      </c>
      <c r="BR111" s="2">
        <v>18.690000000000001</v>
      </c>
      <c r="BS111" s="2">
        <v>16.22</v>
      </c>
      <c r="BT111" s="2">
        <v>15.7</v>
      </c>
      <c r="BU111" s="2">
        <v>6.18</v>
      </c>
      <c r="BV111" s="2">
        <v>6.18</v>
      </c>
    </row>
    <row r="112" spans="2:74" x14ac:dyDescent="0.3">
      <c r="B112" s="1" t="s">
        <v>24</v>
      </c>
      <c r="C112" s="2">
        <v>2.6250343360167079E-2</v>
      </c>
      <c r="D112" s="2">
        <v>4.5391806763860253E-2</v>
      </c>
      <c r="E112" s="2">
        <v>6.4263839046458951E-2</v>
      </c>
      <c r="F112" s="2">
        <v>7.4501039677284872E-2</v>
      </c>
      <c r="G112" s="2">
        <v>5.0161367760839758E-2</v>
      </c>
      <c r="H112" s="2">
        <v>6.0171676805635621E-2</v>
      </c>
      <c r="I112" s="2">
        <v>3.9710694611962222E-2</v>
      </c>
      <c r="J112" s="2">
        <v>9.4935751907716304E-2</v>
      </c>
      <c r="K112" s="2">
        <v>5.7960850821965511E-2</v>
      </c>
      <c r="L112" s="2">
        <v>3.6875375453726732E-2</v>
      </c>
      <c r="M112" s="2">
        <v>5.300766589656028E-2</v>
      </c>
      <c r="N112" s="2">
        <v>3.6952948303112063E-2</v>
      </c>
      <c r="O112" s="2">
        <v>8.9584172268987364E-2</v>
      </c>
      <c r="P112" s="2">
        <v>6.9478622544856761E-2</v>
      </c>
      <c r="Q112" s="2">
        <v>3.7153768708709109E-2</v>
      </c>
      <c r="R112" s="2">
        <v>2.5050184956465511E-2</v>
      </c>
      <c r="T112" s="1" t="s">
        <v>24</v>
      </c>
      <c r="U112" s="2">
        <v>1597.17</v>
      </c>
      <c r="V112" s="2">
        <v>1200.4000000000001</v>
      </c>
      <c r="W112" s="2">
        <v>1698.65</v>
      </c>
      <c r="X112" s="2">
        <v>1841.04</v>
      </c>
      <c r="Y112" s="2">
        <v>1783.41</v>
      </c>
      <c r="Z112" s="2">
        <v>1959.56</v>
      </c>
      <c r="AA112" s="2">
        <v>1840.75</v>
      </c>
      <c r="AB112" s="2">
        <v>1791.65</v>
      </c>
      <c r="AC112" s="2">
        <v>1389.32</v>
      </c>
      <c r="AD112" s="2">
        <v>1201.3599999999999</v>
      </c>
      <c r="AE112" s="2">
        <v>1225.1199999999999</v>
      </c>
      <c r="AF112" s="2">
        <v>993.64</v>
      </c>
      <c r="AG112" s="2">
        <v>840.1</v>
      </c>
      <c r="AH112" s="2">
        <v>753.44</v>
      </c>
      <c r="AI112" s="2">
        <v>1685.49</v>
      </c>
      <c r="AJ112" s="2">
        <v>1251.26</v>
      </c>
      <c r="AM112" s="1" t="s">
        <v>24</v>
      </c>
      <c r="AN112" s="2">
        <v>4405.1099999999997</v>
      </c>
      <c r="AO112" s="2">
        <v>4297.91</v>
      </c>
      <c r="AP112" s="2">
        <v>6704.23</v>
      </c>
      <c r="AQ112" s="2">
        <v>7875.17</v>
      </c>
      <c r="AR112" s="2">
        <v>7188.77</v>
      </c>
      <c r="AS112" s="2">
        <v>8283.33</v>
      </c>
      <c r="AT112" s="2">
        <v>6525.25</v>
      </c>
      <c r="AU112" s="2">
        <v>8049.02</v>
      </c>
      <c r="AV112" s="2">
        <v>5989.91</v>
      </c>
      <c r="AW112" s="2">
        <v>4783.33</v>
      </c>
      <c r="AX112" s="2">
        <v>4983.08</v>
      </c>
      <c r="AY112" s="2">
        <v>3794.11</v>
      </c>
      <c r="AZ112" s="2">
        <v>3133.59</v>
      </c>
      <c r="BA112" s="2">
        <v>2780.48</v>
      </c>
      <c r="BB112" s="2">
        <v>3827.65</v>
      </c>
      <c r="BC112" s="2">
        <v>3055.52</v>
      </c>
      <c r="BF112" s="1" t="s">
        <v>24</v>
      </c>
      <c r="BG112" s="2">
        <v>18.54</v>
      </c>
      <c r="BH112" s="2">
        <v>37.08</v>
      </c>
      <c r="BI112" s="2">
        <v>38.630000000000003</v>
      </c>
      <c r="BJ112" s="2">
        <v>38.630000000000003</v>
      </c>
      <c r="BK112" s="2">
        <v>43.26</v>
      </c>
      <c r="BL112" s="2">
        <v>43.26</v>
      </c>
      <c r="BM112" s="2">
        <v>25.49</v>
      </c>
      <c r="BN112" s="2">
        <v>50.99</v>
      </c>
      <c r="BO112" s="2">
        <v>17.93</v>
      </c>
      <c r="BP112" s="2">
        <v>11.23</v>
      </c>
      <c r="BQ112" s="2">
        <v>18.89</v>
      </c>
      <c r="BR112" s="2">
        <v>13.15</v>
      </c>
      <c r="BS112" s="2">
        <v>14.53</v>
      </c>
      <c r="BT112" s="2">
        <v>11.59</v>
      </c>
      <c r="BU112" s="2">
        <v>6.18</v>
      </c>
      <c r="BV112" s="2">
        <v>6.18</v>
      </c>
    </row>
    <row r="113" spans="2:74" x14ac:dyDescent="0.3">
      <c r="B113" s="1" t="s">
        <v>25</v>
      </c>
      <c r="C113" s="2">
        <v>0.40678533666332611</v>
      </c>
      <c r="D113" s="2">
        <v>0.52573699679090313</v>
      </c>
      <c r="E113" s="2">
        <v>0.29497018625069088</v>
      </c>
      <c r="F113" s="2">
        <v>0.33086990535306637</v>
      </c>
      <c r="G113" s="2">
        <v>0.25472361817352429</v>
      </c>
      <c r="H113" s="2">
        <v>0.35764608084117089</v>
      </c>
      <c r="I113" s="2">
        <v>0.11937734106155889</v>
      </c>
      <c r="J113" s="2">
        <v>0.31180377646010488</v>
      </c>
      <c r="K113" s="2">
        <v>0.22503159082170929</v>
      </c>
      <c r="L113" s="2">
        <v>0.23358668562847171</v>
      </c>
      <c r="M113" s="2">
        <v>0.19773900228793281</v>
      </c>
      <c r="N113" s="2">
        <v>0.21582954782146041</v>
      </c>
      <c r="O113" s="2">
        <v>7.6737793509515692E-2</v>
      </c>
      <c r="P113" s="2">
        <v>0.30411534061246931</v>
      </c>
      <c r="Q113" s="2">
        <v>0.30128558795212967</v>
      </c>
      <c r="R113" s="2">
        <v>0.34173174110385451</v>
      </c>
      <c r="T113" s="1" t="s">
        <v>25</v>
      </c>
      <c r="U113" s="2">
        <v>6919.58</v>
      </c>
      <c r="V113" s="2">
        <v>6905.15</v>
      </c>
      <c r="W113" s="2">
        <v>5377.35</v>
      </c>
      <c r="X113" s="2">
        <v>5385.37</v>
      </c>
      <c r="Y113" s="2">
        <v>6342.41</v>
      </c>
      <c r="Z113" s="2">
        <v>7652.32</v>
      </c>
      <c r="AA113" s="2">
        <v>5605.76</v>
      </c>
      <c r="AB113" s="2">
        <v>5656.9</v>
      </c>
      <c r="AC113" s="2">
        <v>5020.91</v>
      </c>
      <c r="AD113" s="2">
        <v>4317.7700000000004</v>
      </c>
      <c r="AE113" s="2">
        <v>4469.1899999999996</v>
      </c>
      <c r="AF113" s="2">
        <v>3839.32</v>
      </c>
      <c r="AG113" s="2">
        <v>951.26</v>
      </c>
      <c r="AH113" s="2">
        <v>2439.38</v>
      </c>
      <c r="AI113" s="2">
        <v>4687.82</v>
      </c>
      <c r="AJ113" s="2">
        <v>5454.84</v>
      </c>
      <c r="AM113" s="1" t="s">
        <v>25</v>
      </c>
      <c r="AN113" s="2">
        <v>19972.64</v>
      </c>
      <c r="AO113" s="2">
        <v>19591.73</v>
      </c>
      <c r="AP113" s="2">
        <v>16284.51</v>
      </c>
      <c r="AQ113" s="2">
        <v>21490.73</v>
      </c>
      <c r="AR113" s="2">
        <v>24105.45</v>
      </c>
      <c r="AS113" s="2">
        <v>26441.67</v>
      </c>
      <c r="AT113" s="2">
        <v>18645.349999999999</v>
      </c>
      <c r="AU113" s="2">
        <v>23648.81</v>
      </c>
      <c r="AV113" s="2">
        <v>18337.75</v>
      </c>
      <c r="AW113" s="2">
        <v>15841.01</v>
      </c>
      <c r="AX113" s="2">
        <v>14222.22</v>
      </c>
      <c r="AY113" s="2">
        <v>12278.01</v>
      </c>
      <c r="AZ113" s="2">
        <v>5809.54</v>
      </c>
      <c r="BA113" s="2">
        <v>8577.74</v>
      </c>
      <c r="BB113" s="2">
        <v>9132.8799999999992</v>
      </c>
      <c r="BC113" s="2">
        <v>11963.35</v>
      </c>
      <c r="BF113" s="1" t="s">
        <v>25</v>
      </c>
      <c r="BG113" s="2">
        <v>74.16</v>
      </c>
      <c r="BH113" s="2">
        <v>74.16</v>
      </c>
      <c r="BI113" s="2">
        <v>57.94</v>
      </c>
      <c r="BJ113" s="2">
        <v>57.94</v>
      </c>
      <c r="BK113" s="2">
        <v>64.89</v>
      </c>
      <c r="BL113" s="2">
        <v>67.319999999999993</v>
      </c>
      <c r="BM113" s="2">
        <v>25.49</v>
      </c>
      <c r="BN113" s="2">
        <v>54.22</v>
      </c>
      <c r="BO113" s="2">
        <v>20.079999999999998</v>
      </c>
      <c r="BP113" s="2">
        <v>20.079999999999998</v>
      </c>
      <c r="BQ113" s="2">
        <v>20.079999999999998</v>
      </c>
      <c r="BR113" s="2">
        <v>20.079999999999998</v>
      </c>
      <c r="BS113" s="2">
        <v>10.62</v>
      </c>
      <c r="BT113" s="2">
        <v>16.22</v>
      </c>
      <c r="BU113" s="2">
        <v>18.54</v>
      </c>
      <c r="BV113" s="2">
        <v>20.68</v>
      </c>
    </row>
    <row r="114" spans="2:74" x14ac:dyDescent="0.3">
      <c r="B114" s="1" t="s">
        <v>26</v>
      </c>
      <c r="C114" s="2">
        <v>4.4198012276712578E-2</v>
      </c>
      <c r="D114" s="2">
        <v>7.5138533627418819E-2</v>
      </c>
      <c r="E114" s="2">
        <v>5.5260503401859527E-2</v>
      </c>
      <c r="F114" s="2">
        <v>1.5998324952298311E-2</v>
      </c>
      <c r="G114" s="2">
        <v>4.2031155898958998E-2</v>
      </c>
      <c r="H114" s="2">
        <v>5.1735637162428932E-2</v>
      </c>
      <c r="I114" s="2">
        <v>3.9645821688625182E-2</v>
      </c>
      <c r="J114" s="2">
        <v>5.5760990935715737E-2</v>
      </c>
      <c r="K114" s="2">
        <v>0.15330695307400621</v>
      </c>
      <c r="L114" s="2">
        <v>0.15653074638126249</v>
      </c>
      <c r="M114" s="2">
        <v>0.15108280878221339</v>
      </c>
      <c r="N114" s="2">
        <v>0.1622698738188631</v>
      </c>
      <c r="O114" s="2">
        <v>5.5233040027148912E-2</v>
      </c>
      <c r="P114" s="2">
        <v>7.6940864509314671E-2</v>
      </c>
      <c r="Q114" s="2">
        <v>7.4900791773998221E-2</v>
      </c>
      <c r="R114" s="2">
        <v>5.8721685724180413E-2</v>
      </c>
      <c r="T114" s="1" t="s">
        <v>26</v>
      </c>
      <c r="U114" s="2">
        <v>2986.48</v>
      </c>
      <c r="V114" s="2">
        <v>3212.53</v>
      </c>
      <c r="W114" s="2">
        <v>2854.84</v>
      </c>
      <c r="X114" s="2">
        <v>2495.1999999999998</v>
      </c>
      <c r="Y114" s="2">
        <v>3036.56</v>
      </c>
      <c r="Z114" s="2">
        <v>3378.28</v>
      </c>
      <c r="AA114" s="2">
        <v>1880.39</v>
      </c>
      <c r="AB114" s="2">
        <v>2359.46</v>
      </c>
      <c r="AC114" s="2">
        <v>3353.91</v>
      </c>
      <c r="AD114" s="2">
        <v>3011.48</v>
      </c>
      <c r="AE114" s="2">
        <v>3353.91</v>
      </c>
      <c r="AF114" s="2">
        <v>3011.48</v>
      </c>
      <c r="AG114" s="2">
        <v>816.55</v>
      </c>
      <c r="AH114" s="2">
        <v>901.71</v>
      </c>
      <c r="AI114" s="2">
        <v>3095.5</v>
      </c>
      <c r="AJ114" s="2">
        <v>2684.84</v>
      </c>
      <c r="AM114" s="1" t="s">
        <v>26</v>
      </c>
      <c r="AN114" s="2">
        <v>9399.92</v>
      </c>
      <c r="AO114" s="2">
        <v>12957.47</v>
      </c>
      <c r="AP114" s="2">
        <v>7124.36</v>
      </c>
      <c r="AQ114" s="2">
        <v>9714.2000000000007</v>
      </c>
      <c r="AR114" s="2">
        <v>6835.24</v>
      </c>
      <c r="AS114" s="2">
        <v>8733.92</v>
      </c>
      <c r="AT114" s="2">
        <v>6016.21</v>
      </c>
      <c r="AU114" s="2">
        <v>9055.5400000000009</v>
      </c>
      <c r="AV114" s="2">
        <v>8875.59</v>
      </c>
      <c r="AW114" s="2">
        <v>7402.27</v>
      </c>
      <c r="AX114" s="2">
        <v>8875.59</v>
      </c>
      <c r="AY114" s="2">
        <v>7402.27</v>
      </c>
      <c r="AZ114" s="2">
        <v>2558.75</v>
      </c>
      <c r="BA114" s="2">
        <v>2904.39</v>
      </c>
      <c r="BB114" s="2">
        <v>7627.58</v>
      </c>
      <c r="BC114" s="2">
        <v>7297.63</v>
      </c>
      <c r="BF114" s="1" t="s">
        <v>26</v>
      </c>
      <c r="BG114" s="2">
        <v>18.54</v>
      </c>
      <c r="BH114" s="2">
        <v>23.64</v>
      </c>
      <c r="BI114" s="2">
        <v>19.309999999999999</v>
      </c>
      <c r="BJ114" s="2">
        <v>6.08</v>
      </c>
      <c r="BK114" s="2">
        <v>21.63</v>
      </c>
      <c r="BL114" s="2">
        <v>21.63</v>
      </c>
      <c r="BM114" s="2">
        <v>25.49</v>
      </c>
      <c r="BN114" s="2">
        <v>23.78</v>
      </c>
      <c r="BO114" s="2">
        <v>20.079999999999998</v>
      </c>
      <c r="BP114" s="2">
        <v>20.079999999999998</v>
      </c>
      <c r="BQ114" s="2">
        <v>20.079999999999998</v>
      </c>
      <c r="BR114" s="2">
        <v>20.079999999999998</v>
      </c>
      <c r="BS114" s="2">
        <v>9.89</v>
      </c>
      <c r="BT114" s="2">
        <v>11.55</v>
      </c>
      <c r="BU114" s="2">
        <v>6.18</v>
      </c>
      <c r="BV114" s="2">
        <v>6.18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315.07</v>
      </c>
      <c r="V121" s="2">
        <v>346.83</v>
      </c>
      <c r="W121" s="2">
        <v>231.26</v>
      </c>
      <c r="X121" s="2">
        <v>45.49</v>
      </c>
      <c r="Y121" s="2">
        <v>61.98</v>
      </c>
      <c r="Z121" s="2">
        <v>136.63</v>
      </c>
      <c r="AA121" s="2">
        <v>18.25</v>
      </c>
      <c r="AB121" s="2">
        <v>228.89</v>
      </c>
      <c r="AC121" s="2">
        <v>332.05</v>
      </c>
      <c r="AD121" s="2">
        <v>105.95</v>
      </c>
      <c r="AE121" s="2">
        <v>234.31</v>
      </c>
      <c r="AF121" s="2">
        <v>61.71</v>
      </c>
      <c r="AG121" s="2">
        <v>101.84</v>
      </c>
      <c r="AH121" s="2">
        <v>234.27</v>
      </c>
      <c r="AI121" s="2">
        <v>16.93</v>
      </c>
      <c r="AJ121" s="2">
        <v>281.20999999999998</v>
      </c>
      <c r="AM121" s="1" t="s">
        <v>19</v>
      </c>
      <c r="AN121" s="2">
        <v>625.73</v>
      </c>
      <c r="AO121" s="2">
        <v>871.17</v>
      </c>
      <c r="AP121" s="2">
        <v>680.14</v>
      </c>
      <c r="AQ121" s="2">
        <v>813.83</v>
      </c>
      <c r="AR121" s="2">
        <v>1153.78</v>
      </c>
      <c r="AS121" s="2">
        <v>1079.1300000000001</v>
      </c>
      <c r="AT121" s="2">
        <v>325.73</v>
      </c>
      <c r="AU121" s="2">
        <v>268.39</v>
      </c>
      <c r="AV121" s="2">
        <v>659.15</v>
      </c>
      <c r="AW121" s="2">
        <v>1271.3</v>
      </c>
      <c r="AX121" s="2">
        <v>677.09</v>
      </c>
      <c r="AY121" s="2">
        <v>1084.05</v>
      </c>
      <c r="AZ121" s="2">
        <v>931.92</v>
      </c>
      <c r="BA121" s="2">
        <v>768.55</v>
      </c>
      <c r="BB121" s="2">
        <v>302.06</v>
      </c>
      <c r="BC121" s="2">
        <v>328.07</v>
      </c>
      <c r="BF121" s="1" t="s">
        <v>19</v>
      </c>
      <c r="BG121" s="2">
        <v>14473.35</v>
      </c>
      <c r="BH121" s="2">
        <v>15276.42</v>
      </c>
      <c r="BI121" s="2">
        <v>16122.03</v>
      </c>
      <c r="BJ121" s="2">
        <v>16462.900000000001</v>
      </c>
      <c r="BK121" s="2">
        <v>131.88</v>
      </c>
      <c r="BL121" s="2">
        <v>131.94</v>
      </c>
      <c r="BM121" s="2">
        <v>86193.35</v>
      </c>
      <c r="BN121" s="2">
        <v>228612.1</v>
      </c>
      <c r="BO121" s="2">
        <v>44582.47</v>
      </c>
      <c r="BP121" s="2">
        <v>19227.02</v>
      </c>
      <c r="BQ121" s="2">
        <v>19220.89</v>
      </c>
      <c r="BR121" s="2">
        <v>25497.119999999999</v>
      </c>
      <c r="BS121" s="2">
        <v>457568.3</v>
      </c>
      <c r="BT121" s="2">
        <v>750036.13</v>
      </c>
      <c r="BU121" s="2">
        <v>1469.53</v>
      </c>
      <c r="BV121" s="2">
        <v>2030.21</v>
      </c>
    </row>
    <row r="122" spans="2:74" x14ac:dyDescent="0.3">
      <c r="T122" s="1" t="s">
        <v>20</v>
      </c>
      <c r="U122" s="2">
        <v>93.38</v>
      </c>
      <c r="V122" s="2">
        <v>100.55</v>
      </c>
      <c r="W122" s="2">
        <v>98.05</v>
      </c>
      <c r="X122" s="2">
        <v>95.51</v>
      </c>
      <c r="Y122" s="2">
        <v>103.3</v>
      </c>
      <c r="Z122" s="2">
        <v>103.3</v>
      </c>
      <c r="AA122" s="2">
        <v>78.8</v>
      </c>
      <c r="AB122" s="2">
        <v>34.659999999999997</v>
      </c>
      <c r="AC122" s="2">
        <v>83.29</v>
      </c>
      <c r="AD122" s="2">
        <v>72.599999999999994</v>
      </c>
      <c r="AE122" s="2">
        <v>127.08</v>
      </c>
      <c r="AF122" s="2">
        <v>125.44</v>
      </c>
      <c r="AG122" s="2">
        <v>95.79</v>
      </c>
      <c r="AH122" s="2">
        <v>94.61</v>
      </c>
      <c r="AI122" s="2">
        <v>63.49</v>
      </c>
      <c r="AJ122" s="2">
        <v>38.200000000000003</v>
      </c>
      <c r="AM122" s="1" t="s">
        <v>20</v>
      </c>
      <c r="AN122" s="2">
        <v>337.29</v>
      </c>
      <c r="AO122" s="2">
        <v>584.45000000000005</v>
      </c>
      <c r="AP122" s="2">
        <v>368.44</v>
      </c>
      <c r="AQ122" s="2">
        <v>358.98</v>
      </c>
      <c r="AR122" s="2">
        <v>352.48</v>
      </c>
      <c r="AS122" s="2">
        <v>352.48</v>
      </c>
      <c r="AT122" s="2">
        <v>261.19</v>
      </c>
      <c r="AU122" s="2">
        <v>118.56</v>
      </c>
      <c r="AV122" s="2">
        <v>349.19</v>
      </c>
      <c r="AW122" s="2">
        <v>236.55</v>
      </c>
      <c r="AX122" s="2">
        <v>337.07</v>
      </c>
      <c r="AY122" s="2">
        <v>401.24</v>
      </c>
      <c r="AZ122" s="2">
        <v>494.41</v>
      </c>
      <c r="BA122" s="2">
        <v>487.01</v>
      </c>
      <c r="BB122" s="2">
        <v>213.5</v>
      </c>
      <c r="BC122" s="2">
        <v>123.67</v>
      </c>
      <c r="BF122" s="1" t="s">
        <v>20</v>
      </c>
      <c r="BG122" s="2">
        <v>389.99</v>
      </c>
      <c r="BH122" s="2">
        <v>807.55</v>
      </c>
      <c r="BI122" s="2">
        <v>541.78</v>
      </c>
      <c r="BJ122" s="2">
        <v>455.5</v>
      </c>
      <c r="BK122" s="2">
        <v>319.77999999999997</v>
      </c>
      <c r="BL122" s="2">
        <v>375.28</v>
      </c>
      <c r="BM122" s="2">
        <v>387.22</v>
      </c>
      <c r="BN122" s="2">
        <v>592.86</v>
      </c>
      <c r="BO122" s="2">
        <v>602.44000000000005</v>
      </c>
      <c r="BP122" s="2">
        <v>666.75</v>
      </c>
      <c r="BQ122" s="2">
        <v>602.44000000000005</v>
      </c>
      <c r="BR122" s="2">
        <v>669.54</v>
      </c>
      <c r="BS122" s="2">
        <v>679.95</v>
      </c>
      <c r="BT122" s="2">
        <v>821.4</v>
      </c>
      <c r="BU122" s="2">
        <v>408.41</v>
      </c>
      <c r="BV122" s="2">
        <v>413.13</v>
      </c>
    </row>
    <row r="123" spans="2:74" x14ac:dyDescent="0.3">
      <c r="T123" s="1" t="s">
        <v>21</v>
      </c>
      <c r="U123" s="2">
        <v>610.97</v>
      </c>
      <c r="V123" s="2">
        <v>538.61</v>
      </c>
      <c r="W123" s="2">
        <v>659.56</v>
      </c>
      <c r="X123" s="2">
        <v>806.29</v>
      </c>
      <c r="Y123" s="2">
        <v>323.14</v>
      </c>
      <c r="Z123" s="2">
        <v>288.48</v>
      </c>
      <c r="AA123" s="2">
        <v>279.13</v>
      </c>
      <c r="AB123" s="2">
        <v>151.44999999999999</v>
      </c>
      <c r="AC123" s="2">
        <v>444.6</v>
      </c>
      <c r="AD123" s="2">
        <v>505.44</v>
      </c>
      <c r="AE123" s="2">
        <v>563.23</v>
      </c>
      <c r="AF123" s="2">
        <v>681.77</v>
      </c>
      <c r="AG123" s="2">
        <v>414.84</v>
      </c>
      <c r="AH123" s="2">
        <v>372.61</v>
      </c>
      <c r="AI123" s="2">
        <v>210.59</v>
      </c>
      <c r="AJ123" s="2">
        <v>166.12</v>
      </c>
      <c r="AM123" s="1" t="s">
        <v>21</v>
      </c>
      <c r="AN123" s="2">
        <v>1739.21</v>
      </c>
      <c r="AO123" s="2">
        <v>2606.89</v>
      </c>
      <c r="AP123" s="2">
        <v>2182.34</v>
      </c>
      <c r="AQ123" s="2">
        <v>2900</v>
      </c>
      <c r="AR123" s="2">
        <v>1582.5</v>
      </c>
      <c r="AS123" s="2">
        <v>1287.1199999999999</v>
      </c>
      <c r="AT123" s="2">
        <v>934.67</v>
      </c>
      <c r="AU123" s="2">
        <v>439.43</v>
      </c>
      <c r="AV123" s="2">
        <v>959.69</v>
      </c>
      <c r="AW123" s="2">
        <v>1139.28</v>
      </c>
      <c r="AX123" s="2">
        <v>2633.18</v>
      </c>
      <c r="AY123" s="2">
        <v>3208.09</v>
      </c>
      <c r="AZ123" s="2">
        <v>1810.48</v>
      </c>
      <c r="BA123" s="2">
        <v>1450.25</v>
      </c>
      <c r="BB123" s="2">
        <v>672.67</v>
      </c>
      <c r="BC123" s="2">
        <v>417.32</v>
      </c>
      <c r="BF123" s="1" t="s">
        <v>21</v>
      </c>
      <c r="BG123" s="2">
        <v>299.45999999999998</v>
      </c>
      <c r="BH123" s="2">
        <v>598.49</v>
      </c>
      <c r="BI123" s="2">
        <v>406.1</v>
      </c>
      <c r="BJ123" s="2">
        <v>285.42</v>
      </c>
      <c r="BK123" s="2">
        <v>293.83999999999997</v>
      </c>
      <c r="BL123" s="2">
        <v>451.98</v>
      </c>
      <c r="BM123" s="2">
        <v>316.27</v>
      </c>
      <c r="BN123" s="2">
        <v>616.14</v>
      </c>
      <c r="BO123" s="2">
        <v>2845.51</v>
      </c>
      <c r="BP123" s="2">
        <v>1541.57</v>
      </c>
      <c r="BQ123" s="2">
        <v>3106.62</v>
      </c>
      <c r="BR123" s="2">
        <v>1706.96</v>
      </c>
      <c r="BS123" s="2">
        <v>1874.23</v>
      </c>
      <c r="BT123" s="2">
        <v>24003.33</v>
      </c>
      <c r="BU123" s="2">
        <v>337.65</v>
      </c>
      <c r="BV123" s="2">
        <v>293.38</v>
      </c>
    </row>
    <row r="124" spans="2:74" x14ac:dyDescent="0.3">
      <c r="T124" s="1" t="s">
        <v>22</v>
      </c>
      <c r="U124" s="2">
        <v>128.54</v>
      </c>
      <c r="V124" s="2">
        <v>200.36</v>
      </c>
      <c r="W124" s="2">
        <v>169.66</v>
      </c>
      <c r="X124" s="2">
        <v>212.62</v>
      </c>
      <c r="Y124" s="2">
        <v>132.85</v>
      </c>
      <c r="Z124" s="2">
        <v>114.61</v>
      </c>
      <c r="AA124" s="2">
        <v>48.71</v>
      </c>
      <c r="AB124" s="2">
        <v>47.51</v>
      </c>
      <c r="AC124" s="2">
        <v>121.31</v>
      </c>
      <c r="AD124" s="2">
        <v>164.87</v>
      </c>
      <c r="AE124" s="2">
        <v>205.36</v>
      </c>
      <c r="AF124" s="2">
        <v>145.72</v>
      </c>
      <c r="AG124" s="2">
        <v>46.44</v>
      </c>
      <c r="AH124" s="2">
        <v>80.47</v>
      </c>
      <c r="AI124" s="2">
        <v>48.71</v>
      </c>
      <c r="AJ124" s="2">
        <v>47.88</v>
      </c>
      <c r="AM124" s="1" t="s">
        <v>22</v>
      </c>
      <c r="AN124" s="2">
        <v>515.58000000000004</v>
      </c>
      <c r="AO124" s="2">
        <v>858</v>
      </c>
      <c r="AP124" s="2">
        <v>704.11</v>
      </c>
      <c r="AQ124" s="2">
        <v>1254.56</v>
      </c>
      <c r="AR124" s="2">
        <v>609.48</v>
      </c>
      <c r="AS124" s="2">
        <v>480.01</v>
      </c>
      <c r="AT124" s="2">
        <v>228.29</v>
      </c>
      <c r="AU124" s="2">
        <v>119.86</v>
      </c>
      <c r="AV124" s="2">
        <v>281.42</v>
      </c>
      <c r="AW124" s="2">
        <v>647.66999999999996</v>
      </c>
      <c r="AX124" s="2">
        <v>821.75</v>
      </c>
      <c r="AY124" s="2">
        <v>784.88</v>
      </c>
      <c r="AZ124" s="2">
        <v>417.92</v>
      </c>
      <c r="BA124" s="2">
        <v>383.89</v>
      </c>
      <c r="BB124" s="2">
        <v>228.28</v>
      </c>
      <c r="BC124" s="2">
        <v>121.54</v>
      </c>
      <c r="BF124" s="1" t="s">
        <v>22</v>
      </c>
      <c r="BG124" s="2">
        <v>397.85</v>
      </c>
      <c r="BH124" s="2">
        <v>377.56</v>
      </c>
      <c r="BI124" s="2">
        <v>363.15</v>
      </c>
      <c r="BJ124" s="2">
        <v>386.16</v>
      </c>
      <c r="BK124" s="2">
        <v>350.58</v>
      </c>
      <c r="BL124" s="2">
        <v>348.32</v>
      </c>
      <c r="BM124" s="2">
        <v>517.39</v>
      </c>
      <c r="BN124" s="2">
        <v>563.41</v>
      </c>
      <c r="BO124" s="2">
        <v>782.4</v>
      </c>
      <c r="BP124" s="2">
        <v>24158.25</v>
      </c>
      <c r="BQ124" s="2">
        <v>844.7</v>
      </c>
      <c r="BR124" s="2">
        <v>6858.38</v>
      </c>
      <c r="BS124" s="2">
        <v>8663.5499999999993</v>
      </c>
      <c r="BT124" s="2">
        <v>8661.5499999999993</v>
      </c>
      <c r="BU124" s="2">
        <v>371.54</v>
      </c>
      <c r="BV124" s="2">
        <v>377.57</v>
      </c>
    </row>
    <row r="125" spans="2:74" x14ac:dyDescent="0.3">
      <c r="T125" s="1" t="s">
        <v>23</v>
      </c>
      <c r="U125" s="2">
        <v>496.74</v>
      </c>
      <c r="V125" s="2">
        <v>916</v>
      </c>
      <c r="W125" s="2">
        <v>861.72</v>
      </c>
      <c r="X125" s="2">
        <v>602.05999999999995</v>
      </c>
      <c r="Y125" s="2">
        <v>577.39</v>
      </c>
      <c r="Z125" s="2">
        <v>514.46</v>
      </c>
      <c r="AA125" s="2">
        <v>238.5</v>
      </c>
      <c r="AB125" s="2">
        <v>275.45999999999998</v>
      </c>
      <c r="AC125" s="2">
        <v>413.03</v>
      </c>
      <c r="AD125" s="2">
        <v>811.3</v>
      </c>
      <c r="AE125" s="2">
        <v>718.28</v>
      </c>
      <c r="AF125" s="2">
        <v>654.75</v>
      </c>
      <c r="AG125" s="2">
        <v>586.94000000000005</v>
      </c>
      <c r="AH125" s="2">
        <v>573.86</v>
      </c>
      <c r="AI125" s="2">
        <v>230.16</v>
      </c>
      <c r="AJ125" s="2">
        <v>244.83</v>
      </c>
      <c r="AM125" s="1" t="s">
        <v>23</v>
      </c>
      <c r="AN125" s="2">
        <v>1367.05</v>
      </c>
      <c r="AO125" s="2">
        <v>2486.19</v>
      </c>
      <c r="AP125" s="2">
        <v>2352.89</v>
      </c>
      <c r="AQ125" s="2">
        <v>3052.69</v>
      </c>
      <c r="AR125" s="2">
        <v>2634.91</v>
      </c>
      <c r="AS125" s="2">
        <v>2632.84</v>
      </c>
      <c r="AT125" s="2">
        <v>1093.95</v>
      </c>
      <c r="AU125" s="2">
        <v>734.43</v>
      </c>
      <c r="AV125" s="2">
        <v>1570.16</v>
      </c>
      <c r="AW125" s="2">
        <v>2250.02</v>
      </c>
      <c r="AX125" s="2">
        <v>2937.92</v>
      </c>
      <c r="AY125" s="2">
        <v>3511.5</v>
      </c>
      <c r="AZ125" s="2">
        <v>2885.36</v>
      </c>
      <c r="BA125" s="2">
        <v>2811.34</v>
      </c>
      <c r="BB125" s="2">
        <v>1066.5899999999999</v>
      </c>
      <c r="BC125" s="2">
        <v>661.25</v>
      </c>
      <c r="BF125" s="1" t="s">
        <v>23</v>
      </c>
      <c r="BG125" s="2">
        <v>372.33</v>
      </c>
      <c r="BH125" s="2">
        <v>425.71</v>
      </c>
      <c r="BI125" s="2">
        <v>337.53</v>
      </c>
      <c r="BJ125" s="2">
        <v>347.65</v>
      </c>
      <c r="BK125" s="2">
        <v>304.35000000000002</v>
      </c>
      <c r="BL125" s="2">
        <v>358.35</v>
      </c>
      <c r="BM125" s="2">
        <v>880.74</v>
      </c>
      <c r="BN125" s="2">
        <v>635.79</v>
      </c>
      <c r="BO125" s="2">
        <v>642.75</v>
      </c>
      <c r="BP125" s="2">
        <v>932.38</v>
      </c>
      <c r="BQ125" s="2">
        <v>642.61</v>
      </c>
      <c r="BR125" s="2">
        <v>942.1</v>
      </c>
      <c r="BS125" s="2">
        <v>1583.7</v>
      </c>
      <c r="BT125" s="2">
        <v>1769.78</v>
      </c>
      <c r="BU125" s="2">
        <v>353.65</v>
      </c>
      <c r="BV125" s="2">
        <v>359.29</v>
      </c>
    </row>
    <row r="126" spans="2:74" x14ac:dyDescent="0.3">
      <c r="T126" s="1" t="s">
        <v>24</v>
      </c>
      <c r="U126" s="2">
        <v>94.17</v>
      </c>
      <c r="V126" s="2">
        <v>126.97</v>
      </c>
      <c r="W126" s="2">
        <v>150.24</v>
      </c>
      <c r="X126" s="2">
        <v>178.71</v>
      </c>
      <c r="Y126" s="2">
        <v>106.58</v>
      </c>
      <c r="Z126" s="2">
        <v>93.77</v>
      </c>
      <c r="AA126" s="2">
        <v>58.84</v>
      </c>
      <c r="AB126" s="2">
        <v>39.71</v>
      </c>
      <c r="AC126" s="2">
        <v>65.14</v>
      </c>
      <c r="AD126" s="2">
        <v>85.84</v>
      </c>
      <c r="AE126" s="2">
        <v>118.11</v>
      </c>
      <c r="AF126" s="2">
        <v>107.06</v>
      </c>
      <c r="AG126" s="2">
        <v>96.78</v>
      </c>
      <c r="AH126" s="2">
        <v>79.8</v>
      </c>
      <c r="AI126" s="2">
        <v>52.56</v>
      </c>
      <c r="AJ126" s="2">
        <v>18.09</v>
      </c>
      <c r="AM126" s="1" t="s">
        <v>24</v>
      </c>
      <c r="AN126" s="2">
        <v>259.73</v>
      </c>
      <c r="AO126" s="2">
        <v>489.71</v>
      </c>
      <c r="AP126" s="2">
        <v>586.98</v>
      </c>
      <c r="AQ126" s="2">
        <v>623.85</v>
      </c>
      <c r="AR126" s="2">
        <v>449.1</v>
      </c>
      <c r="AS126" s="2">
        <v>375.01</v>
      </c>
      <c r="AT126" s="2">
        <v>218.2</v>
      </c>
      <c r="AU126" s="2">
        <v>89.97</v>
      </c>
      <c r="AV126" s="2">
        <v>230.12</v>
      </c>
      <c r="AW126" s="2">
        <v>353.18</v>
      </c>
      <c r="AX126" s="2">
        <v>478.1</v>
      </c>
      <c r="AY126" s="2">
        <v>456.26</v>
      </c>
      <c r="AZ126" s="2">
        <v>380.59</v>
      </c>
      <c r="BA126" s="2">
        <v>302.14999999999998</v>
      </c>
      <c r="BB126" s="2">
        <v>193.16</v>
      </c>
      <c r="BC126" s="2">
        <v>44.18</v>
      </c>
      <c r="BF126" s="1" t="s">
        <v>24</v>
      </c>
      <c r="BG126" s="2">
        <v>395.98</v>
      </c>
      <c r="BH126" s="2">
        <v>468.91</v>
      </c>
      <c r="BI126" s="2">
        <v>397.44</v>
      </c>
      <c r="BJ126" s="2">
        <v>413.09</v>
      </c>
      <c r="BK126" s="2">
        <v>379.59</v>
      </c>
      <c r="BL126" s="2">
        <v>381.19</v>
      </c>
      <c r="BM126" s="2">
        <v>476.9</v>
      </c>
      <c r="BN126" s="2">
        <v>435.57</v>
      </c>
      <c r="BO126" s="2">
        <v>779.86</v>
      </c>
      <c r="BP126" s="2">
        <v>1364.39</v>
      </c>
      <c r="BQ126" s="2">
        <v>849.51</v>
      </c>
      <c r="BR126" s="2">
        <v>1602.64</v>
      </c>
      <c r="BS126" s="2">
        <v>1295.82</v>
      </c>
      <c r="BT126" s="2">
        <v>2112.81</v>
      </c>
      <c r="BU126" s="2">
        <v>400.05</v>
      </c>
      <c r="BV126" s="2">
        <v>455.61</v>
      </c>
    </row>
    <row r="127" spans="2:74" x14ac:dyDescent="0.3">
      <c r="T127" s="1" t="s">
        <v>25</v>
      </c>
      <c r="U127" s="2">
        <v>315.68</v>
      </c>
      <c r="V127" s="2">
        <v>326.16000000000003</v>
      </c>
      <c r="W127" s="2">
        <v>300.86</v>
      </c>
      <c r="X127" s="2">
        <v>463.98</v>
      </c>
      <c r="Y127" s="2">
        <v>246.32</v>
      </c>
      <c r="Z127" s="2">
        <v>219.93</v>
      </c>
      <c r="AA127" s="2">
        <v>65.349999999999994</v>
      </c>
      <c r="AB127" s="2">
        <v>92.81</v>
      </c>
      <c r="AC127" s="2">
        <v>362.61</v>
      </c>
      <c r="AD127" s="2">
        <v>276.68</v>
      </c>
      <c r="AE127" s="2">
        <v>325.98</v>
      </c>
      <c r="AF127" s="2">
        <v>231.23</v>
      </c>
      <c r="AG127" s="2">
        <v>232.99</v>
      </c>
      <c r="AH127" s="2">
        <v>208.33</v>
      </c>
      <c r="AI127" s="2">
        <v>158.18</v>
      </c>
      <c r="AJ127" s="2">
        <v>87.17</v>
      </c>
      <c r="AM127" s="1" t="s">
        <v>25</v>
      </c>
      <c r="AN127" s="2">
        <v>885.65</v>
      </c>
      <c r="AO127" s="2">
        <v>966.73</v>
      </c>
      <c r="AP127" s="2">
        <v>1099.72</v>
      </c>
      <c r="AQ127" s="2">
        <v>1520.39</v>
      </c>
      <c r="AR127" s="2">
        <v>887.78</v>
      </c>
      <c r="AS127" s="2">
        <v>693.44</v>
      </c>
      <c r="AT127" s="2">
        <v>365.57</v>
      </c>
      <c r="AU127" s="2">
        <v>180.03</v>
      </c>
      <c r="AV127" s="2">
        <v>998.68</v>
      </c>
      <c r="AW127" s="2">
        <v>1063.57</v>
      </c>
      <c r="AX127" s="2">
        <v>1074.1199999999999</v>
      </c>
      <c r="AY127" s="2">
        <v>920.37</v>
      </c>
      <c r="AZ127" s="2">
        <v>844.54</v>
      </c>
      <c r="BA127" s="2">
        <v>661.02</v>
      </c>
      <c r="BB127" s="2">
        <v>554.04</v>
      </c>
      <c r="BC127" s="2">
        <v>190.36</v>
      </c>
      <c r="BF127" s="1" t="s">
        <v>25</v>
      </c>
      <c r="BG127" s="2">
        <v>339.85</v>
      </c>
      <c r="BH127" s="2">
        <v>343.49</v>
      </c>
      <c r="BI127" s="2">
        <v>376.63</v>
      </c>
      <c r="BJ127" s="2">
        <v>435.86</v>
      </c>
      <c r="BK127" s="2">
        <v>384.39</v>
      </c>
      <c r="BL127" s="2">
        <v>354.52</v>
      </c>
      <c r="BM127" s="2">
        <v>628.58000000000004</v>
      </c>
      <c r="BN127" s="2">
        <v>517.04999999999995</v>
      </c>
      <c r="BO127" s="2">
        <v>877.3</v>
      </c>
      <c r="BP127" s="2">
        <v>1074.45</v>
      </c>
      <c r="BQ127" s="2">
        <v>984.4</v>
      </c>
      <c r="BR127" s="2">
        <v>1213.73</v>
      </c>
      <c r="BS127" s="2">
        <v>91680.69</v>
      </c>
      <c r="BT127" s="2">
        <v>3146.87</v>
      </c>
      <c r="BU127" s="2">
        <v>339.46</v>
      </c>
      <c r="BV127" s="2">
        <v>329.87</v>
      </c>
    </row>
    <row r="128" spans="2:74" x14ac:dyDescent="0.3">
      <c r="T128" s="1" t="s">
        <v>26</v>
      </c>
      <c r="U128" s="2">
        <v>134.47</v>
      </c>
      <c r="V128" s="2">
        <v>156.38</v>
      </c>
      <c r="W128" s="2">
        <v>140.41999999999999</v>
      </c>
      <c r="X128" s="2">
        <v>102.61</v>
      </c>
      <c r="Y128" s="2">
        <v>121.98</v>
      </c>
      <c r="Z128" s="2">
        <v>121.98</v>
      </c>
      <c r="AA128" s="2">
        <v>28.06</v>
      </c>
      <c r="AB128" s="2">
        <v>54.36</v>
      </c>
      <c r="AC128" s="2">
        <v>85.33</v>
      </c>
      <c r="AD128" s="2">
        <v>76.92</v>
      </c>
      <c r="AE128" s="2">
        <v>120.18</v>
      </c>
      <c r="AF128" s="2">
        <v>31.93</v>
      </c>
      <c r="AG128" s="2">
        <v>89.29</v>
      </c>
      <c r="AH128" s="2">
        <v>89.29</v>
      </c>
      <c r="AI128" s="2">
        <v>29.87</v>
      </c>
      <c r="AJ128" s="2">
        <v>26.48</v>
      </c>
      <c r="AM128" s="1" t="s">
        <v>26</v>
      </c>
      <c r="AN128" s="2">
        <v>421.37</v>
      </c>
      <c r="AO128" s="2">
        <v>388.87</v>
      </c>
      <c r="AP128" s="2">
        <v>314.86</v>
      </c>
      <c r="AQ128" s="2">
        <v>327.05</v>
      </c>
      <c r="AR128" s="2">
        <v>321.06</v>
      </c>
      <c r="AS128" s="2">
        <v>321.06</v>
      </c>
      <c r="AT128" s="2">
        <v>87.86</v>
      </c>
      <c r="AU128" s="2">
        <v>133.94999999999999</v>
      </c>
      <c r="AV128" s="2">
        <v>339.47</v>
      </c>
      <c r="AW128" s="2">
        <v>298.08</v>
      </c>
      <c r="AX128" s="2">
        <v>309.06</v>
      </c>
      <c r="AY128" s="2">
        <v>121.52</v>
      </c>
      <c r="AZ128" s="2">
        <v>218.52</v>
      </c>
      <c r="BA128" s="2">
        <v>218.52</v>
      </c>
      <c r="BB128" s="2">
        <v>96.13</v>
      </c>
      <c r="BC128" s="2">
        <v>71.97</v>
      </c>
      <c r="BF128" s="1" t="s">
        <v>26</v>
      </c>
      <c r="BG128" s="2">
        <v>767.43</v>
      </c>
      <c r="BH128" s="2">
        <v>722.6</v>
      </c>
      <c r="BI128" s="2">
        <v>624.63</v>
      </c>
      <c r="BJ128" s="2">
        <v>6000.21</v>
      </c>
      <c r="BK128" s="2">
        <v>493.7</v>
      </c>
      <c r="BL128" s="2">
        <v>510.15</v>
      </c>
      <c r="BM128" s="2">
        <v>1196.72</v>
      </c>
      <c r="BN128" s="2">
        <v>1372.77</v>
      </c>
      <c r="BO128" s="2">
        <v>695.76</v>
      </c>
      <c r="BP128" s="2">
        <v>743.95</v>
      </c>
      <c r="BQ128" s="2">
        <v>695.76</v>
      </c>
      <c r="BR128" s="2">
        <v>743.95</v>
      </c>
      <c r="BS128" s="2">
        <v>10593.98</v>
      </c>
      <c r="BT128" s="2">
        <v>6004.92</v>
      </c>
      <c r="BU128" s="2">
        <v>548.32000000000005</v>
      </c>
      <c r="BV128" s="2">
        <v>603.51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131.28</v>
      </c>
      <c r="V135" s="2">
        <v>138.35</v>
      </c>
      <c r="W135" s="2">
        <v>138.72999999999999</v>
      </c>
      <c r="X135" s="2">
        <v>42.38</v>
      </c>
      <c r="Y135" s="2">
        <v>82.59</v>
      </c>
      <c r="Z135" s="2">
        <v>83.68</v>
      </c>
      <c r="AA135" s="2">
        <v>13.78</v>
      </c>
      <c r="AB135" s="2">
        <v>18.7</v>
      </c>
      <c r="AC135" s="2">
        <v>23.84</v>
      </c>
      <c r="AD135" s="2">
        <v>39.17</v>
      </c>
      <c r="AE135" s="2">
        <v>52.55</v>
      </c>
      <c r="AF135" s="2">
        <v>90.1</v>
      </c>
      <c r="AG135" s="2">
        <v>8.69</v>
      </c>
      <c r="AH135" s="2">
        <v>8.06</v>
      </c>
      <c r="AI135" s="2">
        <v>286.12</v>
      </c>
      <c r="AJ135" s="2">
        <v>351.51</v>
      </c>
      <c r="AM135" s="1" t="s">
        <v>19</v>
      </c>
      <c r="AN135" s="2">
        <v>260.72000000000003</v>
      </c>
      <c r="AO135" s="2">
        <v>274.64999999999998</v>
      </c>
      <c r="AP135" s="2">
        <v>348.47</v>
      </c>
      <c r="AQ135" s="2">
        <v>508.52</v>
      </c>
      <c r="AR135" s="2">
        <v>242.91</v>
      </c>
      <c r="AS135" s="2">
        <v>241.82</v>
      </c>
      <c r="AT135" s="2">
        <v>246.62</v>
      </c>
      <c r="AU135" s="2">
        <v>328.5</v>
      </c>
      <c r="AV135" s="2">
        <v>443.76</v>
      </c>
      <c r="AW135" s="2">
        <v>358.43</v>
      </c>
      <c r="AX135" s="2">
        <v>415.05</v>
      </c>
      <c r="AY135" s="2">
        <v>295.60000000000002</v>
      </c>
      <c r="AZ135" s="2">
        <v>155.11000000000001</v>
      </c>
      <c r="BA135" s="2">
        <v>143.84</v>
      </c>
      <c r="BB135" s="2">
        <v>335.48</v>
      </c>
      <c r="BC135" s="2">
        <v>410.09</v>
      </c>
    </row>
    <row r="136" spans="20:55" x14ac:dyDescent="0.3">
      <c r="T136" s="1" t="s">
        <v>20</v>
      </c>
      <c r="U136" s="2">
        <v>38.909999999999997</v>
      </c>
      <c r="V136" s="2">
        <v>34.71</v>
      </c>
      <c r="W136" s="2">
        <v>40.22</v>
      </c>
      <c r="X136" s="2">
        <v>29.04</v>
      </c>
      <c r="Y136" s="2">
        <v>35.020000000000003</v>
      </c>
      <c r="Z136" s="2">
        <v>45.39</v>
      </c>
      <c r="AA136" s="2">
        <v>28.94</v>
      </c>
      <c r="AB136" s="2">
        <v>38.01</v>
      </c>
      <c r="AC136" s="2">
        <v>39.729999999999997</v>
      </c>
      <c r="AD136" s="2">
        <v>36.840000000000003</v>
      </c>
      <c r="AE136" s="2">
        <v>39.729999999999997</v>
      </c>
      <c r="AF136" s="2">
        <v>36.39</v>
      </c>
      <c r="AG136" s="2">
        <v>37.53</v>
      </c>
      <c r="AH136" s="2">
        <v>30.24</v>
      </c>
      <c r="AI136" s="2">
        <v>43.32</v>
      </c>
      <c r="AJ136" s="2">
        <v>47.75</v>
      </c>
      <c r="AM136" s="1" t="s">
        <v>20</v>
      </c>
      <c r="AN136" s="2">
        <v>140.54</v>
      </c>
      <c r="AO136" s="2">
        <v>145.49</v>
      </c>
      <c r="AP136" s="2">
        <v>233.78</v>
      </c>
      <c r="AQ136" s="2">
        <v>94.62</v>
      </c>
      <c r="AR136" s="2">
        <v>131.58000000000001</v>
      </c>
      <c r="AS136" s="2">
        <v>120.38</v>
      </c>
      <c r="AT136" s="2">
        <v>108.78</v>
      </c>
      <c r="AU136" s="2">
        <v>121.59</v>
      </c>
      <c r="AV136" s="2">
        <v>135.57</v>
      </c>
      <c r="AW136" s="2">
        <v>190.16</v>
      </c>
      <c r="AX136" s="2">
        <v>135.57</v>
      </c>
      <c r="AY136" s="2">
        <v>187.31</v>
      </c>
      <c r="AZ136" s="2">
        <v>124.37</v>
      </c>
      <c r="BA136" s="2">
        <v>101.66</v>
      </c>
      <c r="BB136" s="2">
        <v>148.19999999999999</v>
      </c>
      <c r="BC136" s="2">
        <v>154.58000000000001</v>
      </c>
    </row>
    <row r="137" spans="20:55" x14ac:dyDescent="0.3">
      <c r="T137" s="1" t="s">
        <v>21</v>
      </c>
      <c r="U137" s="2">
        <v>254.57</v>
      </c>
      <c r="V137" s="2">
        <v>185.25</v>
      </c>
      <c r="W137" s="2">
        <v>215.44</v>
      </c>
      <c r="X137" s="2">
        <v>202.18</v>
      </c>
      <c r="Y137" s="2">
        <v>235.56</v>
      </c>
      <c r="Z137" s="2">
        <v>201.15</v>
      </c>
      <c r="AA137" s="2">
        <v>244.33</v>
      </c>
      <c r="AB137" s="2">
        <v>206.6</v>
      </c>
      <c r="AC137" s="2">
        <v>124.28</v>
      </c>
      <c r="AD137" s="2">
        <v>159.55000000000001</v>
      </c>
      <c r="AE137" s="2">
        <v>110.95</v>
      </c>
      <c r="AF137" s="2">
        <v>143.31</v>
      </c>
      <c r="AG137" s="2">
        <v>132.91999999999999</v>
      </c>
      <c r="AH137" s="2">
        <v>100.28</v>
      </c>
      <c r="AI137" s="2">
        <v>189.31</v>
      </c>
      <c r="AJ137" s="2">
        <v>207.65</v>
      </c>
      <c r="AM137" s="1" t="s">
        <v>21</v>
      </c>
      <c r="AN137" s="2">
        <v>724.67</v>
      </c>
      <c r="AO137" s="2">
        <v>399.87</v>
      </c>
      <c r="AP137" s="2">
        <v>1042.76</v>
      </c>
      <c r="AQ137" s="2">
        <v>455.71</v>
      </c>
      <c r="AR137" s="2">
        <v>779.41</v>
      </c>
      <c r="AS137" s="2">
        <v>940.42</v>
      </c>
      <c r="AT137" s="2">
        <v>878.79</v>
      </c>
      <c r="AU137" s="2">
        <v>972.15</v>
      </c>
      <c r="AV137" s="2">
        <v>608.65</v>
      </c>
      <c r="AW137" s="2">
        <v>696.34</v>
      </c>
      <c r="AX137" s="2">
        <v>495.05</v>
      </c>
      <c r="AY137" s="2">
        <v>557.79</v>
      </c>
      <c r="AZ137" s="2">
        <v>445.08</v>
      </c>
      <c r="BA137" s="2">
        <v>320.32</v>
      </c>
      <c r="BB137" s="2">
        <v>549.29</v>
      </c>
      <c r="BC137" s="2">
        <v>521.65</v>
      </c>
    </row>
    <row r="138" spans="20:55" x14ac:dyDescent="0.3">
      <c r="T138" s="1" t="s">
        <v>22</v>
      </c>
      <c r="U138" s="2">
        <v>53.56</v>
      </c>
      <c r="V138" s="2">
        <v>50.55</v>
      </c>
      <c r="W138" s="2">
        <v>80.150000000000006</v>
      </c>
      <c r="X138" s="2">
        <v>65.95</v>
      </c>
      <c r="Y138" s="2">
        <v>60.59</v>
      </c>
      <c r="Z138" s="2">
        <v>73.34</v>
      </c>
      <c r="AA138" s="2">
        <v>64.430000000000007</v>
      </c>
      <c r="AB138" s="2">
        <v>44.16</v>
      </c>
      <c r="AC138" s="2">
        <v>51.1</v>
      </c>
      <c r="AD138" s="2">
        <v>17.86</v>
      </c>
      <c r="AE138" s="2">
        <v>44.08</v>
      </c>
      <c r="AF138" s="2">
        <v>30.95</v>
      </c>
      <c r="AG138" s="2">
        <v>23.2</v>
      </c>
      <c r="AH138" s="2">
        <v>23.2</v>
      </c>
      <c r="AI138" s="2">
        <v>59.39</v>
      </c>
      <c r="AJ138" s="2">
        <v>59.85</v>
      </c>
      <c r="AM138" s="1" t="s">
        <v>22</v>
      </c>
      <c r="AN138" s="2">
        <v>214.83</v>
      </c>
      <c r="AO138" s="2">
        <v>117.26</v>
      </c>
      <c r="AP138" s="2">
        <v>343.2</v>
      </c>
      <c r="AQ138" s="2">
        <v>259.07</v>
      </c>
      <c r="AR138" s="2">
        <v>251.47</v>
      </c>
      <c r="AS138" s="2">
        <v>293.48</v>
      </c>
      <c r="AT138" s="2">
        <v>380.17</v>
      </c>
      <c r="AU138" s="2">
        <v>237.84</v>
      </c>
      <c r="AV138" s="2">
        <v>234.42</v>
      </c>
      <c r="AW138" s="2">
        <v>160.74</v>
      </c>
      <c r="AX138" s="2">
        <v>184.62</v>
      </c>
      <c r="AY138" s="2">
        <v>147.65</v>
      </c>
      <c r="AZ138" s="2">
        <v>108.71</v>
      </c>
      <c r="BA138" s="2">
        <v>108.7</v>
      </c>
      <c r="BB138" s="2">
        <v>149.83000000000001</v>
      </c>
      <c r="BC138" s="2">
        <v>151.91999999999999</v>
      </c>
    </row>
    <row r="139" spans="20:55" x14ac:dyDescent="0.3">
      <c r="T139" s="1" t="s">
        <v>23</v>
      </c>
      <c r="U139" s="2">
        <v>206.98</v>
      </c>
      <c r="V139" s="2">
        <v>172.1</v>
      </c>
      <c r="W139" s="2">
        <v>366.4</v>
      </c>
      <c r="X139" s="2">
        <v>324.52</v>
      </c>
      <c r="Y139" s="2">
        <v>307.76</v>
      </c>
      <c r="Z139" s="2">
        <v>256.52999999999997</v>
      </c>
      <c r="AA139" s="2">
        <v>182.44</v>
      </c>
      <c r="AB139" s="2">
        <v>198.41</v>
      </c>
      <c r="AC139" s="2">
        <v>222.07</v>
      </c>
      <c r="AD139" s="2">
        <v>225.74</v>
      </c>
      <c r="AE139" s="2">
        <v>197.87</v>
      </c>
      <c r="AF139" s="2">
        <v>220.71</v>
      </c>
      <c r="AG139" s="2">
        <v>113.57</v>
      </c>
      <c r="AH139" s="2">
        <v>109.6</v>
      </c>
      <c r="AI139" s="2">
        <v>344.33</v>
      </c>
      <c r="AJ139" s="2">
        <v>306.04000000000002</v>
      </c>
      <c r="AM139" s="1" t="s">
        <v>23</v>
      </c>
      <c r="AN139" s="2">
        <v>569.6</v>
      </c>
      <c r="AO139" s="2">
        <v>654.23</v>
      </c>
      <c r="AP139" s="2">
        <v>994.48</v>
      </c>
      <c r="AQ139" s="2">
        <v>900.01</v>
      </c>
      <c r="AR139" s="2">
        <v>840.32</v>
      </c>
      <c r="AS139" s="2">
        <v>1049.26</v>
      </c>
      <c r="AT139" s="2">
        <v>925.06</v>
      </c>
      <c r="AU139" s="2">
        <v>1064.0899999999999</v>
      </c>
      <c r="AV139" s="2">
        <v>1013.43</v>
      </c>
      <c r="AW139" s="2">
        <v>1109.76</v>
      </c>
      <c r="AX139" s="2">
        <v>1012.63</v>
      </c>
      <c r="AY139" s="2">
        <v>1081.29</v>
      </c>
      <c r="AZ139" s="2">
        <v>520.92999999999995</v>
      </c>
      <c r="BA139" s="2">
        <v>507.9</v>
      </c>
      <c r="BB139" s="2">
        <v>918.04</v>
      </c>
      <c r="BC139" s="2">
        <v>826.56</v>
      </c>
    </row>
    <row r="140" spans="20:55" x14ac:dyDescent="0.3">
      <c r="T140" s="1" t="s">
        <v>24</v>
      </c>
      <c r="U140" s="2">
        <v>39.24</v>
      </c>
      <c r="V140" s="2">
        <v>27.14</v>
      </c>
      <c r="W140" s="2">
        <v>50.79</v>
      </c>
      <c r="X140" s="2">
        <v>34.340000000000003</v>
      </c>
      <c r="Y140" s="2">
        <v>53.66</v>
      </c>
      <c r="Z140" s="2">
        <v>42.18</v>
      </c>
      <c r="AA140" s="2">
        <v>54.15</v>
      </c>
      <c r="AB140" s="2">
        <v>32.44</v>
      </c>
      <c r="AC140" s="2">
        <v>40.99</v>
      </c>
      <c r="AD140" s="2">
        <v>37.22</v>
      </c>
      <c r="AE140" s="2">
        <v>36.07</v>
      </c>
      <c r="AF140" s="2">
        <v>30.69</v>
      </c>
      <c r="AG140" s="2">
        <v>28.02</v>
      </c>
      <c r="AH140" s="2">
        <v>25.03</v>
      </c>
      <c r="AI140" s="2">
        <v>49.63</v>
      </c>
      <c r="AJ140" s="2">
        <v>22.62</v>
      </c>
      <c r="AM140" s="1" t="s">
        <v>24</v>
      </c>
      <c r="AN140" s="2">
        <v>108.22</v>
      </c>
      <c r="AO140" s="2">
        <v>95.88</v>
      </c>
      <c r="AP140" s="2">
        <v>195.88</v>
      </c>
      <c r="AQ140" s="2">
        <v>141.27000000000001</v>
      </c>
      <c r="AR140" s="2">
        <v>209.63</v>
      </c>
      <c r="AS140" s="2">
        <v>170.75</v>
      </c>
      <c r="AT140" s="2">
        <v>189.05</v>
      </c>
      <c r="AU140" s="2">
        <v>138.26</v>
      </c>
      <c r="AV140" s="2">
        <v>172.73</v>
      </c>
      <c r="AW140" s="2">
        <v>146.38</v>
      </c>
      <c r="AX140" s="2">
        <v>144.22999999999999</v>
      </c>
      <c r="AY140" s="2">
        <v>116.21</v>
      </c>
      <c r="AZ140" s="2">
        <v>103.9</v>
      </c>
      <c r="BA140" s="2">
        <v>91.98</v>
      </c>
      <c r="BB140" s="2">
        <v>112.46</v>
      </c>
      <c r="BC140" s="2">
        <v>55.23</v>
      </c>
    </row>
    <row r="141" spans="20:55" x14ac:dyDescent="0.3">
      <c r="T141" s="1" t="s">
        <v>25</v>
      </c>
      <c r="U141" s="2">
        <v>131.53</v>
      </c>
      <c r="V141" s="2">
        <v>151.09</v>
      </c>
      <c r="W141" s="2">
        <v>130.46</v>
      </c>
      <c r="X141" s="2">
        <v>110.67</v>
      </c>
      <c r="Y141" s="2">
        <v>107.45</v>
      </c>
      <c r="Z141" s="2">
        <v>116.42</v>
      </c>
      <c r="AA141" s="2">
        <v>140.6</v>
      </c>
      <c r="AB141" s="2">
        <v>70.069999999999993</v>
      </c>
      <c r="AC141" s="2">
        <v>94.74</v>
      </c>
      <c r="AD141" s="2">
        <v>89.61</v>
      </c>
      <c r="AE141" s="2">
        <v>84.59</v>
      </c>
      <c r="AF141" s="2">
        <v>80.13</v>
      </c>
      <c r="AG141" s="2">
        <v>31.12</v>
      </c>
      <c r="AH141" s="2">
        <v>75.319999999999993</v>
      </c>
      <c r="AI141" s="2">
        <v>116.01</v>
      </c>
      <c r="AJ141" s="2">
        <v>108.96</v>
      </c>
      <c r="AM141" s="1" t="s">
        <v>25</v>
      </c>
      <c r="AN141" s="2">
        <v>369.02</v>
      </c>
      <c r="AO141" s="2">
        <v>416.12</v>
      </c>
      <c r="AP141" s="2">
        <v>386.69</v>
      </c>
      <c r="AQ141" s="2">
        <v>425.43</v>
      </c>
      <c r="AR141" s="2">
        <v>392.76</v>
      </c>
      <c r="AS141" s="2">
        <v>383.62</v>
      </c>
      <c r="AT141" s="2">
        <v>460.72</v>
      </c>
      <c r="AU141" s="2">
        <v>278.89999999999998</v>
      </c>
      <c r="AV141" s="2">
        <v>341.45</v>
      </c>
      <c r="AW141" s="2">
        <v>324.82</v>
      </c>
      <c r="AX141" s="2">
        <v>266.70999999999998</v>
      </c>
      <c r="AY141" s="2">
        <v>254.24</v>
      </c>
      <c r="AZ141" s="2">
        <v>174.08</v>
      </c>
      <c r="BA141" s="2">
        <v>263.83</v>
      </c>
      <c r="BB141" s="2">
        <v>225.04</v>
      </c>
      <c r="BC141" s="2">
        <v>237.96</v>
      </c>
    </row>
    <row r="142" spans="20:55" x14ac:dyDescent="0.3">
      <c r="T142" s="1" t="s">
        <v>26</v>
      </c>
      <c r="U142" s="2">
        <v>56.03</v>
      </c>
      <c r="V142" s="2">
        <v>35.549999999999997</v>
      </c>
      <c r="W142" s="2">
        <v>62.55</v>
      </c>
      <c r="X142" s="2">
        <v>30.77</v>
      </c>
      <c r="Y142" s="2">
        <v>50.15</v>
      </c>
      <c r="Z142" s="2">
        <v>42.92</v>
      </c>
      <c r="AA142" s="2">
        <v>31.09</v>
      </c>
      <c r="AB142" s="2">
        <v>9.68</v>
      </c>
      <c r="AC142" s="2">
        <v>46.91</v>
      </c>
      <c r="AD142" s="2">
        <v>34.340000000000003</v>
      </c>
      <c r="AE142" s="2">
        <v>46.91</v>
      </c>
      <c r="AF142" s="2">
        <v>34.340000000000003</v>
      </c>
      <c r="AG142" s="2">
        <v>13.36</v>
      </c>
      <c r="AH142" s="2">
        <v>14.22</v>
      </c>
      <c r="AI142" s="2">
        <v>67.95</v>
      </c>
      <c r="AJ142" s="2">
        <v>33.1</v>
      </c>
      <c r="AM142" s="1" t="s">
        <v>26</v>
      </c>
      <c r="AN142" s="2">
        <v>175.57</v>
      </c>
      <c r="AO142" s="2">
        <v>141.44999999999999</v>
      </c>
      <c r="AP142" s="2">
        <v>155.55000000000001</v>
      </c>
      <c r="AQ142" s="2">
        <v>119.23</v>
      </c>
      <c r="AR142" s="2">
        <v>112.45</v>
      </c>
      <c r="AS142" s="2">
        <v>110.38</v>
      </c>
      <c r="AT142" s="2">
        <v>99.11</v>
      </c>
      <c r="AU142" s="2">
        <v>36.82</v>
      </c>
      <c r="AV142" s="2">
        <v>123.49</v>
      </c>
      <c r="AW142" s="2">
        <v>84.05</v>
      </c>
      <c r="AX142" s="2">
        <v>123.49</v>
      </c>
      <c r="AY142" s="2">
        <v>84.05</v>
      </c>
      <c r="AZ142" s="2">
        <v>41.84</v>
      </c>
      <c r="BA142" s="2">
        <v>45.78</v>
      </c>
      <c r="BB142" s="2">
        <v>167.43</v>
      </c>
      <c r="BC142" s="2">
        <v>89.97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84.93</v>
      </c>
      <c r="V149" s="2">
        <v>30.39</v>
      </c>
      <c r="W149" s="2">
        <v>53.72</v>
      </c>
      <c r="X149" s="2">
        <v>9.42</v>
      </c>
      <c r="Y149" s="2">
        <v>3.06</v>
      </c>
      <c r="Z149" s="2">
        <v>6.63</v>
      </c>
      <c r="AA149" s="2">
        <v>6.47</v>
      </c>
      <c r="AB149" s="2">
        <v>21.63</v>
      </c>
      <c r="AC149" s="2">
        <v>136.18</v>
      </c>
      <c r="AD149" s="2">
        <v>16.22</v>
      </c>
      <c r="AE149" s="2">
        <v>85.67</v>
      </c>
      <c r="AF149" s="2">
        <v>5.72</v>
      </c>
      <c r="AG149" s="2">
        <v>8.85</v>
      </c>
      <c r="AH149" s="2">
        <v>12.57</v>
      </c>
      <c r="AI149" s="2">
        <v>5.23</v>
      </c>
      <c r="AJ149" s="2">
        <v>43.16</v>
      </c>
      <c r="AM149" s="1" t="s">
        <v>19</v>
      </c>
      <c r="AN149" s="2">
        <v>168.75</v>
      </c>
      <c r="AO149" s="2">
        <v>76.36</v>
      </c>
      <c r="AP149" s="2">
        <v>157.96</v>
      </c>
      <c r="AQ149" s="2">
        <v>168.45</v>
      </c>
      <c r="AR149" s="2">
        <v>57</v>
      </c>
      <c r="AS149" s="2">
        <v>53.43</v>
      </c>
      <c r="AT149" s="2">
        <v>115.54</v>
      </c>
      <c r="AU149" s="2">
        <v>25.41</v>
      </c>
      <c r="AV149" s="2">
        <v>270.38</v>
      </c>
      <c r="AW149" s="2">
        <v>195.53</v>
      </c>
      <c r="AX149" s="2">
        <v>247.53</v>
      </c>
      <c r="AY149" s="2">
        <v>100.54</v>
      </c>
      <c r="AZ149" s="2">
        <v>82.15</v>
      </c>
      <c r="BA149" s="2">
        <v>47.49</v>
      </c>
      <c r="BB149" s="2">
        <v>93.26</v>
      </c>
      <c r="BC149" s="2">
        <v>50.36</v>
      </c>
    </row>
    <row r="150" spans="20:55" x14ac:dyDescent="0.3">
      <c r="T150" s="1" t="s">
        <v>20</v>
      </c>
      <c r="U150" s="2">
        <v>48.85</v>
      </c>
      <c r="V150" s="2">
        <v>41.17</v>
      </c>
      <c r="W150" s="2">
        <v>75.73</v>
      </c>
      <c r="X150" s="2">
        <v>76.95</v>
      </c>
      <c r="Y150" s="2">
        <v>50.16</v>
      </c>
      <c r="Z150" s="2">
        <v>50.16</v>
      </c>
      <c r="AA150" s="2">
        <v>59.34</v>
      </c>
      <c r="AB150" s="2">
        <v>14.21</v>
      </c>
      <c r="AC150" s="2">
        <v>37.08</v>
      </c>
      <c r="AD150" s="2">
        <v>68.36</v>
      </c>
      <c r="AE150" s="2">
        <v>70.66</v>
      </c>
      <c r="AF150" s="2">
        <v>68.239999999999995</v>
      </c>
      <c r="AG150" s="2">
        <v>34.56</v>
      </c>
      <c r="AH150" s="2">
        <v>34.64</v>
      </c>
      <c r="AI150" s="2">
        <v>48.24</v>
      </c>
      <c r="AJ150" s="2">
        <v>36.33</v>
      </c>
      <c r="AM150" s="1" t="s">
        <v>20</v>
      </c>
      <c r="AN150" s="2">
        <v>176.47</v>
      </c>
      <c r="AO150" s="2">
        <v>238.83</v>
      </c>
      <c r="AP150" s="2">
        <v>284.54000000000002</v>
      </c>
      <c r="AQ150" s="2">
        <v>289.25</v>
      </c>
      <c r="AR150" s="2">
        <v>171.1</v>
      </c>
      <c r="AS150" s="2">
        <v>171.1</v>
      </c>
      <c r="AT150" s="2">
        <v>196.65</v>
      </c>
      <c r="AU150" s="2">
        <v>48.61</v>
      </c>
      <c r="AV150" s="2">
        <v>155.4</v>
      </c>
      <c r="AW150" s="2">
        <v>222.75</v>
      </c>
      <c r="AX150" s="2">
        <v>187.36</v>
      </c>
      <c r="AY150" s="2">
        <v>218.2</v>
      </c>
      <c r="AZ150" s="2">
        <v>178.12</v>
      </c>
      <c r="BA150" s="2">
        <v>178.04</v>
      </c>
      <c r="BB150" s="2">
        <v>162.18</v>
      </c>
      <c r="BC150" s="2">
        <v>117.6</v>
      </c>
    </row>
    <row r="151" spans="20:55" x14ac:dyDescent="0.3">
      <c r="T151" s="1" t="s">
        <v>21</v>
      </c>
      <c r="U151" s="2">
        <v>151.41</v>
      </c>
      <c r="V151" s="2">
        <v>165.76</v>
      </c>
      <c r="W151" s="2">
        <v>288.86</v>
      </c>
      <c r="X151" s="2">
        <v>282.58999999999997</v>
      </c>
      <c r="Y151" s="2">
        <v>89.38</v>
      </c>
      <c r="Z151" s="2">
        <v>81.16</v>
      </c>
      <c r="AA151" s="2">
        <v>171.76</v>
      </c>
      <c r="AB151" s="2">
        <v>46.4</v>
      </c>
      <c r="AC151" s="2">
        <v>154.71</v>
      </c>
      <c r="AD151" s="2">
        <v>303.52</v>
      </c>
      <c r="AE151" s="2">
        <v>214.61</v>
      </c>
      <c r="AF151" s="2">
        <v>214.02</v>
      </c>
      <c r="AG151" s="2">
        <v>117.19</v>
      </c>
      <c r="AH151" s="2">
        <v>106.57</v>
      </c>
      <c r="AI151" s="2">
        <v>130.63</v>
      </c>
      <c r="AJ151" s="2">
        <v>97.73</v>
      </c>
      <c r="AM151" s="1" t="s">
        <v>21</v>
      </c>
      <c r="AN151" s="2">
        <v>430.33</v>
      </c>
      <c r="AO151" s="2">
        <v>799.49</v>
      </c>
      <c r="AP151" s="2">
        <v>953.35</v>
      </c>
      <c r="AQ151" s="2">
        <v>1012.47</v>
      </c>
      <c r="AR151" s="2">
        <v>437.08</v>
      </c>
      <c r="AS151" s="2">
        <v>361.88</v>
      </c>
      <c r="AT151" s="2">
        <v>574.98</v>
      </c>
      <c r="AU151" s="2">
        <v>134.56</v>
      </c>
      <c r="AV151" s="2">
        <v>333.81</v>
      </c>
      <c r="AW151" s="2">
        <v>683.6</v>
      </c>
      <c r="AX151" s="2">
        <v>1000.35</v>
      </c>
      <c r="AY151" s="2">
        <v>1003.67</v>
      </c>
      <c r="AZ151" s="2">
        <v>510.9</v>
      </c>
      <c r="BA151" s="2">
        <v>414.47</v>
      </c>
      <c r="BB151" s="2">
        <v>416.21</v>
      </c>
      <c r="BC151" s="2">
        <v>245.53</v>
      </c>
    </row>
    <row r="152" spans="20:55" x14ac:dyDescent="0.3">
      <c r="T152" s="1" t="s">
        <v>22</v>
      </c>
      <c r="U152" s="2">
        <v>35.72</v>
      </c>
      <c r="V152" s="2">
        <v>66.209999999999994</v>
      </c>
      <c r="W152" s="2">
        <v>73.98</v>
      </c>
      <c r="X152" s="2">
        <v>67</v>
      </c>
      <c r="Y152" s="2">
        <v>37.31</v>
      </c>
      <c r="Z152" s="2">
        <v>31.79</v>
      </c>
      <c r="AA152" s="2">
        <v>36.380000000000003</v>
      </c>
      <c r="AB152" s="2">
        <v>15.54</v>
      </c>
      <c r="AC152" s="2">
        <v>47.29</v>
      </c>
      <c r="AD152" s="2">
        <v>86.5</v>
      </c>
      <c r="AE152" s="2">
        <v>96</v>
      </c>
      <c r="AF152" s="2">
        <v>69.8</v>
      </c>
      <c r="AG152" s="2">
        <v>16.48</v>
      </c>
      <c r="AH152" s="2">
        <v>28.58</v>
      </c>
      <c r="AI152" s="2">
        <v>36.380000000000003</v>
      </c>
      <c r="AJ152" s="2">
        <v>25.01</v>
      </c>
      <c r="AM152" s="1" t="s">
        <v>22</v>
      </c>
      <c r="AN152" s="2">
        <v>143.07</v>
      </c>
      <c r="AO152" s="2">
        <v>282.77999999999997</v>
      </c>
      <c r="AP152" s="2">
        <v>306.5</v>
      </c>
      <c r="AQ152" s="2">
        <v>393.02</v>
      </c>
      <c r="AR152" s="2">
        <v>170.96</v>
      </c>
      <c r="AS152" s="2">
        <v>133.05000000000001</v>
      </c>
      <c r="AT152" s="2">
        <v>170.48</v>
      </c>
      <c r="AU152" s="2">
        <v>39.200000000000003</v>
      </c>
      <c r="AV152" s="2">
        <v>109.66</v>
      </c>
      <c r="AW152" s="2">
        <v>339.35</v>
      </c>
      <c r="AX152" s="2">
        <v>383.37</v>
      </c>
      <c r="AY152" s="2">
        <v>375.04</v>
      </c>
      <c r="AZ152" s="2">
        <v>148.36000000000001</v>
      </c>
      <c r="BA152" s="2">
        <v>136.26</v>
      </c>
      <c r="BB152" s="2">
        <v>170.47</v>
      </c>
      <c r="BC152" s="2">
        <v>63.48</v>
      </c>
    </row>
    <row r="153" spans="20:55" x14ac:dyDescent="0.3">
      <c r="T153" s="1" t="s">
        <v>23</v>
      </c>
      <c r="U153" s="2">
        <v>135.43</v>
      </c>
      <c r="V153" s="2">
        <v>297.67</v>
      </c>
      <c r="W153" s="2">
        <v>390.61</v>
      </c>
      <c r="X153" s="2">
        <v>261.44</v>
      </c>
      <c r="Y153" s="2">
        <v>230.31</v>
      </c>
      <c r="Z153" s="2">
        <v>205.98</v>
      </c>
      <c r="AA153" s="2">
        <v>156.94999999999999</v>
      </c>
      <c r="AB153" s="2">
        <v>89.35</v>
      </c>
      <c r="AC153" s="2">
        <v>128.80000000000001</v>
      </c>
      <c r="AD153" s="2">
        <v>285.98</v>
      </c>
      <c r="AE153" s="2">
        <v>307.52</v>
      </c>
      <c r="AF153" s="2">
        <v>249.66</v>
      </c>
      <c r="AG153" s="2">
        <v>165.24</v>
      </c>
      <c r="AH153" s="2">
        <v>162.18</v>
      </c>
      <c r="AI153" s="2">
        <v>152.47</v>
      </c>
      <c r="AJ153" s="2">
        <v>86.21</v>
      </c>
      <c r="AM153" s="1" t="s">
        <v>23</v>
      </c>
      <c r="AN153" s="2">
        <v>372.71</v>
      </c>
      <c r="AO153" s="2">
        <v>807.93</v>
      </c>
      <c r="AP153" s="2">
        <v>1065.93</v>
      </c>
      <c r="AQ153" s="2">
        <v>1324.21</v>
      </c>
      <c r="AR153" s="2">
        <v>1050.19</v>
      </c>
      <c r="AS153" s="2">
        <v>1052.42</v>
      </c>
      <c r="AT153" s="2">
        <v>719.8</v>
      </c>
      <c r="AU153" s="2">
        <v>238.23</v>
      </c>
      <c r="AV153" s="2">
        <v>489.22</v>
      </c>
      <c r="AW153" s="2">
        <v>793.13</v>
      </c>
      <c r="AX153" s="2">
        <v>1255.92</v>
      </c>
      <c r="AY153" s="2">
        <v>1335.99</v>
      </c>
      <c r="AZ153" s="2">
        <v>811.06</v>
      </c>
      <c r="BA153" s="2">
        <v>793.32</v>
      </c>
      <c r="BB153" s="2">
        <v>706.43</v>
      </c>
      <c r="BC153" s="2">
        <v>232.84</v>
      </c>
    </row>
    <row r="154" spans="20:55" x14ac:dyDescent="0.3">
      <c r="T154" s="1" t="s">
        <v>24</v>
      </c>
      <c r="U154" s="2">
        <v>31.64</v>
      </c>
      <c r="V154" s="2">
        <v>44.55</v>
      </c>
      <c r="W154" s="2">
        <v>45.58</v>
      </c>
      <c r="X154" s="2">
        <v>46.7</v>
      </c>
      <c r="Y154" s="2">
        <v>34.15</v>
      </c>
      <c r="Z154" s="2">
        <v>30.4</v>
      </c>
      <c r="AA154" s="2">
        <v>24.59</v>
      </c>
      <c r="AB154" s="2">
        <v>13.67</v>
      </c>
      <c r="AC154" s="2">
        <v>8.8000000000000007</v>
      </c>
      <c r="AD154" s="2">
        <v>47.77</v>
      </c>
      <c r="AE154" s="2">
        <v>25.23</v>
      </c>
      <c r="AF154" s="2">
        <v>48.37</v>
      </c>
      <c r="AG154" s="2">
        <v>22.89</v>
      </c>
      <c r="AH154" s="2">
        <v>19.079999999999998</v>
      </c>
      <c r="AI154" s="2">
        <v>22.53</v>
      </c>
      <c r="AJ154" s="2">
        <v>10.08</v>
      </c>
      <c r="AM154" s="1" t="s">
        <v>24</v>
      </c>
      <c r="AN154" s="2">
        <v>87.27</v>
      </c>
      <c r="AO154" s="2">
        <v>171.56</v>
      </c>
      <c r="AP154" s="2">
        <v>177.7</v>
      </c>
      <c r="AQ154" s="2">
        <v>162.85</v>
      </c>
      <c r="AR154" s="2">
        <v>143.71</v>
      </c>
      <c r="AS154" s="2">
        <v>121.44</v>
      </c>
      <c r="AT154" s="2">
        <v>91.14</v>
      </c>
      <c r="AU154" s="2">
        <v>30.98</v>
      </c>
      <c r="AV154" s="2">
        <v>31.07</v>
      </c>
      <c r="AW154" s="2">
        <v>196.37</v>
      </c>
      <c r="AX154" s="2">
        <v>101.89</v>
      </c>
      <c r="AY154" s="2">
        <v>205.82</v>
      </c>
      <c r="AZ154" s="2">
        <v>89.95</v>
      </c>
      <c r="BA154" s="2">
        <v>72.19</v>
      </c>
      <c r="BB154" s="2">
        <v>82.78</v>
      </c>
      <c r="BC154" s="2">
        <v>24.62</v>
      </c>
    </row>
    <row r="155" spans="20:55" x14ac:dyDescent="0.3">
      <c r="T155" s="1" t="s">
        <v>25</v>
      </c>
      <c r="U155" s="2">
        <v>69.16</v>
      </c>
      <c r="V155" s="2">
        <v>49.44</v>
      </c>
      <c r="W155" s="2">
        <v>70.23</v>
      </c>
      <c r="X155" s="2">
        <v>91.39</v>
      </c>
      <c r="Y155" s="2">
        <v>53.8</v>
      </c>
      <c r="Z155" s="2">
        <v>47.05</v>
      </c>
      <c r="AA155" s="2">
        <v>7.98</v>
      </c>
      <c r="AB155" s="2">
        <v>12.69</v>
      </c>
      <c r="AC155" s="2">
        <v>69.069999999999993</v>
      </c>
      <c r="AD155" s="2">
        <v>65.739999999999995</v>
      </c>
      <c r="AE155" s="2">
        <v>69.739999999999995</v>
      </c>
      <c r="AF155" s="2">
        <v>77.209999999999994</v>
      </c>
      <c r="AG155" s="2">
        <v>87.47</v>
      </c>
      <c r="AH155" s="2">
        <v>77.02</v>
      </c>
      <c r="AI155" s="2">
        <v>20.83</v>
      </c>
      <c r="AJ155" s="2">
        <v>21.14</v>
      </c>
      <c r="AM155" s="1" t="s">
        <v>25</v>
      </c>
      <c r="AN155" s="2">
        <v>193.77</v>
      </c>
      <c r="AO155" s="2">
        <v>146.34</v>
      </c>
      <c r="AP155" s="2">
        <v>256.31</v>
      </c>
      <c r="AQ155" s="2">
        <v>299.18</v>
      </c>
      <c r="AR155" s="2">
        <v>193.79</v>
      </c>
      <c r="AS155" s="2">
        <v>148.28</v>
      </c>
      <c r="AT155" s="2">
        <v>44.31</v>
      </c>
      <c r="AU155" s="2">
        <v>24.6</v>
      </c>
      <c r="AV155" s="2">
        <v>189.92</v>
      </c>
      <c r="AW155" s="2">
        <v>252.26</v>
      </c>
      <c r="AX155" s="2">
        <v>229.41</v>
      </c>
      <c r="AY155" s="2">
        <v>306.97000000000003</v>
      </c>
      <c r="AZ155" s="2">
        <v>316.89999999999998</v>
      </c>
      <c r="BA155" s="2">
        <v>244.28</v>
      </c>
      <c r="BB155" s="2">
        <v>72.92</v>
      </c>
      <c r="BC155" s="2">
        <v>46.17</v>
      </c>
    </row>
    <row r="156" spans="20:55" x14ac:dyDescent="0.3">
      <c r="T156" s="1" t="s">
        <v>26</v>
      </c>
      <c r="U156" s="2">
        <v>13.24</v>
      </c>
      <c r="V156" s="2">
        <v>16.350000000000001</v>
      </c>
      <c r="W156" s="2">
        <v>27.98</v>
      </c>
      <c r="X156" s="2">
        <v>3.55</v>
      </c>
      <c r="Y156" s="2">
        <v>3.65</v>
      </c>
      <c r="Z156" s="2">
        <v>3.65</v>
      </c>
      <c r="AA156" s="2">
        <v>0</v>
      </c>
      <c r="AB156" s="2">
        <v>5.69</v>
      </c>
      <c r="AC156" s="2">
        <v>19.670000000000002</v>
      </c>
      <c r="AD156" s="2">
        <v>20.92</v>
      </c>
      <c r="AE156" s="2">
        <v>43.75</v>
      </c>
      <c r="AF156" s="2">
        <v>3.09</v>
      </c>
      <c r="AG156" s="2">
        <v>3.79</v>
      </c>
      <c r="AH156" s="2">
        <v>3.79</v>
      </c>
      <c r="AI156" s="2">
        <v>0</v>
      </c>
      <c r="AJ156" s="2">
        <v>6.77</v>
      </c>
      <c r="AM156" s="1" t="s">
        <v>26</v>
      </c>
      <c r="AN156" s="2">
        <v>41.48</v>
      </c>
      <c r="AO156" s="2">
        <v>40.65</v>
      </c>
      <c r="AP156" s="2">
        <v>62.74</v>
      </c>
      <c r="AQ156" s="2">
        <v>11.3</v>
      </c>
      <c r="AR156" s="2">
        <v>9.61</v>
      </c>
      <c r="AS156" s="2">
        <v>9.61</v>
      </c>
      <c r="AT156" s="2">
        <v>0</v>
      </c>
      <c r="AU156" s="2">
        <v>14.03</v>
      </c>
      <c r="AV156" s="2">
        <v>78.25</v>
      </c>
      <c r="AW156" s="2">
        <v>81.08</v>
      </c>
      <c r="AX156" s="2">
        <v>112.49</v>
      </c>
      <c r="AY156" s="2">
        <v>11.76</v>
      </c>
      <c r="AZ156" s="2">
        <v>9.26</v>
      </c>
      <c r="BA156" s="2">
        <v>9.26</v>
      </c>
      <c r="BB156" s="2">
        <v>0</v>
      </c>
      <c r="BC156" s="2">
        <v>18.41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35.39</v>
      </c>
      <c r="V163" s="2">
        <v>56.74</v>
      </c>
      <c r="W163" s="2">
        <v>12.16</v>
      </c>
      <c r="X163" s="2">
        <v>6.49</v>
      </c>
      <c r="Y163" s="2">
        <v>19.18</v>
      </c>
      <c r="Z163" s="2">
        <v>30.6</v>
      </c>
      <c r="AA163" s="2">
        <v>2.85</v>
      </c>
      <c r="AB163" s="2">
        <v>1.73</v>
      </c>
      <c r="AC163" s="2">
        <v>1.18</v>
      </c>
      <c r="AD163" s="2">
        <v>3.4</v>
      </c>
      <c r="AE163" s="2">
        <v>2.5499999999999998</v>
      </c>
      <c r="AF163" s="2">
        <v>4.84</v>
      </c>
      <c r="AG163" s="2">
        <v>3.08</v>
      </c>
      <c r="AH163" s="2">
        <v>2.4900000000000002</v>
      </c>
      <c r="AI163" s="2">
        <v>27.04</v>
      </c>
      <c r="AJ163" s="2">
        <v>53.96</v>
      </c>
      <c r="AM163" s="1" t="s">
        <v>19</v>
      </c>
      <c r="AN163" s="2">
        <v>70.31</v>
      </c>
      <c r="AO163" s="2">
        <v>112.66</v>
      </c>
      <c r="AP163" s="2">
        <v>30.54</v>
      </c>
      <c r="AQ163" s="2">
        <v>78.209999999999994</v>
      </c>
      <c r="AR163" s="2">
        <v>56.42</v>
      </c>
      <c r="AS163" s="2">
        <v>88.4</v>
      </c>
      <c r="AT163" s="2">
        <v>51.05</v>
      </c>
      <c r="AU163" s="2">
        <v>30.47</v>
      </c>
      <c r="AV163" s="2">
        <v>21.92</v>
      </c>
      <c r="AW163" s="2">
        <v>31.6</v>
      </c>
      <c r="AX163" s="2">
        <v>20.55</v>
      </c>
      <c r="AY163" s="2">
        <v>18.260000000000002</v>
      </c>
      <c r="AZ163" s="2">
        <v>55.02</v>
      </c>
      <c r="BA163" s="2">
        <v>44.41</v>
      </c>
      <c r="BB163" s="2">
        <v>31.76</v>
      </c>
      <c r="BC163" s="2">
        <v>62.94</v>
      </c>
    </row>
    <row r="164" spans="20:55" x14ac:dyDescent="0.3">
      <c r="T164" s="1" t="s">
        <v>20</v>
      </c>
      <c r="U164" s="2">
        <v>20.36</v>
      </c>
      <c r="V164" s="2">
        <v>15.45</v>
      </c>
      <c r="W164" s="2">
        <v>16.47</v>
      </c>
      <c r="X164" s="2">
        <v>27.34</v>
      </c>
      <c r="Y164" s="2">
        <v>27.04</v>
      </c>
      <c r="Z164" s="2">
        <v>25.24</v>
      </c>
      <c r="AA164" s="2">
        <v>23.32</v>
      </c>
      <c r="AB164" s="2">
        <v>20.68</v>
      </c>
      <c r="AC164" s="2">
        <v>19.29</v>
      </c>
      <c r="AD164" s="2">
        <v>13.29</v>
      </c>
      <c r="AE164" s="2">
        <v>19.29</v>
      </c>
      <c r="AF164" s="2">
        <v>13.32</v>
      </c>
      <c r="AG164" s="2">
        <v>28.26</v>
      </c>
      <c r="AH164" s="2">
        <v>22.97</v>
      </c>
      <c r="AI164" s="2">
        <v>17.760000000000002</v>
      </c>
      <c r="AJ164" s="2">
        <v>45.41</v>
      </c>
      <c r="AM164" s="1" t="s">
        <v>20</v>
      </c>
      <c r="AN164" s="2">
        <v>73.53</v>
      </c>
      <c r="AO164" s="2">
        <v>64.75</v>
      </c>
      <c r="AP164" s="2">
        <v>95.53</v>
      </c>
      <c r="AQ164" s="2">
        <v>89.1</v>
      </c>
      <c r="AR164" s="2">
        <v>101.62</v>
      </c>
      <c r="AS164" s="2">
        <v>66.91</v>
      </c>
      <c r="AT164" s="2">
        <v>87.65</v>
      </c>
      <c r="AU164" s="2">
        <v>66.12</v>
      </c>
      <c r="AV164" s="2">
        <v>65.81</v>
      </c>
      <c r="AW164" s="2">
        <v>68.510000000000005</v>
      </c>
      <c r="AX164" s="2">
        <v>65.81</v>
      </c>
      <c r="AY164" s="2">
        <v>68.48</v>
      </c>
      <c r="AZ164" s="2">
        <v>93.64</v>
      </c>
      <c r="BA164" s="2">
        <v>77.23</v>
      </c>
      <c r="BB164" s="2">
        <v>60.76</v>
      </c>
      <c r="BC164" s="2">
        <v>147</v>
      </c>
    </row>
    <row r="165" spans="20:55" x14ac:dyDescent="0.3">
      <c r="T165" s="1" t="s">
        <v>21</v>
      </c>
      <c r="U165" s="2">
        <v>63.09</v>
      </c>
      <c r="V165" s="2">
        <v>64.459999999999994</v>
      </c>
      <c r="W165" s="2">
        <v>66.3</v>
      </c>
      <c r="X165" s="2">
        <v>121.41</v>
      </c>
      <c r="Y165" s="2">
        <v>103.17</v>
      </c>
      <c r="Z165" s="2">
        <v>76.650000000000006</v>
      </c>
      <c r="AA165" s="2">
        <v>85.63</v>
      </c>
      <c r="AB165" s="2">
        <v>64.849999999999994</v>
      </c>
      <c r="AC165" s="2">
        <v>34.380000000000003</v>
      </c>
      <c r="AD165" s="2">
        <v>45.07</v>
      </c>
      <c r="AE165" s="2">
        <v>31.22</v>
      </c>
      <c r="AF165" s="2">
        <v>40.99</v>
      </c>
      <c r="AG165" s="2">
        <v>81.790000000000006</v>
      </c>
      <c r="AH165" s="2">
        <v>62.2</v>
      </c>
      <c r="AI165" s="2">
        <v>58</v>
      </c>
      <c r="AJ165" s="2">
        <v>122.17</v>
      </c>
      <c r="AM165" s="1" t="s">
        <v>21</v>
      </c>
      <c r="AN165" s="2">
        <v>179.31</v>
      </c>
      <c r="AO165" s="2">
        <v>139.09</v>
      </c>
      <c r="AP165" s="2">
        <v>319.8</v>
      </c>
      <c r="AQ165" s="2">
        <v>273.44</v>
      </c>
      <c r="AR165" s="2">
        <v>340.48</v>
      </c>
      <c r="AS165" s="2">
        <v>357.27</v>
      </c>
      <c r="AT165" s="2">
        <v>306.81</v>
      </c>
      <c r="AU165" s="2">
        <v>304.14</v>
      </c>
      <c r="AV165" s="2">
        <v>168.11</v>
      </c>
      <c r="AW165" s="2">
        <v>196.5</v>
      </c>
      <c r="AX165" s="2">
        <v>139.18</v>
      </c>
      <c r="AY165" s="2">
        <v>159.41</v>
      </c>
      <c r="AZ165" s="2">
        <v>273.8</v>
      </c>
      <c r="BA165" s="2">
        <v>198.2</v>
      </c>
      <c r="BB165" s="2">
        <v>168.2</v>
      </c>
      <c r="BC165" s="2">
        <v>306.91000000000003</v>
      </c>
    </row>
    <row r="166" spans="20:55" x14ac:dyDescent="0.3">
      <c r="T166" s="1" t="s">
        <v>22</v>
      </c>
      <c r="U166" s="2">
        <v>14.88</v>
      </c>
      <c r="V166" s="2">
        <v>19.7</v>
      </c>
      <c r="W166" s="2">
        <v>26.48</v>
      </c>
      <c r="X166" s="2">
        <v>34.6</v>
      </c>
      <c r="Y166" s="2">
        <v>26.42</v>
      </c>
      <c r="Z166" s="2">
        <v>34.28</v>
      </c>
      <c r="AA166" s="2">
        <v>20.3</v>
      </c>
      <c r="AB166" s="2">
        <v>21.15</v>
      </c>
      <c r="AC166" s="2">
        <v>14.35</v>
      </c>
      <c r="AD166" s="2">
        <v>6.34</v>
      </c>
      <c r="AE166" s="2">
        <v>12.23</v>
      </c>
      <c r="AF166" s="2">
        <v>10.99</v>
      </c>
      <c r="AG166" s="2">
        <v>17.32</v>
      </c>
      <c r="AH166" s="2">
        <v>17.32</v>
      </c>
      <c r="AI166" s="2">
        <v>19.43</v>
      </c>
      <c r="AJ166" s="2">
        <v>31.26</v>
      </c>
      <c r="AM166" s="1" t="s">
        <v>22</v>
      </c>
      <c r="AN166" s="2">
        <v>59.61</v>
      </c>
      <c r="AO166" s="2">
        <v>45.69</v>
      </c>
      <c r="AP166" s="2">
        <v>113.11</v>
      </c>
      <c r="AQ166" s="2">
        <v>135.74</v>
      </c>
      <c r="AR166" s="2">
        <v>109.46</v>
      </c>
      <c r="AS166" s="2">
        <v>136.91999999999999</v>
      </c>
      <c r="AT166" s="2">
        <v>119.1</v>
      </c>
      <c r="AU166" s="2">
        <v>113.65</v>
      </c>
      <c r="AV166" s="2">
        <v>65.75</v>
      </c>
      <c r="AW166" s="2">
        <v>57.06</v>
      </c>
      <c r="AX166" s="2">
        <v>51.17</v>
      </c>
      <c r="AY166" s="2">
        <v>52.41</v>
      </c>
      <c r="AZ166" s="2">
        <v>81.180000000000007</v>
      </c>
      <c r="BA166" s="2">
        <v>81.180000000000007</v>
      </c>
      <c r="BB166" s="2">
        <v>49</v>
      </c>
      <c r="BC166" s="2">
        <v>79.36</v>
      </c>
    </row>
    <row r="167" spans="20:55" x14ac:dyDescent="0.3">
      <c r="T167" s="1" t="s">
        <v>23</v>
      </c>
      <c r="U167" s="2">
        <v>56.43</v>
      </c>
      <c r="V167" s="2">
        <v>53.67</v>
      </c>
      <c r="W167" s="2">
        <v>119.07</v>
      </c>
      <c r="X167" s="2">
        <v>114.39</v>
      </c>
      <c r="Y167" s="2">
        <v>139.5</v>
      </c>
      <c r="Z167" s="2">
        <v>109.83</v>
      </c>
      <c r="AA167" s="2">
        <v>79.23</v>
      </c>
      <c r="AB167" s="2">
        <v>75.650000000000006</v>
      </c>
      <c r="AC167" s="2">
        <v>88.58</v>
      </c>
      <c r="AD167" s="2">
        <v>63.55</v>
      </c>
      <c r="AE167" s="2">
        <v>79.22</v>
      </c>
      <c r="AF167" s="2">
        <v>62.38</v>
      </c>
      <c r="AG167" s="2">
        <v>74.739999999999995</v>
      </c>
      <c r="AH167" s="2">
        <v>72.599999999999994</v>
      </c>
      <c r="AI167" s="2">
        <v>111.69</v>
      </c>
      <c r="AJ167" s="2">
        <v>107.76</v>
      </c>
      <c r="AM167" s="1" t="s">
        <v>23</v>
      </c>
      <c r="AN167" s="2">
        <v>155.29</v>
      </c>
      <c r="AO167" s="2">
        <v>203.84</v>
      </c>
      <c r="AP167" s="2">
        <v>323.17</v>
      </c>
      <c r="AQ167" s="2">
        <v>317.25</v>
      </c>
      <c r="AR167" s="2">
        <v>380.69</v>
      </c>
      <c r="AS167" s="2">
        <v>448.54</v>
      </c>
      <c r="AT167" s="2">
        <v>401.27</v>
      </c>
      <c r="AU167" s="2">
        <v>404.85</v>
      </c>
      <c r="AV167" s="2">
        <v>403.92</v>
      </c>
      <c r="AW167" s="2">
        <v>311.95</v>
      </c>
      <c r="AX167" s="2">
        <v>404.78</v>
      </c>
      <c r="AY167" s="2">
        <v>305.12</v>
      </c>
      <c r="AZ167" s="2">
        <v>342.76</v>
      </c>
      <c r="BA167" s="2">
        <v>336.4</v>
      </c>
      <c r="BB167" s="2">
        <v>297.77999999999997</v>
      </c>
      <c r="BC167" s="2">
        <v>291.04000000000002</v>
      </c>
    </row>
    <row r="168" spans="20:55" x14ac:dyDescent="0.3">
      <c r="T168" s="1" t="s">
        <v>24</v>
      </c>
      <c r="U168" s="2">
        <v>13.18</v>
      </c>
      <c r="V168" s="2">
        <v>3.67</v>
      </c>
      <c r="W168" s="2">
        <v>17.82</v>
      </c>
      <c r="X168" s="2">
        <v>19.11</v>
      </c>
      <c r="Y168" s="2">
        <v>16.28</v>
      </c>
      <c r="Z168" s="2">
        <v>9.01</v>
      </c>
      <c r="AA168" s="2">
        <v>14.15</v>
      </c>
      <c r="AB168" s="2">
        <v>14.66</v>
      </c>
      <c r="AC168" s="2">
        <v>13.14</v>
      </c>
      <c r="AD168" s="2">
        <v>8.81</v>
      </c>
      <c r="AE168" s="2">
        <v>11.69</v>
      </c>
      <c r="AF168" s="2">
        <v>7.34</v>
      </c>
      <c r="AG168" s="2">
        <v>11.71</v>
      </c>
      <c r="AH168" s="2">
        <v>10.73</v>
      </c>
      <c r="AI168" s="2">
        <v>17.09</v>
      </c>
      <c r="AJ168" s="2">
        <v>12.6</v>
      </c>
      <c r="AM168" s="1" t="s">
        <v>24</v>
      </c>
      <c r="AN168" s="2">
        <v>36.36</v>
      </c>
      <c r="AO168" s="2">
        <v>12.95</v>
      </c>
      <c r="AP168" s="2">
        <v>68.63</v>
      </c>
      <c r="AQ168" s="2">
        <v>78.55</v>
      </c>
      <c r="AR168" s="2">
        <v>63.46</v>
      </c>
      <c r="AS168" s="2">
        <v>36.39</v>
      </c>
      <c r="AT168" s="2">
        <v>49.35</v>
      </c>
      <c r="AU168" s="2">
        <v>62.37</v>
      </c>
      <c r="AV168" s="2">
        <v>55.27</v>
      </c>
      <c r="AW168" s="2">
        <v>34.6</v>
      </c>
      <c r="AX168" s="2">
        <v>46.71</v>
      </c>
      <c r="AY168" s="2">
        <v>27.76</v>
      </c>
      <c r="AZ168" s="2">
        <v>43.4</v>
      </c>
      <c r="BA168" s="2">
        <v>39.42</v>
      </c>
      <c r="BB168" s="2">
        <v>38.72</v>
      </c>
      <c r="BC168" s="2">
        <v>30.77</v>
      </c>
    </row>
    <row r="169" spans="20:55" x14ac:dyDescent="0.3">
      <c r="T169" s="1" t="s">
        <v>25</v>
      </c>
      <c r="U169" s="2">
        <v>28.82</v>
      </c>
      <c r="V169" s="2">
        <v>28.78</v>
      </c>
      <c r="W169" s="2">
        <v>19.78</v>
      </c>
      <c r="X169" s="2">
        <v>26.3</v>
      </c>
      <c r="Y169" s="2">
        <v>25.08</v>
      </c>
      <c r="Z169" s="2">
        <v>24.91</v>
      </c>
      <c r="AA169" s="2">
        <v>27.69</v>
      </c>
      <c r="AB169" s="2">
        <v>23.4</v>
      </c>
      <c r="AC169" s="2">
        <v>20.69</v>
      </c>
      <c r="AD169" s="2">
        <v>33.64</v>
      </c>
      <c r="AE169" s="2">
        <v>18.100000000000001</v>
      </c>
      <c r="AF169" s="2">
        <v>29.62</v>
      </c>
      <c r="AG169" s="2">
        <v>3.8</v>
      </c>
      <c r="AH169" s="2">
        <v>9.92</v>
      </c>
      <c r="AI169" s="2">
        <v>15.86</v>
      </c>
      <c r="AJ169" s="2">
        <v>26.43</v>
      </c>
      <c r="AM169" s="1" t="s">
        <v>25</v>
      </c>
      <c r="AN169" s="2">
        <v>80.739999999999995</v>
      </c>
      <c r="AO169" s="2">
        <v>79.13</v>
      </c>
      <c r="AP169" s="2">
        <v>58.54</v>
      </c>
      <c r="AQ169" s="2">
        <v>100.9</v>
      </c>
      <c r="AR169" s="2">
        <v>91.54</v>
      </c>
      <c r="AS169" s="2">
        <v>81.93</v>
      </c>
      <c r="AT169" s="2">
        <v>90.66</v>
      </c>
      <c r="AU169" s="2">
        <v>93.02</v>
      </c>
      <c r="AV169" s="2">
        <v>74.540000000000006</v>
      </c>
      <c r="AW169" s="2">
        <v>121.89</v>
      </c>
      <c r="AX169" s="2">
        <v>57.03</v>
      </c>
      <c r="AY169" s="2">
        <v>93.95</v>
      </c>
      <c r="AZ169" s="2">
        <v>21.1</v>
      </c>
      <c r="BA169" s="2">
        <v>34.729999999999997</v>
      </c>
      <c r="BB169" s="2">
        <v>30.75</v>
      </c>
      <c r="BC169" s="2">
        <v>57.71</v>
      </c>
    </row>
    <row r="170" spans="20:55" x14ac:dyDescent="0.3">
      <c r="T170" s="1" t="s">
        <v>26</v>
      </c>
      <c r="U170" s="2">
        <v>5.52</v>
      </c>
      <c r="V170" s="2">
        <v>8.1999999999999993</v>
      </c>
      <c r="W170" s="2">
        <v>6.54</v>
      </c>
      <c r="X170" s="2">
        <v>8.3699999999999992</v>
      </c>
      <c r="Y170" s="2">
        <v>9.99</v>
      </c>
      <c r="Z170" s="2">
        <v>15.62</v>
      </c>
      <c r="AA170" s="2">
        <v>1.07</v>
      </c>
      <c r="AB170" s="2">
        <v>0.94</v>
      </c>
      <c r="AC170" s="2">
        <v>1.4</v>
      </c>
      <c r="AD170" s="2">
        <v>1.46</v>
      </c>
      <c r="AE170" s="2">
        <v>1.4</v>
      </c>
      <c r="AF170" s="2">
        <v>1.46</v>
      </c>
      <c r="AG170" s="2">
        <v>0</v>
      </c>
      <c r="AH170" s="2">
        <v>0</v>
      </c>
      <c r="AI170" s="2">
        <v>7.12</v>
      </c>
      <c r="AJ170" s="2">
        <v>8.4600000000000009</v>
      </c>
      <c r="AM170" s="1" t="s">
        <v>26</v>
      </c>
      <c r="AN170" s="2">
        <v>17.28</v>
      </c>
      <c r="AO170" s="2">
        <v>32.6</v>
      </c>
      <c r="AP170" s="2">
        <v>16.260000000000002</v>
      </c>
      <c r="AQ170" s="2">
        <v>32.43</v>
      </c>
      <c r="AR170" s="2">
        <v>22.41</v>
      </c>
      <c r="AS170" s="2">
        <v>40.18</v>
      </c>
      <c r="AT170" s="2">
        <v>3.43</v>
      </c>
      <c r="AU170" s="2">
        <v>3.56</v>
      </c>
      <c r="AV170" s="2">
        <v>3.7</v>
      </c>
      <c r="AW170" s="2">
        <v>3.56</v>
      </c>
      <c r="AX170" s="2">
        <v>3.7</v>
      </c>
      <c r="AY170" s="2">
        <v>3.56</v>
      </c>
      <c r="AZ170" s="2">
        <v>0</v>
      </c>
      <c r="BA170" s="2">
        <v>0</v>
      </c>
      <c r="BB170" s="2">
        <v>17.53</v>
      </c>
      <c r="BC170" s="2">
        <v>23.01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1060.07</v>
      </c>
      <c r="V177" s="2">
        <v>1558.28</v>
      </c>
      <c r="W177" s="2">
        <v>500.39</v>
      </c>
      <c r="X177" s="2">
        <v>246.27</v>
      </c>
      <c r="Y177" s="2">
        <v>339.24</v>
      </c>
      <c r="Z177" s="2">
        <v>848.34</v>
      </c>
      <c r="AA177" s="2">
        <v>95.1</v>
      </c>
      <c r="AB177" s="2">
        <v>873.11</v>
      </c>
      <c r="AC177" s="2">
        <v>1078.0899999999999</v>
      </c>
      <c r="AD177" s="2">
        <v>723.77</v>
      </c>
      <c r="AE177" s="2">
        <v>495.33</v>
      </c>
      <c r="AF177" s="2">
        <v>277.56</v>
      </c>
      <c r="AG177" s="2">
        <v>703.08</v>
      </c>
      <c r="AH177" s="2">
        <v>1740.85</v>
      </c>
      <c r="AI177" s="2">
        <v>92.44</v>
      </c>
      <c r="AJ177" s="2">
        <v>902.77</v>
      </c>
      <c r="AM177" s="1" t="s">
        <v>19</v>
      </c>
      <c r="AN177" s="2">
        <v>5248.33</v>
      </c>
      <c r="AO177" s="2">
        <v>8378.2199999999993</v>
      </c>
      <c r="AP177" s="2">
        <v>3447.05</v>
      </c>
      <c r="AQ177" s="2">
        <v>4406.07</v>
      </c>
      <c r="AR177" s="2">
        <v>6314.68</v>
      </c>
      <c r="AS177" s="2">
        <v>5805.58</v>
      </c>
      <c r="AT177" s="2">
        <v>1696.83</v>
      </c>
      <c r="AU177" s="2">
        <v>3300.01</v>
      </c>
      <c r="AV177" s="2">
        <v>5280.71</v>
      </c>
      <c r="AW177" s="2">
        <v>8390.23</v>
      </c>
      <c r="AX177" s="2">
        <v>3361.95</v>
      </c>
      <c r="AY177" s="2">
        <v>4876.05</v>
      </c>
      <c r="AZ177" s="2">
        <v>6072.78</v>
      </c>
      <c r="BA177" s="2">
        <v>4913.07</v>
      </c>
      <c r="BB177" s="2">
        <v>1649.51</v>
      </c>
      <c r="BC177" s="2">
        <v>3045.23</v>
      </c>
    </row>
    <row r="178" spans="20:55" x14ac:dyDescent="0.3">
      <c r="T178" s="1" t="s">
        <v>20</v>
      </c>
      <c r="U178" s="2">
        <v>118.43</v>
      </c>
      <c r="V178" s="2">
        <v>72.06</v>
      </c>
      <c r="W178" s="2">
        <v>89.93</v>
      </c>
      <c r="X178" s="2">
        <v>90.02</v>
      </c>
      <c r="Y178" s="2">
        <v>101.32</v>
      </c>
      <c r="Z178" s="2">
        <v>101.32</v>
      </c>
      <c r="AA178" s="2">
        <v>44.22</v>
      </c>
      <c r="AB178" s="2">
        <v>51.11</v>
      </c>
      <c r="AC178" s="2">
        <v>55.9</v>
      </c>
      <c r="AD178" s="2">
        <v>230.49</v>
      </c>
      <c r="AE178" s="2">
        <v>65.75</v>
      </c>
      <c r="AF178" s="2">
        <v>78.39</v>
      </c>
      <c r="AG178" s="2">
        <v>64.45</v>
      </c>
      <c r="AH178" s="2">
        <v>63.58</v>
      </c>
      <c r="AI178" s="2">
        <v>35.64</v>
      </c>
      <c r="AJ178" s="2">
        <v>79.69</v>
      </c>
      <c r="AM178" s="1" t="s">
        <v>20</v>
      </c>
      <c r="AN178" s="2">
        <v>614.62</v>
      </c>
      <c r="AO178" s="2">
        <v>1475.94</v>
      </c>
      <c r="AP178" s="2">
        <v>641.87</v>
      </c>
      <c r="AQ178" s="2">
        <v>604.34</v>
      </c>
      <c r="AR178" s="2">
        <v>1322.18</v>
      </c>
      <c r="AS178" s="2">
        <v>1322.18</v>
      </c>
      <c r="AT178" s="2">
        <v>555.33000000000004</v>
      </c>
      <c r="AU178" s="2">
        <v>295.17</v>
      </c>
      <c r="AV178" s="2">
        <v>918.02</v>
      </c>
      <c r="AW178" s="2">
        <v>751.06</v>
      </c>
      <c r="AX178" s="2">
        <v>626.17999999999995</v>
      </c>
      <c r="AY178" s="2">
        <v>934.05</v>
      </c>
      <c r="AZ178" s="2">
        <v>1224.6300000000001</v>
      </c>
      <c r="BA178" s="2">
        <v>1208.08</v>
      </c>
      <c r="BB178" s="2">
        <v>455.13</v>
      </c>
      <c r="BC178" s="2">
        <v>435.63</v>
      </c>
    </row>
    <row r="179" spans="20:55" x14ac:dyDescent="0.3">
      <c r="T179" s="1" t="s">
        <v>21</v>
      </c>
      <c r="U179" s="2">
        <v>423.78</v>
      </c>
      <c r="V179" s="2">
        <v>373.49</v>
      </c>
      <c r="W179" s="2">
        <v>347.12</v>
      </c>
      <c r="X179" s="2">
        <v>351.92</v>
      </c>
      <c r="Y179" s="2">
        <v>217.57</v>
      </c>
      <c r="Z179" s="2">
        <v>189.51</v>
      </c>
      <c r="AA179" s="2">
        <v>145.56</v>
      </c>
      <c r="AB179" s="2">
        <v>124.59</v>
      </c>
      <c r="AC179" s="2">
        <v>391</v>
      </c>
      <c r="AD179" s="2">
        <v>634.91999999999996</v>
      </c>
      <c r="AE179" s="2">
        <v>210.89</v>
      </c>
      <c r="AF179" s="2">
        <v>286.62</v>
      </c>
      <c r="AG179" s="2">
        <v>231.49</v>
      </c>
      <c r="AH179" s="2">
        <v>216.06</v>
      </c>
      <c r="AI179" s="2">
        <v>143.01</v>
      </c>
      <c r="AJ179" s="2">
        <v>187.65</v>
      </c>
      <c r="AM179" s="1" t="s">
        <v>21</v>
      </c>
      <c r="AN179" s="2">
        <v>4320.83</v>
      </c>
      <c r="AO179" s="2">
        <v>7404.76</v>
      </c>
      <c r="AP179" s="2">
        <v>4318.8599999999997</v>
      </c>
      <c r="AQ179" s="2">
        <v>4848.03</v>
      </c>
      <c r="AR179" s="2">
        <v>4133.8</v>
      </c>
      <c r="AS179" s="2">
        <v>3417.21</v>
      </c>
      <c r="AT179" s="2">
        <v>1850.64</v>
      </c>
      <c r="AU179" s="2">
        <v>1338.45</v>
      </c>
      <c r="AV179" s="2">
        <v>2906.1</v>
      </c>
      <c r="AW179" s="2">
        <v>5011.88</v>
      </c>
      <c r="AX179" s="2">
        <v>4016.31</v>
      </c>
      <c r="AY179" s="2">
        <v>5580.32</v>
      </c>
      <c r="AZ179" s="2">
        <v>4068.66</v>
      </c>
      <c r="BA179" s="2">
        <v>3299.4</v>
      </c>
      <c r="BB179" s="2">
        <v>1287.0899999999999</v>
      </c>
      <c r="BC179" s="2">
        <v>1699.77</v>
      </c>
    </row>
    <row r="180" spans="20:55" x14ac:dyDescent="0.3">
      <c r="T180" s="1" t="s">
        <v>22</v>
      </c>
      <c r="U180" s="2">
        <v>103.29</v>
      </c>
      <c r="V180" s="2">
        <v>207.17</v>
      </c>
      <c r="W180" s="2">
        <v>92.25</v>
      </c>
      <c r="X180" s="2">
        <v>89.67</v>
      </c>
      <c r="Y180" s="2">
        <v>93.95</v>
      </c>
      <c r="Z180" s="2">
        <v>83.78</v>
      </c>
      <c r="AA180" s="2">
        <v>24.72</v>
      </c>
      <c r="AB180" s="2">
        <v>94.62</v>
      </c>
      <c r="AC180" s="2">
        <v>157.19</v>
      </c>
      <c r="AD180" s="2">
        <v>155.15</v>
      </c>
      <c r="AE180" s="2">
        <v>121.67</v>
      </c>
      <c r="AF180" s="2">
        <v>106.64</v>
      </c>
      <c r="AG180" s="2">
        <v>109.38</v>
      </c>
      <c r="AH180" s="2">
        <v>54.69</v>
      </c>
      <c r="AI180" s="2">
        <v>24.89</v>
      </c>
      <c r="AJ180" s="2">
        <v>85.49</v>
      </c>
      <c r="AM180" s="1" t="s">
        <v>22</v>
      </c>
      <c r="AN180" s="2">
        <v>1596.32</v>
      </c>
      <c r="AO180" s="2">
        <v>3545.67</v>
      </c>
      <c r="AP180" s="2">
        <v>1507.46</v>
      </c>
      <c r="AQ180" s="2">
        <v>1776.48</v>
      </c>
      <c r="AR180" s="2">
        <v>1759.41</v>
      </c>
      <c r="AS180" s="2">
        <v>1400.56</v>
      </c>
      <c r="AT180" s="2">
        <v>469.64</v>
      </c>
      <c r="AU180" s="2">
        <v>499.02</v>
      </c>
      <c r="AV180" s="2">
        <v>1272.57</v>
      </c>
      <c r="AW180" s="2">
        <v>2396.94</v>
      </c>
      <c r="AX180" s="2">
        <v>1924.24</v>
      </c>
      <c r="AY180" s="2">
        <v>2076.31</v>
      </c>
      <c r="AZ180" s="2">
        <v>984.44</v>
      </c>
      <c r="BA180" s="2">
        <v>1039.1300000000001</v>
      </c>
      <c r="BB180" s="2">
        <v>472.81</v>
      </c>
      <c r="BC180" s="2">
        <v>444.56</v>
      </c>
    </row>
    <row r="181" spans="20:55" x14ac:dyDescent="0.3">
      <c r="T181" s="1" t="s">
        <v>23</v>
      </c>
      <c r="U181" s="2">
        <v>960.12</v>
      </c>
      <c r="V181" s="2">
        <v>1262.01</v>
      </c>
      <c r="W181" s="2">
        <v>644.79999999999995</v>
      </c>
      <c r="X181" s="2">
        <v>292.31</v>
      </c>
      <c r="Y181" s="2">
        <v>404</v>
      </c>
      <c r="Z181" s="2">
        <v>392.8</v>
      </c>
      <c r="AA181" s="2">
        <v>127.95</v>
      </c>
      <c r="AB181" s="2">
        <v>444.86</v>
      </c>
      <c r="AC181" s="2">
        <v>381.91</v>
      </c>
      <c r="AD181" s="2">
        <v>1368.76</v>
      </c>
      <c r="AE181" s="2">
        <v>362.54</v>
      </c>
      <c r="AF181" s="2">
        <v>354.65</v>
      </c>
      <c r="AG181" s="2">
        <v>392.8</v>
      </c>
      <c r="AH181" s="2">
        <v>384.09</v>
      </c>
      <c r="AI181" s="2">
        <v>122.69</v>
      </c>
      <c r="AJ181" s="2">
        <v>442.45</v>
      </c>
      <c r="AM181" s="1" t="s">
        <v>23</v>
      </c>
      <c r="AN181" s="2">
        <v>4403.76</v>
      </c>
      <c r="AO181" s="2">
        <v>10306.35</v>
      </c>
      <c r="AP181" s="2">
        <v>6405.5</v>
      </c>
      <c r="AQ181" s="2">
        <v>5791.24</v>
      </c>
      <c r="AR181" s="2">
        <v>7626.1</v>
      </c>
      <c r="AS181" s="2">
        <v>7463.1</v>
      </c>
      <c r="AT181" s="2">
        <v>2414.1</v>
      </c>
      <c r="AU181" s="2">
        <v>3007.47</v>
      </c>
      <c r="AV181" s="2">
        <v>5683.49</v>
      </c>
      <c r="AW181" s="2">
        <v>8910.0300000000007</v>
      </c>
      <c r="AX181" s="2">
        <v>5936.23</v>
      </c>
      <c r="AY181" s="2">
        <v>6905.35</v>
      </c>
      <c r="AZ181" s="2">
        <v>7463.1</v>
      </c>
      <c r="BA181" s="2">
        <v>7297.61</v>
      </c>
      <c r="BB181" s="2">
        <v>2331.16</v>
      </c>
      <c r="BC181" s="2">
        <v>2603.1999999999998</v>
      </c>
    </row>
    <row r="182" spans="20:55" x14ac:dyDescent="0.3">
      <c r="T182" s="1" t="s">
        <v>24</v>
      </c>
      <c r="U182" s="2">
        <v>208.11</v>
      </c>
      <c r="V182" s="2">
        <v>147.02000000000001</v>
      </c>
      <c r="W182" s="2">
        <v>64.349999999999994</v>
      </c>
      <c r="X182" s="2">
        <v>75.47</v>
      </c>
      <c r="Y182" s="2">
        <v>46.66</v>
      </c>
      <c r="Z182" s="2">
        <v>39.270000000000003</v>
      </c>
      <c r="AA182" s="2">
        <v>23.49</v>
      </c>
      <c r="AB182" s="2">
        <v>56.46</v>
      </c>
      <c r="AC182" s="2">
        <v>53.38</v>
      </c>
      <c r="AD182" s="2">
        <v>106.9</v>
      </c>
      <c r="AE182" s="2">
        <v>56.45</v>
      </c>
      <c r="AF182" s="2">
        <v>47.99</v>
      </c>
      <c r="AG182" s="2">
        <v>52.73</v>
      </c>
      <c r="AH182" s="2">
        <v>42.1</v>
      </c>
      <c r="AI182" s="2">
        <v>20.88</v>
      </c>
      <c r="AJ182" s="2">
        <v>61.39</v>
      </c>
      <c r="AM182" s="1" t="s">
        <v>24</v>
      </c>
      <c r="AN182" s="2">
        <v>1085.76</v>
      </c>
      <c r="AO182" s="2">
        <v>3011.12</v>
      </c>
      <c r="AP182" s="2">
        <v>1274.78</v>
      </c>
      <c r="AQ182" s="2">
        <v>1356.07</v>
      </c>
      <c r="AR182" s="2">
        <v>886.58</v>
      </c>
      <c r="AS182" s="2">
        <v>746.19</v>
      </c>
      <c r="AT182" s="2">
        <v>446.36</v>
      </c>
      <c r="AU182" s="2">
        <v>606.20000000000005</v>
      </c>
      <c r="AV182" s="2">
        <v>978.56</v>
      </c>
      <c r="AW182" s="2">
        <v>2110.84</v>
      </c>
      <c r="AX182" s="2">
        <v>1099.1400000000001</v>
      </c>
      <c r="AY182" s="2">
        <v>934.34</v>
      </c>
      <c r="AZ182" s="2">
        <v>1001.86</v>
      </c>
      <c r="BA182" s="2">
        <v>799.81</v>
      </c>
      <c r="BB182" s="2">
        <v>396.78</v>
      </c>
      <c r="BC182" s="2">
        <v>253.6</v>
      </c>
    </row>
    <row r="183" spans="20:55" x14ac:dyDescent="0.3">
      <c r="T183" s="1" t="s">
        <v>25</v>
      </c>
      <c r="U183" s="2">
        <v>323.29000000000002</v>
      </c>
      <c r="V183" s="2">
        <v>449.55</v>
      </c>
      <c r="W183" s="2">
        <v>225.12</v>
      </c>
      <c r="X183" s="2">
        <v>269.76</v>
      </c>
      <c r="Y183" s="2">
        <v>170.15</v>
      </c>
      <c r="Z183" s="2">
        <v>159.03</v>
      </c>
      <c r="AA183" s="2">
        <v>75.73</v>
      </c>
      <c r="AB183" s="2">
        <v>156.25</v>
      </c>
      <c r="AC183" s="2">
        <v>342.85</v>
      </c>
      <c r="AD183" s="2">
        <v>424.24</v>
      </c>
      <c r="AE183" s="2">
        <v>210.97</v>
      </c>
      <c r="AF183" s="2">
        <v>184</v>
      </c>
      <c r="AG183" s="2">
        <v>237.14</v>
      </c>
      <c r="AH183" s="2">
        <v>219.52</v>
      </c>
      <c r="AI183" s="2">
        <v>62.75</v>
      </c>
      <c r="AJ183" s="2">
        <v>162.49</v>
      </c>
      <c r="AM183" s="1" t="s">
        <v>25</v>
      </c>
      <c r="AN183" s="2">
        <v>4378.5</v>
      </c>
      <c r="AO183" s="2">
        <v>6576.37</v>
      </c>
      <c r="AP183" s="2">
        <v>4459.91</v>
      </c>
      <c r="AQ183" s="2">
        <v>4480.1099999999997</v>
      </c>
      <c r="AR183" s="2">
        <v>3232.91</v>
      </c>
      <c r="AS183" s="2">
        <v>2567.02</v>
      </c>
      <c r="AT183" s="2">
        <v>681.53</v>
      </c>
      <c r="AU183" s="2">
        <v>1394.37</v>
      </c>
      <c r="AV183" s="2">
        <v>4647.83</v>
      </c>
      <c r="AW183" s="2">
        <v>8376.26</v>
      </c>
      <c r="AX183" s="2">
        <v>3594.57</v>
      </c>
      <c r="AY183" s="2">
        <v>3582.54</v>
      </c>
      <c r="AZ183" s="2">
        <v>4505.57</v>
      </c>
      <c r="BA183" s="2">
        <v>3579.17</v>
      </c>
      <c r="BB183" s="2">
        <v>1151.8</v>
      </c>
      <c r="BC183" s="2">
        <v>1671.25</v>
      </c>
    </row>
    <row r="184" spans="20:55" x14ac:dyDescent="0.3">
      <c r="T184" s="1" t="s">
        <v>26</v>
      </c>
      <c r="U184" s="2">
        <v>176.68</v>
      </c>
      <c r="V184" s="2">
        <v>430.52</v>
      </c>
      <c r="W184" s="2">
        <v>222.93</v>
      </c>
      <c r="X184" s="2">
        <v>147.32</v>
      </c>
      <c r="Y184" s="2">
        <v>252.54</v>
      </c>
      <c r="Z184" s="2">
        <v>252.54</v>
      </c>
      <c r="AA184" s="2">
        <v>29.79</v>
      </c>
      <c r="AB184" s="2">
        <v>242.02</v>
      </c>
      <c r="AC184" s="2">
        <v>149.22999999999999</v>
      </c>
      <c r="AD184" s="2">
        <v>244.12</v>
      </c>
      <c r="AE184" s="2">
        <v>171.6</v>
      </c>
      <c r="AF184" s="2">
        <v>107.12</v>
      </c>
      <c r="AG184" s="2">
        <v>178.25</v>
      </c>
      <c r="AH184" s="2">
        <v>178.25</v>
      </c>
      <c r="AI184" s="2">
        <v>31.88</v>
      </c>
      <c r="AJ184" s="2">
        <v>242.92</v>
      </c>
      <c r="AM184" s="1" t="s">
        <v>26</v>
      </c>
      <c r="AN184" s="2">
        <v>2711.96</v>
      </c>
      <c r="AO184" s="2">
        <v>4963.4799999999996</v>
      </c>
      <c r="AP184" s="2">
        <v>2302.11</v>
      </c>
      <c r="AQ184" s="2">
        <v>2352.4299999999998</v>
      </c>
      <c r="AR184" s="2">
        <v>3262.92</v>
      </c>
      <c r="AS184" s="2">
        <v>3262.92</v>
      </c>
      <c r="AT184" s="2">
        <v>474.84</v>
      </c>
      <c r="AU184" s="2">
        <v>1613.63</v>
      </c>
      <c r="AV184" s="2">
        <v>2946.77</v>
      </c>
      <c r="AW184" s="2">
        <v>4820.63</v>
      </c>
      <c r="AX184" s="2">
        <v>2119.08</v>
      </c>
      <c r="AY184" s="2">
        <v>2085.73</v>
      </c>
      <c r="AZ184" s="2">
        <v>2102.3000000000002</v>
      </c>
      <c r="BA184" s="2">
        <v>2102.3000000000002</v>
      </c>
      <c r="BB184" s="2">
        <v>525.66999999999996</v>
      </c>
      <c r="BC184" s="2">
        <v>1092.75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441.7</v>
      </c>
      <c r="V191" s="2">
        <v>449.2</v>
      </c>
      <c r="W191" s="2">
        <v>623.30999999999995</v>
      </c>
      <c r="X191" s="2">
        <v>289.51</v>
      </c>
      <c r="Y191" s="2">
        <v>178.71</v>
      </c>
      <c r="Z191" s="2">
        <v>176.9</v>
      </c>
      <c r="AA191" s="2">
        <v>74.63</v>
      </c>
      <c r="AB191" s="2">
        <v>84.11</v>
      </c>
      <c r="AC191" s="2">
        <v>130.47999999999999</v>
      </c>
      <c r="AD191" s="2">
        <v>270.42</v>
      </c>
      <c r="AE191" s="2">
        <v>326.29000000000002</v>
      </c>
      <c r="AF191" s="2">
        <v>669.56</v>
      </c>
      <c r="AG191" s="2">
        <v>45.28</v>
      </c>
      <c r="AH191" s="2">
        <v>44.02</v>
      </c>
      <c r="AI191" s="2">
        <v>1091.3900000000001</v>
      </c>
      <c r="AJ191" s="2">
        <v>1128.46</v>
      </c>
      <c r="AM191" s="1" t="s">
        <v>19</v>
      </c>
      <c r="AN191" s="2">
        <v>2186.8000000000002</v>
      </c>
      <c r="AO191" s="2">
        <v>2200.3000000000002</v>
      </c>
      <c r="AP191" s="2">
        <v>3351.29</v>
      </c>
      <c r="AQ191" s="2">
        <v>3356.09</v>
      </c>
      <c r="AR191" s="2">
        <v>1231.0899999999999</v>
      </c>
      <c r="AS191" s="2">
        <v>1200.7</v>
      </c>
      <c r="AT191" s="2">
        <v>1335.17</v>
      </c>
      <c r="AU191" s="2">
        <v>1477.59</v>
      </c>
      <c r="AV191" s="2">
        <v>2428.7199999999998</v>
      </c>
      <c r="AW191" s="2">
        <v>2335.6799999999998</v>
      </c>
      <c r="AX191" s="2">
        <v>2232.91</v>
      </c>
      <c r="AY191" s="2">
        <v>1889.64</v>
      </c>
      <c r="AZ191" s="2">
        <v>808.02</v>
      </c>
      <c r="BA191" s="2">
        <v>785.48</v>
      </c>
      <c r="BB191" s="2">
        <v>4125.01</v>
      </c>
      <c r="BC191" s="2">
        <v>3806.54</v>
      </c>
    </row>
    <row r="192" spans="20:55" x14ac:dyDescent="0.3">
      <c r="T192" s="1" t="s">
        <v>20</v>
      </c>
      <c r="U192" s="2">
        <v>49.35</v>
      </c>
      <c r="V192" s="2">
        <v>23.29</v>
      </c>
      <c r="W192" s="2">
        <v>28.82</v>
      </c>
      <c r="X192" s="2">
        <v>92.2</v>
      </c>
      <c r="Y192" s="2">
        <v>32.119999999999997</v>
      </c>
      <c r="Z192" s="2">
        <v>23.48</v>
      </c>
      <c r="AA192" s="2">
        <v>27.28</v>
      </c>
      <c r="AB192" s="2">
        <v>23.75</v>
      </c>
      <c r="AC192" s="2">
        <v>38.97</v>
      </c>
      <c r="AD192" s="2">
        <v>24.79</v>
      </c>
      <c r="AE192" s="2">
        <v>38.97</v>
      </c>
      <c r="AF192" s="2">
        <v>24.46</v>
      </c>
      <c r="AG192" s="2">
        <v>21.06</v>
      </c>
      <c r="AH192" s="2">
        <v>16.97</v>
      </c>
      <c r="AI192" s="2">
        <v>63.89</v>
      </c>
      <c r="AJ192" s="2">
        <v>99.61</v>
      </c>
      <c r="AM192" s="1" t="s">
        <v>20</v>
      </c>
      <c r="AN192" s="2">
        <v>256.08999999999997</v>
      </c>
      <c r="AO192" s="2">
        <v>382.51</v>
      </c>
      <c r="AP192" s="2">
        <v>590.38</v>
      </c>
      <c r="AQ192" s="2">
        <v>300.42</v>
      </c>
      <c r="AR192" s="2">
        <v>229.24</v>
      </c>
      <c r="AS192" s="2">
        <v>223.64</v>
      </c>
      <c r="AT192" s="2">
        <v>183.13</v>
      </c>
      <c r="AU192" s="2">
        <v>283.05</v>
      </c>
      <c r="AV192" s="2">
        <v>508.53</v>
      </c>
      <c r="AW192" s="2">
        <v>471.01</v>
      </c>
      <c r="AX192" s="2">
        <v>508.53</v>
      </c>
      <c r="AY192" s="2">
        <v>464.64</v>
      </c>
      <c r="AZ192" s="2">
        <v>264.44</v>
      </c>
      <c r="BA192" s="2">
        <v>216.73</v>
      </c>
      <c r="BB192" s="2">
        <v>368.97</v>
      </c>
      <c r="BC192" s="2">
        <v>544.53</v>
      </c>
    </row>
    <row r="193" spans="20:55" x14ac:dyDescent="0.3">
      <c r="T193" s="1" t="s">
        <v>21</v>
      </c>
      <c r="U193" s="2">
        <v>176.58</v>
      </c>
      <c r="V193" s="2">
        <v>162.91999999999999</v>
      </c>
      <c r="W193" s="2">
        <v>149.4</v>
      </c>
      <c r="X193" s="2">
        <v>253.97</v>
      </c>
      <c r="Y193" s="2">
        <v>123.97</v>
      </c>
      <c r="Z193" s="2">
        <v>75.319999999999993</v>
      </c>
      <c r="AA193" s="2">
        <v>106.64</v>
      </c>
      <c r="AB193" s="2">
        <v>86.85</v>
      </c>
      <c r="AC193" s="2">
        <v>83.68</v>
      </c>
      <c r="AD193" s="2">
        <v>89.03</v>
      </c>
      <c r="AE193" s="2">
        <v>72.89</v>
      </c>
      <c r="AF193" s="2">
        <v>83.1</v>
      </c>
      <c r="AG193" s="2">
        <v>69.319999999999993</v>
      </c>
      <c r="AH193" s="2">
        <v>68.099999999999994</v>
      </c>
      <c r="AI193" s="2">
        <v>155.72999999999999</v>
      </c>
      <c r="AJ193" s="2">
        <v>234.56</v>
      </c>
      <c r="AM193" s="1" t="s">
        <v>21</v>
      </c>
      <c r="AN193" s="2">
        <v>1800.35</v>
      </c>
      <c r="AO193" s="2">
        <v>1210.8699999999999</v>
      </c>
      <c r="AP193" s="2">
        <v>2961.9</v>
      </c>
      <c r="AQ193" s="2">
        <v>2004.75</v>
      </c>
      <c r="AR193" s="2">
        <v>1542.45</v>
      </c>
      <c r="AS193" s="2">
        <v>1434.4</v>
      </c>
      <c r="AT193" s="2">
        <v>1469.1</v>
      </c>
      <c r="AU193" s="2">
        <v>1691.01</v>
      </c>
      <c r="AV193" s="2">
        <v>1589.92</v>
      </c>
      <c r="AW193" s="2">
        <v>1564.87</v>
      </c>
      <c r="AX193" s="2">
        <v>1314.31</v>
      </c>
      <c r="AY193" s="2">
        <v>1269</v>
      </c>
      <c r="AZ193" s="2">
        <v>881.26</v>
      </c>
      <c r="BA193" s="2">
        <v>612.9</v>
      </c>
      <c r="BB193" s="2">
        <v>1673.07</v>
      </c>
      <c r="BC193" s="2">
        <v>2124.71</v>
      </c>
    </row>
    <row r="194" spans="20:55" x14ac:dyDescent="0.3">
      <c r="T194" s="1" t="s">
        <v>22</v>
      </c>
      <c r="U194" s="2">
        <v>43.04</v>
      </c>
      <c r="V194" s="2">
        <v>65.489999999999995</v>
      </c>
      <c r="W194" s="2">
        <v>82.87</v>
      </c>
      <c r="X194" s="2">
        <v>62.06</v>
      </c>
      <c r="Y194" s="2">
        <v>32.950000000000003</v>
      </c>
      <c r="Z194" s="2">
        <v>43.45</v>
      </c>
      <c r="AA194" s="2">
        <v>27.17</v>
      </c>
      <c r="AB194" s="2">
        <v>32.31</v>
      </c>
      <c r="AC194" s="2">
        <v>36.14</v>
      </c>
      <c r="AD194" s="2">
        <v>42.07</v>
      </c>
      <c r="AE194" s="2">
        <v>32.22</v>
      </c>
      <c r="AF194" s="2">
        <v>21.04</v>
      </c>
      <c r="AG194" s="2">
        <v>11.77</v>
      </c>
      <c r="AH194" s="2">
        <v>11.85</v>
      </c>
      <c r="AI194" s="2">
        <v>118.27</v>
      </c>
      <c r="AJ194" s="2">
        <v>106.86</v>
      </c>
      <c r="AM194" s="1" t="s">
        <v>22</v>
      </c>
      <c r="AN194" s="2">
        <v>665.13</v>
      </c>
      <c r="AO194" s="2">
        <v>530.24</v>
      </c>
      <c r="AP194" s="2">
        <v>1418.27</v>
      </c>
      <c r="AQ194" s="2">
        <v>958.78</v>
      </c>
      <c r="AR194" s="2">
        <v>538.38</v>
      </c>
      <c r="AS194" s="2">
        <v>687.23</v>
      </c>
      <c r="AT194" s="2">
        <v>538.33000000000004</v>
      </c>
      <c r="AU194" s="2">
        <v>629.19000000000005</v>
      </c>
      <c r="AV194" s="2">
        <v>676.7</v>
      </c>
      <c r="AW194" s="2">
        <v>378.63</v>
      </c>
      <c r="AX194" s="2">
        <v>538.67999999999995</v>
      </c>
      <c r="AY194" s="2">
        <v>399.66</v>
      </c>
      <c r="AZ194" s="2">
        <v>223.64</v>
      </c>
      <c r="BA194" s="2">
        <v>225.15</v>
      </c>
      <c r="BB194" s="2">
        <v>623.78</v>
      </c>
      <c r="BC194" s="2">
        <v>555.70000000000005</v>
      </c>
    </row>
    <row r="195" spans="20:55" x14ac:dyDescent="0.3">
      <c r="T195" s="1" t="s">
        <v>23</v>
      </c>
      <c r="U195" s="2">
        <v>400.05</v>
      </c>
      <c r="V195" s="2">
        <v>159.13</v>
      </c>
      <c r="W195" s="2">
        <v>504.8</v>
      </c>
      <c r="X195" s="2">
        <v>547.5</v>
      </c>
      <c r="Y195" s="2">
        <v>230.29</v>
      </c>
      <c r="Z195" s="2">
        <v>129.47999999999999</v>
      </c>
      <c r="AA195" s="2">
        <v>88.58</v>
      </c>
      <c r="AB195" s="2">
        <v>107.47</v>
      </c>
      <c r="AC195" s="2">
        <v>155.38999999999999</v>
      </c>
      <c r="AD195" s="2">
        <v>151.08000000000001</v>
      </c>
      <c r="AE195" s="2">
        <v>151.08000000000001</v>
      </c>
      <c r="AF195" s="2">
        <v>147.72999999999999</v>
      </c>
      <c r="AG195" s="2">
        <v>60.93</v>
      </c>
      <c r="AH195" s="2">
        <v>58.43</v>
      </c>
      <c r="AI195" s="2">
        <v>556.07000000000005</v>
      </c>
      <c r="AJ195" s="2">
        <v>553.05999999999995</v>
      </c>
      <c r="AM195" s="1" t="s">
        <v>23</v>
      </c>
      <c r="AN195" s="2">
        <v>1834.9</v>
      </c>
      <c r="AO195" s="2">
        <v>2368.12</v>
      </c>
      <c r="AP195" s="2">
        <v>4122.54</v>
      </c>
      <c r="AQ195" s="2">
        <v>3564.01</v>
      </c>
      <c r="AR195" s="2">
        <v>2287.6799999999998</v>
      </c>
      <c r="AS195" s="2">
        <v>2120.08</v>
      </c>
      <c r="AT195" s="2">
        <v>1754.92</v>
      </c>
      <c r="AU195" s="2">
        <v>2092.5300000000002</v>
      </c>
      <c r="AV195" s="2">
        <v>2933.11</v>
      </c>
      <c r="AW195" s="2">
        <v>2870.42</v>
      </c>
      <c r="AX195" s="2">
        <v>2870.42</v>
      </c>
      <c r="AY195" s="2">
        <v>2806.77</v>
      </c>
      <c r="AZ195" s="2">
        <v>1149.57</v>
      </c>
      <c r="BA195" s="2">
        <v>1110.07</v>
      </c>
      <c r="BB195" s="2">
        <v>3759.34</v>
      </c>
      <c r="BC195" s="2">
        <v>3254</v>
      </c>
    </row>
    <row r="196" spans="20:55" x14ac:dyDescent="0.3">
      <c r="T196" s="1" t="s">
        <v>24</v>
      </c>
      <c r="U196" s="2">
        <v>86.71</v>
      </c>
      <c r="V196" s="2">
        <v>22.24</v>
      </c>
      <c r="W196" s="2">
        <v>58.81</v>
      </c>
      <c r="X196" s="2">
        <v>42.76</v>
      </c>
      <c r="Y196" s="2">
        <v>22.98</v>
      </c>
      <c r="Z196" s="2">
        <v>20.16</v>
      </c>
      <c r="AA196" s="2">
        <v>22.87</v>
      </c>
      <c r="AB196" s="2">
        <v>14.54</v>
      </c>
      <c r="AC196" s="2">
        <v>17.95</v>
      </c>
      <c r="AD196" s="2">
        <v>20.28</v>
      </c>
      <c r="AE196" s="2">
        <v>15.11</v>
      </c>
      <c r="AF196" s="2">
        <v>16.190000000000001</v>
      </c>
      <c r="AG196" s="2">
        <v>11.19</v>
      </c>
      <c r="AH196" s="2">
        <v>9.94</v>
      </c>
      <c r="AI196" s="2">
        <v>70.569999999999993</v>
      </c>
      <c r="AJ196" s="2">
        <v>76.739999999999995</v>
      </c>
      <c r="AM196" s="1" t="s">
        <v>24</v>
      </c>
      <c r="AN196" s="2">
        <v>452.4</v>
      </c>
      <c r="AO196" s="2">
        <v>407.73</v>
      </c>
      <c r="AP196" s="2">
        <v>1204.45</v>
      </c>
      <c r="AQ196" s="2">
        <v>844.34</v>
      </c>
      <c r="AR196" s="2">
        <v>455.28</v>
      </c>
      <c r="AS196" s="2">
        <v>392.55</v>
      </c>
      <c r="AT196" s="2">
        <v>410.93</v>
      </c>
      <c r="AU196" s="2">
        <v>283.13</v>
      </c>
      <c r="AV196" s="2">
        <v>340.99</v>
      </c>
      <c r="AW196" s="2">
        <v>385.33</v>
      </c>
      <c r="AX196" s="2">
        <v>286.99</v>
      </c>
      <c r="AY196" s="2">
        <v>307.62</v>
      </c>
      <c r="AZ196" s="2">
        <v>212.55</v>
      </c>
      <c r="BA196" s="2">
        <v>188.94</v>
      </c>
      <c r="BB196" s="2">
        <v>757.75</v>
      </c>
      <c r="BC196" s="2">
        <v>317</v>
      </c>
    </row>
    <row r="197" spans="20:55" x14ac:dyDescent="0.3">
      <c r="T197" s="1" t="s">
        <v>25</v>
      </c>
      <c r="U197" s="2">
        <v>134.69999999999999</v>
      </c>
      <c r="V197" s="2">
        <v>142.86000000000001</v>
      </c>
      <c r="W197" s="2">
        <v>179.82</v>
      </c>
      <c r="X197" s="2">
        <v>169.7</v>
      </c>
      <c r="Y197" s="2">
        <v>80.400000000000006</v>
      </c>
      <c r="Z197" s="2">
        <v>75.349999999999994</v>
      </c>
      <c r="AA197" s="2">
        <v>81.75</v>
      </c>
      <c r="AB197" s="2">
        <v>55.76</v>
      </c>
      <c r="AC197" s="2">
        <v>65.44</v>
      </c>
      <c r="AD197" s="2">
        <v>91.21</v>
      </c>
      <c r="AE197" s="2">
        <v>61.16</v>
      </c>
      <c r="AF197" s="2">
        <v>84.43</v>
      </c>
      <c r="AG197" s="2">
        <v>36.06</v>
      </c>
      <c r="AH197" s="2">
        <v>29.88</v>
      </c>
      <c r="AI197" s="2">
        <v>195.32</v>
      </c>
      <c r="AJ197" s="2">
        <v>203.12</v>
      </c>
      <c r="AM197" s="1" t="s">
        <v>25</v>
      </c>
      <c r="AN197" s="2">
        <v>1824.38</v>
      </c>
      <c r="AO197" s="2">
        <v>1936.6</v>
      </c>
      <c r="AP197" s="2">
        <v>2630.55</v>
      </c>
      <c r="AQ197" s="2">
        <v>3350.5</v>
      </c>
      <c r="AR197" s="2">
        <v>1592.83</v>
      </c>
      <c r="AS197" s="2">
        <v>1283.77</v>
      </c>
      <c r="AT197" s="2">
        <v>1357.61</v>
      </c>
      <c r="AU197" s="2">
        <v>1085.6199999999999</v>
      </c>
      <c r="AV197" s="2">
        <v>1243.43</v>
      </c>
      <c r="AW197" s="2">
        <v>1732.91</v>
      </c>
      <c r="AX197" s="2">
        <v>987.31</v>
      </c>
      <c r="AY197" s="2">
        <v>1376.61</v>
      </c>
      <c r="AZ197" s="2">
        <v>324.54000000000002</v>
      </c>
      <c r="BA197" s="2">
        <v>548.48</v>
      </c>
      <c r="BB197" s="2">
        <v>1742.96</v>
      </c>
      <c r="BC197" s="2">
        <v>2089.0700000000002</v>
      </c>
    </row>
    <row r="198" spans="20:55" x14ac:dyDescent="0.3">
      <c r="T198" s="1" t="s">
        <v>26</v>
      </c>
      <c r="U198" s="2">
        <v>73.62</v>
      </c>
      <c r="V198" s="2">
        <v>62.18</v>
      </c>
      <c r="W198" s="2">
        <v>172.21</v>
      </c>
      <c r="X198" s="2">
        <v>97.65</v>
      </c>
      <c r="Y198" s="2">
        <v>79.62</v>
      </c>
      <c r="Z198" s="2">
        <v>61.29</v>
      </c>
      <c r="AA198" s="2">
        <v>44.64</v>
      </c>
      <c r="AB198" s="2">
        <v>32.46</v>
      </c>
      <c r="AC198" s="2">
        <v>97.13</v>
      </c>
      <c r="AD198" s="2">
        <v>68.56</v>
      </c>
      <c r="AE198" s="2">
        <v>97.13</v>
      </c>
      <c r="AF198" s="2">
        <v>68.56</v>
      </c>
      <c r="AG198" s="2">
        <v>14.19</v>
      </c>
      <c r="AH198" s="2">
        <v>15.18</v>
      </c>
      <c r="AI198" s="2">
        <v>302.52999999999997</v>
      </c>
      <c r="AJ198" s="2">
        <v>303.64999999999998</v>
      </c>
      <c r="AM198" s="1" t="s">
        <v>26</v>
      </c>
      <c r="AN198" s="2">
        <v>1129.98</v>
      </c>
      <c r="AO198" s="2">
        <v>1227.82</v>
      </c>
      <c r="AP198" s="2">
        <v>1985.39</v>
      </c>
      <c r="AQ198" s="2">
        <v>1928.25</v>
      </c>
      <c r="AR198" s="2">
        <v>822.18</v>
      </c>
      <c r="AS198" s="2">
        <v>756.81</v>
      </c>
      <c r="AT198" s="2">
        <v>712.86</v>
      </c>
      <c r="AU198" s="2">
        <v>632.04</v>
      </c>
      <c r="AV198" s="2">
        <v>1254.97</v>
      </c>
      <c r="AW198" s="2">
        <v>808.58</v>
      </c>
      <c r="AX198" s="2">
        <v>1254.97</v>
      </c>
      <c r="AY198" s="2">
        <v>808.58</v>
      </c>
      <c r="AZ198" s="2">
        <v>226.11</v>
      </c>
      <c r="BA198" s="2">
        <v>250.32</v>
      </c>
      <c r="BB198" s="2">
        <v>2017.03</v>
      </c>
      <c r="BC198" s="2">
        <v>1365.94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0.01</v>
      </c>
      <c r="V205" s="2">
        <v>0.01</v>
      </c>
      <c r="W205" s="2">
        <v>0.01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</v>
      </c>
      <c r="AG205" s="2">
        <v>0.59</v>
      </c>
      <c r="AH205" s="2">
        <v>0.59</v>
      </c>
      <c r="AI205" s="2">
        <v>7.0000000000000007E-2</v>
      </c>
      <c r="AJ205" s="2">
        <v>0.05</v>
      </c>
      <c r="AM205" s="1" t="s">
        <v>19</v>
      </c>
      <c r="AN205" s="2">
        <v>762.72</v>
      </c>
      <c r="AO205" s="2">
        <v>159.25</v>
      </c>
      <c r="AP205" s="2">
        <v>393.96</v>
      </c>
      <c r="AQ205" s="2">
        <v>143.22</v>
      </c>
      <c r="AR205" s="2">
        <v>121.94</v>
      </c>
      <c r="AS205" s="2">
        <v>121.94</v>
      </c>
      <c r="AT205" s="2">
        <v>24.99</v>
      </c>
      <c r="AU205" s="2">
        <v>65.52</v>
      </c>
      <c r="AV205" s="2">
        <v>712.32</v>
      </c>
      <c r="AW205" s="2">
        <v>292.25</v>
      </c>
      <c r="AX205" s="2">
        <v>454.72</v>
      </c>
      <c r="AY205" s="2">
        <v>249.48</v>
      </c>
      <c r="AZ205" s="2">
        <v>91</v>
      </c>
      <c r="BA205" s="2">
        <v>91</v>
      </c>
      <c r="BB205" s="2">
        <v>24.99</v>
      </c>
      <c r="BC205" s="2">
        <v>122.08</v>
      </c>
    </row>
    <row r="206" spans="20:55" x14ac:dyDescent="0.3">
      <c r="T206" s="1" t="s">
        <v>20</v>
      </c>
      <c r="U206" s="2">
        <v>0.3</v>
      </c>
      <c r="V206" s="2">
        <v>0.18</v>
      </c>
      <c r="W206" s="2">
        <v>0.3</v>
      </c>
      <c r="X206" s="2">
        <v>0.24</v>
      </c>
      <c r="Y206" s="2">
        <v>0.4</v>
      </c>
      <c r="Z206" s="2">
        <v>0.33</v>
      </c>
      <c r="AA206" s="2">
        <v>0.32</v>
      </c>
      <c r="AB206" s="2">
        <v>0.22</v>
      </c>
      <c r="AC206" s="2">
        <v>0.23</v>
      </c>
      <c r="AD206" s="2">
        <v>0.24</v>
      </c>
      <c r="AE206" s="2">
        <v>0.23</v>
      </c>
      <c r="AF206" s="2">
        <v>0.24</v>
      </c>
      <c r="AG206" s="2">
        <v>0.2</v>
      </c>
      <c r="AH206" s="2">
        <v>0.17</v>
      </c>
      <c r="AI206" s="2">
        <v>0.31</v>
      </c>
      <c r="AJ206" s="2">
        <v>0.3</v>
      </c>
      <c r="AM206" s="1" t="s">
        <v>20</v>
      </c>
      <c r="AN206" s="2">
        <v>34.29</v>
      </c>
      <c r="AO206" s="2">
        <v>64.25</v>
      </c>
      <c r="AP206" s="2">
        <v>26.43</v>
      </c>
      <c r="AQ206" s="2">
        <v>29.34</v>
      </c>
      <c r="AR206" s="2">
        <v>60.84</v>
      </c>
      <c r="AS206" s="2">
        <v>60.84</v>
      </c>
      <c r="AT206" s="2">
        <v>21</v>
      </c>
      <c r="AU206" s="2">
        <v>14.55</v>
      </c>
      <c r="AV206" s="2">
        <v>50.88</v>
      </c>
      <c r="AW206" s="2">
        <v>25.69</v>
      </c>
      <c r="AX206" s="2">
        <v>55.76</v>
      </c>
      <c r="AY206" s="2">
        <v>40.92</v>
      </c>
      <c r="AZ206" s="2">
        <v>60.84</v>
      </c>
      <c r="BA206" s="2">
        <v>60.84</v>
      </c>
      <c r="BB206" s="2">
        <v>17.43</v>
      </c>
      <c r="BC206" s="2">
        <v>13.87</v>
      </c>
    </row>
    <row r="207" spans="20:55" x14ac:dyDescent="0.3">
      <c r="T207" s="1" t="s">
        <v>21</v>
      </c>
      <c r="U207" s="2">
        <v>0.41</v>
      </c>
      <c r="V207" s="2">
        <v>0.18</v>
      </c>
      <c r="W207" s="2">
        <v>0.38</v>
      </c>
      <c r="X207" s="2">
        <v>0.39</v>
      </c>
      <c r="Y207" s="2">
        <v>0.45</v>
      </c>
      <c r="Z207" s="2">
        <v>0.34</v>
      </c>
      <c r="AA207" s="2">
        <v>0.43</v>
      </c>
      <c r="AB207" s="2">
        <v>0.25</v>
      </c>
      <c r="AC207" s="2">
        <v>0.06</v>
      </c>
      <c r="AD207" s="2">
        <v>0.1</v>
      </c>
      <c r="AE207" s="2">
        <v>0.05</v>
      </c>
      <c r="AF207" s="2">
        <v>0.09</v>
      </c>
      <c r="AG207" s="2">
        <v>7.0000000000000007E-2</v>
      </c>
      <c r="AH207" s="2">
        <v>0.01</v>
      </c>
      <c r="AI207" s="2">
        <v>0.38</v>
      </c>
      <c r="AJ207" s="2">
        <v>0.41</v>
      </c>
      <c r="AM207" s="1" t="s">
        <v>21</v>
      </c>
      <c r="AN207" s="2">
        <v>109.53</v>
      </c>
      <c r="AO207" s="2">
        <v>159</v>
      </c>
      <c r="AP207" s="2">
        <v>92.14</v>
      </c>
      <c r="AQ207" s="2">
        <v>161.44999999999999</v>
      </c>
      <c r="AR207" s="2">
        <v>184.86</v>
      </c>
      <c r="AS207" s="2">
        <v>143.52000000000001</v>
      </c>
      <c r="AT207" s="2">
        <v>46.85</v>
      </c>
      <c r="AU207" s="2">
        <v>32.159999999999997</v>
      </c>
      <c r="AV207" s="2">
        <v>125.03</v>
      </c>
      <c r="AW207" s="2">
        <v>131.81</v>
      </c>
      <c r="AX207" s="2">
        <v>171.37</v>
      </c>
      <c r="AY207" s="2">
        <v>236.8</v>
      </c>
      <c r="AZ207" s="2">
        <v>204.46</v>
      </c>
      <c r="BA207" s="2">
        <v>169.26</v>
      </c>
      <c r="BB207" s="2">
        <v>31.5</v>
      </c>
      <c r="BC207" s="2">
        <v>54.92</v>
      </c>
    </row>
    <row r="208" spans="20:55" x14ac:dyDescent="0.3">
      <c r="T208" s="1" t="s">
        <v>22</v>
      </c>
      <c r="U208" s="2">
        <v>0.36</v>
      </c>
      <c r="V208" s="2">
        <v>0.3</v>
      </c>
      <c r="W208" s="2">
        <v>0.4</v>
      </c>
      <c r="X208" s="2">
        <v>0.37</v>
      </c>
      <c r="Y208" s="2">
        <v>0.42</v>
      </c>
      <c r="Z208" s="2">
        <v>0.42</v>
      </c>
      <c r="AA208" s="2">
        <v>0.32</v>
      </c>
      <c r="AB208" s="2">
        <v>0.28999999999999998</v>
      </c>
      <c r="AC208" s="2">
        <v>0.2</v>
      </c>
      <c r="AD208" s="2">
        <v>0.01</v>
      </c>
      <c r="AE208" s="2">
        <v>0.18</v>
      </c>
      <c r="AF208" s="2">
        <v>0.02</v>
      </c>
      <c r="AG208" s="2">
        <v>0.02</v>
      </c>
      <c r="AH208" s="2">
        <v>0.02</v>
      </c>
      <c r="AI208" s="2">
        <v>0.31</v>
      </c>
      <c r="AJ208" s="2">
        <v>0.31</v>
      </c>
      <c r="AM208" s="1" t="s">
        <v>22</v>
      </c>
      <c r="AN208" s="2">
        <v>51.16</v>
      </c>
      <c r="AO208" s="2">
        <v>59.98</v>
      </c>
      <c r="AP208" s="2">
        <v>52.76</v>
      </c>
      <c r="AQ208" s="2">
        <v>56.1</v>
      </c>
      <c r="AR208" s="2">
        <v>86.84</v>
      </c>
      <c r="AS208" s="2">
        <v>69.42</v>
      </c>
      <c r="AT208" s="2">
        <v>6.93</v>
      </c>
      <c r="AU208" s="2">
        <v>9.49</v>
      </c>
      <c r="AV208" s="2">
        <v>44.42</v>
      </c>
      <c r="AW208" s="2">
        <v>39.380000000000003</v>
      </c>
      <c r="AX208" s="2">
        <v>84.49</v>
      </c>
      <c r="AY208" s="2">
        <v>56.1</v>
      </c>
      <c r="AZ208" s="2">
        <v>43.42</v>
      </c>
      <c r="BA208" s="2">
        <v>43.42</v>
      </c>
      <c r="BB208" s="2">
        <v>6.93</v>
      </c>
      <c r="BC208" s="2">
        <v>7.64</v>
      </c>
    </row>
    <row r="209" spans="20:55" x14ac:dyDescent="0.3">
      <c r="T209" s="1" t="s">
        <v>23</v>
      </c>
      <c r="U209" s="2">
        <v>0.3</v>
      </c>
      <c r="V209" s="2">
        <v>0.33</v>
      </c>
      <c r="W209" s="2">
        <v>0.35</v>
      </c>
      <c r="X209" s="2">
        <v>0.34</v>
      </c>
      <c r="Y209" s="2">
        <v>0.4</v>
      </c>
      <c r="Z209" s="2">
        <v>0.41</v>
      </c>
      <c r="AA209" s="2">
        <v>0.18</v>
      </c>
      <c r="AB209" s="2">
        <v>0.26</v>
      </c>
      <c r="AC209" s="2">
        <v>0.24</v>
      </c>
      <c r="AD209" s="2">
        <v>0.17</v>
      </c>
      <c r="AE209" s="2">
        <v>0.25</v>
      </c>
      <c r="AF209" s="2">
        <v>0.17</v>
      </c>
      <c r="AG209" s="2">
        <v>0.1</v>
      </c>
      <c r="AH209" s="2">
        <v>0.09</v>
      </c>
      <c r="AI209" s="2">
        <v>0.34</v>
      </c>
      <c r="AJ209" s="2">
        <v>0.33</v>
      </c>
      <c r="AM209" s="1" t="s">
        <v>23</v>
      </c>
      <c r="AN209" s="2">
        <v>155.69999999999999</v>
      </c>
      <c r="AO209" s="2">
        <v>255.05</v>
      </c>
      <c r="AP209" s="2">
        <v>278.02999999999997</v>
      </c>
      <c r="AQ209" s="2">
        <v>229.35</v>
      </c>
      <c r="AR209" s="2">
        <v>282.10000000000002</v>
      </c>
      <c r="AS209" s="2">
        <v>282.10000000000002</v>
      </c>
      <c r="AT209" s="2">
        <v>34.65</v>
      </c>
      <c r="AU209" s="2">
        <v>77.41</v>
      </c>
      <c r="AV209" s="2">
        <v>143.35</v>
      </c>
      <c r="AW209" s="2">
        <v>237.82</v>
      </c>
      <c r="AX209" s="2">
        <v>189.63</v>
      </c>
      <c r="AY209" s="2">
        <v>306.89999999999998</v>
      </c>
      <c r="AZ209" s="2">
        <v>260</v>
      </c>
      <c r="BA209" s="2">
        <v>260</v>
      </c>
      <c r="BB209" s="2">
        <v>34.65</v>
      </c>
      <c r="BC209" s="2">
        <v>68.08</v>
      </c>
    </row>
    <row r="210" spans="20:55" x14ac:dyDescent="0.3">
      <c r="T210" s="1" t="s">
        <v>24</v>
      </c>
      <c r="U210" s="2">
        <v>0.33</v>
      </c>
      <c r="V210" s="2">
        <v>0.33</v>
      </c>
      <c r="W210" s="2">
        <v>0.39</v>
      </c>
      <c r="X210" s="2">
        <v>0.39</v>
      </c>
      <c r="Y210" s="2">
        <v>0.42</v>
      </c>
      <c r="Z210" s="2">
        <v>0.42</v>
      </c>
      <c r="AA210" s="2">
        <v>0.32</v>
      </c>
      <c r="AB210" s="2">
        <v>0.38</v>
      </c>
      <c r="AC210" s="2">
        <v>0.21</v>
      </c>
      <c r="AD210" s="2">
        <v>0.12</v>
      </c>
      <c r="AE210" s="2">
        <v>0.19</v>
      </c>
      <c r="AF210" s="2">
        <v>0.1</v>
      </c>
      <c r="AG210" s="2">
        <v>0.12</v>
      </c>
      <c r="AH210" s="2">
        <v>7.0000000000000007E-2</v>
      </c>
      <c r="AI210" s="2">
        <v>0.33</v>
      </c>
      <c r="AJ210" s="2">
        <v>0.28000000000000003</v>
      </c>
      <c r="AM210" s="1" t="s">
        <v>24</v>
      </c>
      <c r="AN210" s="2">
        <v>33.659999999999997</v>
      </c>
      <c r="AO210" s="2">
        <v>27.5</v>
      </c>
      <c r="AP210" s="2">
        <v>59.68</v>
      </c>
      <c r="AQ210" s="2">
        <v>40.92</v>
      </c>
      <c r="AR210" s="2">
        <v>43.42</v>
      </c>
      <c r="AS210" s="2">
        <v>34.840000000000003</v>
      </c>
      <c r="AT210" s="2">
        <v>21</v>
      </c>
      <c r="AU210" s="2">
        <v>5.88</v>
      </c>
      <c r="AV210" s="2">
        <v>15.98</v>
      </c>
      <c r="AW210" s="2">
        <v>23.11</v>
      </c>
      <c r="AX210" s="2">
        <v>47.97</v>
      </c>
      <c r="AY210" s="2">
        <v>25.42</v>
      </c>
      <c r="AZ210" s="2">
        <v>47.84</v>
      </c>
      <c r="BA210" s="2">
        <v>39</v>
      </c>
      <c r="BB210" s="2">
        <v>17.45</v>
      </c>
      <c r="BC210" s="2">
        <v>3.56</v>
      </c>
    </row>
    <row r="211" spans="20:55" x14ac:dyDescent="0.3">
      <c r="T211" s="1" t="s">
        <v>25</v>
      </c>
      <c r="U211" s="2">
        <v>0.41</v>
      </c>
      <c r="V211" s="2">
        <v>0.41</v>
      </c>
      <c r="W211" s="2">
        <v>0.38</v>
      </c>
      <c r="X211" s="2">
        <v>0.36</v>
      </c>
      <c r="Y211" s="2">
        <v>0.4</v>
      </c>
      <c r="Z211" s="2">
        <v>0.43</v>
      </c>
      <c r="AA211" s="2">
        <v>0.24</v>
      </c>
      <c r="AB211" s="2">
        <v>0.31</v>
      </c>
      <c r="AC211" s="2">
        <v>0.18</v>
      </c>
      <c r="AD211" s="2">
        <v>0.15</v>
      </c>
      <c r="AE211" s="2">
        <v>0.15</v>
      </c>
      <c r="AF211" s="2">
        <v>0.12</v>
      </c>
      <c r="AG211" s="2">
        <v>0</v>
      </c>
      <c r="AH211" s="2">
        <v>0.05</v>
      </c>
      <c r="AI211" s="2">
        <v>0.37</v>
      </c>
      <c r="AJ211" s="2">
        <v>0.4</v>
      </c>
      <c r="AM211" s="1" t="s">
        <v>25</v>
      </c>
      <c r="AN211" s="2">
        <v>160.18</v>
      </c>
      <c r="AO211" s="2">
        <v>144.04</v>
      </c>
      <c r="AP211" s="2">
        <v>201.95</v>
      </c>
      <c r="AQ211" s="2">
        <v>227.83</v>
      </c>
      <c r="AR211" s="2">
        <v>143.71</v>
      </c>
      <c r="AS211" s="2">
        <v>104.7</v>
      </c>
      <c r="AT211" s="2">
        <v>31.5</v>
      </c>
      <c r="AU211" s="2">
        <v>28.89</v>
      </c>
      <c r="AV211" s="2">
        <v>216.18</v>
      </c>
      <c r="AW211" s="2">
        <v>136.5</v>
      </c>
      <c r="AX211" s="2">
        <v>176.33</v>
      </c>
      <c r="AY211" s="2">
        <v>118.21</v>
      </c>
      <c r="AZ211" s="2">
        <v>134.79</v>
      </c>
      <c r="BA211" s="2">
        <v>107.37</v>
      </c>
      <c r="BB211" s="2">
        <v>46.87</v>
      </c>
      <c r="BC211" s="2">
        <v>29.39</v>
      </c>
    </row>
    <row r="212" spans="20:55" x14ac:dyDescent="0.3">
      <c r="T212" s="1" t="s">
        <v>26</v>
      </c>
      <c r="U212" s="2">
        <v>0.19</v>
      </c>
      <c r="V212" s="2">
        <v>0.22</v>
      </c>
      <c r="W212" s="2">
        <v>0.21</v>
      </c>
      <c r="X212" s="2">
        <v>0.03</v>
      </c>
      <c r="Y212" s="2">
        <v>0.26</v>
      </c>
      <c r="Z212" s="2">
        <v>0.27</v>
      </c>
      <c r="AA212" s="2">
        <v>0.12</v>
      </c>
      <c r="AB212" s="2">
        <v>0.12</v>
      </c>
      <c r="AC212" s="2">
        <v>0.2</v>
      </c>
      <c r="AD212" s="2">
        <v>0.18</v>
      </c>
      <c r="AE212" s="2">
        <v>0.2</v>
      </c>
      <c r="AF212" s="2">
        <v>0.18</v>
      </c>
      <c r="AG212" s="2">
        <v>0.01</v>
      </c>
      <c r="AH212" s="2">
        <v>0.03</v>
      </c>
      <c r="AI212" s="2">
        <v>0.24</v>
      </c>
      <c r="AJ212" s="2">
        <v>0.22</v>
      </c>
      <c r="AM212" s="1" t="s">
        <v>26</v>
      </c>
      <c r="AN212" s="2">
        <v>316.08</v>
      </c>
      <c r="AO212" s="2">
        <v>136.5</v>
      </c>
      <c r="AP212" s="2">
        <v>194.88</v>
      </c>
      <c r="AQ212" s="2">
        <v>76.23</v>
      </c>
      <c r="AR212" s="2">
        <v>13.26</v>
      </c>
      <c r="AS212" s="2">
        <v>13.26</v>
      </c>
      <c r="AT212" s="2">
        <v>0</v>
      </c>
      <c r="AU212" s="2">
        <v>46.14</v>
      </c>
      <c r="AV212" s="2">
        <v>250.56</v>
      </c>
      <c r="AW212" s="2">
        <v>33.75</v>
      </c>
      <c r="AX212" s="2">
        <v>142.80000000000001</v>
      </c>
      <c r="AY212" s="2">
        <v>30.69</v>
      </c>
      <c r="AZ212" s="2">
        <v>13.05</v>
      </c>
      <c r="BA212" s="2">
        <v>13.05</v>
      </c>
      <c r="BB212" s="2">
        <v>0</v>
      </c>
      <c r="BC212" s="2">
        <v>10.1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0.02</v>
      </c>
      <c r="AJ219" s="2">
        <v>0.01</v>
      </c>
      <c r="AM219" s="1" t="s">
        <v>19</v>
      </c>
      <c r="AN219" s="2">
        <v>317.8</v>
      </c>
      <c r="AO219" s="2">
        <v>296.8</v>
      </c>
      <c r="AP219" s="2">
        <v>63.7</v>
      </c>
      <c r="AQ219" s="2">
        <v>116.9</v>
      </c>
      <c r="AR219" s="2">
        <v>140.69999999999999</v>
      </c>
      <c r="AS219" s="2">
        <v>162.4</v>
      </c>
      <c r="AT219" s="2">
        <v>43.4</v>
      </c>
      <c r="AU219" s="2">
        <v>75.599999999999994</v>
      </c>
      <c r="AV219" s="2">
        <v>46.9</v>
      </c>
      <c r="AW219" s="2">
        <v>35</v>
      </c>
      <c r="AX219" s="2">
        <v>46.9</v>
      </c>
      <c r="AY219" s="2">
        <v>35</v>
      </c>
      <c r="AZ219" s="2">
        <v>11.9</v>
      </c>
      <c r="BA219" s="2">
        <v>11.9</v>
      </c>
      <c r="BB219" s="2">
        <v>81.900000000000006</v>
      </c>
      <c r="BC219" s="2">
        <v>152.6</v>
      </c>
    </row>
    <row r="220" spans="20:55" x14ac:dyDescent="0.3">
      <c r="T220" s="1" t="s">
        <v>20</v>
      </c>
      <c r="U220" s="2">
        <v>0.69</v>
      </c>
      <c r="V220" s="2">
        <v>0.32</v>
      </c>
      <c r="W220" s="2">
        <v>0.81</v>
      </c>
      <c r="X220" s="2">
        <v>0.6</v>
      </c>
      <c r="Y220" s="2">
        <v>0.92</v>
      </c>
      <c r="Z220" s="2">
        <v>0.64</v>
      </c>
      <c r="AA220" s="2">
        <v>0.99</v>
      </c>
      <c r="AB220" s="2">
        <v>0.61</v>
      </c>
      <c r="AC220" s="2">
        <v>0.47</v>
      </c>
      <c r="AD220" s="2">
        <v>0.56000000000000005</v>
      </c>
      <c r="AE220" s="2">
        <v>0.47</v>
      </c>
      <c r="AF220" s="2">
        <v>0.56000000000000005</v>
      </c>
      <c r="AG220" s="2">
        <v>0.34</v>
      </c>
      <c r="AH220" s="2">
        <v>0.28000000000000003</v>
      </c>
      <c r="AI220" s="2">
        <v>0.22</v>
      </c>
      <c r="AJ220" s="2">
        <v>0.22</v>
      </c>
      <c r="AM220" s="1" t="s">
        <v>20</v>
      </c>
      <c r="AN220" s="2">
        <v>14.29</v>
      </c>
      <c r="AO220" s="2">
        <v>21.2</v>
      </c>
      <c r="AP220" s="2">
        <v>25.7</v>
      </c>
      <c r="AQ220" s="2">
        <v>10.28</v>
      </c>
      <c r="AR220" s="2">
        <v>9.44</v>
      </c>
      <c r="AS220" s="2">
        <v>19.920000000000002</v>
      </c>
      <c r="AT220" s="2">
        <v>8.89</v>
      </c>
      <c r="AU220" s="2">
        <v>12.4</v>
      </c>
      <c r="AV220" s="2">
        <v>23.4</v>
      </c>
      <c r="AW220" s="2">
        <v>23.4</v>
      </c>
      <c r="AX220" s="2">
        <v>23.4</v>
      </c>
      <c r="AY220" s="2">
        <v>23.4</v>
      </c>
      <c r="AZ220" s="2">
        <v>10</v>
      </c>
      <c r="BA220" s="2">
        <v>8.3000000000000007</v>
      </c>
      <c r="BB220" s="2">
        <v>18.190000000000001</v>
      </c>
      <c r="BC220" s="2">
        <v>17.34</v>
      </c>
    </row>
    <row r="221" spans="20:55" x14ac:dyDescent="0.3">
      <c r="T221" s="1" t="s">
        <v>21</v>
      </c>
      <c r="U221" s="2">
        <v>3.34</v>
      </c>
      <c r="V221" s="2">
        <v>0.46</v>
      </c>
      <c r="W221" s="2">
        <v>2.13</v>
      </c>
      <c r="X221" s="2">
        <v>2.91</v>
      </c>
      <c r="Y221" s="2">
        <v>4.9400000000000004</v>
      </c>
      <c r="Z221" s="2">
        <v>1.64</v>
      </c>
      <c r="AA221" s="2">
        <v>5.05</v>
      </c>
      <c r="AB221" s="2">
        <v>1.18</v>
      </c>
      <c r="AC221" s="2">
        <v>0.1</v>
      </c>
      <c r="AD221" s="2">
        <v>0.19</v>
      </c>
      <c r="AE221" s="2">
        <v>0.09</v>
      </c>
      <c r="AF221" s="2">
        <v>0.17</v>
      </c>
      <c r="AG221" s="2">
        <v>0.12</v>
      </c>
      <c r="AH221" s="2">
        <v>0</v>
      </c>
      <c r="AI221" s="2">
        <v>0.79</v>
      </c>
      <c r="AJ221" s="2">
        <v>1.04</v>
      </c>
      <c r="AM221" s="1" t="s">
        <v>21</v>
      </c>
      <c r="AN221" s="2">
        <v>45.64</v>
      </c>
      <c r="AO221" s="2">
        <v>52.1</v>
      </c>
      <c r="AP221" s="2">
        <v>63.6</v>
      </c>
      <c r="AQ221" s="2">
        <v>52.72</v>
      </c>
      <c r="AR221" s="2">
        <v>32.909999999999997</v>
      </c>
      <c r="AS221" s="2">
        <v>61.2</v>
      </c>
      <c r="AT221" s="2">
        <v>48.92</v>
      </c>
      <c r="AU221" s="2">
        <v>71.760000000000005</v>
      </c>
      <c r="AV221" s="2">
        <v>71.099999999999994</v>
      </c>
      <c r="AW221" s="2">
        <v>78.64</v>
      </c>
      <c r="AX221" s="2">
        <v>55.2</v>
      </c>
      <c r="AY221" s="2">
        <v>65.099999999999994</v>
      </c>
      <c r="AZ221" s="2">
        <v>22.31</v>
      </c>
      <c r="BA221" s="2">
        <v>15</v>
      </c>
      <c r="BB221" s="2">
        <v>40.200000000000003</v>
      </c>
      <c r="BC221" s="2">
        <v>68.650000000000006</v>
      </c>
    </row>
    <row r="222" spans="20:55" x14ac:dyDescent="0.3">
      <c r="T222" s="1" t="s">
        <v>22</v>
      </c>
      <c r="U222" s="2">
        <v>1.32</v>
      </c>
      <c r="V222" s="2">
        <v>0.71</v>
      </c>
      <c r="W222" s="2">
        <v>1.58</v>
      </c>
      <c r="X222" s="2">
        <v>1.42</v>
      </c>
      <c r="Y222" s="2">
        <v>1.62</v>
      </c>
      <c r="Z222" s="2">
        <v>1.63</v>
      </c>
      <c r="AA222" s="2">
        <v>1.38</v>
      </c>
      <c r="AB222" s="2">
        <v>1.0900000000000001</v>
      </c>
      <c r="AC222" s="2">
        <v>0.36</v>
      </c>
      <c r="AD222" s="2">
        <v>0.01</v>
      </c>
      <c r="AE222" s="2">
        <v>0.33</v>
      </c>
      <c r="AF222" s="2">
        <v>0.02</v>
      </c>
      <c r="AG222" s="2">
        <v>0.01</v>
      </c>
      <c r="AH222" s="2">
        <v>0.01</v>
      </c>
      <c r="AI222" s="2">
        <v>0.24</v>
      </c>
      <c r="AJ222" s="2">
        <v>0.24</v>
      </c>
      <c r="AM222" s="1" t="s">
        <v>22</v>
      </c>
      <c r="AN222" s="2">
        <v>21.32</v>
      </c>
      <c r="AO222" s="2">
        <v>18.510000000000002</v>
      </c>
      <c r="AP222" s="2">
        <v>23.99</v>
      </c>
      <c r="AQ222" s="2">
        <v>15.75</v>
      </c>
      <c r="AR222" s="2">
        <v>18.84</v>
      </c>
      <c r="AS222" s="2">
        <v>30.17</v>
      </c>
      <c r="AT222" s="2">
        <v>17</v>
      </c>
      <c r="AU222" s="2">
        <v>17</v>
      </c>
      <c r="AV222" s="2">
        <v>33.4</v>
      </c>
      <c r="AW222" s="2">
        <v>16.7</v>
      </c>
      <c r="AX222" s="2">
        <v>26.7</v>
      </c>
      <c r="AY222" s="2">
        <v>16.7</v>
      </c>
      <c r="AZ222" s="2">
        <v>3.3</v>
      </c>
      <c r="BA222" s="2">
        <v>3.3</v>
      </c>
      <c r="BB222" s="2">
        <v>11.86</v>
      </c>
      <c r="BC222" s="2">
        <v>9.5399999999999991</v>
      </c>
    </row>
    <row r="223" spans="20:55" x14ac:dyDescent="0.3">
      <c r="T223" s="1" t="s">
        <v>23</v>
      </c>
      <c r="U223" s="2">
        <v>0.71</v>
      </c>
      <c r="V223" s="2">
        <v>1.22</v>
      </c>
      <c r="W223" s="2">
        <v>0.9</v>
      </c>
      <c r="X223" s="2">
        <v>0.86</v>
      </c>
      <c r="Y223" s="2">
        <v>0.98</v>
      </c>
      <c r="Z223" s="2">
        <v>1.56</v>
      </c>
      <c r="AA223" s="2">
        <v>0.41</v>
      </c>
      <c r="AB223" s="2">
        <v>0.78</v>
      </c>
      <c r="AC223" s="2">
        <v>0.45</v>
      </c>
      <c r="AD223" s="2">
        <v>0.28000000000000003</v>
      </c>
      <c r="AE223" s="2">
        <v>0.59</v>
      </c>
      <c r="AF223" s="2">
        <v>0.28000000000000003</v>
      </c>
      <c r="AG223" s="2">
        <v>0.14000000000000001</v>
      </c>
      <c r="AH223" s="2">
        <v>0.12</v>
      </c>
      <c r="AI223" s="2">
        <v>0.27</v>
      </c>
      <c r="AJ223" s="2">
        <v>0.26</v>
      </c>
      <c r="AM223" s="1" t="s">
        <v>23</v>
      </c>
      <c r="AN223" s="2">
        <v>64.88</v>
      </c>
      <c r="AO223" s="2">
        <v>59.73</v>
      </c>
      <c r="AP223" s="2">
        <v>102.02</v>
      </c>
      <c r="AQ223" s="2">
        <v>95.13</v>
      </c>
      <c r="AR223" s="2">
        <v>99.3</v>
      </c>
      <c r="AS223" s="2">
        <v>67.73</v>
      </c>
      <c r="AT223" s="2">
        <v>69.5</v>
      </c>
      <c r="AU223" s="2">
        <v>93</v>
      </c>
      <c r="AV223" s="2">
        <v>108.5</v>
      </c>
      <c r="AW223" s="2">
        <v>100</v>
      </c>
      <c r="AX223" s="2">
        <v>108.5</v>
      </c>
      <c r="AY223" s="2">
        <v>100</v>
      </c>
      <c r="AZ223" s="2">
        <v>16.5</v>
      </c>
      <c r="BA223" s="2">
        <v>16.5</v>
      </c>
      <c r="BB223" s="2">
        <v>96.77</v>
      </c>
      <c r="BC223" s="2">
        <v>85.1</v>
      </c>
    </row>
    <row r="224" spans="20:55" x14ac:dyDescent="0.3">
      <c r="T224" s="1" t="s">
        <v>24</v>
      </c>
      <c r="U224" s="2">
        <v>0.72</v>
      </c>
      <c r="V224" s="2">
        <v>1.1100000000000001</v>
      </c>
      <c r="W224" s="2">
        <v>1.45</v>
      </c>
      <c r="X224" s="2">
        <v>1.41</v>
      </c>
      <c r="Y224" s="2">
        <v>1.51</v>
      </c>
      <c r="Z224" s="2">
        <v>1.54</v>
      </c>
      <c r="AA224" s="2">
        <v>0.88</v>
      </c>
      <c r="AB224" s="2">
        <v>1.72</v>
      </c>
      <c r="AC224" s="2">
        <v>0.34</v>
      </c>
      <c r="AD224" s="2">
        <v>0.12</v>
      </c>
      <c r="AE224" s="2">
        <v>0.32</v>
      </c>
      <c r="AF224" s="2">
        <v>0.12</v>
      </c>
      <c r="AG224" s="2">
        <v>0.16</v>
      </c>
      <c r="AH224" s="2">
        <v>0.08</v>
      </c>
      <c r="AI224" s="2">
        <v>0.25</v>
      </c>
      <c r="AJ224" s="2">
        <v>0.2</v>
      </c>
      <c r="AM224" s="1" t="s">
        <v>24</v>
      </c>
      <c r="AN224" s="2">
        <v>14.02</v>
      </c>
      <c r="AO224" s="2">
        <v>6.66</v>
      </c>
      <c r="AP224" s="2">
        <v>11</v>
      </c>
      <c r="AQ224" s="2">
        <v>9.24</v>
      </c>
      <c r="AR224" s="2">
        <v>21.31</v>
      </c>
      <c r="AS224" s="2">
        <v>17.13</v>
      </c>
      <c r="AT224" s="2">
        <v>12.4</v>
      </c>
      <c r="AU224" s="2">
        <v>7.7</v>
      </c>
      <c r="AV224" s="2">
        <v>16.7</v>
      </c>
      <c r="AW224" s="2">
        <v>18.399999999999999</v>
      </c>
      <c r="AX224" s="2">
        <v>13.4</v>
      </c>
      <c r="AY224" s="2">
        <v>15</v>
      </c>
      <c r="AZ224" s="2">
        <v>10</v>
      </c>
      <c r="BA224" s="2">
        <v>8.31</v>
      </c>
      <c r="BB224" s="2">
        <v>7.35</v>
      </c>
      <c r="BC224" s="2">
        <v>4.45</v>
      </c>
    </row>
    <row r="225" spans="20:55" x14ac:dyDescent="0.3">
      <c r="T225" s="1" t="s">
        <v>25</v>
      </c>
      <c r="U225" s="2">
        <v>3.4</v>
      </c>
      <c r="V225" s="2">
        <v>3.39</v>
      </c>
      <c r="W225" s="2">
        <v>2.25</v>
      </c>
      <c r="X225" s="2">
        <v>1.96</v>
      </c>
      <c r="Y225" s="2">
        <v>2.39</v>
      </c>
      <c r="Z225" s="2">
        <v>3.08</v>
      </c>
      <c r="AA225" s="2">
        <v>0.7</v>
      </c>
      <c r="AB225" s="2">
        <v>1.57</v>
      </c>
      <c r="AC225" s="2">
        <v>0.36</v>
      </c>
      <c r="AD225" s="2">
        <v>0.28000000000000003</v>
      </c>
      <c r="AE225" s="2">
        <v>0.3</v>
      </c>
      <c r="AF225" s="2">
        <v>0.24</v>
      </c>
      <c r="AG225" s="2">
        <v>0</v>
      </c>
      <c r="AH225" s="2">
        <v>7.0000000000000007E-2</v>
      </c>
      <c r="AI225" s="2">
        <v>0.78</v>
      </c>
      <c r="AJ225" s="2">
        <v>0.91</v>
      </c>
      <c r="AM225" s="1" t="s">
        <v>25</v>
      </c>
      <c r="AN225" s="2">
        <v>66.739999999999995</v>
      </c>
      <c r="AO225" s="2">
        <v>90.07</v>
      </c>
      <c r="AP225" s="2">
        <v>57.61</v>
      </c>
      <c r="AQ225" s="2">
        <v>54.6</v>
      </c>
      <c r="AR225" s="2">
        <v>72.12</v>
      </c>
      <c r="AS225" s="2">
        <v>62.97</v>
      </c>
      <c r="AT225" s="2">
        <v>69.040000000000006</v>
      </c>
      <c r="AU225" s="2">
        <v>35.82</v>
      </c>
      <c r="AV225" s="2">
        <v>55.27</v>
      </c>
      <c r="AW225" s="2">
        <v>51.84</v>
      </c>
      <c r="AX225" s="2">
        <v>40.270000000000003</v>
      </c>
      <c r="AY225" s="2">
        <v>41.29</v>
      </c>
      <c r="AZ225" s="2">
        <v>15</v>
      </c>
      <c r="BA225" s="2">
        <v>22.32</v>
      </c>
      <c r="BB225" s="2">
        <v>36.11</v>
      </c>
      <c r="BC225" s="2">
        <v>36.729999999999997</v>
      </c>
    </row>
    <row r="226" spans="20:55" x14ac:dyDescent="0.3">
      <c r="T226" s="1" t="s">
        <v>26</v>
      </c>
      <c r="U226" s="2">
        <v>0.34</v>
      </c>
      <c r="V226" s="2">
        <v>0.46</v>
      </c>
      <c r="W226" s="2">
        <v>0.44</v>
      </c>
      <c r="X226" s="2">
        <v>0.01</v>
      </c>
      <c r="Y226" s="2">
        <v>0.44</v>
      </c>
      <c r="Z226" s="2">
        <v>0.42</v>
      </c>
      <c r="AA226" s="2">
        <v>0.3</v>
      </c>
      <c r="AB226" s="2">
        <v>0.24</v>
      </c>
      <c r="AC226" s="2">
        <v>0.41</v>
      </c>
      <c r="AD226" s="2">
        <v>0.38</v>
      </c>
      <c r="AE226" s="2">
        <v>0.41</v>
      </c>
      <c r="AF226" s="2">
        <v>0.38</v>
      </c>
      <c r="AG226" s="2">
        <v>0.01</v>
      </c>
      <c r="AH226" s="2">
        <v>0.03</v>
      </c>
      <c r="AI226" s="2">
        <v>0.16</v>
      </c>
      <c r="AJ226" s="2">
        <v>0.14000000000000001</v>
      </c>
      <c r="AM226" s="1" t="s">
        <v>26</v>
      </c>
      <c r="AN226" s="2">
        <v>131.69999999999999</v>
      </c>
      <c r="AO226" s="2">
        <v>104.4</v>
      </c>
      <c r="AP226" s="2">
        <v>54.6</v>
      </c>
      <c r="AQ226" s="2">
        <v>13.5</v>
      </c>
      <c r="AR226" s="2">
        <v>69.599999999999994</v>
      </c>
      <c r="AS226" s="2">
        <v>51</v>
      </c>
      <c r="AT226" s="2">
        <v>23.1</v>
      </c>
      <c r="AU226" s="2">
        <v>9.3000000000000007</v>
      </c>
      <c r="AV226" s="2">
        <v>5.0999999999999996</v>
      </c>
      <c r="AW226" s="2">
        <v>5.0199999999999996</v>
      </c>
      <c r="AX226" s="2">
        <v>5.0999999999999996</v>
      </c>
      <c r="AY226" s="2">
        <v>5.0199999999999996</v>
      </c>
      <c r="AZ226" s="2">
        <v>0</v>
      </c>
      <c r="BA226" s="2">
        <v>0</v>
      </c>
      <c r="BB226" s="2">
        <v>57.67</v>
      </c>
      <c r="BC226" s="2">
        <v>12.63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6338-DE26-4AEE-8B23-E528F5F4B1D0}">
  <dimension ref="A1:Q40"/>
  <sheetViews>
    <sheetView zoomScale="75" workbookViewId="0">
      <selection activeCell="S11" sqref="S11"/>
    </sheetView>
  </sheetViews>
  <sheetFormatPr defaultRowHeight="14.4" x14ac:dyDescent="0.3"/>
  <sheetData>
    <row r="1" spans="1:17" x14ac:dyDescent="0.3">
      <c r="A1" t="str">
        <f>Year_2032!AM5</f>
        <v>GP PCE.Miles</v>
      </c>
      <c r="B1">
        <f>Year_2032!AN5</f>
        <v>0</v>
      </c>
      <c r="C1">
        <f>Year_2032!AO5</f>
        <v>0</v>
      </c>
      <c r="D1">
        <f>Year_2032!AP5</f>
        <v>0</v>
      </c>
      <c r="E1">
        <f>Year_2032!AQ5</f>
        <v>0</v>
      </c>
      <c r="F1">
        <f>Year_2032!AR5</f>
        <v>0</v>
      </c>
      <c r="G1">
        <f>Year_2032!AS5</f>
        <v>0</v>
      </c>
      <c r="H1">
        <f>Year_2032!AT5</f>
        <v>0</v>
      </c>
      <c r="I1">
        <f>Year_2032!AU5</f>
        <v>0</v>
      </c>
      <c r="J1">
        <f>Year_2032!AV5</f>
        <v>0</v>
      </c>
      <c r="K1">
        <f>Year_2032!AW5</f>
        <v>0</v>
      </c>
      <c r="L1">
        <f>Year_2032!AX5</f>
        <v>0</v>
      </c>
      <c r="M1">
        <f>Year_2032!AY5</f>
        <v>0</v>
      </c>
      <c r="N1">
        <f>Year_2032!AZ5</f>
        <v>0</v>
      </c>
      <c r="O1">
        <f>Year_2032!BA5</f>
        <v>0</v>
      </c>
      <c r="P1">
        <f>Year_2032!BB5</f>
        <v>0</v>
      </c>
      <c r="Q1">
        <f>Year_2032!BC5</f>
        <v>0</v>
      </c>
    </row>
    <row r="2" spans="1:17" x14ac:dyDescent="0.3">
      <c r="A2" t="str">
        <f>Year_2032!AM6</f>
        <v>Direction</v>
      </c>
      <c r="B2" t="str">
        <f>Year_2032!AN6</f>
        <v>NB</v>
      </c>
      <c r="C2" t="str">
        <f>Year_2032!AO6</f>
        <v>SB</v>
      </c>
      <c r="D2" t="str">
        <f>Year_2032!AP6</f>
        <v>NB</v>
      </c>
      <c r="E2" t="str">
        <f>Year_2032!AQ6</f>
        <v>SB</v>
      </c>
      <c r="F2" t="str">
        <f>Year_2032!AR6</f>
        <v>NB</v>
      </c>
      <c r="G2" t="str">
        <f>Year_2032!AS6</f>
        <v>SB</v>
      </c>
      <c r="H2" t="str">
        <f>Year_2032!AT6</f>
        <v>NB</v>
      </c>
      <c r="I2" t="str">
        <f>Year_2032!AU6</f>
        <v>SB</v>
      </c>
      <c r="J2" t="str">
        <f>Year_2032!AV6</f>
        <v>NB</v>
      </c>
      <c r="K2" t="str">
        <f>Year_2032!AW6</f>
        <v>SB</v>
      </c>
      <c r="L2" t="str">
        <f>Year_2032!AX6</f>
        <v>NB</v>
      </c>
      <c r="M2" t="str">
        <f>Year_2032!AY6</f>
        <v>SB</v>
      </c>
      <c r="N2" t="str">
        <f>Year_2032!AZ6</f>
        <v>NB</v>
      </c>
      <c r="O2" t="str">
        <f>Year_2032!BA6</f>
        <v>SB</v>
      </c>
      <c r="P2" t="str">
        <f>Year_2032!BB6</f>
        <v>NB</v>
      </c>
      <c r="Q2" t="str">
        <f>Year_2032!BC6</f>
        <v>SB</v>
      </c>
    </row>
    <row r="3" spans="1:17" x14ac:dyDescent="0.3">
      <c r="A3" t="str">
        <f>Year_2032!AM7</f>
        <v>Segment</v>
      </c>
      <c r="B3" t="str">
        <f>Year_2032!AN7</f>
        <v>11</v>
      </c>
      <c r="C3" t="str">
        <f>Year_2032!AO7</f>
        <v>11</v>
      </c>
      <c r="D3" t="str">
        <f>Year_2032!AP7</f>
        <v>12</v>
      </c>
      <c r="E3" t="str">
        <f>Year_2032!AQ7</f>
        <v>12</v>
      </c>
      <c r="F3" t="str">
        <f>Year_2032!AR7</f>
        <v>13</v>
      </c>
      <c r="G3" t="str">
        <f>Year_2032!AS7</f>
        <v>13</v>
      </c>
      <c r="H3" t="str">
        <f>Year_2032!AT7</f>
        <v>14</v>
      </c>
      <c r="I3" t="str">
        <f>Year_2032!AU7</f>
        <v>14</v>
      </c>
      <c r="J3" t="str">
        <f>Year_2032!AV7</f>
        <v>15</v>
      </c>
      <c r="K3" t="str">
        <f>Year_2032!AW7</f>
        <v>15</v>
      </c>
      <c r="L3" t="str">
        <f>Year_2032!AX7</f>
        <v>16</v>
      </c>
      <c r="M3" t="str">
        <f>Year_2032!AY7</f>
        <v>16</v>
      </c>
      <c r="N3" t="str">
        <f>Year_2032!AZ7</f>
        <v>17</v>
      </c>
      <c r="O3" t="str">
        <f>Year_2032!BA7</f>
        <v>17</v>
      </c>
      <c r="P3" t="str">
        <f>Year_2032!BB7</f>
        <v>18</v>
      </c>
      <c r="Q3" t="str">
        <f>Year_2032!BC7</f>
        <v>18</v>
      </c>
    </row>
    <row r="4" spans="1:17" x14ac:dyDescent="0.3">
      <c r="A4" t="str">
        <f>Year_2032!AM8</f>
        <v>Period</v>
      </c>
      <c r="B4">
        <f>Year_2032!AN8</f>
        <v>0</v>
      </c>
      <c r="C4">
        <f>Year_2032!AO8</f>
        <v>0</v>
      </c>
      <c r="D4">
        <f>Year_2032!AP8</f>
        <v>0</v>
      </c>
      <c r="E4">
        <f>Year_2032!AQ8</f>
        <v>0</v>
      </c>
      <c r="F4">
        <f>Year_2032!AR8</f>
        <v>0</v>
      </c>
      <c r="G4">
        <f>Year_2032!AS8</f>
        <v>0</v>
      </c>
      <c r="H4">
        <f>Year_2032!AT8</f>
        <v>0</v>
      </c>
      <c r="I4">
        <f>Year_2032!AU8</f>
        <v>0</v>
      </c>
      <c r="J4">
        <f>Year_2032!AV8</f>
        <v>0</v>
      </c>
      <c r="K4">
        <f>Year_2032!AW8</f>
        <v>0</v>
      </c>
      <c r="L4">
        <f>Year_2032!AX8</f>
        <v>0</v>
      </c>
      <c r="M4">
        <f>Year_2032!AY8</f>
        <v>0</v>
      </c>
      <c r="N4">
        <f>Year_2032!AZ8</f>
        <v>0</v>
      </c>
      <c r="O4">
        <f>Year_2032!BA8</f>
        <v>0</v>
      </c>
      <c r="P4">
        <f>Year_2032!BB8</f>
        <v>0</v>
      </c>
      <c r="Q4">
        <f>Year_2032!BC8</f>
        <v>0</v>
      </c>
    </row>
    <row r="5" spans="1:17" x14ac:dyDescent="0.3">
      <c r="A5" t="str">
        <f>Year_2032!AM9</f>
        <v>Night</v>
      </c>
      <c r="B5">
        <f>Year_2032!AN9/Year_2025!AN9</f>
        <v>1.074705062495219</v>
      </c>
      <c r="C5">
        <f>Year_2032!AO9/Year_2025!AO9</f>
        <v>1.0821694599002805</v>
      </c>
      <c r="D5">
        <f>Year_2032!AP9/Year_2025!AP9</f>
        <v>1.1419890447359526</v>
      </c>
      <c r="E5">
        <f>Year_2032!AQ9/Year_2025!AQ9</f>
        <v>1.2145238530960529</v>
      </c>
      <c r="F5">
        <f>Year_2032!AR9/Year_2025!AR9</f>
        <v>1.2063509013716427</v>
      </c>
      <c r="G5">
        <f>Year_2032!AS9/Year_2025!AS9</f>
        <v>1.2050590084340733</v>
      </c>
      <c r="H5">
        <f>Year_2032!AT9/Year_2025!AT9</f>
        <v>1.2242979605306739</v>
      </c>
      <c r="I5">
        <f>Year_2032!AU9/Year_2025!AU9</f>
        <v>1.2115662379163452</v>
      </c>
      <c r="J5">
        <f>Year_2032!AV9/Year_2025!AV9</f>
        <v>1.2431436194990282</v>
      </c>
      <c r="K5">
        <f>Year_2032!AW9/Year_2025!AW9</f>
        <v>1.2430771723355776</v>
      </c>
      <c r="L5">
        <f>Year_2032!AX9/Year_2025!AX9</f>
        <v>1.2431436194990282</v>
      </c>
      <c r="M5">
        <f>Year_2032!AY9/Year_2025!AY9</f>
        <v>1.2430373131044783</v>
      </c>
      <c r="N5">
        <f>Year_2032!AZ9/Year_2025!AZ9</f>
        <v>1.2427151076539564</v>
      </c>
      <c r="O5">
        <f>Year_2032!BA9/Year_2025!BA9</f>
        <v>1.2434553911342365</v>
      </c>
      <c r="P5">
        <f>Year_2032!BB9/Year_2025!BB9</f>
        <v>1.0021653762729579</v>
      </c>
      <c r="Q5">
        <f>Year_2032!BC9/Year_2025!BC9</f>
        <v>1.0038855002843141</v>
      </c>
    </row>
    <row r="6" spans="1:17" x14ac:dyDescent="0.3">
      <c r="A6" t="str">
        <f>Year_2032!AM10</f>
        <v>AM-Early</v>
      </c>
      <c r="B6">
        <f>Year_2032!AN10/Year_2025!AN10</f>
        <v>1.1069311733526022</v>
      </c>
      <c r="C6">
        <f>Year_2032!AO10/Year_2025!AO10</f>
        <v>1.2028473653949054</v>
      </c>
      <c r="D6">
        <f>Year_2032!AP10/Year_2025!AP10</f>
        <v>1.2055253394806036</v>
      </c>
      <c r="E6">
        <f>Year_2032!AQ10/Year_2025!AQ10</f>
        <v>0.995842008542005</v>
      </c>
      <c r="F6">
        <f>Year_2032!AR10/Year_2025!AR10</f>
        <v>1.2197087154406703</v>
      </c>
      <c r="G6">
        <f>Year_2032!AS10/Year_2025!AS10</f>
        <v>1.2126217997281872</v>
      </c>
      <c r="H6">
        <f>Year_2032!AT10/Year_2025!AT10</f>
        <v>1.2036515142659874</v>
      </c>
      <c r="I6">
        <f>Year_2032!AU10/Year_2025!AU10</f>
        <v>1.2123270358123897</v>
      </c>
      <c r="J6">
        <f>Year_2032!AV10/Year_2025!AV10</f>
        <v>1.2437498801014923</v>
      </c>
      <c r="K6">
        <f>Year_2032!AW10/Year_2025!AW10</f>
        <v>1.2454162260615269</v>
      </c>
      <c r="L6">
        <f>Year_2032!AX10/Year_2025!AX10</f>
        <v>1.2437448570058309</v>
      </c>
      <c r="M6">
        <f>Year_2032!AY10/Year_2025!AY10</f>
        <v>1.2453226598443077</v>
      </c>
      <c r="N6">
        <f>Year_2032!AZ10/Year_2025!AZ10</f>
        <v>1.2435809726378726</v>
      </c>
      <c r="O6">
        <f>Year_2032!BA10/Year_2025!BA10</f>
        <v>1.243211058536817</v>
      </c>
      <c r="P6">
        <f>Year_2032!BB10/Year_2025!BB10</f>
        <v>1.0231125333171565</v>
      </c>
      <c r="Q6">
        <f>Year_2032!BC10/Year_2025!BC10</f>
        <v>1.1542905828163688</v>
      </c>
    </row>
    <row r="7" spans="1:17" x14ac:dyDescent="0.3">
      <c r="A7" t="str">
        <f>Year_2032!AM11</f>
        <v>AM-Peak</v>
      </c>
      <c r="B7">
        <f>Year_2032!AN11/Year_2025!AN11</f>
        <v>1.192931571768501</v>
      </c>
      <c r="C7">
        <f>Year_2032!AO11/Year_2025!AO11</f>
        <v>1.1552329250217026</v>
      </c>
      <c r="D7">
        <f>Year_2032!AP11/Year_2025!AP11</f>
        <v>1.2057068337885217</v>
      </c>
      <c r="E7">
        <f>Year_2032!AQ11/Year_2025!AQ11</f>
        <v>1.0330114925229577</v>
      </c>
      <c r="F7">
        <f>Year_2032!AR11/Year_2025!AR11</f>
        <v>1.1938356863469066</v>
      </c>
      <c r="G7">
        <f>Year_2032!AS11/Year_2025!AS11</f>
        <v>1.2172337583419905</v>
      </c>
      <c r="H7">
        <f>Year_2032!AT11/Year_2025!AT11</f>
        <v>1.2269732379459286</v>
      </c>
      <c r="I7">
        <f>Year_2032!AU11/Year_2025!AU11</f>
        <v>1.2160228823563888</v>
      </c>
      <c r="J7">
        <f>Year_2032!AV11/Year_2025!AV11</f>
        <v>1.2442773749478335</v>
      </c>
      <c r="K7">
        <f>Year_2032!AW11/Year_2025!AW11</f>
        <v>1.2448141588864099</v>
      </c>
      <c r="L7">
        <f>Year_2032!AX11/Year_2025!AX11</f>
        <v>1.2436844581404405</v>
      </c>
      <c r="M7">
        <f>Year_2032!AY11/Year_2025!AY11</f>
        <v>1.2439667717906751</v>
      </c>
      <c r="N7">
        <f>Year_2032!AZ11/Year_2025!AZ11</f>
        <v>1.243457038639785</v>
      </c>
      <c r="O7">
        <f>Year_2032!BA11/Year_2025!BA11</f>
        <v>1.2415003088617347</v>
      </c>
      <c r="P7">
        <f>Year_2032!BB11/Year_2025!BB11</f>
        <v>1.182684242542803</v>
      </c>
      <c r="Q7">
        <f>Year_2032!BC11/Year_2025!BC11</f>
        <v>1.1069023575515771</v>
      </c>
    </row>
    <row r="8" spans="1:17" x14ac:dyDescent="0.3">
      <c r="A8" t="str">
        <f>Year_2032!AM12</f>
        <v>AM-Shoulder</v>
      </c>
      <c r="B8">
        <f>Year_2032!AN12/Year_2025!AN12</f>
        <v>1.0491819073914623</v>
      </c>
      <c r="C8">
        <f>Year_2032!AO12/Year_2025!AO12</f>
        <v>1.2028415780336441</v>
      </c>
      <c r="D8">
        <f>Year_2032!AP12/Year_2025!AP12</f>
        <v>1.2047631678666162</v>
      </c>
      <c r="E8">
        <f>Year_2032!AQ12/Year_2025!AQ12</f>
        <v>1.0155196468235463</v>
      </c>
      <c r="F8">
        <f>Year_2032!AR12/Year_2025!AR12</f>
        <v>1.1557230206734344</v>
      </c>
      <c r="G8">
        <f>Year_2032!AS12/Year_2025!AS12</f>
        <v>1.2162705525877628</v>
      </c>
      <c r="H8">
        <f>Year_2032!AT12/Year_2025!AT12</f>
        <v>1.2160086092606068</v>
      </c>
      <c r="I8">
        <f>Year_2032!AU12/Year_2025!AU12</f>
        <v>1.2141559572017886</v>
      </c>
      <c r="J8">
        <f>Year_2032!AV12/Year_2025!AV12</f>
        <v>1.2443674332337555</v>
      </c>
      <c r="K8">
        <f>Year_2032!AW12/Year_2025!AW12</f>
        <v>1.2429289950400306</v>
      </c>
      <c r="L8">
        <f>Year_2032!AX12/Year_2025!AX12</f>
        <v>1.2436266982291992</v>
      </c>
      <c r="M8">
        <f>Year_2032!AY12/Year_2025!AY12</f>
        <v>1.1767048816568049</v>
      </c>
      <c r="N8">
        <f>Year_2032!AZ12/Year_2025!AZ12</f>
        <v>1.1836296296296296</v>
      </c>
      <c r="O8">
        <f>Year_2032!BA12/Year_2025!BA12</f>
        <v>1.18379224543005</v>
      </c>
      <c r="P8">
        <f>Year_2032!BB12/Year_2025!BB12</f>
        <v>1.1563396038893567</v>
      </c>
      <c r="Q8">
        <f>Year_2032!BC12/Year_2025!BC12</f>
        <v>1.1072357650349947</v>
      </c>
    </row>
    <row r="9" spans="1:17" x14ac:dyDescent="0.3">
      <c r="A9" t="str">
        <f>Year_2032!AM13</f>
        <v>MD</v>
      </c>
      <c r="B9">
        <f>Year_2032!AN13/Year_2025!AN13</f>
        <v>1.0324056213241586</v>
      </c>
      <c r="C9">
        <f>Year_2032!AO13/Year_2025!AO13</f>
        <v>1.0594600494986794</v>
      </c>
      <c r="D9">
        <f>Year_2032!AP13/Year_2025!AP13</f>
        <v>1.1829803393162011</v>
      </c>
      <c r="E9">
        <f>Year_2032!AQ13/Year_2025!AQ13</f>
        <v>1.1272821730066613</v>
      </c>
      <c r="F9">
        <f>Year_2032!AR13/Year_2025!AR13</f>
        <v>1.2141943642956223</v>
      </c>
      <c r="G9">
        <f>Year_2032!AS13/Year_2025!AS13</f>
        <v>1.2161343641592532</v>
      </c>
      <c r="H9">
        <f>Year_2032!AT13/Year_2025!AT13</f>
        <v>1.213188340556004</v>
      </c>
      <c r="I9">
        <f>Year_2032!AU13/Year_2025!AU13</f>
        <v>1.2146489604402975</v>
      </c>
      <c r="J9">
        <f>Year_2032!AV13/Year_2025!AV13</f>
        <v>1.2455365913315652</v>
      </c>
      <c r="K9">
        <f>Year_2032!AW13/Year_2025!AW13</f>
        <v>1.2445149156672806</v>
      </c>
      <c r="L9">
        <f>Year_2032!AX13/Year_2025!AX13</f>
        <v>1.2454604890316183</v>
      </c>
      <c r="M9">
        <f>Year_2032!AY13/Year_2025!AY13</f>
        <v>1.2444012929632091</v>
      </c>
      <c r="N9">
        <f>Year_2032!AZ13/Year_2025!AZ13</f>
        <v>1.2431537526172463</v>
      </c>
      <c r="O9">
        <f>Year_2032!BA13/Year_2025!BA13</f>
        <v>1.2431756966993279</v>
      </c>
      <c r="P9">
        <f>Year_2032!BB13/Year_2025!BB13</f>
        <v>1.0122476200015613</v>
      </c>
      <c r="Q9">
        <f>Year_2032!BC13/Year_2025!BC13</f>
        <v>1.0026501406932511</v>
      </c>
    </row>
    <row r="10" spans="1:17" x14ac:dyDescent="0.3">
      <c r="A10" t="str">
        <f>Year_2032!AM14</f>
        <v>PM-Shoulder</v>
      </c>
      <c r="B10">
        <f>Year_2032!AN14/Year_2025!AN14</f>
        <v>1.0250764659856315</v>
      </c>
      <c r="C10">
        <f>Year_2032!AO14/Year_2025!AO14</f>
        <v>1.0269138283518657</v>
      </c>
      <c r="D10">
        <f>Year_2032!AP14/Year_2025!AP14</f>
        <v>1.2067734759138569</v>
      </c>
      <c r="E10">
        <f>Year_2032!AQ14/Year_2025!AQ14</f>
        <v>1.2163020659371122</v>
      </c>
      <c r="F10">
        <f>Year_2032!AR14/Year_2025!AR14</f>
        <v>1.1994029991715975</v>
      </c>
      <c r="G10">
        <f>Year_2032!AS14/Year_2025!AS14</f>
        <v>1.0392603678387105</v>
      </c>
      <c r="H10">
        <f>Year_2032!AT14/Year_2025!AT14</f>
        <v>1.2191152078126235</v>
      </c>
      <c r="I10">
        <f>Year_2032!AU14/Year_2025!AU14</f>
        <v>1.1303320131790473</v>
      </c>
      <c r="J10">
        <f>Year_2032!AV14/Year_2025!AV14</f>
        <v>1.2475476328436552</v>
      </c>
      <c r="K10">
        <f>Year_2032!AW14/Year_2025!AW14</f>
        <v>1.2382672767953578</v>
      </c>
      <c r="L10">
        <f>Year_2032!AX14/Year_2025!AX14</f>
        <v>1.2459787567671121</v>
      </c>
      <c r="M10">
        <f>Year_2032!AY14/Year_2025!AY14</f>
        <v>1.244496070091168</v>
      </c>
      <c r="N10">
        <f>Year_2032!AZ14/Year_2025!AZ14</f>
        <v>1.2438972013495007</v>
      </c>
      <c r="O10">
        <f>Year_2032!BA14/Year_2025!BA14</f>
        <v>1.2435852350244474</v>
      </c>
      <c r="P10">
        <f>Year_2032!BB14/Year_2025!BB14</f>
        <v>1.2356927710843373</v>
      </c>
      <c r="Q10">
        <f>Year_2032!BC14/Year_2025!BC14</f>
        <v>1.0221962960133066</v>
      </c>
    </row>
    <row r="11" spans="1:17" x14ac:dyDescent="0.3">
      <c r="A11" t="str">
        <f>Year_2032!AM15</f>
        <v>PM-Peak</v>
      </c>
      <c r="B11">
        <f>Year_2032!AN15/Year_2025!AN15</f>
        <v>1.1108014767836571</v>
      </c>
      <c r="C11">
        <f>Year_2032!AO15/Year_2025!AO15</f>
        <v>1.1223367084820119</v>
      </c>
      <c r="D11">
        <f>Year_2032!AP15/Year_2025!AP15</f>
        <v>1.1670049063836856</v>
      </c>
      <c r="E11">
        <f>Year_2032!AQ15/Year_2025!AQ15</f>
        <v>1.2100678575414738</v>
      </c>
      <c r="F11">
        <f>Year_2032!AR15/Year_2025!AR15</f>
        <v>1.225539076333974</v>
      </c>
      <c r="G11">
        <f>Year_2032!AS15/Year_2025!AS15</f>
        <v>1.2075626174308991</v>
      </c>
      <c r="H11">
        <f>Year_2032!AT15/Year_2025!AT15</f>
        <v>1.2202504029566434</v>
      </c>
      <c r="I11">
        <f>Year_2032!AU15/Year_2025!AU15</f>
        <v>1.2264398682831952</v>
      </c>
      <c r="J11">
        <f>Year_2032!AV15/Year_2025!AV15</f>
        <v>1.2497138417656808</v>
      </c>
      <c r="K11">
        <f>Year_2032!AW15/Year_2025!AW15</f>
        <v>1.2473754590935049</v>
      </c>
      <c r="L11">
        <f>Year_2032!AX15/Year_2025!AX15</f>
        <v>1.2468764222153281</v>
      </c>
      <c r="M11">
        <f>Year_2032!AY15/Year_2025!AY15</f>
        <v>1.2454351394091669</v>
      </c>
      <c r="N11">
        <f>Year_2032!AZ15/Year_2025!AZ15</f>
        <v>1.2430178692333498</v>
      </c>
      <c r="O11">
        <f>Year_2032!BA15/Year_2025!BA15</f>
        <v>1.2439559398954256</v>
      </c>
      <c r="P11">
        <f>Year_2032!BB15/Year_2025!BB15</f>
        <v>1.0875806961311001</v>
      </c>
      <c r="Q11">
        <f>Year_2032!BC15/Year_2025!BC15</f>
        <v>1.1222161819983048</v>
      </c>
    </row>
    <row r="12" spans="1:17" x14ac:dyDescent="0.3">
      <c r="A12" t="str">
        <f>Year_2032!AM16</f>
        <v>PM-Late</v>
      </c>
      <c r="B12">
        <f>Year_2032!AN16/Year_2025!AN16</f>
        <v>1.2028108711429524</v>
      </c>
      <c r="C12">
        <f>Year_2032!AO16/Year_2025!AO16</f>
        <v>1.203775476670871</v>
      </c>
      <c r="D12">
        <f>Year_2032!AP16/Year_2025!AP16</f>
        <v>1.2028512913025959</v>
      </c>
      <c r="E12">
        <f>Year_2032!AQ16/Year_2025!AQ16</f>
        <v>1.1791772604222257</v>
      </c>
      <c r="F12">
        <f>Year_2032!AR16/Year_2025!AR16</f>
        <v>1.2136434232807944</v>
      </c>
      <c r="G12">
        <f>Year_2032!AS16/Year_2025!AS16</f>
        <v>1.2123015829203763</v>
      </c>
      <c r="H12">
        <f>Year_2032!AT16/Year_2025!AT16</f>
        <v>1.2117099458696619</v>
      </c>
      <c r="I12">
        <f>Year_2032!AU16/Year_2025!AU16</f>
        <v>1.2121932174037979</v>
      </c>
      <c r="J12">
        <f>Year_2032!AV16/Year_2025!AV16</f>
        <v>1.2435876469577198</v>
      </c>
      <c r="K12">
        <f>Year_2032!AW16/Year_2025!AW16</f>
        <v>1.2434505061267367</v>
      </c>
      <c r="L12">
        <f>Year_2032!AX16/Year_2025!AX16</f>
        <v>1.2435788446669003</v>
      </c>
      <c r="M12">
        <f>Year_2032!AY16/Year_2025!AY16</f>
        <v>1.2434619617891094</v>
      </c>
      <c r="N12">
        <f>Year_2032!AZ16/Year_2025!AZ16</f>
        <v>1.1534920634920633</v>
      </c>
      <c r="O12">
        <f>Year_2032!BA16/Year_2025!BA16</f>
        <v>1.2454888946811871</v>
      </c>
      <c r="P12">
        <f>Year_2032!BB16/Year_2025!BB16</f>
        <v>1.2350697583236221</v>
      </c>
      <c r="Q12">
        <f>Year_2032!BC16/Year_2025!BC16</f>
        <v>1.0317348100180896</v>
      </c>
    </row>
    <row r="13" spans="1:17" x14ac:dyDescent="0.3">
      <c r="A13">
        <f>Year_2032!AM17</f>
        <v>0</v>
      </c>
      <c r="B13">
        <f>Year_2032!AN17</f>
        <v>0</v>
      </c>
      <c r="C13">
        <f>Year_2032!AO17</f>
        <v>0</v>
      </c>
      <c r="D13">
        <f>Year_2032!AP17</f>
        <v>0</v>
      </c>
      <c r="E13">
        <f>Year_2032!AQ17</f>
        <v>0</v>
      </c>
      <c r="F13">
        <f>Year_2032!AR17</f>
        <v>0</v>
      </c>
      <c r="G13">
        <f>Year_2032!AS17</f>
        <v>0</v>
      </c>
      <c r="H13">
        <f>Year_2032!AT17</f>
        <v>0</v>
      </c>
      <c r="I13">
        <f>Year_2032!AU17</f>
        <v>0</v>
      </c>
      <c r="J13">
        <f>Year_2032!AV17</f>
        <v>0</v>
      </c>
      <c r="K13">
        <f>Year_2032!AW17</f>
        <v>0</v>
      </c>
      <c r="L13">
        <f>Year_2032!AX17</f>
        <v>0</v>
      </c>
      <c r="M13">
        <f>Year_2032!AY17</f>
        <v>0</v>
      </c>
      <c r="N13">
        <f>Year_2032!AZ17</f>
        <v>0</v>
      </c>
      <c r="O13">
        <f>Year_2032!BA17</f>
        <v>0</v>
      </c>
      <c r="P13">
        <f>Year_2032!BB17</f>
        <v>0</v>
      </c>
      <c r="Q13">
        <f>Year_2032!BC17</f>
        <v>0</v>
      </c>
    </row>
    <row r="14" spans="1:17" x14ac:dyDescent="0.3">
      <c r="A14">
        <f>Year_2032!AM18</f>
        <v>0</v>
      </c>
      <c r="B14">
        <f>Year_2032!AN18</f>
        <v>0</v>
      </c>
      <c r="C14">
        <f>Year_2032!AO18</f>
        <v>0</v>
      </c>
      <c r="D14">
        <f>Year_2032!AP18</f>
        <v>0</v>
      </c>
      <c r="E14">
        <f>Year_2032!AQ18</f>
        <v>0</v>
      </c>
      <c r="F14">
        <f>Year_2032!AR18</f>
        <v>0</v>
      </c>
      <c r="G14">
        <f>Year_2032!AS18</f>
        <v>0</v>
      </c>
      <c r="H14">
        <f>Year_2032!AT18</f>
        <v>0</v>
      </c>
      <c r="I14">
        <f>Year_2032!AU18</f>
        <v>0</v>
      </c>
      <c r="J14">
        <f>Year_2032!AV18</f>
        <v>0</v>
      </c>
      <c r="K14">
        <f>Year_2032!AW18</f>
        <v>0</v>
      </c>
      <c r="L14">
        <f>Year_2032!AX18</f>
        <v>0</v>
      </c>
      <c r="M14">
        <f>Year_2032!AY18</f>
        <v>0</v>
      </c>
      <c r="N14">
        <f>Year_2032!AZ18</f>
        <v>0</v>
      </c>
      <c r="O14">
        <f>Year_2032!BA18</f>
        <v>0</v>
      </c>
      <c r="P14">
        <f>Year_2032!BB18</f>
        <v>0</v>
      </c>
      <c r="Q14">
        <f>Year_2032!BC18</f>
        <v>0</v>
      </c>
    </row>
    <row r="15" spans="1:17" x14ac:dyDescent="0.3">
      <c r="A15" t="str">
        <f>Year_2032!AM19</f>
        <v>GP Volume (PCE/Period)</v>
      </c>
      <c r="B15">
        <f>Year_2032!AN19</f>
        <v>0</v>
      </c>
      <c r="C15">
        <f>Year_2032!AO19</f>
        <v>0</v>
      </c>
      <c r="D15">
        <f>Year_2032!AP19</f>
        <v>0</v>
      </c>
      <c r="E15">
        <f>Year_2032!AQ19</f>
        <v>0</v>
      </c>
      <c r="F15">
        <f>Year_2032!AR19</f>
        <v>0</v>
      </c>
      <c r="G15">
        <f>Year_2032!AS19</f>
        <v>0</v>
      </c>
      <c r="H15">
        <f>Year_2032!AT19</f>
        <v>0</v>
      </c>
      <c r="I15">
        <f>Year_2032!AU19</f>
        <v>0</v>
      </c>
      <c r="J15">
        <f>Year_2032!AV19</f>
        <v>0</v>
      </c>
      <c r="K15">
        <f>Year_2032!AW19</f>
        <v>0</v>
      </c>
      <c r="L15">
        <f>Year_2032!AX19</f>
        <v>0</v>
      </c>
      <c r="M15">
        <f>Year_2032!AY19</f>
        <v>0</v>
      </c>
      <c r="N15">
        <f>Year_2032!AZ19</f>
        <v>0</v>
      </c>
      <c r="O15">
        <f>Year_2032!BA19</f>
        <v>0</v>
      </c>
      <c r="P15">
        <f>Year_2032!BB19</f>
        <v>0</v>
      </c>
      <c r="Q15">
        <f>Year_2032!BC19</f>
        <v>0</v>
      </c>
    </row>
    <row r="16" spans="1:17" x14ac:dyDescent="0.3">
      <c r="A16" t="str">
        <f>Year_2032!AM20</f>
        <v>Direction</v>
      </c>
      <c r="B16" t="str">
        <f>Year_2032!AN20</f>
        <v>NB</v>
      </c>
      <c r="C16" t="str">
        <f>Year_2032!AO20</f>
        <v>SB</v>
      </c>
      <c r="D16" t="str">
        <f>Year_2032!AP20</f>
        <v>NB</v>
      </c>
      <c r="E16" t="str">
        <f>Year_2032!AQ20</f>
        <v>SB</v>
      </c>
      <c r="F16" t="str">
        <f>Year_2032!AR20</f>
        <v>NB</v>
      </c>
      <c r="G16" t="str">
        <f>Year_2032!AS20</f>
        <v>SB</v>
      </c>
      <c r="H16" t="str">
        <f>Year_2032!AT20</f>
        <v>NB</v>
      </c>
      <c r="I16" t="str">
        <f>Year_2032!AU20</f>
        <v>SB</v>
      </c>
      <c r="J16" t="str">
        <f>Year_2032!AV20</f>
        <v>NB</v>
      </c>
      <c r="K16" t="str">
        <f>Year_2032!AW20</f>
        <v>SB</v>
      </c>
      <c r="L16" t="str">
        <f>Year_2032!AX20</f>
        <v>NB</v>
      </c>
      <c r="M16" t="str">
        <f>Year_2032!AY20</f>
        <v>SB</v>
      </c>
      <c r="N16" t="str">
        <f>Year_2032!AZ20</f>
        <v>NB</v>
      </c>
      <c r="O16" t="str">
        <f>Year_2032!BA20</f>
        <v>SB</v>
      </c>
      <c r="P16" t="str">
        <f>Year_2032!BB20</f>
        <v>NB</v>
      </c>
      <c r="Q16" t="str">
        <f>Year_2032!BC20</f>
        <v>SB</v>
      </c>
    </row>
    <row r="17" spans="1:17" x14ac:dyDescent="0.3">
      <c r="A17" t="str">
        <f>Year_2032!AM21</f>
        <v>Segment</v>
      </c>
      <c r="B17" t="str">
        <f>Year_2032!AN21</f>
        <v>11</v>
      </c>
      <c r="C17" t="str">
        <f>Year_2032!AO21</f>
        <v>11</v>
      </c>
      <c r="D17" t="str">
        <f>Year_2032!AP21</f>
        <v>12</v>
      </c>
      <c r="E17" t="str">
        <f>Year_2032!AQ21</f>
        <v>12</v>
      </c>
      <c r="F17" t="str">
        <f>Year_2032!AR21</f>
        <v>13</v>
      </c>
      <c r="G17" t="str">
        <f>Year_2032!AS21</f>
        <v>13</v>
      </c>
      <c r="H17" t="str">
        <f>Year_2032!AT21</f>
        <v>14</v>
      </c>
      <c r="I17" t="str">
        <f>Year_2032!AU21</f>
        <v>14</v>
      </c>
      <c r="J17" t="str">
        <f>Year_2032!AV21</f>
        <v>15</v>
      </c>
      <c r="K17" t="str">
        <f>Year_2032!AW21</f>
        <v>15</v>
      </c>
      <c r="L17" t="str">
        <f>Year_2032!AX21</f>
        <v>16</v>
      </c>
      <c r="M17" t="str">
        <f>Year_2032!AY21</f>
        <v>16</v>
      </c>
      <c r="N17" t="str">
        <f>Year_2032!AZ21</f>
        <v>17</v>
      </c>
      <c r="O17" t="str">
        <f>Year_2032!BA21</f>
        <v>17</v>
      </c>
      <c r="P17" t="str">
        <f>Year_2032!BB21</f>
        <v>18</v>
      </c>
      <c r="Q17" t="str">
        <f>Year_2032!BC21</f>
        <v>18</v>
      </c>
    </row>
    <row r="18" spans="1:17" x14ac:dyDescent="0.3">
      <c r="A18" t="str">
        <f>Year_2032!AM22</f>
        <v>Period</v>
      </c>
      <c r="B18">
        <f>Year_2032!AN22</f>
        <v>0</v>
      </c>
      <c r="C18">
        <f>Year_2032!AO22</f>
        <v>0</v>
      </c>
      <c r="D18">
        <f>Year_2032!AP22</f>
        <v>0</v>
      </c>
      <c r="E18">
        <f>Year_2032!AQ22</f>
        <v>0</v>
      </c>
      <c r="F18">
        <f>Year_2032!AR22</f>
        <v>0</v>
      </c>
      <c r="G18">
        <f>Year_2032!AS22</f>
        <v>0</v>
      </c>
      <c r="H18">
        <f>Year_2032!AT22</f>
        <v>0</v>
      </c>
      <c r="I18">
        <f>Year_2032!AU22</f>
        <v>0</v>
      </c>
      <c r="J18">
        <f>Year_2032!AV22</f>
        <v>0</v>
      </c>
      <c r="K18">
        <f>Year_2032!AW22</f>
        <v>0</v>
      </c>
      <c r="L18">
        <f>Year_2032!AX22</f>
        <v>0</v>
      </c>
      <c r="M18">
        <f>Year_2032!AY22</f>
        <v>0</v>
      </c>
      <c r="N18">
        <f>Year_2032!AZ22</f>
        <v>0</v>
      </c>
      <c r="O18">
        <f>Year_2032!BA22</f>
        <v>0</v>
      </c>
      <c r="P18">
        <f>Year_2032!BB22</f>
        <v>0</v>
      </c>
      <c r="Q18">
        <f>Year_2032!BC22</f>
        <v>0</v>
      </c>
    </row>
    <row r="19" spans="1:17" x14ac:dyDescent="0.3">
      <c r="A19" t="str">
        <f>Year_2032!AM23</f>
        <v>Night</v>
      </c>
      <c r="B19">
        <f>Year_2032!AN23/Year_2025!AN23</f>
        <v>1.0747054635339002</v>
      </c>
      <c r="C19">
        <f>Year_2032!AO23/Year_2025!AO23</f>
        <v>1.0821695179901019</v>
      </c>
      <c r="D19">
        <f>Year_2032!AP23/Year_2025!AP23</f>
        <v>1.1419889205322538</v>
      </c>
      <c r="E19">
        <f>Year_2032!AQ23/Year_2025!AQ23</f>
        <v>1.214524166284231</v>
      </c>
      <c r="F19">
        <f>Year_2032!AR23/Year_2025!AR23</f>
        <v>1.2063514509266082</v>
      </c>
      <c r="G19">
        <f>Year_2032!AS23/Year_2025!AS23</f>
        <v>1.2050590241820169</v>
      </c>
      <c r="H19">
        <f>Year_2032!AT23/Year_2025!AT23</f>
        <v>1.2242970682915162</v>
      </c>
      <c r="I19">
        <f>Year_2032!AU23/Year_2025!AU23</f>
        <v>1.2115666838090831</v>
      </c>
      <c r="J19">
        <f>Year_2032!AV23/Year_2025!AV23</f>
        <v>1.2431444258039259</v>
      </c>
      <c r="K19">
        <f>Year_2032!AW23/Year_2025!AW23</f>
        <v>1.2430766863696727</v>
      </c>
      <c r="L19">
        <f>Year_2032!AX23/Year_2025!AX23</f>
        <v>1.2431444258039259</v>
      </c>
      <c r="M19">
        <f>Year_2032!AY23/Year_2025!AY23</f>
        <v>1.2430376537536649</v>
      </c>
      <c r="N19">
        <f>Year_2032!AZ23/Year_2025!AZ23</f>
        <v>1.2427156157550392</v>
      </c>
      <c r="O19">
        <f>Year_2032!BA23/Year_2025!BA23</f>
        <v>1.2434572122257046</v>
      </c>
      <c r="P19">
        <f>Year_2032!BB23/Year_2025!BB23</f>
        <v>1.0021650105448634</v>
      </c>
      <c r="Q19">
        <f>Year_2032!BC23/Year_2025!BC23</f>
        <v>1.0038855008649723</v>
      </c>
    </row>
    <row r="20" spans="1:17" x14ac:dyDescent="0.3">
      <c r="A20" t="str">
        <f>Year_2032!AM24</f>
        <v>AM-Early</v>
      </c>
      <c r="B20">
        <f>Year_2032!AN24/Year_2025!AN24</f>
        <v>1.1069320550157047</v>
      </c>
      <c r="C20">
        <f>Year_2032!AO24/Year_2025!AO24</f>
        <v>1.2028486498558926</v>
      </c>
      <c r="D20">
        <f>Year_2032!AP24/Year_2025!AP24</f>
        <v>1.2055257493587712</v>
      </c>
      <c r="E20">
        <f>Year_2032!AQ24/Year_2025!AQ24</f>
        <v>0.99584099042460583</v>
      </c>
      <c r="F20">
        <f>Year_2032!AR24/Year_2025!AR24</f>
        <v>1.2197086205880621</v>
      </c>
      <c r="G20">
        <f>Year_2032!AS24/Year_2025!AS24</f>
        <v>1.2126231908295266</v>
      </c>
      <c r="H20">
        <f>Year_2032!AT24/Year_2025!AT24</f>
        <v>1.2036504319912129</v>
      </c>
      <c r="I20">
        <f>Year_2032!AU24/Year_2025!AU24</f>
        <v>1.2123287460408825</v>
      </c>
      <c r="J20">
        <f>Year_2032!AV24/Year_2025!AV24</f>
        <v>1.2437501804788793</v>
      </c>
      <c r="K20">
        <f>Year_2032!AW24/Year_2025!AW24</f>
        <v>1.2454175377712975</v>
      </c>
      <c r="L20">
        <f>Year_2032!AX24/Year_2025!AX24</f>
        <v>1.2437436504582171</v>
      </c>
      <c r="M20">
        <f>Year_2032!AY24/Year_2025!AY24</f>
        <v>1.2453216831979053</v>
      </c>
      <c r="N20">
        <f>Year_2032!AZ24/Year_2025!AZ24</f>
        <v>1.2435825854860894</v>
      </c>
      <c r="O20">
        <f>Year_2032!BA24/Year_2025!BA24</f>
        <v>1.2432132664802868</v>
      </c>
      <c r="P20">
        <f>Year_2032!BB24/Year_2025!BB24</f>
        <v>1.023110999222</v>
      </c>
      <c r="Q20">
        <f>Year_2032!BC24/Year_2025!BC24</f>
        <v>1.154290582816369</v>
      </c>
    </row>
    <row r="21" spans="1:17" x14ac:dyDescent="0.3">
      <c r="A21" t="str">
        <f>Year_2032!AM25</f>
        <v>AM-Peak</v>
      </c>
      <c r="B21">
        <f>Year_2032!AN25/Year_2025!AN25</f>
        <v>1.1929313971042586</v>
      </c>
      <c r="C21">
        <f>Year_2032!AO25/Year_2025!AO25</f>
        <v>1.1552328899742075</v>
      </c>
      <c r="D21">
        <f>Year_2032!AP25/Year_2025!AP25</f>
        <v>1.2057066847500064</v>
      </c>
      <c r="E21">
        <f>Year_2032!AQ25/Year_2025!AQ25</f>
        <v>1.0330112188064717</v>
      </c>
      <c r="F21">
        <f>Year_2032!AR25/Year_2025!AR25</f>
        <v>1.1938356089508837</v>
      </c>
      <c r="G21">
        <f>Year_2032!AS25/Year_2025!AS25</f>
        <v>1.217234010214171</v>
      </c>
      <c r="H21">
        <f>Year_2032!AT25/Year_2025!AT25</f>
        <v>1.2269733354566188</v>
      </c>
      <c r="I21">
        <f>Year_2032!AU25/Year_2025!AU25</f>
        <v>1.2160234621661057</v>
      </c>
      <c r="J21">
        <f>Year_2032!AV25/Year_2025!AV25</f>
        <v>1.2442770170398592</v>
      </c>
      <c r="K21">
        <f>Year_2032!AW25/Year_2025!AW25</f>
        <v>1.2448138278063035</v>
      </c>
      <c r="L21">
        <f>Year_2032!AX25/Year_2025!AX25</f>
        <v>1.2436850772194132</v>
      </c>
      <c r="M21">
        <f>Year_2032!AY25/Year_2025!AY25</f>
        <v>1.2439679398625911</v>
      </c>
      <c r="N21">
        <f>Year_2032!AZ25/Year_2025!AZ25</f>
        <v>1.2434578817425321</v>
      </c>
      <c r="O21">
        <f>Year_2032!BA25/Year_2025!BA25</f>
        <v>1.2415009481615735</v>
      </c>
      <c r="P21">
        <f>Year_2032!BB25/Year_2025!BB25</f>
        <v>1.1826840965269148</v>
      </c>
      <c r="Q21">
        <f>Year_2032!BC25/Year_2025!BC25</f>
        <v>1.1069015368079289</v>
      </c>
    </row>
    <row r="22" spans="1:17" x14ac:dyDescent="0.3">
      <c r="A22" t="str">
        <f>Year_2032!AM26</f>
        <v>AM-Shoulder</v>
      </c>
      <c r="B22">
        <f>Year_2032!AN26/Year_2025!AN26</f>
        <v>1.0491824043880038</v>
      </c>
      <c r="C22">
        <f>Year_2032!AO26/Year_2025!AO26</f>
        <v>1.20284174547801</v>
      </c>
      <c r="D22">
        <f>Year_2032!AP26/Year_2025!AP26</f>
        <v>1.2047626942023495</v>
      </c>
      <c r="E22">
        <f>Year_2032!AQ26/Year_2025!AQ26</f>
        <v>1.0155188981026557</v>
      </c>
      <c r="F22">
        <f>Year_2032!AR26/Year_2025!AR26</f>
        <v>1.1557233585037756</v>
      </c>
      <c r="G22">
        <f>Year_2032!AS26/Year_2025!AS26</f>
        <v>1.2162702390272098</v>
      </c>
      <c r="H22">
        <f>Year_2032!AT26/Year_2025!AT26</f>
        <v>1.2160087531841417</v>
      </c>
      <c r="I22">
        <f>Year_2032!AU26/Year_2025!AU26</f>
        <v>1.2141562352806838</v>
      </c>
      <c r="J22">
        <f>Year_2032!AV26/Year_2025!AV26</f>
        <v>1.2443667006825092</v>
      </c>
      <c r="K22">
        <f>Year_2032!AW26/Year_2025!AW26</f>
        <v>1.242929243909541</v>
      </c>
      <c r="L22">
        <f>Year_2032!AX26/Year_2025!AX26</f>
        <v>1.2436277682863419</v>
      </c>
      <c r="M22">
        <f>Year_2032!AY26/Year_2025!AY26</f>
        <v>1.1767051282051282</v>
      </c>
      <c r="N22">
        <f>Year_2032!AZ26/Year_2025!AZ26</f>
        <v>1.1836277777777779</v>
      </c>
      <c r="O22">
        <f>Year_2032!BA26/Year_2025!BA26</f>
        <v>1.1837920081739635</v>
      </c>
      <c r="P22">
        <f>Year_2032!BB26/Year_2025!BB26</f>
        <v>1.1563372287074261</v>
      </c>
      <c r="Q22">
        <f>Year_2032!BC26/Year_2025!BC26</f>
        <v>1.107233532121952</v>
      </c>
    </row>
    <row r="23" spans="1:17" x14ac:dyDescent="0.3">
      <c r="A23" t="str">
        <f>Year_2032!AM27</f>
        <v>MD</v>
      </c>
      <c r="B23">
        <f>Year_2032!AN27/Year_2025!AN27</f>
        <v>1.0324058394298448</v>
      </c>
      <c r="C23">
        <f>Year_2032!AO27/Year_2025!AO27</f>
        <v>1.0594599139561933</v>
      </c>
      <c r="D23">
        <f>Year_2032!AP27/Year_2025!AP27</f>
        <v>1.1829801853668949</v>
      </c>
      <c r="E23">
        <f>Year_2032!AQ27/Year_2025!AQ27</f>
        <v>1.1272822461385856</v>
      </c>
      <c r="F23">
        <f>Year_2032!AR27/Year_2025!AR27</f>
        <v>1.2141943236225576</v>
      </c>
      <c r="G23">
        <f>Year_2032!AS27/Year_2025!AS27</f>
        <v>1.2161346852894805</v>
      </c>
      <c r="H23">
        <f>Year_2032!AT27/Year_2025!AT27</f>
        <v>1.2131879406131012</v>
      </c>
      <c r="I23">
        <f>Year_2032!AU27/Year_2025!AU27</f>
        <v>1.2146491918957256</v>
      </c>
      <c r="J23">
        <f>Year_2032!AV27/Year_2025!AV27</f>
        <v>1.2455365119766462</v>
      </c>
      <c r="K23">
        <f>Year_2032!AW27/Year_2025!AW27</f>
        <v>1.2445148745272763</v>
      </c>
      <c r="L23">
        <f>Year_2032!AX27/Year_2025!AX27</f>
        <v>1.2454606360788492</v>
      </c>
      <c r="M23">
        <f>Year_2032!AY27/Year_2025!AY27</f>
        <v>1.2444015152429202</v>
      </c>
      <c r="N23">
        <f>Year_2032!AZ27/Year_2025!AZ27</f>
        <v>1.2431533385505735</v>
      </c>
      <c r="O23">
        <f>Year_2032!BA27/Year_2025!BA27</f>
        <v>1.2431757186065016</v>
      </c>
      <c r="P23">
        <f>Year_2032!BB27/Year_2025!BB27</f>
        <v>1.0122473990516831</v>
      </c>
      <c r="Q23">
        <f>Year_2032!BC27/Year_2025!BC27</f>
        <v>1.00265029736725</v>
      </c>
    </row>
    <row r="24" spans="1:17" x14ac:dyDescent="0.3">
      <c r="A24" t="str">
        <f>Year_2032!AM28</f>
        <v>PM-Shoulder</v>
      </c>
      <c r="B24">
        <f>Year_2032!AN28/Year_2025!AN28</f>
        <v>1.0250770268695328</v>
      </c>
      <c r="C24">
        <f>Year_2032!AO28/Year_2025!AO28</f>
        <v>1.0269141443345877</v>
      </c>
      <c r="D24">
        <f>Year_2032!AP28/Year_2025!AP28</f>
        <v>1.2067737462257699</v>
      </c>
      <c r="E24">
        <f>Year_2032!AQ28/Year_2025!AQ28</f>
        <v>1.2163023586273445</v>
      </c>
      <c r="F24">
        <f>Year_2032!AR28/Year_2025!AR28</f>
        <v>1.1994022120907426</v>
      </c>
      <c r="G24">
        <f>Year_2032!AS28/Year_2025!AS28</f>
        <v>1.0392598769214969</v>
      </c>
      <c r="H24">
        <f>Year_2032!AT28/Year_2025!AT28</f>
        <v>1.2191145608019935</v>
      </c>
      <c r="I24">
        <f>Year_2032!AU28/Year_2025!AU28</f>
        <v>1.13033239531108</v>
      </c>
      <c r="J24">
        <f>Year_2032!AV28/Year_2025!AV28</f>
        <v>1.2475491227798101</v>
      </c>
      <c r="K24">
        <f>Year_2032!AW28/Year_2025!AW28</f>
        <v>1.2382699382709688</v>
      </c>
      <c r="L24">
        <f>Year_2032!AX28/Year_2025!AX28</f>
        <v>1.2459790592197675</v>
      </c>
      <c r="M24">
        <f>Year_2032!AY28/Year_2025!AY28</f>
        <v>1.2444931492636999</v>
      </c>
      <c r="N24">
        <f>Year_2032!AZ28/Year_2025!AZ28</f>
        <v>1.2438961676002405</v>
      </c>
      <c r="O24">
        <f>Year_2032!BA28/Year_2025!BA28</f>
        <v>1.243585922172445</v>
      </c>
      <c r="P24">
        <f>Year_2032!BB28/Year_2025!BB28</f>
        <v>1.2356922499687331</v>
      </c>
      <c r="Q24">
        <f>Year_2032!BC28/Year_2025!BC28</f>
        <v>1.0221956821745704</v>
      </c>
    </row>
    <row r="25" spans="1:17" x14ac:dyDescent="0.3">
      <c r="A25" t="str">
        <f>Year_2032!AM29</f>
        <v>PM-Peak</v>
      </c>
      <c r="B25">
        <f>Year_2032!AN29/Year_2025!AN29</f>
        <v>1.1108016136696912</v>
      </c>
      <c r="C25">
        <f>Year_2032!AO29/Year_2025!AO29</f>
        <v>1.1223363798391777</v>
      </c>
      <c r="D25">
        <f>Year_2032!AP29/Year_2025!AP29</f>
        <v>1.1670050186065513</v>
      </c>
      <c r="E25">
        <f>Year_2032!AQ29/Year_2025!AQ29</f>
        <v>1.2100678383860675</v>
      </c>
      <c r="F25">
        <f>Year_2032!AR29/Year_2025!AR29</f>
        <v>1.2255393520334179</v>
      </c>
      <c r="G25">
        <f>Year_2032!AS29/Year_2025!AS29</f>
        <v>1.2075622179379415</v>
      </c>
      <c r="H25">
        <f>Year_2032!AT29/Year_2025!AT29</f>
        <v>1.2202506512940712</v>
      </c>
      <c r="I25">
        <f>Year_2032!AU29/Year_2025!AU29</f>
        <v>1.2264400353538614</v>
      </c>
      <c r="J25">
        <f>Year_2032!AV29/Year_2025!AV29</f>
        <v>1.2497132826214161</v>
      </c>
      <c r="K25">
        <f>Year_2032!AW29/Year_2025!AW29</f>
        <v>1.2473750039803522</v>
      </c>
      <c r="L25">
        <f>Year_2032!AX29/Year_2025!AX29</f>
        <v>1.2468761159901287</v>
      </c>
      <c r="M25">
        <f>Year_2032!AY29/Year_2025!AY29</f>
        <v>1.2454346766225413</v>
      </c>
      <c r="N25">
        <f>Year_2032!AZ29/Year_2025!AZ29</f>
        <v>1.2430182808245818</v>
      </c>
      <c r="O25">
        <f>Year_2032!BA29/Year_2025!BA29</f>
        <v>1.243956660399115</v>
      </c>
      <c r="P25">
        <f>Year_2032!BB29/Year_2025!BB29</f>
        <v>1.0875807145208867</v>
      </c>
      <c r="Q25">
        <f>Year_2032!BC29/Year_2025!BC29</f>
        <v>1.1222165396431418</v>
      </c>
    </row>
    <row r="26" spans="1:17" x14ac:dyDescent="0.3">
      <c r="A26" t="str">
        <f>Year_2032!AM30</f>
        <v>PM-Late</v>
      </c>
      <c r="B26">
        <f>Year_2032!AN30/Year_2025!AN30</f>
        <v>1.2028116288920272</v>
      </c>
      <c r="C26">
        <f>Year_2032!AO30/Year_2025!AO30</f>
        <v>1.203776148688587</v>
      </c>
      <c r="D26">
        <f>Year_2032!AP30/Year_2025!AP30</f>
        <v>1.2028508425721751</v>
      </c>
      <c r="E26">
        <f>Year_2032!AQ30/Year_2025!AQ30</f>
        <v>1.1791780719885294</v>
      </c>
      <c r="F26">
        <f>Year_2032!AR30/Year_2025!AR30</f>
        <v>1.2136438240864136</v>
      </c>
      <c r="G26">
        <f>Year_2032!AS30/Year_2025!AS30</f>
        <v>1.2123012241869666</v>
      </c>
      <c r="H26">
        <f>Year_2032!AT30/Year_2025!AT30</f>
        <v>1.2117108475298202</v>
      </c>
      <c r="I26">
        <f>Year_2032!AU30/Year_2025!AU30</f>
        <v>1.2121927099041221</v>
      </c>
      <c r="J26">
        <f>Year_2032!AV30/Year_2025!AV30</f>
        <v>1.2435871183468157</v>
      </c>
      <c r="K26">
        <f>Year_2032!AW30/Year_2025!AW30</f>
        <v>1.2434510826793785</v>
      </c>
      <c r="L26">
        <f>Year_2032!AX30/Year_2025!AX30</f>
        <v>1.2435801846054517</v>
      </c>
      <c r="M26">
        <f>Year_2032!AY30/Year_2025!AY30</f>
        <v>1.2434629965806558</v>
      </c>
      <c r="N26">
        <f>Year_2032!AZ30/Year_2025!AZ30</f>
        <v>1.1534907407407406</v>
      </c>
      <c r="O26">
        <f>Year_2032!BA30/Year_2025!BA30</f>
        <v>1.2454897423345646</v>
      </c>
      <c r="P26">
        <f>Year_2032!BB30/Year_2025!BB30</f>
        <v>1.2350702963809734</v>
      </c>
      <c r="Q26">
        <f>Year_2032!BC30/Year_2025!BC30</f>
        <v>1.0317343638604564</v>
      </c>
    </row>
    <row r="27" spans="1:17" x14ac:dyDescent="0.3">
      <c r="A27">
        <f>Year_2032!AM31</f>
        <v>0</v>
      </c>
      <c r="B27">
        <f>Year_2032!AN31</f>
        <v>0</v>
      </c>
      <c r="C27">
        <f>Year_2032!AO31</f>
        <v>0</v>
      </c>
      <c r="D27">
        <f>Year_2032!AP31</f>
        <v>0</v>
      </c>
      <c r="E27">
        <f>Year_2032!AQ31</f>
        <v>0</v>
      </c>
      <c r="F27">
        <f>Year_2032!AR31</f>
        <v>0</v>
      </c>
      <c r="G27">
        <f>Year_2032!AS31</f>
        <v>0</v>
      </c>
      <c r="H27">
        <f>Year_2032!AT31</f>
        <v>0</v>
      </c>
      <c r="I27">
        <f>Year_2032!AU31</f>
        <v>0</v>
      </c>
      <c r="J27">
        <f>Year_2032!AV31</f>
        <v>0</v>
      </c>
      <c r="K27">
        <f>Year_2032!AW31</f>
        <v>0</v>
      </c>
      <c r="L27">
        <f>Year_2032!AX31</f>
        <v>0</v>
      </c>
      <c r="M27">
        <f>Year_2032!AY31</f>
        <v>0</v>
      </c>
      <c r="N27">
        <f>Year_2032!AZ31</f>
        <v>0</v>
      </c>
      <c r="O27">
        <f>Year_2032!BA31</f>
        <v>0</v>
      </c>
      <c r="P27">
        <f>Year_2032!BB31</f>
        <v>0</v>
      </c>
      <c r="Q27">
        <f>Year_2032!BC31</f>
        <v>0</v>
      </c>
    </row>
    <row r="28" spans="1:17" x14ac:dyDescent="0.3">
      <c r="A28">
        <f>Year_2032!AM32</f>
        <v>0</v>
      </c>
      <c r="B28">
        <f>Year_2032!AN32</f>
        <v>0</v>
      </c>
      <c r="C28">
        <f>Year_2032!AO32</f>
        <v>0</v>
      </c>
      <c r="D28">
        <f>Year_2032!AP32</f>
        <v>0</v>
      </c>
      <c r="E28">
        <f>Year_2032!AQ32</f>
        <v>0</v>
      </c>
      <c r="F28">
        <f>Year_2032!AR32</f>
        <v>0</v>
      </c>
      <c r="G28">
        <f>Year_2032!AS32</f>
        <v>0</v>
      </c>
      <c r="H28">
        <f>Year_2032!AT32</f>
        <v>0</v>
      </c>
      <c r="I28">
        <f>Year_2032!AU32</f>
        <v>0</v>
      </c>
      <c r="J28">
        <f>Year_2032!AV32</f>
        <v>0</v>
      </c>
      <c r="K28">
        <f>Year_2032!AW32</f>
        <v>0</v>
      </c>
      <c r="L28">
        <f>Year_2032!AX32</f>
        <v>0</v>
      </c>
      <c r="M28">
        <f>Year_2032!AY32</f>
        <v>0</v>
      </c>
      <c r="N28">
        <f>Year_2032!AZ32</f>
        <v>0</v>
      </c>
      <c r="O28">
        <f>Year_2032!BA32</f>
        <v>0</v>
      </c>
      <c r="P28">
        <f>Year_2032!BB32</f>
        <v>0</v>
      </c>
      <c r="Q28">
        <f>Year_2032!BC32</f>
        <v>0</v>
      </c>
    </row>
    <row r="29" spans="1:17" x14ac:dyDescent="0.3">
      <c r="A29" t="str">
        <f>Year_2032!AM33</f>
        <v>GP Flow (PCE/hr)</v>
      </c>
      <c r="B29">
        <f>Year_2032!AN33</f>
        <v>0</v>
      </c>
      <c r="C29">
        <f>Year_2032!AO33</f>
        <v>0</v>
      </c>
      <c r="D29">
        <f>Year_2032!AP33</f>
        <v>0</v>
      </c>
      <c r="E29">
        <f>Year_2032!AQ33</f>
        <v>0</v>
      </c>
      <c r="F29">
        <f>Year_2032!AR33</f>
        <v>0</v>
      </c>
      <c r="G29">
        <f>Year_2032!AS33</f>
        <v>0</v>
      </c>
      <c r="H29">
        <f>Year_2032!AT33</f>
        <v>0</v>
      </c>
      <c r="I29">
        <f>Year_2032!AU33</f>
        <v>0</v>
      </c>
      <c r="J29">
        <f>Year_2032!AV33</f>
        <v>0</v>
      </c>
      <c r="K29">
        <f>Year_2032!AW33</f>
        <v>0</v>
      </c>
      <c r="L29">
        <f>Year_2032!AX33</f>
        <v>0</v>
      </c>
      <c r="M29">
        <f>Year_2032!AY33</f>
        <v>0</v>
      </c>
      <c r="N29">
        <f>Year_2032!AZ33</f>
        <v>0</v>
      </c>
      <c r="O29">
        <f>Year_2032!BA33</f>
        <v>0</v>
      </c>
      <c r="P29">
        <f>Year_2032!BB33</f>
        <v>0</v>
      </c>
      <c r="Q29">
        <f>Year_2032!BC33</f>
        <v>0</v>
      </c>
    </row>
    <row r="30" spans="1:17" x14ac:dyDescent="0.3">
      <c r="A30" t="str">
        <f>Year_2032!AM34</f>
        <v>Direction</v>
      </c>
      <c r="B30" t="str">
        <f>Year_2032!AN34</f>
        <v>NB</v>
      </c>
      <c r="C30" t="str">
        <f>Year_2032!AO34</f>
        <v>SB</v>
      </c>
      <c r="D30" t="str">
        <f>Year_2032!AP34</f>
        <v>NB</v>
      </c>
      <c r="E30" t="str">
        <f>Year_2032!AQ34</f>
        <v>SB</v>
      </c>
      <c r="F30" t="str">
        <f>Year_2032!AR34</f>
        <v>NB</v>
      </c>
      <c r="G30" t="str">
        <f>Year_2032!AS34</f>
        <v>SB</v>
      </c>
      <c r="H30" t="str">
        <f>Year_2032!AT34</f>
        <v>NB</v>
      </c>
      <c r="I30" t="str">
        <f>Year_2032!AU34</f>
        <v>SB</v>
      </c>
      <c r="J30" t="str">
        <f>Year_2032!AV34</f>
        <v>NB</v>
      </c>
      <c r="K30" t="str">
        <f>Year_2032!AW34</f>
        <v>SB</v>
      </c>
      <c r="L30" t="str">
        <f>Year_2032!AX34</f>
        <v>NB</v>
      </c>
      <c r="M30" t="str">
        <f>Year_2032!AY34</f>
        <v>SB</v>
      </c>
      <c r="N30" t="str">
        <f>Year_2032!AZ34</f>
        <v>NB</v>
      </c>
      <c r="O30" t="str">
        <f>Year_2032!BA34</f>
        <v>SB</v>
      </c>
      <c r="P30" t="str">
        <f>Year_2032!BB34</f>
        <v>NB</v>
      </c>
      <c r="Q30" t="str">
        <f>Year_2032!BC34</f>
        <v>SB</v>
      </c>
    </row>
    <row r="31" spans="1:17" x14ac:dyDescent="0.3">
      <c r="A31" t="str">
        <f>Year_2032!AM35</f>
        <v>Segment</v>
      </c>
      <c r="B31" t="str">
        <f>Year_2032!AN35</f>
        <v>11</v>
      </c>
      <c r="C31" t="str">
        <f>Year_2032!AO35</f>
        <v>11</v>
      </c>
      <c r="D31" t="str">
        <f>Year_2032!AP35</f>
        <v>12</v>
      </c>
      <c r="E31" t="str">
        <f>Year_2032!AQ35</f>
        <v>12</v>
      </c>
      <c r="F31" t="str">
        <f>Year_2032!AR35</f>
        <v>13</v>
      </c>
      <c r="G31" t="str">
        <f>Year_2032!AS35</f>
        <v>13</v>
      </c>
      <c r="H31" t="str">
        <f>Year_2032!AT35</f>
        <v>14</v>
      </c>
      <c r="I31" t="str">
        <f>Year_2032!AU35</f>
        <v>14</v>
      </c>
      <c r="J31" t="str">
        <f>Year_2032!AV35</f>
        <v>15</v>
      </c>
      <c r="K31" t="str">
        <f>Year_2032!AW35</f>
        <v>15</v>
      </c>
      <c r="L31" t="str">
        <f>Year_2032!AX35</f>
        <v>16</v>
      </c>
      <c r="M31" t="str">
        <f>Year_2032!AY35</f>
        <v>16</v>
      </c>
      <c r="N31" t="str">
        <f>Year_2032!AZ35</f>
        <v>17</v>
      </c>
      <c r="O31" t="str">
        <f>Year_2032!BA35</f>
        <v>17</v>
      </c>
      <c r="P31" t="str">
        <f>Year_2032!BB35</f>
        <v>18</v>
      </c>
      <c r="Q31" t="str">
        <f>Year_2032!BC35</f>
        <v>18</v>
      </c>
    </row>
    <row r="32" spans="1:17" x14ac:dyDescent="0.3">
      <c r="A32" t="str">
        <f>Year_2032!AM36</f>
        <v>Period</v>
      </c>
      <c r="B32">
        <f>Year_2032!AN36</f>
        <v>0</v>
      </c>
      <c r="C32">
        <f>Year_2032!AO36</f>
        <v>0</v>
      </c>
      <c r="D32">
        <f>Year_2032!AP36</f>
        <v>0</v>
      </c>
      <c r="E32">
        <f>Year_2032!AQ36</f>
        <v>0</v>
      </c>
      <c r="F32">
        <f>Year_2032!AR36</f>
        <v>0</v>
      </c>
      <c r="G32">
        <f>Year_2032!AS36</f>
        <v>0</v>
      </c>
      <c r="H32">
        <f>Year_2032!AT36</f>
        <v>0</v>
      </c>
      <c r="I32">
        <f>Year_2032!AU36</f>
        <v>0</v>
      </c>
      <c r="J32">
        <f>Year_2032!AV36</f>
        <v>0</v>
      </c>
      <c r="K32">
        <f>Year_2032!AW36</f>
        <v>0</v>
      </c>
      <c r="L32">
        <f>Year_2032!AX36</f>
        <v>0</v>
      </c>
      <c r="M32">
        <f>Year_2032!AY36</f>
        <v>0</v>
      </c>
      <c r="N32">
        <f>Year_2032!AZ36</f>
        <v>0</v>
      </c>
      <c r="O32">
        <f>Year_2032!BA36</f>
        <v>0</v>
      </c>
      <c r="P32">
        <f>Year_2032!BB36</f>
        <v>0</v>
      </c>
      <c r="Q32">
        <f>Year_2032!BC36</f>
        <v>0</v>
      </c>
    </row>
    <row r="33" spans="1:17" x14ac:dyDescent="0.3">
      <c r="A33" t="str">
        <f>Year_2032!AM37</f>
        <v>Night</v>
      </c>
      <c r="B33">
        <f>Year_2032!AN37/Year_2025!AN37</f>
        <v>1.0747054635339002</v>
      </c>
      <c r="C33">
        <f>Year_2032!AO37/Year_2025!AO37</f>
        <v>1.0821681238361056</v>
      </c>
      <c r="D33">
        <f>Year_2032!AP37/Year_2025!AP37</f>
        <v>1.1419870574800153</v>
      </c>
      <c r="E33">
        <f>Year_2032!AQ37/Year_2025!AQ37</f>
        <v>1.2145218932216646</v>
      </c>
      <c r="F33">
        <f>Year_2032!AR37/Year_2025!AR37</f>
        <v>1.2063493956505924</v>
      </c>
      <c r="G33">
        <f>Year_2032!AS37/Year_2025!AS37</f>
        <v>1.2050569137283016</v>
      </c>
      <c r="H33">
        <f>Year_2032!AT37/Year_2025!AT37</f>
        <v>1.224294448218366</v>
      </c>
      <c r="I33">
        <f>Year_2032!AU37/Year_2025!AU37</f>
        <v>1.211564403221558</v>
      </c>
      <c r="J33">
        <f>Year_2032!AV37/Year_2025!AV37</f>
        <v>1.2431437334716433</v>
      </c>
      <c r="K33">
        <f>Year_2032!AW37/Year_2025!AW37</f>
        <v>1.2430765048178218</v>
      </c>
      <c r="L33">
        <f>Year_2032!AX37/Year_2025!AX37</f>
        <v>1.2431437334716433</v>
      </c>
      <c r="M33">
        <f>Year_2032!AY37/Year_2025!AY37</f>
        <v>1.2430363172019738</v>
      </c>
      <c r="N33">
        <f>Year_2032!AZ37/Year_2025!AZ37</f>
        <v>1.2427111299514861</v>
      </c>
      <c r="O33">
        <f>Year_2032!BA37/Year_2025!BA37</f>
        <v>1.2434583979680549</v>
      </c>
      <c r="P33">
        <f>Year_2032!BB37/Year_2025!BB37</f>
        <v>1.0021659861717984</v>
      </c>
      <c r="Q33">
        <f>Year_2032!BC37/Year_2025!BC37</f>
        <v>1.0038831051451143</v>
      </c>
    </row>
    <row r="34" spans="1:17" x14ac:dyDescent="0.3">
      <c r="A34" t="str">
        <f>Year_2032!AM38</f>
        <v>AM-Early</v>
      </c>
      <c r="B34">
        <f>Year_2032!AN38/Year_2025!AN38</f>
        <v>1.1069320550157047</v>
      </c>
      <c r="C34">
        <f>Year_2032!AO38/Year_2025!AO38</f>
        <v>1.2028486498558926</v>
      </c>
      <c r="D34">
        <f>Year_2032!AP38/Year_2025!AP38</f>
        <v>1.2055257493587712</v>
      </c>
      <c r="E34">
        <f>Year_2032!AQ38/Year_2025!AQ38</f>
        <v>0.99584099042460583</v>
      </c>
      <c r="F34">
        <f>Year_2032!AR38/Year_2025!AR38</f>
        <v>1.2197086205880621</v>
      </c>
      <c r="G34">
        <f>Year_2032!AS38/Year_2025!AS38</f>
        <v>1.2126231908295266</v>
      </c>
      <c r="H34">
        <f>Year_2032!AT38/Year_2025!AT38</f>
        <v>1.2036504319912129</v>
      </c>
      <c r="I34">
        <f>Year_2032!AU38/Year_2025!AU38</f>
        <v>1.2123287460408825</v>
      </c>
      <c r="J34">
        <f>Year_2032!AV38/Year_2025!AV38</f>
        <v>1.2437501804788793</v>
      </c>
      <c r="K34">
        <f>Year_2032!AW38/Year_2025!AW38</f>
        <v>1.2454175377712975</v>
      </c>
      <c r="L34">
        <f>Year_2032!AX38/Year_2025!AX38</f>
        <v>1.2437436504582171</v>
      </c>
      <c r="M34">
        <f>Year_2032!AY38/Year_2025!AY38</f>
        <v>1.2453216831979053</v>
      </c>
      <c r="N34">
        <f>Year_2032!AZ38/Year_2025!AZ38</f>
        <v>1.2435825854860894</v>
      </c>
      <c r="O34">
        <f>Year_2032!BA38/Year_2025!BA38</f>
        <v>1.2432132664802868</v>
      </c>
      <c r="P34">
        <f>Year_2032!BB38/Year_2025!BB38</f>
        <v>1.023110999222</v>
      </c>
      <c r="Q34">
        <f>Year_2032!BC38/Year_2025!BC38</f>
        <v>1.154290582816369</v>
      </c>
    </row>
    <row r="35" spans="1:17" x14ac:dyDescent="0.3">
      <c r="A35" t="str">
        <f>Year_2032!AM39</f>
        <v>AM-Peak</v>
      </c>
      <c r="B35">
        <f>Year_2032!AN39/Year_2025!AN39</f>
        <v>1.1929313971042586</v>
      </c>
      <c r="C35">
        <f>Year_2032!AO39/Year_2025!AO39</f>
        <v>1.1552339332594599</v>
      </c>
      <c r="D35">
        <f>Year_2032!AP39/Year_2025!AP39</f>
        <v>1.2057067613955823</v>
      </c>
      <c r="E35">
        <f>Year_2032!AQ39/Year_2025!AQ39</f>
        <v>1.0330105345158913</v>
      </c>
      <c r="F35">
        <f>Year_2032!AR39/Year_2025!AR39</f>
        <v>1.193835684627863</v>
      </c>
      <c r="G35">
        <f>Year_2032!AS39/Year_2025!AS39</f>
        <v>1.2172334731350329</v>
      </c>
      <c r="H35">
        <f>Year_2032!AT39/Year_2025!AT39</f>
        <v>1.2269738621174544</v>
      </c>
      <c r="I35">
        <f>Year_2032!AU39/Year_2025!AU39</f>
        <v>1.2160241621307988</v>
      </c>
      <c r="J35">
        <f>Year_2032!AV39/Year_2025!AV39</f>
        <v>1.2442781209825742</v>
      </c>
      <c r="K35">
        <f>Year_2032!AW39/Year_2025!AW39</f>
        <v>1.2448130437748293</v>
      </c>
      <c r="L35">
        <f>Year_2032!AX39/Year_2025!AX39</f>
        <v>1.2436861520998865</v>
      </c>
      <c r="M35">
        <f>Year_2032!AY39/Year_2025!AY39</f>
        <v>1.2439691424262638</v>
      </c>
      <c r="N35">
        <f>Year_2032!AZ39/Year_2025!AZ39</f>
        <v>1.2434575672072183</v>
      </c>
      <c r="O35">
        <f>Year_2032!BA39/Year_2025!BA39</f>
        <v>1.2414992699994964</v>
      </c>
      <c r="P35">
        <f>Year_2032!BB39/Year_2025!BB39</f>
        <v>1.1826825367560361</v>
      </c>
      <c r="Q35">
        <f>Year_2032!BC39/Year_2025!BC39</f>
        <v>1.1069022197870546</v>
      </c>
    </row>
    <row r="36" spans="1:17" x14ac:dyDescent="0.3">
      <c r="A36" t="str">
        <f>Year_2032!AM40</f>
        <v>AM-Shoulder</v>
      </c>
      <c r="B36">
        <f>Year_2032!AN40/Year_2025!AN40</f>
        <v>1.0491824043880038</v>
      </c>
      <c r="C36">
        <f>Year_2032!AO40/Year_2025!AO40</f>
        <v>1.20284174547801</v>
      </c>
      <c r="D36">
        <f>Year_2032!AP40/Year_2025!AP40</f>
        <v>1.2047626942023495</v>
      </c>
      <c r="E36">
        <f>Year_2032!AQ40/Year_2025!AQ40</f>
        <v>1.0155188981026557</v>
      </c>
      <c r="F36">
        <f>Year_2032!AR40/Year_2025!AR40</f>
        <v>1.1557233585037756</v>
      </c>
      <c r="G36">
        <f>Year_2032!AS40/Year_2025!AS40</f>
        <v>1.2162702390272098</v>
      </c>
      <c r="H36">
        <f>Year_2032!AT40/Year_2025!AT40</f>
        <v>1.2160087531841417</v>
      </c>
      <c r="I36">
        <f>Year_2032!AU40/Year_2025!AU40</f>
        <v>1.2141562352806838</v>
      </c>
      <c r="J36">
        <f>Year_2032!AV40/Year_2025!AV40</f>
        <v>1.2443667006825092</v>
      </c>
      <c r="K36">
        <f>Year_2032!AW40/Year_2025!AW40</f>
        <v>1.242929243909541</v>
      </c>
      <c r="L36">
        <f>Year_2032!AX40/Year_2025!AX40</f>
        <v>1.2436277682863419</v>
      </c>
      <c r="M36">
        <f>Year_2032!AY40/Year_2025!AY40</f>
        <v>1.1767051282051282</v>
      </c>
      <c r="N36">
        <f>Year_2032!AZ40/Year_2025!AZ40</f>
        <v>1.1836277777777779</v>
      </c>
      <c r="O36">
        <f>Year_2032!BA40/Year_2025!BA40</f>
        <v>1.1837920081739635</v>
      </c>
      <c r="P36">
        <f>Year_2032!BB40/Year_2025!BB40</f>
        <v>1.1563372287074261</v>
      </c>
      <c r="Q36">
        <f>Year_2032!BC40/Year_2025!BC40</f>
        <v>1.107233532121952</v>
      </c>
    </row>
    <row r="37" spans="1:17" x14ac:dyDescent="0.3">
      <c r="A37" t="str">
        <f>Year_2032!AM41</f>
        <v>MD</v>
      </c>
      <c r="B37">
        <f>Year_2032!AN41/Year_2025!AN41</f>
        <v>1.0324067118530569</v>
      </c>
      <c r="C37">
        <f>Year_2032!AO41/Year_2025!AO41</f>
        <v>1.0594587230067052</v>
      </c>
      <c r="D37">
        <f>Year_2032!AP41/Year_2025!AP41</f>
        <v>1.1829787649372578</v>
      </c>
      <c r="E37">
        <f>Year_2032!AQ41/Year_2025!AQ41</f>
        <v>1.1272821635648542</v>
      </c>
      <c r="F37">
        <f>Year_2032!AR41/Year_2025!AR41</f>
        <v>1.2141941609304534</v>
      </c>
      <c r="G37">
        <f>Year_2032!AS41/Year_2025!AS41</f>
        <v>1.2161354345937063</v>
      </c>
      <c r="H37">
        <f>Year_2032!AT41/Year_2025!AT41</f>
        <v>1.2131872896343203</v>
      </c>
      <c r="I37">
        <f>Year_2032!AU41/Year_2025!AU41</f>
        <v>1.2146495696469348</v>
      </c>
      <c r="J37">
        <f>Year_2032!AV41/Year_2025!AV41</f>
        <v>1.2455362275680475</v>
      </c>
      <c r="K37">
        <f>Year_2032!AW41/Year_2025!AW41</f>
        <v>1.2445148745272765</v>
      </c>
      <c r="L37">
        <f>Year_2032!AX41/Year_2025!AX41</f>
        <v>1.245461591886696</v>
      </c>
      <c r="M37">
        <f>Year_2032!AY41/Year_2025!AY41</f>
        <v>1.244401296812264</v>
      </c>
      <c r="N37">
        <f>Year_2032!AZ41/Year_2025!AZ41</f>
        <v>1.2431523723950031</v>
      </c>
      <c r="O37">
        <f>Year_2032!BA41/Year_2025!BA41</f>
        <v>1.2431764770728626</v>
      </c>
      <c r="P37">
        <f>Year_2032!BB41/Year_2025!BB41</f>
        <v>1.0122479882513586</v>
      </c>
      <c r="Q37">
        <f>Year_2032!BC41/Year_2025!BC41</f>
        <v>1.0026509240632462</v>
      </c>
    </row>
    <row r="38" spans="1:17" x14ac:dyDescent="0.3">
      <c r="A38" t="str">
        <f>Year_2032!AM42</f>
        <v>PM-Shoulder</v>
      </c>
      <c r="B38">
        <f>Year_2032!AN42/Year_2025!AN42</f>
        <v>1.0250770268695328</v>
      </c>
      <c r="C38">
        <f>Year_2032!AO42/Year_2025!AO42</f>
        <v>1.0269141443345877</v>
      </c>
      <c r="D38">
        <f>Year_2032!AP42/Year_2025!AP42</f>
        <v>1.2067737462257699</v>
      </c>
      <c r="E38">
        <f>Year_2032!AQ42/Year_2025!AQ42</f>
        <v>1.2163023586273445</v>
      </c>
      <c r="F38">
        <f>Year_2032!AR42/Year_2025!AR42</f>
        <v>1.1994022120907426</v>
      </c>
      <c r="G38">
        <f>Year_2032!AS42/Year_2025!AS42</f>
        <v>1.0392598769214969</v>
      </c>
      <c r="H38">
        <f>Year_2032!AT42/Year_2025!AT42</f>
        <v>1.2191145608019935</v>
      </c>
      <c r="I38">
        <f>Year_2032!AU42/Year_2025!AU42</f>
        <v>1.13033239531108</v>
      </c>
      <c r="J38">
        <f>Year_2032!AV42/Year_2025!AV42</f>
        <v>1.2475491227798101</v>
      </c>
      <c r="K38">
        <f>Year_2032!AW42/Year_2025!AW42</f>
        <v>1.2382699382709688</v>
      </c>
      <c r="L38">
        <f>Year_2032!AX42/Year_2025!AX42</f>
        <v>1.2459790592197675</v>
      </c>
      <c r="M38">
        <f>Year_2032!AY42/Year_2025!AY42</f>
        <v>1.2444931492636999</v>
      </c>
      <c r="N38">
        <f>Year_2032!AZ42/Year_2025!AZ42</f>
        <v>1.2438961676002405</v>
      </c>
      <c r="O38">
        <f>Year_2032!BA42/Year_2025!BA42</f>
        <v>1.243585922172445</v>
      </c>
      <c r="P38">
        <f>Year_2032!BB42/Year_2025!BB42</f>
        <v>1.2356922499687331</v>
      </c>
      <c r="Q38">
        <f>Year_2032!BC42/Year_2025!BC42</f>
        <v>1.0221956821745704</v>
      </c>
    </row>
    <row r="39" spans="1:17" x14ac:dyDescent="0.3">
      <c r="A39" t="str">
        <f>Year_2032!AM43</f>
        <v>PM-Peak</v>
      </c>
      <c r="B39">
        <f>Year_2032!AN43/Year_2025!AN43</f>
        <v>1.1108011037892278</v>
      </c>
      <c r="C39">
        <f>Year_2032!AO43/Year_2025!AO43</f>
        <v>1.1223358617259387</v>
      </c>
      <c r="D39">
        <f>Year_2032!AP43/Year_2025!AP43</f>
        <v>1.1670044574922229</v>
      </c>
      <c r="E39">
        <f>Year_2032!AQ43/Year_2025!AQ43</f>
        <v>1.2100683900971139</v>
      </c>
      <c r="F39">
        <f>Year_2032!AR43/Year_2025!AR43</f>
        <v>1.2255398548319949</v>
      </c>
      <c r="G39">
        <f>Year_2032!AS43/Year_2025!AS43</f>
        <v>1.2075623160656668</v>
      </c>
      <c r="H39">
        <f>Year_2032!AT43/Year_2025!AT43</f>
        <v>1.2202507857660945</v>
      </c>
      <c r="I39">
        <f>Year_2032!AU43/Year_2025!AU43</f>
        <v>1.2264412745430349</v>
      </c>
      <c r="J39">
        <f>Year_2032!AV43/Year_2025!AV43</f>
        <v>1.2497132826214161</v>
      </c>
      <c r="K39">
        <f>Year_2032!AW43/Year_2025!AW43</f>
        <v>1.2473740802616144</v>
      </c>
      <c r="L39">
        <f>Year_2032!AX43/Year_2025!AX43</f>
        <v>1.246877223653948</v>
      </c>
      <c r="M39">
        <f>Year_2032!AY43/Year_2025!AY43</f>
        <v>1.2454349041100463</v>
      </c>
      <c r="N39">
        <f>Year_2032!AZ43/Year_2025!AZ43</f>
        <v>1.243018280824582</v>
      </c>
      <c r="O39">
        <f>Year_2032!BA43/Year_2025!BA43</f>
        <v>1.2439562983607433</v>
      </c>
      <c r="P39">
        <f>Year_2032!BB43/Year_2025!BB43</f>
        <v>1.0875798746195249</v>
      </c>
      <c r="Q39">
        <f>Year_2032!BC43/Year_2025!BC43</f>
        <v>1.1222157369338128</v>
      </c>
    </row>
    <row r="40" spans="1:17" x14ac:dyDescent="0.3">
      <c r="A40" t="str">
        <f>Year_2032!AM44</f>
        <v>PM-Late</v>
      </c>
      <c r="B40">
        <f>Year_2032!AN44/Year_2025!AN44</f>
        <v>1.202813955699211</v>
      </c>
      <c r="C40">
        <f>Year_2032!AO44/Year_2025!AO44</f>
        <v>1.2037763268689485</v>
      </c>
      <c r="D40">
        <f>Year_2032!AP44/Year_2025!AP44</f>
        <v>1.2028496174435945</v>
      </c>
      <c r="E40">
        <f>Year_2032!AQ44/Year_2025!AQ44</f>
        <v>1.1791771409418468</v>
      </c>
      <c r="F40">
        <f>Year_2032!AR44/Year_2025!AR44</f>
        <v>1.2136421215653763</v>
      </c>
      <c r="G40">
        <f>Year_2032!AS44/Year_2025!AS44</f>
        <v>1.2122997251147209</v>
      </c>
      <c r="H40">
        <f>Year_2032!AT44/Year_2025!AT44</f>
        <v>1.211710474903108</v>
      </c>
      <c r="I40">
        <f>Year_2032!AU44/Year_2025!AU44</f>
        <v>1.2121930075580318</v>
      </c>
      <c r="J40">
        <f>Year_2032!AV44/Year_2025!AV44</f>
        <v>1.243586824940828</v>
      </c>
      <c r="K40">
        <f>Year_2032!AW44/Year_2025!AW44</f>
        <v>1.2434510826793785</v>
      </c>
      <c r="L40">
        <f>Year_2032!AX44/Year_2025!AX44</f>
        <v>1.2435804780041482</v>
      </c>
      <c r="M40">
        <f>Year_2032!AY44/Year_2025!AY44</f>
        <v>1.2434633615455879</v>
      </c>
      <c r="N40">
        <f>Year_2032!AZ44/Year_2025!AZ44</f>
        <v>1.153486111111111</v>
      </c>
      <c r="O40">
        <f>Year_2032!BA44/Year_2025!BA44</f>
        <v>1.2454908348130249</v>
      </c>
      <c r="P40">
        <f>Year_2032!BB44/Year_2025!BB44</f>
        <v>1.235070091564703</v>
      </c>
      <c r="Q40">
        <f>Year_2032!BC44/Year_2025!BC44</f>
        <v>1.0317343908908321</v>
      </c>
    </row>
  </sheetData>
  <conditionalFormatting sqref="B5:Q12">
    <cfRule type="cellIs" dxfId="1" priority="1" operator="lessThan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89CAF-CE5A-475B-9C9A-D8AD92FE8979}">
  <dimension ref="A1:Q40"/>
  <sheetViews>
    <sheetView zoomScale="104" workbookViewId="0">
      <selection activeCell="W20" sqref="W20"/>
    </sheetView>
  </sheetViews>
  <sheetFormatPr defaultRowHeight="14.4" x14ac:dyDescent="0.3"/>
  <sheetData>
    <row r="1" spans="1:17" x14ac:dyDescent="0.3">
      <c r="A1" t="str">
        <f>Year_2032!AM5</f>
        <v>GP PCE.Miles</v>
      </c>
      <c r="B1">
        <f>Year_2032!AN5</f>
        <v>0</v>
      </c>
      <c r="C1">
        <f>Year_2032!AO5</f>
        <v>0</v>
      </c>
      <c r="D1">
        <f>Year_2032!AP5</f>
        <v>0</v>
      </c>
      <c r="E1">
        <f>Year_2032!AQ5</f>
        <v>0</v>
      </c>
      <c r="F1">
        <f>Year_2032!AR5</f>
        <v>0</v>
      </c>
      <c r="G1">
        <f>Year_2032!AS5</f>
        <v>0</v>
      </c>
      <c r="H1">
        <f>Year_2032!AT5</f>
        <v>0</v>
      </c>
      <c r="I1">
        <f>Year_2032!AU5</f>
        <v>0</v>
      </c>
      <c r="J1">
        <f>Year_2032!AV5</f>
        <v>0</v>
      </c>
      <c r="K1">
        <f>Year_2032!AW5</f>
        <v>0</v>
      </c>
      <c r="L1">
        <f>Year_2032!AX5</f>
        <v>0</v>
      </c>
      <c r="M1">
        <f>Year_2032!AY5</f>
        <v>0</v>
      </c>
      <c r="N1">
        <f>Year_2032!AZ5</f>
        <v>0</v>
      </c>
      <c r="O1">
        <f>Year_2032!BA5</f>
        <v>0</v>
      </c>
      <c r="P1">
        <f>Year_2032!BB5</f>
        <v>0</v>
      </c>
      <c r="Q1">
        <f>Year_2032!BC5</f>
        <v>0</v>
      </c>
    </row>
    <row r="2" spans="1:17" x14ac:dyDescent="0.3">
      <c r="A2" t="str">
        <f>Year_2032!AM6</f>
        <v>Direction</v>
      </c>
      <c r="B2" t="str">
        <f>Year_2032!AN6</f>
        <v>NB</v>
      </c>
      <c r="C2" t="str">
        <f>Year_2032!AO6</f>
        <v>SB</v>
      </c>
      <c r="D2" t="str">
        <f>Year_2032!AP6</f>
        <v>NB</v>
      </c>
      <c r="E2" t="str">
        <f>Year_2032!AQ6</f>
        <v>SB</v>
      </c>
      <c r="F2" t="str">
        <f>Year_2032!AR6</f>
        <v>NB</v>
      </c>
      <c r="G2" t="str">
        <f>Year_2032!AS6</f>
        <v>SB</v>
      </c>
      <c r="H2" t="str">
        <f>Year_2032!AT6</f>
        <v>NB</v>
      </c>
      <c r="I2" t="str">
        <f>Year_2032!AU6</f>
        <v>SB</v>
      </c>
      <c r="J2" t="str">
        <f>Year_2032!AV6</f>
        <v>NB</v>
      </c>
      <c r="K2" t="str">
        <f>Year_2032!AW6</f>
        <v>SB</v>
      </c>
      <c r="L2" t="str">
        <f>Year_2032!AX6</f>
        <v>NB</v>
      </c>
      <c r="M2" t="str">
        <f>Year_2032!AY6</f>
        <v>SB</v>
      </c>
      <c r="N2" t="str">
        <f>Year_2032!AZ6</f>
        <v>NB</v>
      </c>
      <c r="O2" t="str">
        <f>Year_2032!BA6</f>
        <v>SB</v>
      </c>
      <c r="P2" t="str">
        <f>Year_2032!BB6</f>
        <v>NB</v>
      </c>
      <c r="Q2" t="str">
        <f>Year_2032!BC6</f>
        <v>SB</v>
      </c>
    </row>
    <row r="3" spans="1:17" x14ac:dyDescent="0.3">
      <c r="A3" t="str">
        <f>Year_2032!AM7</f>
        <v>Segment</v>
      </c>
      <c r="B3" t="str">
        <f>Year_2032!AN7</f>
        <v>11</v>
      </c>
      <c r="C3" t="str">
        <f>Year_2032!AO7</f>
        <v>11</v>
      </c>
      <c r="D3" t="str">
        <f>Year_2032!AP7</f>
        <v>12</v>
      </c>
      <c r="E3" t="str">
        <f>Year_2032!AQ7</f>
        <v>12</v>
      </c>
      <c r="F3" t="str">
        <f>Year_2032!AR7</f>
        <v>13</v>
      </c>
      <c r="G3" t="str">
        <f>Year_2032!AS7</f>
        <v>13</v>
      </c>
      <c r="H3" t="str">
        <f>Year_2032!AT7</f>
        <v>14</v>
      </c>
      <c r="I3" t="str">
        <f>Year_2032!AU7</f>
        <v>14</v>
      </c>
      <c r="J3" t="str">
        <f>Year_2032!AV7</f>
        <v>15</v>
      </c>
      <c r="K3" t="str">
        <f>Year_2032!AW7</f>
        <v>15</v>
      </c>
      <c r="L3" t="str">
        <f>Year_2032!AX7</f>
        <v>16</v>
      </c>
      <c r="M3" t="str">
        <f>Year_2032!AY7</f>
        <v>16</v>
      </c>
      <c r="N3" t="str">
        <f>Year_2032!AZ7</f>
        <v>17</v>
      </c>
      <c r="O3" t="str">
        <f>Year_2032!BA7</f>
        <v>17</v>
      </c>
      <c r="P3" t="str">
        <f>Year_2032!BB7</f>
        <v>18</v>
      </c>
      <c r="Q3" t="str">
        <f>Year_2032!BC7</f>
        <v>18</v>
      </c>
    </row>
    <row r="4" spans="1:17" x14ac:dyDescent="0.3">
      <c r="A4" t="str">
        <f>Year_2032!AM8</f>
        <v>Period</v>
      </c>
      <c r="B4">
        <f>Year_2032!AN8</f>
        <v>0</v>
      </c>
      <c r="C4">
        <f>Year_2032!AO8</f>
        <v>0</v>
      </c>
      <c r="D4">
        <f>Year_2032!AP8</f>
        <v>0</v>
      </c>
      <c r="E4">
        <f>Year_2032!AQ8</f>
        <v>0</v>
      </c>
      <c r="F4">
        <f>Year_2032!AR8</f>
        <v>0</v>
      </c>
      <c r="G4">
        <f>Year_2032!AS8</f>
        <v>0</v>
      </c>
      <c r="H4">
        <f>Year_2032!AT8</f>
        <v>0</v>
      </c>
      <c r="I4">
        <f>Year_2032!AU8</f>
        <v>0</v>
      </c>
      <c r="J4">
        <f>Year_2032!AV8</f>
        <v>0</v>
      </c>
      <c r="K4">
        <f>Year_2032!AW8</f>
        <v>0</v>
      </c>
      <c r="L4">
        <f>Year_2032!AX8</f>
        <v>0</v>
      </c>
      <c r="M4">
        <f>Year_2032!AY8</f>
        <v>0</v>
      </c>
      <c r="N4">
        <f>Year_2032!AZ8</f>
        <v>0</v>
      </c>
      <c r="O4">
        <f>Year_2032!BA8</f>
        <v>0</v>
      </c>
      <c r="P4">
        <f>Year_2032!BB8</f>
        <v>0</v>
      </c>
      <c r="Q4">
        <f>Year_2032!BC8</f>
        <v>0</v>
      </c>
    </row>
    <row r="5" spans="1:17" x14ac:dyDescent="0.3">
      <c r="A5" t="str">
        <f>Year_2032!AM9</f>
        <v>Night</v>
      </c>
      <c r="B5">
        <f>Year_2040!AN9/Year_2032!AN9</f>
        <v>1</v>
      </c>
      <c r="C5">
        <f>Year_2040!AO9/Year_2032!AO9</f>
        <v>1</v>
      </c>
      <c r="D5">
        <f>Year_2040!AP9/Year_2032!AP9</f>
        <v>1</v>
      </c>
      <c r="E5">
        <f>Year_2040!AQ9/Year_2032!AQ9</f>
        <v>1.1074770860561933</v>
      </c>
      <c r="F5">
        <f>Year_2040!AR9/Year_2032!AR9</f>
        <v>1.0347137859733073</v>
      </c>
      <c r="G5">
        <f>Year_2040!AS9/Year_2032!AS9</f>
        <v>1.0374548599499009</v>
      </c>
      <c r="H5">
        <f>Year_2040!AT9/Year_2032!AT9</f>
        <v>1.1156743169849683</v>
      </c>
      <c r="I5">
        <f>Year_2040!AU9/Year_2032!AU9</f>
        <v>1.1156704445730397</v>
      </c>
      <c r="J5">
        <f>Year_2040!AV9/Year_2032!AV9</f>
        <v>1.1482753048261918</v>
      </c>
      <c r="K5">
        <f>Year_2040!AW9/Year_2032!AW9</f>
        <v>1.1482672893230967</v>
      </c>
      <c r="L5">
        <f>Year_2040!AX9/Year_2032!AX9</f>
        <v>1.1482753048261918</v>
      </c>
      <c r="M5">
        <f>Year_2040!AY9/Year_2032!AY9</f>
        <v>1.0446924100752548</v>
      </c>
      <c r="N5">
        <f>Year_2040!AZ9/Year_2032!AZ9</f>
        <v>1.1483011298298811</v>
      </c>
      <c r="O5">
        <f>Year_2040!BA9/Year_2032!BA9</f>
        <v>1.1489123795224261</v>
      </c>
      <c r="P5">
        <f>Year_2040!BB9/Year_2032!BB9</f>
        <v>1.0445401512913739</v>
      </c>
      <c r="Q5">
        <f>Year_2040!BC9/Year_2032!BC9</f>
        <v>1.0630624729718967</v>
      </c>
    </row>
    <row r="6" spans="1:17" x14ac:dyDescent="0.3">
      <c r="A6" t="str">
        <f>Year_2032!AM10</f>
        <v>AM-Early</v>
      </c>
      <c r="B6">
        <f>Year_2040!AN10/Year_2032!AN10</f>
        <v>1.004788533083788</v>
      </c>
      <c r="C6">
        <f>Year_2040!AO10/Year_2032!AO10</f>
        <v>1.1112841592210438</v>
      </c>
      <c r="D6">
        <f>Year_2040!AP10/Year_2032!AP10</f>
        <v>1.1154722858610615</v>
      </c>
      <c r="E6">
        <f>Year_2040!AQ10/Year_2032!AQ10</f>
        <v>0.99490247116665542</v>
      </c>
      <c r="F6">
        <f>Year_2040!AR10/Year_2032!AR10</f>
        <v>1.0529161715260538</v>
      </c>
      <c r="G6">
        <f>Year_2040!AS10/Year_2032!AS10</f>
        <v>1.0758888567243754</v>
      </c>
      <c r="H6">
        <f>Year_2040!AT10/Year_2032!AT10</f>
        <v>1.0045902138533518</v>
      </c>
      <c r="I6">
        <f>Year_2040!AU10/Year_2032!AU10</f>
        <v>1.1196057100035852</v>
      </c>
      <c r="J6">
        <f>Year_2040!AV10/Year_2032!AV10</f>
        <v>1.1535415428677194</v>
      </c>
      <c r="K6">
        <f>Year_2040!AW10/Year_2032!AW10</f>
        <v>1.1562627531875991</v>
      </c>
      <c r="L6">
        <f>Year_2040!AX10/Year_2032!AX10</f>
        <v>1.1535415428677194</v>
      </c>
      <c r="M6">
        <f>Year_2040!AY10/Year_2032!AY10</f>
        <v>1.1562087370807625</v>
      </c>
      <c r="N6">
        <f>Year_2040!AZ10/Year_2032!AZ10</f>
        <v>1.1530098241661975</v>
      </c>
      <c r="O6">
        <f>Year_2040!BA10/Year_2032!BA10</f>
        <v>1.1526385967368786</v>
      </c>
      <c r="P6">
        <f>Year_2040!BB10/Year_2032!BB10</f>
        <v>1.0032666417144402</v>
      </c>
      <c r="Q6">
        <f>Year_2040!BC10/Year_2032!BC10</f>
        <v>1.0020105795697436</v>
      </c>
    </row>
    <row r="7" spans="1:17" x14ac:dyDescent="0.3">
      <c r="A7" t="str">
        <f>Year_2032!AM11</f>
        <v>AM-Peak</v>
      </c>
      <c r="B7">
        <f>Year_2040!AN11/Year_2032!AN11</f>
        <v>1.0647336771623654</v>
      </c>
      <c r="C7">
        <f>Year_2040!AO11/Year_2032!AO11</f>
        <v>1.045080804478081</v>
      </c>
      <c r="D7">
        <f>Year_2040!AP11/Year_2032!AP11</f>
        <v>1.1245033777298388</v>
      </c>
      <c r="E7">
        <f>Year_2040!AQ11/Year_2032!AQ11</f>
        <v>1.0291842851481492</v>
      </c>
      <c r="F7">
        <f>Year_2040!AR11/Year_2032!AR11</f>
        <v>1.0819534484333351</v>
      </c>
      <c r="G7">
        <f>Year_2040!AS11/Year_2032!AS11</f>
        <v>1.068013130353155</v>
      </c>
      <c r="H7">
        <f>Year_2040!AT11/Year_2032!AT11</f>
        <v>1.0997945845242225</v>
      </c>
      <c r="I7">
        <f>Year_2040!AU11/Year_2032!AU11</f>
        <v>1.1249222899749405</v>
      </c>
      <c r="J7">
        <f>Year_2040!AV11/Year_2032!AV11</f>
        <v>1.1538357536359387</v>
      </c>
      <c r="K7">
        <f>Year_2040!AW11/Year_2032!AW11</f>
        <v>1.1550080377050242</v>
      </c>
      <c r="L7">
        <f>Year_2040!AX11/Year_2032!AX11</f>
        <v>1.1531115747148903</v>
      </c>
      <c r="M7">
        <f>Year_2040!AY11/Year_2032!AY11</f>
        <v>1.1536230645167074</v>
      </c>
      <c r="N7">
        <f>Year_2040!AZ11/Year_2032!AZ11</f>
        <v>1.1523321076442625</v>
      </c>
      <c r="O7">
        <f>Year_2040!BA11/Year_2032!BA11</f>
        <v>1.0817411454226542</v>
      </c>
      <c r="P7">
        <f>Year_2040!BB11/Year_2032!BB11</f>
        <v>1.0648956723630327</v>
      </c>
      <c r="Q7">
        <f>Year_2040!BC11/Year_2032!BC11</f>
        <v>1.1773521038043091</v>
      </c>
    </row>
    <row r="8" spans="1:17" x14ac:dyDescent="0.3">
      <c r="A8" t="str">
        <f>Year_2032!AM12</f>
        <v>AM-Shoulder</v>
      </c>
      <c r="B8">
        <f>Year_2040!AN12/Year_2032!AN12</f>
        <v>1.0519197169398007</v>
      </c>
      <c r="C8">
        <f>Year_2040!AO12/Year_2032!AO12</f>
        <v>1.0329097986347466</v>
      </c>
      <c r="D8">
        <f>Year_2040!AP12/Year_2032!AP12</f>
        <v>1.0817890022237109</v>
      </c>
      <c r="E8">
        <f>Year_2040!AQ12/Year_2032!AQ12</f>
        <v>0.98847417586854758</v>
      </c>
      <c r="F8">
        <f>Year_2040!AR12/Year_2032!AR12</f>
        <v>1.0244448671009461</v>
      </c>
      <c r="G8">
        <f>Year_2040!AS12/Year_2032!AS12</f>
        <v>1.0465045732447458</v>
      </c>
      <c r="H8">
        <f>Year_2040!AT12/Year_2032!AT12</f>
        <v>1.1253388433913194</v>
      </c>
      <c r="I8">
        <f>Year_2040!AU12/Year_2032!AU12</f>
        <v>1.1224055590313107</v>
      </c>
      <c r="J8">
        <f>Year_2040!AV12/Year_2032!AV12</f>
        <v>1.1541415925837764</v>
      </c>
      <c r="K8">
        <f>Year_2040!AW12/Year_2032!AW12</f>
        <v>1.1520703602106401</v>
      </c>
      <c r="L8">
        <f>Year_2040!AX12/Year_2032!AX12</f>
        <v>1.1532094171893652</v>
      </c>
      <c r="M8">
        <f>Year_2040!AY12/Year_2032!AY12</f>
        <v>1.1434812260945815</v>
      </c>
      <c r="N8">
        <f>Year_2040!AZ12/Year_2032!AZ12</f>
        <v>1.1520611874513871</v>
      </c>
      <c r="O8">
        <f>Year_2040!BA12/Year_2032!BA12</f>
        <v>1.152125499516399</v>
      </c>
      <c r="P8">
        <f>Year_2040!BB12/Year_2032!BB12</f>
        <v>0.98200353448652289</v>
      </c>
      <c r="Q8">
        <f>Year_2040!BC12/Year_2032!BC12</f>
        <v>0.98244354803979272</v>
      </c>
    </row>
    <row r="9" spans="1:17" x14ac:dyDescent="0.3">
      <c r="A9" t="str">
        <f>Year_2032!AM13</f>
        <v>MD</v>
      </c>
      <c r="B9">
        <f>Year_2040!AN13/Year_2032!AN13</f>
        <v>0.98647130433908869</v>
      </c>
      <c r="C9">
        <f>Year_2040!AO13/Year_2032!AO13</f>
        <v>1.0549381943973473</v>
      </c>
      <c r="D9">
        <f>Year_2040!AP13/Year_2032!AP13</f>
        <v>1.0062735141271777</v>
      </c>
      <c r="E9">
        <f>Year_2040!AQ13/Year_2032!AQ13</f>
        <v>0.98645595102305783</v>
      </c>
      <c r="F9">
        <f>Year_2040!AR13/Year_2032!AR13</f>
        <v>1.0705424509517096</v>
      </c>
      <c r="G9">
        <f>Year_2040!AS13/Year_2032!AS13</f>
        <v>1.0762852592363112</v>
      </c>
      <c r="H9">
        <f>Year_2040!AT13/Year_2032!AT13</f>
        <v>1.1208365238075206</v>
      </c>
      <c r="I9">
        <f>Year_2040!AU13/Year_2032!AU13</f>
        <v>1.1231370388492614</v>
      </c>
      <c r="J9">
        <f>Year_2040!AV13/Year_2032!AV13</f>
        <v>1.1564413310814248</v>
      </c>
      <c r="K9">
        <f>Year_2040!AW13/Year_2032!AW13</f>
        <v>1.1545946112564001</v>
      </c>
      <c r="L9">
        <f>Year_2040!AX13/Year_2032!AX13</f>
        <v>1.1563618425363735</v>
      </c>
      <c r="M9">
        <f>Year_2040!AY13/Year_2032!AY13</f>
        <v>1.1544829780833656</v>
      </c>
      <c r="N9">
        <f>Year_2040!AZ13/Year_2032!AZ13</f>
        <v>1.1521391168928448</v>
      </c>
      <c r="O9">
        <f>Year_2040!BA13/Year_2032!BA13</f>
        <v>1.1523150538480584</v>
      </c>
      <c r="P9">
        <f>Year_2040!BB13/Year_2032!BB13</f>
        <v>0.9855959330720564</v>
      </c>
      <c r="Q9">
        <f>Year_2040!BC13/Year_2032!BC13</f>
        <v>0.98505764817929886</v>
      </c>
    </row>
    <row r="10" spans="1:17" x14ac:dyDescent="0.3">
      <c r="A10" t="str">
        <f>Year_2032!AM14</f>
        <v>PM-Shoulder</v>
      </c>
      <c r="B10">
        <f>Year_2040!AN14/Year_2032!AN14</f>
        <v>0.98467992036040652</v>
      </c>
      <c r="C10">
        <f>Year_2040!AO14/Year_2032!AO14</f>
        <v>1.0270146358124312</v>
      </c>
      <c r="D10">
        <f>Year_2040!AP14/Year_2032!AP14</f>
        <v>1.1176232098834014</v>
      </c>
      <c r="E10">
        <f>Year_2040!AQ14/Year_2032!AQ14</f>
        <v>1.0312793058012133</v>
      </c>
      <c r="F10">
        <f>Year_2040!AR14/Year_2032!AR14</f>
        <v>0.99357184457259107</v>
      </c>
      <c r="G10">
        <f>Year_2040!AS14/Year_2032!AS14</f>
        <v>1.0329748947201656</v>
      </c>
      <c r="H10">
        <f>Year_2040!AT14/Year_2032!AT14</f>
        <v>1.1306530497442162</v>
      </c>
      <c r="I10">
        <f>Year_2040!AU14/Year_2032!AU14</f>
        <v>1.091631113876055</v>
      </c>
      <c r="J10">
        <f>Year_2040!AV14/Year_2032!AV14</f>
        <v>1.1602564627969119</v>
      </c>
      <c r="K10">
        <f>Year_2040!AW14/Year_2032!AW14</f>
        <v>1.1564992213770025</v>
      </c>
      <c r="L10">
        <f>Year_2040!AX14/Year_2032!AX14</f>
        <v>1.1576019179189896</v>
      </c>
      <c r="M10">
        <f>Year_2040!AY14/Year_2032!AY14</f>
        <v>1.1546360452707678</v>
      </c>
      <c r="N10">
        <f>Year_2040!AZ14/Year_2032!AZ14</f>
        <v>1.1534832866149052</v>
      </c>
      <c r="O10">
        <f>Year_2040!BA14/Year_2032!BA14</f>
        <v>1.1531522937155141</v>
      </c>
      <c r="P10">
        <f>Year_2040!BB14/Year_2032!BB14</f>
        <v>1.0893876423566524</v>
      </c>
      <c r="Q10">
        <f>Year_2040!BC14/Year_2032!BC14</f>
        <v>0.97963402187818949</v>
      </c>
    </row>
    <row r="11" spans="1:17" x14ac:dyDescent="0.3">
      <c r="A11" t="str">
        <f>Year_2032!AM15</f>
        <v>PM-Peak</v>
      </c>
      <c r="B11">
        <f>Year_2040!AN15/Year_2032!AN15</f>
        <v>1.1672178416598022</v>
      </c>
      <c r="C11">
        <f>Year_2040!AO15/Year_2032!AO15</f>
        <v>1.1696104428686345</v>
      </c>
      <c r="D11">
        <f>Year_2040!AP15/Year_2032!AP15</f>
        <v>1.0456574934075353</v>
      </c>
      <c r="E11">
        <f>Year_2040!AQ15/Year_2032!AQ15</f>
        <v>1.0671772135701805</v>
      </c>
      <c r="F11">
        <f>Year_2040!AR15/Year_2032!AR15</f>
        <v>1.1331041697803022</v>
      </c>
      <c r="G11">
        <f>Year_2040!AS15/Year_2032!AS15</f>
        <v>1.1257546719083147</v>
      </c>
      <c r="H11">
        <f>Year_2040!AT15/Year_2032!AT15</f>
        <v>1.1312612273315552</v>
      </c>
      <c r="I11">
        <f>Year_2040!AU15/Year_2032!AU15</f>
        <v>1.1404634289395894</v>
      </c>
      <c r="J11">
        <f>Year_2040!AV15/Year_2032!AV15</f>
        <v>1.1634827161232217</v>
      </c>
      <c r="K11">
        <f>Year_2040!AW15/Year_2032!AW15</f>
        <v>1.1596290377344229</v>
      </c>
      <c r="L11">
        <f>Year_2040!AX15/Year_2032!AX15</f>
        <v>1.1589719517839334</v>
      </c>
      <c r="M11">
        <f>Year_2040!AY15/Year_2032!AY15</f>
        <v>1.1564586672773072</v>
      </c>
      <c r="N11">
        <f>Year_2040!AZ15/Year_2032!AZ15</f>
        <v>1.1520746482650834</v>
      </c>
      <c r="O11">
        <f>Year_2040!BA15/Year_2032!BA15</f>
        <v>1.1535578694537973</v>
      </c>
      <c r="P11">
        <f>Year_2040!BB15/Year_2032!BB15</f>
        <v>1.0309350302583327</v>
      </c>
      <c r="Q11">
        <f>Year_2040!BC15/Year_2032!BC15</f>
        <v>1.204995864930628</v>
      </c>
    </row>
    <row r="12" spans="1:17" x14ac:dyDescent="0.3">
      <c r="A12" t="str">
        <f>Year_2032!AM16</f>
        <v>PM-Late</v>
      </c>
      <c r="B12">
        <f>Year_2040!AN16/Year_2032!AN16</f>
        <v>1.1112208026960224</v>
      </c>
      <c r="C12">
        <f>Year_2040!AO16/Year_2032!AO16</f>
        <v>1.1126545890810216</v>
      </c>
      <c r="D12">
        <f>Year_2040!AP16/Year_2032!AP16</f>
        <v>1.1104705493044236</v>
      </c>
      <c r="E12">
        <f>Year_2040!AQ16/Year_2032!AQ16</f>
        <v>1.1113550364798443</v>
      </c>
      <c r="F12">
        <f>Year_2040!AR16/Year_2032!AR16</f>
        <v>1.102464985254342</v>
      </c>
      <c r="G12">
        <f>Year_2040!AS16/Year_2032!AS16</f>
        <v>1.1199073544508258</v>
      </c>
      <c r="H12">
        <f>Year_2040!AT16/Year_2032!AT16</f>
        <v>1.1183625913239295</v>
      </c>
      <c r="I12">
        <f>Year_2040!AU16/Year_2032!AU16</f>
        <v>1.1194507856689495</v>
      </c>
      <c r="J12">
        <f>Year_2040!AV16/Year_2032!AV16</f>
        <v>1.1535301305358525</v>
      </c>
      <c r="K12">
        <f>Year_2040!AW16/Year_2032!AW16</f>
        <v>1.1534256750710228</v>
      </c>
      <c r="L12">
        <f>Year_2040!AX16/Year_2032!AX16</f>
        <v>1.1535427658820678</v>
      </c>
      <c r="M12">
        <f>Year_2040!AY16/Year_2032!AY16</f>
        <v>1.1534278854580204</v>
      </c>
      <c r="N12">
        <f>Year_2040!AZ16/Year_2032!AZ16</f>
        <v>1.1535174227481919</v>
      </c>
      <c r="O12">
        <f>Year_2040!BA16/Year_2032!BA16</f>
        <v>1.1552927765064187</v>
      </c>
      <c r="P12">
        <f>Year_2040!BB16/Year_2032!BB16</f>
        <v>1.0330624936067243</v>
      </c>
      <c r="Q12">
        <f>Year_2040!BC16/Year_2032!BC16</f>
        <v>0.99066589475835032</v>
      </c>
    </row>
    <row r="13" spans="1:17" x14ac:dyDescent="0.3">
      <c r="A13">
        <f>Year_2032!AM17</f>
        <v>0</v>
      </c>
      <c r="B13">
        <f>Year_2032!AN17</f>
        <v>0</v>
      </c>
      <c r="C13">
        <f>Year_2032!AO17</f>
        <v>0</v>
      </c>
      <c r="D13">
        <f>Year_2032!AP17</f>
        <v>0</v>
      </c>
      <c r="E13">
        <f>Year_2032!AQ17</f>
        <v>0</v>
      </c>
      <c r="F13">
        <f>Year_2032!AR17</f>
        <v>0</v>
      </c>
      <c r="G13">
        <f>Year_2032!AS17</f>
        <v>0</v>
      </c>
      <c r="H13">
        <f>Year_2032!AT17</f>
        <v>0</v>
      </c>
      <c r="I13">
        <f>Year_2032!AU17</f>
        <v>0</v>
      </c>
      <c r="J13">
        <f>Year_2032!AV17</f>
        <v>0</v>
      </c>
      <c r="K13">
        <f>Year_2032!AW17</f>
        <v>0</v>
      </c>
      <c r="L13">
        <f>Year_2032!AX17</f>
        <v>0</v>
      </c>
      <c r="M13">
        <f>Year_2032!AY17</f>
        <v>0</v>
      </c>
      <c r="N13">
        <f>Year_2032!AZ17</f>
        <v>0</v>
      </c>
      <c r="O13">
        <f>Year_2032!BA17</f>
        <v>0</v>
      </c>
      <c r="P13">
        <f>Year_2032!BB17</f>
        <v>0</v>
      </c>
      <c r="Q13">
        <f>Year_2032!BC17</f>
        <v>0</v>
      </c>
    </row>
    <row r="14" spans="1:17" x14ac:dyDescent="0.3">
      <c r="A14">
        <f>Year_2032!AM18</f>
        <v>0</v>
      </c>
      <c r="B14">
        <f>Year_2032!AN18</f>
        <v>0</v>
      </c>
      <c r="C14">
        <f>Year_2032!AO18</f>
        <v>0</v>
      </c>
      <c r="D14">
        <f>Year_2032!AP18</f>
        <v>0</v>
      </c>
      <c r="E14">
        <f>Year_2032!AQ18</f>
        <v>0</v>
      </c>
      <c r="F14">
        <f>Year_2032!AR18</f>
        <v>0</v>
      </c>
      <c r="G14">
        <f>Year_2032!AS18</f>
        <v>0</v>
      </c>
      <c r="H14">
        <f>Year_2032!AT18</f>
        <v>0</v>
      </c>
      <c r="I14">
        <f>Year_2032!AU18</f>
        <v>0</v>
      </c>
      <c r="J14">
        <f>Year_2032!AV18</f>
        <v>0</v>
      </c>
      <c r="K14">
        <f>Year_2032!AW18</f>
        <v>0</v>
      </c>
      <c r="L14">
        <f>Year_2032!AX18</f>
        <v>0</v>
      </c>
      <c r="M14">
        <f>Year_2032!AY18</f>
        <v>0</v>
      </c>
      <c r="N14">
        <f>Year_2032!AZ18</f>
        <v>0</v>
      </c>
      <c r="O14">
        <f>Year_2032!BA18</f>
        <v>0</v>
      </c>
      <c r="P14">
        <f>Year_2032!BB18</f>
        <v>0</v>
      </c>
      <c r="Q14">
        <f>Year_2032!BC18</f>
        <v>0</v>
      </c>
    </row>
    <row r="15" spans="1:17" x14ac:dyDescent="0.3">
      <c r="A15" t="str">
        <f>Year_2032!AM19</f>
        <v>GP Volume (PCE/Period)</v>
      </c>
      <c r="B15">
        <f>Year_2032!AN19</f>
        <v>0</v>
      </c>
      <c r="C15">
        <f>Year_2032!AO19</f>
        <v>0</v>
      </c>
      <c r="D15">
        <f>Year_2032!AP19</f>
        <v>0</v>
      </c>
      <c r="E15">
        <f>Year_2032!AQ19</f>
        <v>0</v>
      </c>
      <c r="F15">
        <f>Year_2032!AR19</f>
        <v>0</v>
      </c>
      <c r="G15">
        <f>Year_2032!AS19</f>
        <v>0</v>
      </c>
      <c r="H15">
        <f>Year_2032!AT19</f>
        <v>0</v>
      </c>
      <c r="I15">
        <f>Year_2032!AU19</f>
        <v>0</v>
      </c>
      <c r="J15">
        <f>Year_2032!AV19</f>
        <v>0</v>
      </c>
      <c r="K15">
        <f>Year_2032!AW19</f>
        <v>0</v>
      </c>
      <c r="L15">
        <f>Year_2032!AX19</f>
        <v>0</v>
      </c>
      <c r="M15">
        <f>Year_2032!AY19</f>
        <v>0</v>
      </c>
      <c r="N15">
        <f>Year_2032!AZ19</f>
        <v>0</v>
      </c>
      <c r="O15">
        <f>Year_2032!BA19</f>
        <v>0</v>
      </c>
      <c r="P15">
        <f>Year_2032!BB19</f>
        <v>0</v>
      </c>
      <c r="Q15">
        <f>Year_2032!BC19</f>
        <v>0</v>
      </c>
    </row>
    <row r="16" spans="1:17" x14ac:dyDescent="0.3">
      <c r="A16" t="str">
        <f>Year_2032!AM20</f>
        <v>Direction</v>
      </c>
      <c r="B16" t="str">
        <f>Year_2032!AN20</f>
        <v>NB</v>
      </c>
      <c r="C16" t="str">
        <f>Year_2032!AO20</f>
        <v>SB</v>
      </c>
      <c r="D16" t="str">
        <f>Year_2032!AP20</f>
        <v>NB</v>
      </c>
      <c r="E16" t="str">
        <f>Year_2032!AQ20</f>
        <v>SB</v>
      </c>
      <c r="F16" t="str">
        <f>Year_2032!AR20</f>
        <v>NB</v>
      </c>
      <c r="G16" t="str">
        <f>Year_2032!AS20</f>
        <v>SB</v>
      </c>
      <c r="H16" t="str">
        <f>Year_2032!AT20</f>
        <v>NB</v>
      </c>
      <c r="I16" t="str">
        <f>Year_2032!AU20</f>
        <v>SB</v>
      </c>
      <c r="J16" t="str">
        <f>Year_2032!AV20</f>
        <v>NB</v>
      </c>
      <c r="K16" t="str">
        <f>Year_2032!AW20</f>
        <v>SB</v>
      </c>
      <c r="L16" t="str">
        <f>Year_2032!AX20</f>
        <v>NB</v>
      </c>
      <c r="M16" t="str">
        <f>Year_2032!AY20</f>
        <v>SB</v>
      </c>
      <c r="N16" t="str">
        <f>Year_2032!AZ20</f>
        <v>NB</v>
      </c>
      <c r="O16" t="str">
        <f>Year_2032!BA20</f>
        <v>SB</v>
      </c>
      <c r="P16" t="str">
        <f>Year_2032!BB20</f>
        <v>NB</v>
      </c>
      <c r="Q16" t="str">
        <f>Year_2032!BC20</f>
        <v>SB</v>
      </c>
    </row>
    <row r="17" spans="1:17" x14ac:dyDescent="0.3">
      <c r="A17" t="str">
        <f>Year_2032!AM21</f>
        <v>Segment</v>
      </c>
      <c r="B17" t="str">
        <f>Year_2032!AN21</f>
        <v>11</v>
      </c>
      <c r="C17" t="str">
        <f>Year_2032!AO21</f>
        <v>11</v>
      </c>
      <c r="D17" t="str">
        <f>Year_2032!AP21</f>
        <v>12</v>
      </c>
      <c r="E17" t="str">
        <f>Year_2032!AQ21</f>
        <v>12</v>
      </c>
      <c r="F17" t="str">
        <f>Year_2032!AR21</f>
        <v>13</v>
      </c>
      <c r="G17" t="str">
        <f>Year_2032!AS21</f>
        <v>13</v>
      </c>
      <c r="H17" t="str">
        <f>Year_2032!AT21</f>
        <v>14</v>
      </c>
      <c r="I17" t="str">
        <f>Year_2032!AU21</f>
        <v>14</v>
      </c>
      <c r="J17" t="str">
        <f>Year_2032!AV21</f>
        <v>15</v>
      </c>
      <c r="K17" t="str">
        <f>Year_2032!AW21</f>
        <v>15</v>
      </c>
      <c r="L17" t="str">
        <f>Year_2032!AX21</f>
        <v>16</v>
      </c>
      <c r="M17" t="str">
        <f>Year_2032!AY21</f>
        <v>16</v>
      </c>
      <c r="N17" t="str">
        <f>Year_2032!AZ21</f>
        <v>17</v>
      </c>
      <c r="O17" t="str">
        <f>Year_2032!BA21</f>
        <v>17</v>
      </c>
      <c r="P17" t="str">
        <f>Year_2032!BB21</f>
        <v>18</v>
      </c>
      <c r="Q17" t="str">
        <f>Year_2032!BC21</f>
        <v>18</v>
      </c>
    </row>
    <row r="18" spans="1:17" x14ac:dyDescent="0.3">
      <c r="A18" t="str">
        <f>Year_2032!AM22</f>
        <v>Period</v>
      </c>
      <c r="B18">
        <f>Year_2032!AN22</f>
        <v>0</v>
      </c>
      <c r="C18">
        <f>Year_2032!AO22</f>
        <v>0</v>
      </c>
      <c r="D18">
        <f>Year_2032!AP22</f>
        <v>0</v>
      </c>
      <c r="E18">
        <f>Year_2032!AQ22</f>
        <v>0</v>
      </c>
      <c r="F18">
        <f>Year_2032!AR22</f>
        <v>0</v>
      </c>
      <c r="G18">
        <f>Year_2032!AS22</f>
        <v>0</v>
      </c>
      <c r="H18">
        <f>Year_2032!AT22</f>
        <v>0</v>
      </c>
      <c r="I18">
        <f>Year_2032!AU22</f>
        <v>0</v>
      </c>
      <c r="J18">
        <f>Year_2032!AV22</f>
        <v>0</v>
      </c>
      <c r="K18">
        <f>Year_2032!AW22</f>
        <v>0</v>
      </c>
      <c r="L18">
        <f>Year_2032!AX22</f>
        <v>0</v>
      </c>
      <c r="M18">
        <f>Year_2032!AY22</f>
        <v>0</v>
      </c>
      <c r="N18">
        <f>Year_2032!AZ22</f>
        <v>0</v>
      </c>
      <c r="O18">
        <f>Year_2032!BA22</f>
        <v>0</v>
      </c>
      <c r="P18">
        <f>Year_2032!BB22</f>
        <v>0</v>
      </c>
      <c r="Q18">
        <f>Year_2032!BC22</f>
        <v>0</v>
      </c>
    </row>
    <row r="19" spans="1:17" x14ac:dyDescent="0.3">
      <c r="A19" t="str">
        <f>Year_2032!AM23</f>
        <v>Night</v>
      </c>
      <c r="B19">
        <f>Year_2040!AN23/Year_2032!AN23</f>
        <v>1</v>
      </c>
      <c r="C19">
        <f>Year_2040!AO23/Year_2032!AO23</f>
        <v>1</v>
      </c>
      <c r="D19">
        <f>Year_2040!AP23/Year_2032!AP23</f>
        <v>1</v>
      </c>
      <c r="E19">
        <f>Year_2040!AQ23/Year_2032!AQ23</f>
        <v>1.1074770735410819</v>
      </c>
      <c r="F19">
        <f>Year_2040!AR23/Year_2032!AR23</f>
        <v>1.034713326770903</v>
      </c>
      <c r="G19">
        <f>Year_2040!AS23/Year_2032!AS23</f>
        <v>1.0374552152092367</v>
      </c>
      <c r="H19">
        <f>Year_2040!AT23/Year_2032!AT23</f>
        <v>1.1156741453384937</v>
      </c>
      <c r="I19">
        <f>Year_2040!AU23/Year_2032!AU23</f>
        <v>1.1156701527711896</v>
      </c>
      <c r="J19">
        <f>Year_2040!AV23/Year_2032!AV23</f>
        <v>1.1482748750370675</v>
      </c>
      <c r="K19">
        <f>Year_2040!AW23/Year_2032!AW23</f>
        <v>1.148267203738675</v>
      </c>
      <c r="L19">
        <f>Year_2040!AX23/Year_2032!AX23</f>
        <v>1.1482748750370675</v>
      </c>
      <c r="M19">
        <f>Year_2040!AY23/Year_2032!AY23</f>
        <v>1.0446923101318364</v>
      </c>
      <c r="N19">
        <f>Year_2040!AZ23/Year_2032!AZ23</f>
        <v>1.1483000220190376</v>
      </c>
      <c r="O19">
        <f>Year_2040!BA23/Year_2032!BA23</f>
        <v>1.1489120025381059</v>
      </c>
      <c r="P19">
        <f>Year_2040!BB23/Year_2032!BB23</f>
        <v>1.0445404052363407</v>
      </c>
      <c r="Q19">
        <f>Year_2040!BC23/Year_2032!BC23</f>
        <v>1.0630623334956941</v>
      </c>
    </row>
    <row r="20" spans="1:17" x14ac:dyDescent="0.3">
      <c r="A20" t="str">
        <f>Year_2032!AM24</f>
        <v>AM-Early</v>
      </c>
      <c r="B20">
        <f>Year_2040!AN24/Year_2032!AN24</f>
        <v>1.0047876169906407</v>
      </c>
      <c r="C20">
        <f>Year_2040!AO24/Year_2032!AO24</f>
        <v>1.1112818053010491</v>
      </c>
      <c r="D20">
        <f>Year_2040!AP24/Year_2032!AP24</f>
        <v>1.1154727955943815</v>
      </c>
      <c r="E20">
        <f>Year_2040!AQ24/Year_2032!AQ24</f>
        <v>0.9949034883245409</v>
      </c>
      <c r="F20">
        <f>Year_2040!AR24/Year_2032!AR24</f>
        <v>1.0529162897485105</v>
      </c>
      <c r="G20">
        <f>Year_2040!AS24/Year_2032!AS24</f>
        <v>1.0758888173780914</v>
      </c>
      <c r="H20">
        <f>Year_2040!AT24/Year_2032!AT24</f>
        <v>1.0045898033038436</v>
      </c>
      <c r="I20">
        <f>Year_2040!AU24/Year_2032!AU24</f>
        <v>1.1196044329909993</v>
      </c>
      <c r="J20">
        <f>Year_2040!AV24/Year_2032!AV24</f>
        <v>1.1535428666710288</v>
      </c>
      <c r="K20">
        <f>Year_2040!AW24/Year_2032!AW24</f>
        <v>1.1562618926293113</v>
      </c>
      <c r="L20">
        <f>Year_2040!AX24/Year_2032!AX24</f>
        <v>1.1535428666710288</v>
      </c>
      <c r="M20">
        <f>Year_2040!AY24/Year_2032!AY24</f>
        <v>1.1562090863085035</v>
      </c>
      <c r="N20">
        <f>Year_2040!AZ24/Year_2032!AZ24</f>
        <v>1.1530086508979414</v>
      </c>
      <c r="O20">
        <f>Year_2040!BA24/Year_2032!BA24</f>
        <v>1.1526388772867764</v>
      </c>
      <c r="P20">
        <f>Year_2040!BB24/Year_2032!BB24</f>
        <v>1.0032670147134246</v>
      </c>
      <c r="Q20">
        <f>Year_2040!BC24/Year_2032!BC24</f>
        <v>1.0020113484338238</v>
      </c>
    </row>
    <row r="21" spans="1:17" x14ac:dyDescent="0.3">
      <c r="A21" t="str">
        <f>Year_2032!AM25</f>
        <v>AM-Peak</v>
      </c>
      <c r="B21">
        <f>Year_2040!AN25/Year_2032!AN25</f>
        <v>1.0647339151698119</v>
      </c>
      <c r="C21">
        <f>Year_2040!AO25/Year_2032!AO25</f>
        <v>1.0450807305225009</v>
      </c>
      <c r="D21">
        <f>Year_2040!AP25/Year_2032!AP25</f>
        <v>1.1245033931198163</v>
      </c>
      <c r="E21">
        <f>Year_2040!AQ25/Year_2032!AQ25</f>
        <v>1.0291841568971465</v>
      </c>
      <c r="F21">
        <f>Year_2040!AR25/Year_2032!AR25</f>
        <v>1.0819533278087328</v>
      </c>
      <c r="G21">
        <f>Year_2040!AS25/Year_2032!AS25</f>
        <v>1.0680128274140972</v>
      </c>
      <c r="H21">
        <f>Year_2040!AT25/Year_2032!AT25</f>
        <v>1.0997947180836996</v>
      </c>
      <c r="I21">
        <f>Year_2040!AU25/Year_2032!AU25</f>
        <v>1.124922191374899</v>
      </c>
      <c r="J21">
        <f>Year_2040!AV25/Year_2032!AV25</f>
        <v>1.1538362810277998</v>
      </c>
      <c r="K21">
        <f>Year_2040!AW25/Year_2032!AW25</f>
        <v>1.1550082540314377</v>
      </c>
      <c r="L21">
        <f>Year_2040!AX25/Year_2032!AX25</f>
        <v>1.1531115903011551</v>
      </c>
      <c r="M21">
        <f>Year_2040!AY25/Year_2032!AY25</f>
        <v>1.1536222828895577</v>
      </c>
      <c r="N21">
        <f>Year_2040!AZ25/Year_2032!AZ25</f>
        <v>1.1523317731034377</v>
      </c>
      <c r="O21">
        <f>Year_2040!BA25/Year_2032!BA25</f>
        <v>1.0817398803457161</v>
      </c>
      <c r="P21">
        <f>Year_2040!BB25/Year_2032!BB25</f>
        <v>1.0648953898545137</v>
      </c>
      <c r="Q21">
        <f>Year_2040!BC25/Year_2032!BC25</f>
        <v>1.1773525713062556</v>
      </c>
    </row>
    <row r="22" spans="1:17" x14ac:dyDescent="0.3">
      <c r="A22" t="str">
        <f>Year_2032!AM26</f>
        <v>AM-Shoulder</v>
      </c>
      <c r="B22">
        <f>Year_2040!AN26/Year_2032!AN26</f>
        <v>1.0519194647454706</v>
      </c>
      <c r="C22">
        <f>Year_2040!AO26/Year_2032!AO26</f>
        <v>1.0329085647347762</v>
      </c>
      <c r="D22">
        <f>Year_2040!AP26/Year_2032!AP26</f>
        <v>1.0817890343798593</v>
      </c>
      <c r="E22">
        <f>Year_2040!AQ26/Year_2032!AQ26</f>
        <v>0.98847392982195836</v>
      </c>
      <c r="F22">
        <f>Year_2040!AR26/Year_2032!AR26</f>
        <v>1.0244450139738097</v>
      </c>
      <c r="G22">
        <f>Year_2040!AS26/Year_2032!AS26</f>
        <v>1.0465042414938528</v>
      </c>
      <c r="H22">
        <f>Year_2040!AT26/Year_2032!AT26</f>
        <v>1.1253386979683233</v>
      </c>
      <c r="I22">
        <f>Year_2040!AU26/Year_2032!AU26</f>
        <v>1.122404925645095</v>
      </c>
      <c r="J22">
        <f>Year_2040!AV26/Year_2032!AV26</f>
        <v>1.1541418953132911</v>
      </c>
      <c r="K22">
        <f>Year_2040!AW26/Year_2032!AW26</f>
        <v>1.1520705299900826</v>
      </c>
      <c r="L22">
        <f>Year_2040!AX26/Year_2032!AX26</f>
        <v>1.1532094807192241</v>
      </c>
      <c r="M22">
        <f>Year_2040!AY26/Year_2032!AY26</f>
        <v>1.1434824531776038</v>
      </c>
      <c r="N22">
        <f>Year_2040!AZ26/Year_2032!AZ26</f>
        <v>1.1520607548356512</v>
      </c>
      <c r="O22">
        <f>Year_2040!BA26/Year_2032!BA26</f>
        <v>1.1521282284620653</v>
      </c>
      <c r="P22">
        <f>Year_2040!BB26/Year_2032!BB26</f>
        <v>0.98200306659361747</v>
      </c>
      <c r="Q22">
        <f>Year_2040!BC26/Year_2032!BC26</f>
        <v>0.9824444882545359</v>
      </c>
    </row>
    <row r="23" spans="1:17" x14ac:dyDescent="0.3">
      <c r="A23" t="str">
        <f>Year_2032!AM27</f>
        <v>MD</v>
      </c>
      <c r="B23">
        <f>Year_2040!AN27/Year_2032!AN27</f>
        <v>0.98647127109680077</v>
      </c>
      <c r="C23">
        <f>Year_2040!AO27/Year_2032!AO27</f>
        <v>1.0549382879347695</v>
      </c>
      <c r="D23">
        <f>Year_2040!AP27/Year_2032!AP27</f>
        <v>1.0062734591233713</v>
      </c>
      <c r="E23">
        <f>Year_2040!AQ27/Year_2032!AQ27</f>
        <v>0.9864560085725762</v>
      </c>
      <c r="F23">
        <f>Year_2040!AR27/Year_2032!AR27</f>
        <v>1.0705421718213533</v>
      </c>
      <c r="G23">
        <f>Year_2040!AS27/Year_2032!AS27</f>
        <v>1.0762852501467264</v>
      </c>
      <c r="H23">
        <f>Year_2040!AT27/Year_2032!AT27</f>
        <v>1.1208365372027549</v>
      </c>
      <c r="I23">
        <f>Year_2040!AU27/Year_2032!AU27</f>
        <v>1.1231370553765945</v>
      </c>
      <c r="J23">
        <f>Year_2040!AV27/Year_2032!AV27</f>
        <v>1.1564411644712072</v>
      </c>
      <c r="K23">
        <f>Year_2040!AW27/Year_2032!AW27</f>
        <v>1.1545946173949571</v>
      </c>
      <c r="L23">
        <f>Year_2040!AX27/Year_2032!AX27</f>
        <v>1.1563618662357489</v>
      </c>
      <c r="M23">
        <f>Year_2040!AY27/Year_2032!AY27</f>
        <v>1.1544830652207247</v>
      </c>
      <c r="N23">
        <f>Year_2040!AZ27/Year_2032!AZ27</f>
        <v>1.152139463636074</v>
      </c>
      <c r="O23">
        <f>Year_2040!BA27/Year_2032!BA27</f>
        <v>1.1523156705896009</v>
      </c>
      <c r="P23">
        <f>Year_2040!BB27/Year_2032!BB27</f>
        <v>0.98559607544569172</v>
      </c>
      <c r="Q23">
        <f>Year_2040!BC27/Year_2032!BC27</f>
        <v>0.98505749425432476</v>
      </c>
    </row>
    <row r="24" spans="1:17" x14ac:dyDescent="0.3">
      <c r="A24" t="str">
        <f>Year_2032!AM28</f>
        <v>PM-Shoulder</v>
      </c>
      <c r="B24">
        <f>Year_2040!AN28/Year_2032!AN28</f>
        <v>0.98468005380476553</v>
      </c>
      <c r="C24">
        <f>Year_2040!AO28/Year_2032!AO28</f>
        <v>1.0270137043963732</v>
      </c>
      <c r="D24">
        <f>Year_2040!AP28/Year_2032!AP28</f>
        <v>1.1176222875542488</v>
      </c>
      <c r="E24">
        <f>Year_2040!AQ28/Year_2032!AQ28</f>
        <v>1.0312793058012133</v>
      </c>
      <c r="F24">
        <f>Year_2040!AR28/Year_2032!AR28</f>
        <v>0.99357241455342216</v>
      </c>
      <c r="G24">
        <f>Year_2040!AS28/Year_2032!AS28</f>
        <v>1.0329755902653213</v>
      </c>
      <c r="H24">
        <f>Year_2040!AT28/Year_2032!AT28</f>
        <v>1.1306533915950614</v>
      </c>
      <c r="I24">
        <f>Year_2040!AU28/Year_2032!AU28</f>
        <v>1.0916308592681061</v>
      </c>
      <c r="J24">
        <f>Year_2040!AV28/Year_2032!AV28</f>
        <v>1.1602560801271522</v>
      </c>
      <c r="K24">
        <f>Year_2040!AW28/Year_2032!AW28</f>
        <v>1.1564981108207528</v>
      </c>
      <c r="L24">
        <f>Year_2040!AX28/Year_2032!AX28</f>
        <v>1.1576012927570074</v>
      </c>
      <c r="M24">
        <f>Year_2040!AY28/Year_2032!AY28</f>
        <v>1.1546357374349996</v>
      </c>
      <c r="N24">
        <f>Year_2040!AZ28/Year_2032!AZ28</f>
        <v>1.1534853250309274</v>
      </c>
      <c r="O24">
        <f>Year_2040!BA28/Year_2032!BA28</f>
        <v>1.153152411888442</v>
      </c>
      <c r="P24">
        <f>Year_2040!BB28/Year_2032!BB28</f>
        <v>1.0893876800531705</v>
      </c>
      <c r="Q24">
        <f>Year_2040!BC28/Year_2032!BC28</f>
        <v>0.97963403358832013</v>
      </c>
    </row>
    <row r="25" spans="1:17" x14ac:dyDescent="0.3">
      <c r="A25" t="str">
        <f>Year_2032!AM29</f>
        <v>PM-Peak</v>
      </c>
      <c r="B25">
        <f>Year_2040!AN29/Year_2032!AN29</f>
        <v>1.1672178735151268</v>
      </c>
      <c r="C25">
        <f>Year_2040!AO29/Year_2032!AO29</f>
        <v>1.1696104559184082</v>
      </c>
      <c r="D25">
        <f>Year_2040!AP29/Year_2032!AP29</f>
        <v>1.0456572966906896</v>
      </c>
      <c r="E25">
        <f>Year_2040!AQ29/Year_2032!AQ29</f>
        <v>1.0671771331511961</v>
      </c>
      <c r="F25">
        <f>Year_2040!AR29/Year_2032!AR29</f>
        <v>1.1331038025203533</v>
      </c>
      <c r="G25">
        <f>Year_2040!AS29/Year_2032!AS29</f>
        <v>1.1257546685604911</v>
      </c>
      <c r="H25">
        <f>Year_2040!AT29/Year_2032!AT29</f>
        <v>1.1312612576552055</v>
      </c>
      <c r="I25">
        <f>Year_2040!AU29/Year_2032!AU29</f>
        <v>1.1404633917773033</v>
      </c>
      <c r="J25">
        <f>Year_2040!AV29/Year_2032!AV29</f>
        <v>1.1634827883282766</v>
      </c>
      <c r="K25">
        <f>Year_2040!AW29/Year_2032!AW29</f>
        <v>1.1596292879388566</v>
      </c>
      <c r="L25">
        <f>Year_2040!AX29/Year_2032!AX29</f>
        <v>1.1589720900607443</v>
      </c>
      <c r="M25">
        <f>Year_2040!AY29/Year_2032!AY29</f>
        <v>1.1564592183327727</v>
      </c>
      <c r="N25">
        <f>Year_2040!AZ29/Year_2032!AZ29</f>
        <v>1.1520745979097566</v>
      </c>
      <c r="O25">
        <f>Year_2040!BA29/Year_2032!BA29</f>
        <v>1.1535582758410885</v>
      </c>
      <c r="P25">
        <f>Year_2040!BB29/Year_2032!BB29</f>
        <v>1.0309346500979619</v>
      </c>
      <c r="Q25">
        <f>Year_2040!BC29/Year_2032!BC29</f>
        <v>1.2049961182944973</v>
      </c>
    </row>
    <row r="26" spans="1:17" x14ac:dyDescent="0.3">
      <c r="A26" t="str">
        <f>Year_2032!AM30</f>
        <v>PM-Late</v>
      </c>
      <c r="B26">
        <f>Year_2040!AN30/Year_2032!AN30</f>
        <v>1.111220103362123</v>
      </c>
      <c r="C26">
        <f>Year_2040!AO30/Year_2032!AO30</f>
        <v>1.1126540911933673</v>
      </c>
      <c r="D26">
        <f>Year_2040!AP30/Year_2032!AP30</f>
        <v>1.1104703986614473</v>
      </c>
      <c r="E26">
        <f>Year_2040!AQ30/Year_2032!AQ30</f>
        <v>1.1113550013106905</v>
      </c>
      <c r="F26">
        <f>Year_2040!AR30/Year_2032!AR30</f>
        <v>1.1024647862904067</v>
      </c>
      <c r="G26">
        <f>Year_2040!AS30/Year_2032!AS30</f>
        <v>1.1199066084040197</v>
      </c>
      <c r="H26">
        <f>Year_2040!AT30/Year_2032!AT30</f>
        <v>1.1183614596436593</v>
      </c>
      <c r="I26">
        <f>Year_2040!AU30/Year_2032!AU30</f>
        <v>1.1194509311997629</v>
      </c>
      <c r="J26">
        <f>Year_2040!AV30/Year_2032!AV30</f>
        <v>1.1535298726985146</v>
      </c>
      <c r="K26">
        <f>Year_2040!AW30/Year_2032!AW30</f>
        <v>1.1534249547920434</v>
      </c>
      <c r="L26">
        <f>Year_2040!AX30/Year_2032!AX30</f>
        <v>1.1535415681929131</v>
      </c>
      <c r="M26">
        <f>Year_2040!AY30/Year_2032!AY30</f>
        <v>1.1534277358112979</v>
      </c>
      <c r="N26">
        <f>Year_2040!AZ30/Year_2032!AZ30</f>
        <v>1.1535195100219142</v>
      </c>
      <c r="O26">
        <f>Year_2040!BA30/Year_2032!BA30</f>
        <v>1.155291309660776</v>
      </c>
      <c r="P26">
        <f>Year_2040!BB30/Year_2032!BB30</f>
        <v>1.0330630227053872</v>
      </c>
      <c r="Q26">
        <f>Year_2040!BC30/Year_2032!BC30</f>
        <v>0.99066610307739555</v>
      </c>
    </row>
    <row r="27" spans="1:17" x14ac:dyDescent="0.3">
      <c r="A27">
        <f>Year_2032!AM31</f>
        <v>0</v>
      </c>
      <c r="B27">
        <f>Year_2032!AN31</f>
        <v>0</v>
      </c>
      <c r="C27">
        <f>Year_2032!AO31</f>
        <v>0</v>
      </c>
      <c r="D27">
        <f>Year_2032!AP31</f>
        <v>0</v>
      </c>
      <c r="E27">
        <f>Year_2032!AQ31</f>
        <v>0</v>
      </c>
      <c r="F27">
        <f>Year_2032!AR31</f>
        <v>0</v>
      </c>
      <c r="G27">
        <f>Year_2032!AS31</f>
        <v>0</v>
      </c>
      <c r="H27">
        <f>Year_2032!AT31</f>
        <v>0</v>
      </c>
      <c r="I27">
        <f>Year_2032!AU31</f>
        <v>0</v>
      </c>
      <c r="J27">
        <f>Year_2032!AV31</f>
        <v>0</v>
      </c>
      <c r="K27">
        <f>Year_2032!AW31</f>
        <v>0</v>
      </c>
      <c r="L27">
        <f>Year_2032!AX31</f>
        <v>0</v>
      </c>
      <c r="M27">
        <f>Year_2032!AY31</f>
        <v>0</v>
      </c>
      <c r="N27">
        <f>Year_2032!AZ31</f>
        <v>0</v>
      </c>
      <c r="O27">
        <f>Year_2032!BA31</f>
        <v>0</v>
      </c>
      <c r="P27">
        <f>Year_2032!BB31</f>
        <v>0</v>
      </c>
      <c r="Q27">
        <f>Year_2032!BC31</f>
        <v>0</v>
      </c>
    </row>
    <row r="28" spans="1:17" x14ac:dyDescent="0.3">
      <c r="A28">
        <f>Year_2032!AM32</f>
        <v>0</v>
      </c>
      <c r="B28">
        <f>Year_2032!AN32</f>
        <v>0</v>
      </c>
      <c r="C28">
        <f>Year_2032!AO32</f>
        <v>0</v>
      </c>
      <c r="D28">
        <f>Year_2032!AP32</f>
        <v>0</v>
      </c>
      <c r="E28">
        <f>Year_2032!AQ32</f>
        <v>0</v>
      </c>
      <c r="F28">
        <f>Year_2032!AR32</f>
        <v>0</v>
      </c>
      <c r="G28">
        <f>Year_2032!AS32</f>
        <v>0</v>
      </c>
      <c r="H28">
        <f>Year_2032!AT32</f>
        <v>0</v>
      </c>
      <c r="I28">
        <f>Year_2032!AU32</f>
        <v>0</v>
      </c>
      <c r="J28">
        <f>Year_2032!AV32</f>
        <v>0</v>
      </c>
      <c r="K28">
        <f>Year_2032!AW32</f>
        <v>0</v>
      </c>
      <c r="L28">
        <f>Year_2032!AX32</f>
        <v>0</v>
      </c>
      <c r="M28">
        <f>Year_2032!AY32</f>
        <v>0</v>
      </c>
      <c r="N28">
        <f>Year_2032!AZ32</f>
        <v>0</v>
      </c>
      <c r="O28">
        <f>Year_2032!BA32</f>
        <v>0</v>
      </c>
      <c r="P28">
        <f>Year_2032!BB32</f>
        <v>0</v>
      </c>
      <c r="Q28">
        <f>Year_2032!BC32</f>
        <v>0</v>
      </c>
    </row>
    <row r="29" spans="1:17" x14ac:dyDescent="0.3">
      <c r="A29" t="str">
        <f>Year_2032!AM33</f>
        <v>GP Flow (PCE/hr)</v>
      </c>
      <c r="B29">
        <f>Year_2032!AN33</f>
        <v>0</v>
      </c>
      <c r="C29">
        <f>Year_2032!AO33</f>
        <v>0</v>
      </c>
      <c r="D29">
        <f>Year_2032!AP33</f>
        <v>0</v>
      </c>
      <c r="E29">
        <f>Year_2032!AQ33</f>
        <v>0</v>
      </c>
      <c r="F29">
        <f>Year_2032!AR33</f>
        <v>0</v>
      </c>
      <c r="G29">
        <f>Year_2032!AS33</f>
        <v>0</v>
      </c>
      <c r="H29">
        <f>Year_2032!AT33</f>
        <v>0</v>
      </c>
      <c r="I29">
        <f>Year_2032!AU33</f>
        <v>0</v>
      </c>
      <c r="J29">
        <f>Year_2032!AV33</f>
        <v>0</v>
      </c>
      <c r="K29">
        <f>Year_2032!AW33</f>
        <v>0</v>
      </c>
      <c r="L29">
        <f>Year_2032!AX33</f>
        <v>0</v>
      </c>
      <c r="M29">
        <f>Year_2032!AY33</f>
        <v>0</v>
      </c>
      <c r="N29">
        <f>Year_2032!AZ33</f>
        <v>0</v>
      </c>
      <c r="O29">
        <f>Year_2032!BA33</f>
        <v>0</v>
      </c>
      <c r="P29">
        <f>Year_2032!BB33</f>
        <v>0</v>
      </c>
      <c r="Q29">
        <f>Year_2032!BC33</f>
        <v>0</v>
      </c>
    </row>
    <row r="30" spans="1:17" x14ac:dyDescent="0.3">
      <c r="A30" t="str">
        <f>Year_2032!AM34</f>
        <v>Direction</v>
      </c>
      <c r="B30" t="str">
        <f>Year_2032!AN34</f>
        <v>NB</v>
      </c>
      <c r="C30" t="str">
        <f>Year_2032!AO34</f>
        <v>SB</v>
      </c>
      <c r="D30" t="str">
        <f>Year_2032!AP34</f>
        <v>NB</v>
      </c>
      <c r="E30" t="str">
        <f>Year_2032!AQ34</f>
        <v>SB</v>
      </c>
      <c r="F30" t="str">
        <f>Year_2032!AR34</f>
        <v>NB</v>
      </c>
      <c r="G30" t="str">
        <f>Year_2032!AS34</f>
        <v>SB</v>
      </c>
      <c r="H30" t="str">
        <f>Year_2032!AT34</f>
        <v>NB</v>
      </c>
      <c r="I30" t="str">
        <f>Year_2032!AU34</f>
        <v>SB</v>
      </c>
      <c r="J30" t="str">
        <f>Year_2032!AV34</f>
        <v>NB</v>
      </c>
      <c r="K30" t="str">
        <f>Year_2032!AW34</f>
        <v>SB</v>
      </c>
      <c r="L30" t="str">
        <f>Year_2032!AX34</f>
        <v>NB</v>
      </c>
      <c r="M30" t="str">
        <f>Year_2032!AY34</f>
        <v>SB</v>
      </c>
      <c r="N30" t="str">
        <f>Year_2032!AZ34</f>
        <v>NB</v>
      </c>
      <c r="O30" t="str">
        <f>Year_2032!BA34</f>
        <v>SB</v>
      </c>
      <c r="P30" t="str">
        <f>Year_2032!BB34</f>
        <v>NB</v>
      </c>
      <c r="Q30" t="str">
        <f>Year_2032!BC34</f>
        <v>SB</v>
      </c>
    </row>
    <row r="31" spans="1:17" x14ac:dyDescent="0.3">
      <c r="A31" t="str">
        <f>Year_2032!AM35</f>
        <v>Segment</v>
      </c>
      <c r="B31" t="str">
        <f>Year_2032!AN35</f>
        <v>11</v>
      </c>
      <c r="C31" t="str">
        <f>Year_2032!AO35</f>
        <v>11</v>
      </c>
      <c r="D31" t="str">
        <f>Year_2032!AP35</f>
        <v>12</v>
      </c>
      <c r="E31" t="str">
        <f>Year_2032!AQ35</f>
        <v>12</v>
      </c>
      <c r="F31" t="str">
        <f>Year_2032!AR35</f>
        <v>13</v>
      </c>
      <c r="G31" t="str">
        <f>Year_2032!AS35</f>
        <v>13</v>
      </c>
      <c r="H31" t="str">
        <f>Year_2032!AT35</f>
        <v>14</v>
      </c>
      <c r="I31" t="str">
        <f>Year_2032!AU35</f>
        <v>14</v>
      </c>
      <c r="J31" t="str">
        <f>Year_2032!AV35</f>
        <v>15</v>
      </c>
      <c r="K31" t="str">
        <f>Year_2032!AW35</f>
        <v>15</v>
      </c>
      <c r="L31" t="str">
        <f>Year_2032!AX35</f>
        <v>16</v>
      </c>
      <c r="M31" t="str">
        <f>Year_2032!AY35</f>
        <v>16</v>
      </c>
      <c r="N31" t="str">
        <f>Year_2032!AZ35</f>
        <v>17</v>
      </c>
      <c r="O31" t="str">
        <f>Year_2032!BA35</f>
        <v>17</v>
      </c>
      <c r="P31" t="str">
        <f>Year_2032!BB35</f>
        <v>18</v>
      </c>
      <c r="Q31" t="str">
        <f>Year_2032!BC35</f>
        <v>18</v>
      </c>
    </row>
    <row r="32" spans="1:17" x14ac:dyDescent="0.3">
      <c r="A32" t="str">
        <f>Year_2032!AM36</f>
        <v>Period</v>
      </c>
      <c r="B32">
        <f>Year_2032!AN36</f>
        <v>0</v>
      </c>
      <c r="C32">
        <f>Year_2032!AO36</f>
        <v>0</v>
      </c>
      <c r="D32">
        <f>Year_2032!AP36</f>
        <v>0</v>
      </c>
      <c r="E32">
        <f>Year_2032!AQ36</f>
        <v>0</v>
      </c>
      <c r="F32">
        <f>Year_2032!AR36</f>
        <v>0</v>
      </c>
      <c r="G32">
        <f>Year_2032!AS36</f>
        <v>0</v>
      </c>
      <c r="H32">
        <f>Year_2032!AT36</f>
        <v>0</v>
      </c>
      <c r="I32">
        <f>Year_2032!AU36</f>
        <v>0</v>
      </c>
      <c r="J32">
        <f>Year_2032!AV36</f>
        <v>0</v>
      </c>
      <c r="K32">
        <f>Year_2032!AW36</f>
        <v>0</v>
      </c>
      <c r="L32">
        <f>Year_2032!AX36</f>
        <v>0</v>
      </c>
      <c r="M32">
        <f>Year_2032!AY36</f>
        <v>0</v>
      </c>
      <c r="N32">
        <f>Year_2032!AZ36</f>
        <v>0</v>
      </c>
      <c r="O32">
        <f>Year_2032!BA36</f>
        <v>0</v>
      </c>
      <c r="P32">
        <f>Year_2032!BB36</f>
        <v>0</v>
      </c>
      <c r="Q32">
        <f>Year_2032!BC36</f>
        <v>0</v>
      </c>
    </row>
    <row r="33" spans="1:17" x14ac:dyDescent="0.3">
      <c r="A33" t="str">
        <f>Year_2032!AM37</f>
        <v>Night</v>
      </c>
      <c r="B33">
        <f>Year_2040!AN37/Year_2032!AN37</f>
        <v>1</v>
      </c>
      <c r="C33">
        <f>Year_2040!AO37/Year_2032!AO37</f>
        <v>1</v>
      </c>
      <c r="D33">
        <f>Year_2040!AP37/Year_2032!AP37</f>
        <v>1</v>
      </c>
      <c r="E33">
        <f>Year_2040!AQ37/Year_2032!AQ37</f>
        <v>1.1074766164693417</v>
      </c>
      <c r="F33">
        <f>Year_2040!AR37/Year_2032!AR37</f>
        <v>1.0347147390586537</v>
      </c>
      <c r="G33">
        <f>Year_2040!AS37/Year_2032!AS37</f>
        <v>1.0374552449574133</v>
      </c>
      <c r="H33">
        <f>Year_2040!AT37/Year_2032!AT37</f>
        <v>1.1156732520666948</v>
      </c>
      <c r="I33">
        <f>Year_2040!AU37/Year_2032!AU37</f>
        <v>1.1156694293281331</v>
      </c>
      <c r="J33">
        <f>Year_2040!AV37/Year_2032!AV37</f>
        <v>1.1482773007525382</v>
      </c>
      <c r="K33">
        <f>Year_2040!AW37/Year_2032!AW37</f>
        <v>1.1482659129717954</v>
      </c>
      <c r="L33">
        <f>Year_2040!AX37/Year_2032!AX37</f>
        <v>1.1482773007525382</v>
      </c>
      <c r="M33">
        <f>Year_2040!AY37/Year_2032!AY37</f>
        <v>1.0446910108691394</v>
      </c>
      <c r="N33">
        <f>Year_2040!AZ37/Year_2032!AZ37</f>
        <v>1.1483095815645845</v>
      </c>
      <c r="O33">
        <f>Year_2040!BA37/Year_2032!BA37</f>
        <v>1.1489204194941394</v>
      </c>
      <c r="P33">
        <f>Year_2040!BB37/Year_2032!BB37</f>
        <v>1.0445398973465303</v>
      </c>
      <c r="Q33">
        <f>Year_2040!BC37/Year_2032!BC37</f>
        <v>1.0630647904231552</v>
      </c>
    </row>
    <row r="34" spans="1:17" x14ac:dyDescent="0.3">
      <c r="A34" t="str">
        <f>Year_2032!AM38</f>
        <v>AM-Early</v>
      </c>
      <c r="B34">
        <f>Year_2040!AN38/Year_2032!AN38</f>
        <v>1.0047876169906407</v>
      </c>
      <c r="C34">
        <f>Year_2040!AO38/Year_2032!AO38</f>
        <v>1.1112818053010491</v>
      </c>
      <c r="D34">
        <f>Year_2040!AP38/Year_2032!AP38</f>
        <v>1.1154727955943815</v>
      </c>
      <c r="E34">
        <f>Year_2040!AQ38/Year_2032!AQ38</f>
        <v>0.9949034883245409</v>
      </c>
      <c r="F34">
        <f>Year_2040!AR38/Year_2032!AR38</f>
        <v>1.0529162897485105</v>
      </c>
      <c r="G34">
        <f>Year_2040!AS38/Year_2032!AS38</f>
        <v>1.0758888173780914</v>
      </c>
      <c r="H34">
        <f>Year_2040!AT38/Year_2032!AT38</f>
        <v>1.0045898033038436</v>
      </c>
      <c r="I34">
        <f>Year_2040!AU38/Year_2032!AU38</f>
        <v>1.1196044329909993</v>
      </c>
      <c r="J34">
        <f>Year_2040!AV38/Year_2032!AV38</f>
        <v>1.1535428666710288</v>
      </c>
      <c r="K34">
        <f>Year_2040!AW38/Year_2032!AW38</f>
        <v>1.1562618926293113</v>
      </c>
      <c r="L34">
        <f>Year_2040!AX38/Year_2032!AX38</f>
        <v>1.1535428666710288</v>
      </c>
      <c r="M34">
        <f>Year_2040!AY38/Year_2032!AY38</f>
        <v>1.1562090863085035</v>
      </c>
      <c r="N34">
        <f>Year_2040!AZ38/Year_2032!AZ38</f>
        <v>1.1530086508979414</v>
      </c>
      <c r="O34">
        <f>Year_2040!BA38/Year_2032!BA38</f>
        <v>1.1526388772867764</v>
      </c>
      <c r="P34">
        <f>Year_2040!BB38/Year_2032!BB38</f>
        <v>1.0032670147134246</v>
      </c>
      <c r="Q34">
        <f>Year_2040!BC38/Year_2032!BC38</f>
        <v>1.0020113484338238</v>
      </c>
    </row>
    <row r="35" spans="1:17" x14ac:dyDescent="0.3">
      <c r="A35" t="str">
        <f>Year_2032!AM39</f>
        <v>AM-Peak</v>
      </c>
      <c r="B35">
        <f>Year_2040!AN39/Year_2032!AN39</f>
        <v>1.0647343157732807</v>
      </c>
      <c r="C35">
        <f>Year_2040!AO39/Year_2032!AO39</f>
        <v>1.0450799487802476</v>
      </c>
      <c r="D35">
        <f>Year_2040!AP39/Year_2032!AP39</f>
        <v>1.1245034315947759</v>
      </c>
      <c r="E35">
        <f>Year_2040!AQ39/Year_2032!AQ39</f>
        <v>1.0291835156421334</v>
      </c>
      <c r="F35">
        <f>Year_2040!AR39/Year_2032!AR39</f>
        <v>1.0819540086669104</v>
      </c>
      <c r="G35">
        <f>Year_2040!AS39/Year_2032!AS39</f>
        <v>1.0680137398820595</v>
      </c>
      <c r="H35">
        <f>Year_2040!AT39/Year_2032!AT39</f>
        <v>1.0997947180836996</v>
      </c>
      <c r="I35">
        <f>Year_2040!AU39/Year_2032!AU39</f>
        <v>1.1249217180144422</v>
      </c>
      <c r="J35">
        <f>Year_2040!AV39/Year_2032!AV39</f>
        <v>1.1538362810277998</v>
      </c>
      <c r="K35">
        <f>Year_2040!AW39/Year_2032!AW39</f>
        <v>1.1550083516616407</v>
      </c>
      <c r="L35">
        <f>Year_2040!AX39/Year_2032!AX39</f>
        <v>1.1531105937015469</v>
      </c>
      <c r="M35">
        <f>Year_2040!AY39/Year_2032!AY39</f>
        <v>1.1536230600117037</v>
      </c>
      <c r="N35">
        <f>Year_2040!AZ39/Year_2032!AZ39</f>
        <v>1.1523305758333282</v>
      </c>
      <c r="O35">
        <f>Year_2040!BA39/Year_2032!BA39</f>
        <v>1.0817399908353238</v>
      </c>
      <c r="P35">
        <f>Year_2040!BB39/Year_2032!BB39</f>
        <v>1.0648960332954482</v>
      </c>
      <c r="Q35">
        <f>Year_2040!BC39/Year_2032!BC39</f>
        <v>1.1773525713062556</v>
      </c>
    </row>
    <row r="36" spans="1:17" x14ac:dyDescent="0.3">
      <c r="A36" t="str">
        <f>Year_2032!AM40</f>
        <v>AM-Shoulder</v>
      </c>
      <c r="B36">
        <f>Year_2040!AN40/Year_2032!AN40</f>
        <v>1.0519194647454706</v>
      </c>
      <c r="C36">
        <f>Year_2040!AO40/Year_2032!AO40</f>
        <v>1.0329085647347762</v>
      </c>
      <c r="D36">
        <f>Year_2040!AP40/Year_2032!AP40</f>
        <v>1.0817890343798593</v>
      </c>
      <c r="E36">
        <f>Year_2040!AQ40/Year_2032!AQ40</f>
        <v>0.98847392982195836</v>
      </c>
      <c r="F36">
        <f>Year_2040!AR40/Year_2032!AR40</f>
        <v>1.0244450139738097</v>
      </c>
      <c r="G36">
        <f>Year_2040!AS40/Year_2032!AS40</f>
        <v>1.0465042414938528</v>
      </c>
      <c r="H36">
        <f>Year_2040!AT40/Year_2032!AT40</f>
        <v>1.1253386979683233</v>
      </c>
      <c r="I36">
        <f>Year_2040!AU40/Year_2032!AU40</f>
        <v>1.122404925645095</v>
      </c>
      <c r="J36">
        <f>Year_2040!AV40/Year_2032!AV40</f>
        <v>1.1541418953132911</v>
      </c>
      <c r="K36">
        <f>Year_2040!AW40/Year_2032!AW40</f>
        <v>1.1520705299900826</v>
      </c>
      <c r="L36">
        <f>Year_2040!AX40/Year_2032!AX40</f>
        <v>1.1532094807192241</v>
      </c>
      <c r="M36">
        <f>Year_2040!AY40/Year_2032!AY40</f>
        <v>1.1434824531776038</v>
      </c>
      <c r="N36">
        <f>Year_2040!AZ40/Year_2032!AZ40</f>
        <v>1.1520607548356512</v>
      </c>
      <c r="O36">
        <f>Year_2040!BA40/Year_2032!BA40</f>
        <v>1.1521282284620653</v>
      </c>
      <c r="P36">
        <f>Year_2040!BB40/Year_2032!BB40</f>
        <v>0.98200306659361747</v>
      </c>
      <c r="Q36">
        <f>Year_2040!BC40/Year_2032!BC40</f>
        <v>0.9824444882545359</v>
      </c>
    </row>
    <row r="37" spans="1:17" x14ac:dyDescent="0.3">
      <c r="A37" t="str">
        <f>Year_2032!AM41</f>
        <v>MD</v>
      </c>
      <c r="B37">
        <f>Year_2040!AN41/Year_2032!AN41</f>
        <v>0.98647044515728</v>
      </c>
      <c r="C37">
        <f>Year_2040!AO41/Year_2032!AO41</f>
        <v>1.0549386957272557</v>
      </c>
      <c r="D37">
        <f>Year_2040!AP41/Year_2032!AP41</f>
        <v>1.006274562650745</v>
      </c>
      <c r="E37">
        <f>Year_2040!AQ41/Year_2032!AQ41</f>
        <v>0.98645572861964681</v>
      </c>
      <c r="F37">
        <f>Year_2040!AR41/Year_2032!AR41</f>
        <v>1.0705415021308207</v>
      </c>
      <c r="G37">
        <f>Year_2040!AS41/Year_2032!AS41</f>
        <v>1.0762852289377036</v>
      </c>
      <c r="H37">
        <f>Year_2040!AT41/Year_2032!AT41</f>
        <v>1.120835363181347</v>
      </c>
      <c r="I37">
        <f>Year_2040!AU41/Year_2032!AU41</f>
        <v>1.1231373280775003</v>
      </c>
      <c r="J37">
        <f>Year_2040!AV41/Year_2032!AV41</f>
        <v>1.1564424697874451</v>
      </c>
      <c r="K37">
        <f>Year_2040!AW41/Year_2032!AW41</f>
        <v>1.1545939143837842</v>
      </c>
      <c r="L37">
        <f>Year_2040!AX41/Year_2032!AX41</f>
        <v>1.1563612500519906</v>
      </c>
      <c r="M37">
        <f>Year_2040!AY41/Year_2032!AY41</f>
        <v>1.1544825951668303</v>
      </c>
      <c r="N37">
        <f>Year_2040!AZ41/Year_2032!AZ41</f>
        <v>1.1521411362399938</v>
      </c>
      <c r="O37">
        <f>Year_2040!BA41/Year_2032!BA41</f>
        <v>1.1523154250152159</v>
      </c>
      <c r="P37">
        <f>Year_2040!BB41/Year_2032!BB41</f>
        <v>0.98559521072406653</v>
      </c>
      <c r="Q37">
        <f>Year_2040!BC41/Year_2032!BC41</f>
        <v>0.98505687855490964</v>
      </c>
    </row>
    <row r="38" spans="1:17" x14ac:dyDescent="0.3">
      <c r="A38" t="str">
        <f>Year_2032!AM42</f>
        <v>PM-Shoulder</v>
      </c>
      <c r="B38">
        <f>Year_2040!AN42/Year_2032!AN42</f>
        <v>0.98468005380476553</v>
      </c>
      <c r="C38">
        <f>Year_2040!AO42/Year_2032!AO42</f>
        <v>1.0270137043963732</v>
      </c>
      <c r="D38">
        <f>Year_2040!AP42/Year_2032!AP42</f>
        <v>1.1176222875542488</v>
      </c>
      <c r="E38">
        <f>Year_2040!AQ42/Year_2032!AQ42</f>
        <v>1.0312793058012133</v>
      </c>
      <c r="F38">
        <f>Year_2040!AR42/Year_2032!AR42</f>
        <v>0.99357241455342216</v>
      </c>
      <c r="G38">
        <f>Year_2040!AS42/Year_2032!AS42</f>
        <v>1.0329755902653213</v>
      </c>
      <c r="H38">
        <f>Year_2040!AT42/Year_2032!AT42</f>
        <v>1.1306533915950614</v>
      </c>
      <c r="I38">
        <f>Year_2040!AU42/Year_2032!AU42</f>
        <v>1.0916308592681061</v>
      </c>
      <c r="J38">
        <f>Year_2040!AV42/Year_2032!AV42</f>
        <v>1.1602560801271522</v>
      </c>
      <c r="K38">
        <f>Year_2040!AW42/Year_2032!AW42</f>
        <v>1.1564981108207528</v>
      </c>
      <c r="L38">
        <f>Year_2040!AX42/Year_2032!AX42</f>
        <v>1.1576012927570074</v>
      </c>
      <c r="M38">
        <f>Year_2040!AY42/Year_2032!AY42</f>
        <v>1.1546357374349996</v>
      </c>
      <c r="N38">
        <f>Year_2040!AZ42/Year_2032!AZ42</f>
        <v>1.1534853250309274</v>
      </c>
      <c r="O38">
        <f>Year_2040!BA42/Year_2032!BA42</f>
        <v>1.153152411888442</v>
      </c>
      <c r="P38">
        <f>Year_2040!BB42/Year_2032!BB42</f>
        <v>1.0893876800531705</v>
      </c>
      <c r="Q38">
        <f>Year_2040!BC42/Year_2032!BC42</f>
        <v>0.97963403358832013</v>
      </c>
    </row>
    <row r="39" spans="1:17" x14ac:dyDescent="0.3">
      <c r="A39" t="str">
        <f>Year_2032!AM43</f>
        <v>PM-Peak</v>
      </c>
      <c r="B39">
        <f>Year_2040!AN43/Year_2032!AN43</f>
        <v>1.1672179502715565</v>
      </c>
      <c r="C39">
        <f>Year_2040!AO43/Year_2032!AO43</f>
        <v>1.1696105342170939</v>
      </c>
      <c r="D39">
        <f>Year_2040!AP43/Year_2032!AP43</f>
        <v>1.0456577994593705</v>
      </c>
      <c r="E39">
        <f>Year_2040!AQ43/Year_2032!AQ43</f>
        <v>1.0671767563675496</v>
      </c>
      <c r="F39">
        <f>Year_2040!AR43/Year_2032!AR43</f>
        <v>1.1331037479122537</v>
      </c>
      <c r="G39">
        <f>Year_2040!AS43/Year_2032!AS43</f>
        <v>1.1257555007974895</v>
      </c>
      <c r="H39">
        <f>Year_2040!AT43/Year_2032!AT43</f>
        <v>1.1312613233305264</v>
      </c>
      <c r="I39">
        <f>Year_2040!AU43/Year_2032!AU43</f>
        <v>1.1404633280327618</v>
      </c>
      <c r="J39">
        <f>Year_2040!AV43/Year_2032!AV43</f>
        <v>1.1634827883282766</v>
      </c>
      <c r="K39">
        <f>Year_2040!AW43/Year_2032!AW43</f>
        <v>1.1596286942676295</v>
      </c>
      <c r="L39">
        <f>Year_2040!AX43/Year_2032!AX43</f>
        <v>1.1589720900607445</v>
      </c>
      <c r="M39">
        <f>Year_2040!AY43/Year_2032!AY43</f>
        <v>1.1564600789913753</v>
      </c>
      <c r="N39">
        <f>Year_2040!AZ43/Year_2032!AZ43</f>
        <v>1.1520745979097564</v>
      </c>
      <c r="O39">
        <f>Year_2040!BA43/Year_2032!BA43</f>
        <v>1.1535557066676212</v>
      </c>
      <c r="P39">
        <f>Year_2040!BB43/Year_2032!BB43</f>
        <v>1.030936218520492</v>
      </c>
      <c r="Q39">
        <f>Year_2040!BC43/Year_2032!BC43</f>
        <v>1.2049961182944973</v>
      </c>
    </row>
    <row r="40" spans="1:17" x14ac:dyDescent="0.3">
      <c r="A40" t="str">
        <f>Year_2032!AM44</f>
        <v>PM-Late</v>
      </c>
      <c r="B40">
        <f>Year_2040!AN44/Year_2032!AN44</f>
        <v>1.1112200056906201</v>
      </c>
      <c r="C40">
        <f>Year_2040!AO44/Year_2032!AO44</f>
        <v>1.1126541730224451</v>
      </c>
      <c r="D40">
        <f>Year_2040!AP44/Year_2032!AP44</f>
        <v>1.1104712454179886</v>
      </c>
      <c r="E40">
        <f>Year_2040!AQ44/Year_2032!AQ44</f>
        <v>1.1113558788068287</v>
      </c>
      <c r="F40">
        <f>Year_2040!AR44/Year_2032!AR44</f>
        <v>1.1024647862904065</v>
      </c>
      <c r="G40">
        <f>Year_2040!AS44/Year_2032!AS44</f>
        <v>1.1199066084040197</v>
      </c>
      <c r="H40">
        <f>Year_2040!AT44/Year_2032!AT44</f>
        <v>1.1183583826111967</v>
      </c>
      <c r="I40">
        <f>Year_2040!AU44/Year_2032!AU44</f>
        <v>1.1194510694286774</v>
      </c>
      <c r="J40">
        <f>Year_2040!AV44/Year_2032!AV44</f>
        <v>1.1535287554047144</v>
      </c>
      <c r="K40">
        <f>Year_2040!AW44/Year_2032!AW44</f>
        <v>1.1534249547920434</v>
      </c>
      <c r="L40">
        <f>Year_2040!AX44/Year_2032!AX44</f>
        <v>1.1535417169125446</v>
      </c>
      <c r="M40">
        <f>Year_2040!AY44/Year_2032!AY44</f>
        <v>1.1534291263259542</v>
      </c>
      <c r="N40">
        <f>Year_2040!AZ44/Year_2032!AZ44</f>
        <v>1.1535201261875234</v>
      </c>
      <c r="O40">
        <f>Year_2040!BA44/Year_2032!BA44</f>
        <v>1.1552990106226753</v>
      </c>
      <c r="P40">
        <f>Year_2040!BB44/Year_2032!BB44</f>
        <v>1.0330622939162162</v>
      </c>
      <c r="Q40">
        <f>Year_2040!BC44/Year_2032!BC44</f>
        <v>0.99066774651340761</v>
      </c>
    </row>
  </sheetData>
  <conditionalFormatting sqref="B5:Q12">
    <cfRule type="cellIs" dxfId="2" priority="1" operator="lessThan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C189-CB74-4B99-BDB5-AB8D65639DBC}">
  <dimension ref="A1:Q40"/>
  <sheetViews>
    <sheetView tabSelected="1" zoomScale="104" workbookViewId="0">
      <selection activeCell="B19" sqref="B19"/>
    </sheetView>
  </sheetViews>
  <sheetFormatPr defaultRowHeight="14.4" x14ac:dyDescent="0.3"/>
  <sheetData>
    <row r="1" spans="1:17" x14ac:dyDescent="0.3">
      <c r="A1" t="str">
        <f>Year_2032!AM5</f>
        <v>GP PCE.Miles</v>
      </c>
      <c r="B1">
        <f>Year_2032!AN5</f>
        <v>0</v>
      </c>
      <c r="C1">
        <f>Year_2032!AO5</f>
        <v>0</v>
      </c>
      <c r="D1">
        <f>Year_2032!AP5</f>
        <v>0</v>
      </c>
      <c r="E1">
        <f>Year_2032!AQ5</f>
        <v>0</v>
      </c>
      <c r="F1">
        <f>Year_2032!AR5</f>
        <v>0</v>
      </c>
      <c r="G1">
        <f>Year_2032!AS5</f>
        <v>0</v>
      </c>
      <c r="H1">
        <f>Year_2032!AT5</f>
        <v>0</v>
      </c>
      <c r="I1">
        <f>Year_2032!AU5</f>
        <v>0</v>
      </c>
      <c r="J1">
        <f>Year_2032!AV5</f>
        <v>0</v>
      </c>
      <c r="K1">
        <f>Year_2032!AW5</f>
        <v>0</v>
      </c>
      <c r="L1">
        <f>Year_2032!AX5</f>
        <v>0</v>
      </c>
      <c r="M1">
        <f>Year_2032!AY5</f>
        <v>0</v>
      </c>
      <c r="N1">
        <f>Year_2032!AZ5</f>
        <v>0</v>
      </c>
      <c r="O1">
        <f>Year_2032!BA5</f>
        <v>0</v>
      </c>
      <c r="P1">
        <f>Year_2032!BB5</f>
        <v>0</v>
      </c>
      <c r="Q1">
        <f>Year_2032!BC5</f>
        <v>0</v>
      </c>
    </row>
    <row r="2" spans="1:17" x14ac:dyDescent="0.3">
      <c r="A2" t="str">
        <f>Year_2032!AM6</f>
        <v>Direction</v>
      </c>
      <c r="B2" t="str">
        <f>Year_2032!AN6</f>
        <v>NB</v>
      </c>
      <c r="C2" t="str">
        <f>Year_2032!AO6</f>
        <v>SB</v>
      </c>
      <c r="D2" t="str">
        <f>Year_2032!AP6</f>
        <v>NB</v>
      </c>
      <c r="E2" t="str">
        <f>Year_2032!AQ6</f>
        <v>SB</v>
      </c>
      <c r="F2" t="str">
        <f>Year_2032!AR6</f>
        <v>NB</v>
      </c>
      <c r="G2" t="str">
        <f>Year_2032!AS6</f>
        <v>SB</v>
      </c>
      <c r="H2" t="str">
        <f>Year_2032!AT6</f>
        <v>NB</v>
      </c>
      <c r="I2" t="str">
        <f>Year_2032!AU6</f>
        <v>SB</v>
      </c>
      <c r="J2" t="str">
        <f>Year_2032!AV6</f>
        <v>NB</v>
      </c>
      <c r="K2" t="str">
        <f>Year_2032!AW6</f>
        <v>SB</v>
      </c>
      <c r="L2" t="str">
        <f>Year_2032!AX6</f>
        <v>NB</v>
      </c>
      <c r="M2" t="str">
        <f>Year_2032!AY6</f>
        <v>SB</v>
      </c>
      <c r="N2" t="str">
        <f>Year_2032!AZ6</f>
        <v>NB</v>
      </c>
      <c r="O2" t="str">
        <f>Year_2032!BA6</f>
        <v>SB</v>
      </c>
      <c r="P2" t="str">
        <f>Year_2032!BB6</f>
        <v>NB</v>
      </c>
      <c r="Q2" t="str">
        <f>Year_2032!BC6</f>
        <v>SB</v>
      </c>
    </row>
    <row r="3" spans="1:17" x14ac:dyDescent="0.3">
      <c r="A3" t="str">
        <f>Year_2032!AM7</f>
        <v>Segment</v>
      </c>
      <c r="B3" t="str">
        <f>Year_2032!AN7</f>
        <v>11</v>
      </c>
      <c r="C3" t="str">
        <f>Year_2032!AO7</f>
        <v>11</v>
      </c>
      <c r="D3" t="str">
        <f>Year_2032!AP7</f>
        <v>12</v>
      </c>
      <c r="E3" t="str">
        <f>Year_2032!AQ7</f>
        <v>12</v>
      </c>
      <c r="F3" t="str">
        <f>Year_2032!AR7</f>
        <v>13</v>
      </c>
      <c r="G3" t="str">
        <f>Year_2032!AS7</f>
        <v>13</v>
      </c>
      <c r="H3" t="str">
        <f>Year_2032!AT7</f>
        <v>14</v>
      </c>
      <c r="I3" t="str">
        <f>Year_2032!AU7</f>
        <v>14</v>
      </c>
      <c r="J3" t="str">
        <f>Year_2032!AV7</f>
        <v>15</v>
      </c>
      <c r="K3" t="str">
        <f>Year_2032!AW7</f>
        <v>15</v>
      </c>
      <c r="L3" t="str">
        <f>Year_2032!AX7</f>
        <v>16</v>
      </c>
      <c r="M3" t="str">
        <f>Year_2032!AY7</f>
        <v>16</v>
      </c>
      <c r="N3" t="str">
        <f>Year_2032!AZ7</f>
        <v>17</v>
      </c>
      <c r="O3" t="str">
        <f>Year_2032!BA7</f>
        <v>17</v>
      </c>
      <c r="P3" t="str">
        <f>Year_2032!BB7</f>
        <v>18</v>
      </c>
      <c r="Q3" t="str">
        <f>Year_2032!BC7</f>
        <v>18</v>
      </c>
    </row>
    <row r="4" spans="1:17" x14ac:dyDescent="0.3">
      <c r="A4" t="str">
        <f>Year_2032!AM8</f>
        <v>Period</v>
      </c>
      <c r="B4">
        <f>Year_2032!AN8</f>
        <v>0</v>
      </c>
      <c r="C4">
        <f>Year_2032!AO8</f>
        <v>0</v>
      </c>
      <c r="D4">
        <f>Year_2032!AP8</f>
        <v>0</v>
      </c>
      <c r="E4">
        <f>Year_2032!AQ8</f>
        <v>0</v>
      </c>
      <c r="F4">
        <f>Year_2032!AR8</f>
        <v>0</v>
      </c>
      <c r="G4">
        <f>Year_2032!AS8</f>
        <v>0</v>
      </c>
      <c r="H4">
        <f>Year_2032!AT8</f>
        <v>0</v>
      </c>
      <c r="I4">
        <f>Year_2032!AU8</f>
        <v>0</v>
      </c>
      <c r="J4">
        <f>Year_2032!AV8</f>
        <v>0</v>
      </c>
      <c r="K4">
        <f>Year_2032!AW8</f>
        <v>0</v>
      </c>
      <c r="L4">
        <f>Year_2032!AX8</f>
        <v>0</v>
      </c>
      <c r="M4">
        <f>Year_2032!AY8</f>
        <v>0</v>
      </c>
      <c r="N4">
        <f>Year_2032!AZ8</f>
        <v>0</v>
      </c>
      <c r="O4">
        <f>Year_2032!BA8</f>
        <v>0</v>
      </c>
      <c r="P4">
        <f>Year_2032!BB8</f>
        <v>0</v>
      </c>
      <c r="Q4">
        <f>Year_2032!BC8</f>
        <v>0</v>
      </c>
    </row>
    <row r="5" spans="1:17" x14ac:dyDescent="0.3">
      <c r="A5" t="str">
        <f>Year_2032!AM9</f>
        <v>Night</v>
      </c>
      <c r="B5">
        <f>Year_2050!AN9/Year_2040!AN9</f>
        <v>1.0925223214285715</v>
      </c>
      <c r="C5">
        <f>Year_2050!AO9/Year_2040!AO9</f>
        <v>1.084266617063492</v>
      </c>
      <c r="D5">
        <f>Year_2050!AP9/Year_2040!AP9</f>
        <v>1.0844123809523809</v>
      </c>
      <c r="E5">
        <f>Year_2050!AQ9/Year_2040!AQ9</f>
        <v>1.1040110931034635</v>
      </c>
      <c r="F5">
        <f>Year_2050!AR9/Year_2040!AR9</f>
        <v>1.0209030613886367</v>
      </c>
      <c r="G5">
        <f>Year_2050!AS9/Year_2040!AS9</f>
        <v>1.021043833413398</v>
      </c>
      <c r="H5">
        <f>Year_2050!AT9/Year_2040!AT9</f>
        <v>1.1436477629078066</v>
      </c>
      <c r="I5">
        <f>Year_2050!AU9/Year_2040!AU9</f>
        <v>1.1426479242217333</v>
      </c>
      <c r="J5">
        <f>Year_2050!AV9/Year_2040!AV9</f>
        <v>1.1694799330790442</v>
      </c>
      <c r="K5">
        <f>Year_2050!AW9/Year_2040!AW9</f>
        <v>1.098844040220107</v>
      </c>
      <c r="L5">
        <f>Year_2050!AX9/Year_2040!AX9</f>
        <v>1.0765716516600596</v>
      </c>
      <c r="M5">
        <f>Year_2050!AY9/Year_2040!AY9</f>
        <v>1</v>
      </c>
      <c r="N5">
        <f>Year_2050!AZ9/Year_2040!AZ9</f>
        <v>1.1674660128194765</v>
      </c>
      <c r="O5">
        <f>Year_2050!BA9/Year_2040!BA9</f>
        <v>1.1660263658375629</v>
      </c>
      <c r="P5">
        <f>Year_2050!BB9/Year_2040!BB9</f>
        <v>1.1447872201766105</v>
      </c>
      <c r="Q5">
        <f>Year_2050!BC9/Year_2040!BC9</f>
        <v>1.1410882250387542</v>
      </c>
    </row>
    <row r="6" spans="1:17" x14ac:dyDescent="0.3">
      <c r="A6" t="str">
        <f>Year_2032!AM10</f>
        <v>AM-Early</v>
      </c>
      <c r="B6">
        <f>Year_2050!AN10/Year_2040!AN10</f>
        <v>0.99161019160201402</v>
      </c>
      <c r="C6">
        <f>Year_2050!AO10/Year_2040!AO10</f>
        <v>1.1063228655325053</v>
      </c>
      <c r="D6">
        <f>Year_2050!AP10/Year_2040!AP10</f>
        <v>1.1463430123748648</v>
      </c>
      <c r="E6">
        <f>Year_2050!AQ10/Year_2040!AQ10</f>
        <v>0.98021240629511841</v>
      </c>
      <c r="F6">
        <f>Year_2050!AR10/Year_2040!AR10</f>
        <v>0.99602014547873785</v>
      </c>
      <c r="G6">
        <f>Year_2050!AS10/Year_2040!AS10</f>
        <v>1.0461886790028168</v>
      </c>
      <c r="H6">
        <f>Year_2050!AT10/Year_2040!AT10</f>
        <v>0.99577483538652156</v>
      </c>
      <c r="I6">
        <f>Year_2050!AU10/Year_2040!AU10</f>
        <v>1.0615745334700373</v>
      </c>
      <c r="J6">
        <f>Year_2050!AV10/Year_2040!AV10</f>
        <v>1.1046683472041008</v>
      </c>
      <c r="K6">
        <f>Year_2050!AW10/Year_2040!AW10</f>
        <v>1.1768672380009344</v>
      </c>
      <c r="L6">
        <f>Year_2050!AX10/Year_2040!AX10</f>
        <v>1.1046683472041008</v>
      </c>
      <c r="M6">
        <f>Year_2050!AY10/Year_2040!AY10</f>
        <v>1.1765813690554412</v>
      </c>
      <c r="N6">
        <f>Year_2050!AZ10/Year_2040!AZ10</f>
        <v>1.0947267259118558</v>
      </c>
      <c r="O6">
        <f>Year_2050!BA10/Year_2040!BA10</f>
        <v>1.0985646210422857</v>
      </c>
      <c r="P6">
        <f>Year_2050!BB10/Year_2040!BB10</f>
        <v>0.98890778837256987</v>
      </c>
      <c r="Q6">
        <f>Year_2050!BC10/Year_2040!BC10</f>
        <v>0.98470153118969339</v>
      </c>
    </row>
    <row r="7" spans="1:17" x14ac:dyDescent="0.3">
      <c r="A7" t="str">
        <f>Year_2032!AM11</f>
        <v>AM-Peak</v>
      </c>
      <c r="B7">
        <f>Year_2050!AN11/Year_2040!AN11</f>
        <v>1.0124776230686154</v>
      </c>
      <c r="C7">
        <f>Year_2050!AO11/Year_2040!AO11</f>
        <v>1.0650715949615797</v>
      </c>
      <c r="D7">
        <f>Year_2050!AP11/Year_2040!AP11</f>
        <v>1.1078282898512617</v>
      </c>
      <c r="E7">
        <f>Year_2050!AQ11/Year_2040!AQ11</f>
        <v>1.1317693251117851</v>
      </c>
      <c r="F7">
        <f>Year_2050!AR11/Year_2040!AR11</f>
        <v>1.042644851741116</v>
      </c>
      <c r="G7">
        <f>Year_2050!AS11/Year_2040!AS11</f>
        <v>1.1863695704264339</v>
      </c>
      <c r="H7">
        <f>Year_2050!AT11/Year_2040!AT11</f>
        <v>1.087009842548716</v>
      </c>
      <c r="I7">
        <f>Year_2050!AU11/Year_2040!AU11</f>
        <v>1.1285542270224476</v>
      </c>
      <c r="J7">
        <f>Year_2050!AV11/Year_2040!AV11</f>
        <v>1.169834519322162</v>
      </c>
      <c r="K7">
        <f>Year_2050!AW11/Year_2040!AW11</f>
        <v>1.1484646147883231</v>
      </c>
      <c r="L7">
        <f>Year_2050!AX11/Year_2040!AX11</f>
        <v>1.1561720579637953</v>
      </c>
      <c r="M7">
        <f>Year_2050!AY11/Year_2040!AY11</f>
        <v>1.1296208541243</v>
      </c>
      <c r="N7">
        <f>Year_2050!AZ11/Year_2040!AZ11</f>
        <v>1.0995678095854733</v>
      </c>
      <c r="O7">
        <f>Year_2050!BA11/Year_2040!BA11</f>
        <v>1.0924408800368446</v>
      </c>
      <c r="P7">
        <f>Year_2050!BB11/Year_2040!BB11</f>
        <v>1.2195614799095553</v>
      </c>
      <c r="Q7">
        <f>Year_2050!BC11/Year_2040!BC11</f>
        <v>1.0074256180567926</v>
      </c>
    </row>
    <row r="8" spans="1:17" x14ac:dyDescent="0.3">
      <c r="A8" t="str">
        <f>Year_2032!AM12</f>
        <v>AM-Shoulder</v>
      </c>
      <c r="B8">
        <f>Year_2050!AN12/Year_2040!AN12</f>
        <v>1.0335633017360788</v>
      </c>
      <c r="C8">
        <f>Year_2050!AO12/Year_2040!AO12</f>
        <v>1.0231915690383466</v>
      </c>
      <c r="D8">
        <f>Year_2050!AP12/Year_2040!AP12</f>
        <v>1.1259406598374866</v>
      </c>
      <c r="E8">
        <f>Year_2050!AQ12/Year_2040!AQ12</f>
        <v>1.0990911802254677</v>
      </c>
      <c r="F8">
        <f>Year_2050!AR12/Year_2040!AR12</f>
        <v>1.0336689084757091</v>
      </c>
      <c r="G8">
        <f>Year_2050!AS12/Year_2040!AS12</f>
        <v>1.0983037667111601</v>
      </c>
      <c r="H8">
        <f>Year_2050!AT12/Year_2040!AT12</f>
        <v>1.1613122826798112</v>
      </c>
      <c r="I8">
        <f>Year_2050!AU12/Year_2040!AU12</f>
        <v>1.1550771779609879</v>
      </c>
      <c r="J8">
        <f>Year_2050!AV12/Year_2040!AV12</f>
        <v>1.1593227214774178</v>
      </c>
      <c r="K8">
        <f>Year_2050!AW12/Year_2040!AW12</f>
        <v>1.1657665345507349</v>
      </c>
      <c r="L8">
        <f>Year_2050!AX12/Year_2040!AX12</f>
        <v>1.1451601198657912</v>
      </c>
      <c r="M8">
        <f>Year_2050!AY12/Year_2040!AY12</f>
        <v>1.167509541897312</v>
      </c>
      <c r="N8">
        <f>Year_2050!AZ12/Year_2040!AZ12</f>
        <v>1.1659747092808947</v>
      </c>
      <c r="O8">
        <f>Year_2050!BA12/Year_2040!BA12</f>
        <v>1.1658824282116456</v>
      </c>
      <c r="P8">
        <f>Year_2050!BB12/Year_2040!BB12</f>
        <v>1.0140904729587419</v>
      </c>
      <c r="Q8">
        <f>Year_2050!BC12/Year_2040!BC12</f>
        <v>1.012941153550172</v>
      </c>
    </row>
    <row r="9" spans="1:17" x14ac:dyDescent="0.3">
      <c r="A9" t="str">
        <f>Year_2032!AM13</f>
        <v>MD</v>
      </c>
      <c r="B9">
        <f>Year_2050!AN13/Year_2040!AN13</f>
        <v>1.0108625366559902</v>
      </c>
      <c r="C9">
        <f>Year_2050!AO13/Year_2040!AO13</f>
        <v>1.0321728606112146</v>
      </c>
      <c r="D9">
        <f>Year_2050!AP13/Year_2040!AP13</f>
        <v>1.0228940580113843</v>
      </c>
      <c r="E9">
        <f>Year_2050!AQ13/Year_2040!AQ13</f>
        <v>1.0203739643103544</v>
      </c>
      <c r="F9">
        <f>Year_2050!AR13/Year_2040!AR13</f>
        <v>1.056225873082042</v>
      </c>
      <c r="G9">
        <f>Year_2050!AS13/Year_2040!AS13</f>
        <v>1.1263401343875372</v>
      </c>
      <c r="H9">
        <f>Year_2050!AT13/Year_2040!AT13</f>
        <v>1.1470798528509867</v>
      </c>
      <c r="I9">
        <f>Year_2050!AU13/Year_2040!AU13</f>
        <v>1.1564419548470806</v>
      </c>
      <c r="J9">
        <f>Year_2050!AV13/Year_2040!AV13</f>
        <v>1.1567292796769262</v>
      </c>
      <c r="K9">
        <f>Year_2050!AW13/Year_2040!AW13</f>
        <v>1.1720106554257779</v>
      </c>
      <c r="L9">
        <f>Year_2050!AX13/Year_2040!AX13</f>
        <v>1.1768880426824175</v>
      </c>
      <c r="M9">
        <f>Year_2050!AY13/Year_2040!AY13</f>
        <v>1.1717204127411394</v>
      </c>
      <c r="N9">
        <f>Year_2050!AZ13/Year_2040!AZ13</f>
        <v>1.1645804718286605</v>
      </c>
      <c r="O9">
        <f>Year_2050!BA13/Year_2040!BA13</f>
        <v>1.1661181065481423</v>
      </c>
      <c r="P9">
        <f>Year_2050!BB13/Year_2040!BB13</f>
        <v>1.0204815937322018</v>
      </c>
      <c r="Q9">
        <f>Year_2050!BC13/Year_2040!BC13</f>
        <v>1.0178209128533289</v>
      </c>
    </row>
    <row r="10" spans="1:17" x14ac:dyDescent="0.3">
      <c r="A10" t="str">
        <f>Year_2032!AM14</f>
        <v>PM-Shoulder</v>
      </c>
      <c r="B10">
        <f>Year_2050!AN14/Year_2040!AN14</f>
        <v>1.014472916557968</v>
      </c>
      <c r="C10">
        <f>Year_2050!AO14/Year_2040!AO14</f>
        <v>1.054781735925937</v>
      </c>
      <c r="D10">
        <f>Year_2050!AP14/Year_2040!AP14</f>
        <v>1.1167578717495663</v>
      </c>
      <c r="E10">
        <f>Year_2050!AQ14/Year_2040!AQ14</f>
        <v>1.0642904829872462</v>
      </c>
      <c r="F10">
        <f>Year_2050!AR14/Year_2040!AR14</f>
        <v>1.0908513370652799</v>
      </c>
      <c r="G10">
        <f>Year_2050!AS14/Year_2040!AS14</f>
        <v>1.0537138905899126</v>
      </c>
      <c r="H10">
        <f>Year_2050!AT14/Year_2040!AT14</f>
        <v>1.1036987752753704</v>
      </c>
      <c r="I10">
        <f>Year_2050!AU14/Year_2040!AU14</f>
        <v>1.0610291421699536</v>
      </c>
      <c r="J10">
        <f>Year_2050!AV14/Year_2040!AV14</f>
        <v>1.1857427360585953</v>
      </c>
      <c r="K10">
        <f>Year_2050!AW14/Year_2040!AW14</f>
        <v>1.176119733464341</v>
      </c>
      <c r="L10">
        <f>Year_2050!AX14/Year_2040!AX14</f>
        <v>1.1798070388852697</v>
      </c>
      <c r="M10">
        <f>Year_2050!AY14/Year_2040!AY14</f>
        <v>1.1719069599529992</v>
      </c>
      <c r="N10">
        <f>Year_2050!AZ14/Year_2040!AZ14</f>
        <v>1.1698512518216071</v>
      </c>
      <c r="O10">
        <f>Year_2050!BA14/Year_2040!BA14</f>
        <v>1.1684556520711458</v>
      </c>
      <c r="P10">
        <f>Year_2050!BB14/Year_2040!BB14</f>
        <v>1.0183492986425777</v>
      </c>
      <c r="Q10">
        <f>Year_2050!BC14/Year_2040!BC14</f>
        <v>1.0043404127940931</v>
      </c>
    </row>
    <row r="11" spans="1:17" x14ac:dyDescent="0.3">
      <c r="A11" t="str">
        <f>Year_2032!AM15</f>
        <v>PM-Peak</v>
      </c>
      <c r="B11">
        <f>Year_2050!AN15/Year_2040!AN15</f>
        <v>1.06161633209511</v>
      </c>
      <c r="C11">
        <f>Year_2050!AO15/Year_2040!AO15</f>
        <v>1.0718898698858774</v>
      </c>
      <c r="D11">
        <f>Year_2050!AP15/Year_2040!AP15</f>
        <v>1.1810370371460317</v>
      </c>
      <c r="E11">
        <f>Year_2050!AQ15/Year_2040!AQ15</f>
        <v>1.1751803283087374</v>
      </c>
      <c r="F11">
        <f>Year_2050!AR15/Year_2040!AR15</f>
        <v>1.1062507888034394</v>
      </c>
      <c r="G11">
        <f>Year_2050!AS15/Year_2040!AS15</f>
        <v>1.1086345875344974</v>
      </c>
      <c r="H11">
        <f>Year_2050!AT15/Year_2040!AT15</f>
        <v>1.0871134543595729</v>
      </c>
      <c r="I11">
        <f>Year_2050!AU15/Year_2040!AU15</f>
        <v>1.1193124185162837</v>
      </c>
      <c r="J11">
        <f>Year_2050!AV15/Year_2040!AV15</f>
        <v>1.1454213142809757</v>
      </c>
      <c r="K11">
        <f>Year_2050!AW15/Year_2040!AW15</f>
        <v>1.1536977794597716</v>
      </c>
      <c r="L11">
        <f>Year_2050!AX15/Year_2040!AX15</f>
        <v>1.1235010212880454</v>
      </c>
      <c r="M11">
        <f>Year_2050!AY15/Year_2040!AY15</f>
        <v>1.1310899152617044</v>
      </c>
      <c r="N11">
        <f>Year_2050!AZ15/Year_2040!AZ15</f>
        <v>1.1186697036760267</v>
      </c>
      <c r="O11">
        <f>Year_2050!BA15/Year_2040!BA15</f>
        <v>1.1568163081987171</v>
      </c>
      <c r="P11">
        <f>Year_2050!BB15/Year_2040!BB15</f>
        <v>1.1414258412542053</v>
      </c>
      <c r="Q11">
        <f>Year_2050!BC15/Year_2040!BC15</f>
        <v>1.0170634721226754</v>
      </c>
    </row>
    <row r="12" spans="1:17" x14ac:dyDescent="0.3">
      <c r="A12" t="str">
        <f>Year_2032!AM16</f>
        <v>PM-Late</v>
      </c>
      <c r="B12">
        <f>Year_2050!AN16/Year_2040!AN16</f>
        <v>1.087713607949232</v>
      </c>
      <c r="C12">
        <f>Year_2050!AO16/Year_2040!AO16</f>
        <v>1.1409043653105757</v>
      </c>
      <c r="D12">
        <f>Year_2050!AP16/Year_2040!AP16</f>
        <v>1.0492097086531724</v>
      </c>
      <c r="E12">
        <f>Year_2050!AQ16/Year_2040!AQ16</f>
        <v>1.1363408887394715</v>
      </c>
      <c r="F12">
        <f>Year_2050!AR16/Year_2040!AR16</f>
        <v>1.0395503665815429</v>
      </c>
      <c r="G12">
        <f>Year_2050!AS16/Year_2040!AS16</f>
        <v>1.0573429157496386</v>
      </c>
      <c r="H12">
        <f>Year_2050!AT16/Year_2040!AT16</f>
        <v>1.108114458620862</v>
      </c>
      <c r="I12">
        <f>Year_2050!AU16/Year_2040!AU16</f>
        <v>1.1475058021538371</v>
      </c>
      <c r="J12">
        <f>Year_2050!AV16/Year_2040!AV16</f>
        <v>1.0947099317798095</v>
      </c>
      <c r="K12">
        <f>Year_2050!AW16/Year_2040!AW16</f>
        <v>1.0562552058376133</v>
      </c>
      <c r="L12">
        <f>Year_2050!AX16/Year_2040!AX16</f>
        <v>1.0947056893429132</v>
      </c>
      <c r="M12">
        <f>Year_2050!AY16/Year_2040!AY16</f>
        <v>1.0562556304472881</v>
      </c>
      <c r="N12">
        <f>Year_2050!AZ16/Year_2040!AZ16</f>
        <v>1.1699947642938093</v>
      </c>
      <c r="O12">
        <f>Year_2050!BA16/Year_2040!BA16</f>
        <v>1.1729852166254791</v>
      </c>
      <c r="P12">
        <f>Year_2050!BB16/Year_2040!BB16</f>
        <v>0.98380789707528071</v>
      </c>
      <c r="Q12">
        <f>Year_2050!BC16/Year_2040!BC16</f>
        <v>0.98104026950505319</v>
      </c>
    </row>
    <row r="13" spans="1:17" x14ac:dyDescent="0.3">
      <c r="A13">
        <f>Year_2032!AM17</f>
        <v>0</v>
      </c>
      <c r="B13">
        <f>Year_2032!AN17</f>
        <v>0</v>
      </c>
      <c r="C13">
        <f>Year_2032!AO17</f>
        <v>0</v>
      </c>
      <c r="D13">
        <f>Year_2032!AP17</f>
        <v>0</v>
      </c>
      <c r="E13">
        <f>Year_2032!AQ17</f>
        <v>0</v>
      </c>
      <c r="F13">
        <f>Year_2032!AR17</f>
        <v>0</v>
      </c>
      <c r="G13">
        <f>Year_2032!AS17</f>
        <v>0</v>
      </c>
      <c r="H13">
        <f>Year_2032!AT17</f>
        <v>0</v>
      </c>
      <c r="I13">
        <f>Year_2032!AU17</f>
        <v>0</v>
      </c>
      <c r="J13">
        <f>Year_2032!AV17</f>
        <v>0</v>
      </c>
      <c r="K13">
        <f>Year_2032!AW17</f>
        <v>0</v>
      </c>
      <c r="L13">
        <f>Year_2032!AX17</f>
        <v>0</v>
      </c>
      <c r="M13">
        <f>Year_2032!AY17</f>
        <v>0</v>
      </c>
      <c r="N13">
        <f>Year_2032!AZ17</f>
        <v>0</v>
      </c>
      <c r="O13">
        <f>Year_2032!BA17</f>
        <v>0</v>
      </c>
      <c r="P13">
        <f>Year_2032!BB17</f>
        <v>0</v>
      </c>
      <c r="Q13">
        <f>Year_2032!BC17</f>
        <v>0</v>
      </c>
    </row>
    <row r="14" spans="1:17" x14ac:dyDescent="0.3">
      <c r="A14">
        <f>Year_2032!AM18</f>
        <v>0</v>
      </c>
      <c r="B14">
        <f>Year_2032!AN18</f>
        <v>0</v>
      </c>
      <c r="C14">
        <f>Year_2032!AO18</f>
        <v>0</v>
      </c>
      <c r="D14">
        <f>Year_2032!AP18</f>
        <v>0</v>
      </c>
      <c r="E14">
        <f>Year_2032!AQ18</f>
        <v>0</v>
      </c>
      <c r="F14">
        <f>Year_2032!AR18</f>
        <v>0</v>
      </c>
      <c r="G14">
        <f>Year_2032!AS18</f>
        <v>0</v>
      </c>
      <c r="H14">
        <f>Year_2032!AT18</f>
        <v>0</v>
      </c>
      <c r="I14">
        <f>Year_2032!AU18</f>
        <v>0</v>
      </c>
      <c r="J14">
        <f>Year_2032!AV18</f>
        <v>0</v>
      </c>
      <c r="K14">
        <f>Year_2032!AW18</f>
        <v>0</v>
      </c>
      <c r="L14">
        <f>Year_2032!AX18</f>
        <v>0</v>
      </c>
      <c r="M14">
        <f>Year_2032!AY18</f>
        <v>0</v>
      </c>
      <c r="N14">
        <f>Year_2032!AZ18</f>
        <v>0</v>
      </c>
      <c r="O14">
        <f>Year_2032!BA18</f>
        <v>0</v>
      </c>
      <c r="P14">
        <f>Year_2032!BB18</f>
        <v>0</v>
      </c>
      <c r="Q14">
        <f>Year_2032!BC18</f>
        <v>0</v>
      </c>
    </row>
    <row r="15" spans="1:17" x14ac:dyDescent="0.3">
      <c r="A15" t="str">
        <f>Year_2032!AM19</f>
        <v>GP Volume (PCE/Period)</v>
      </c>
      <c r="B15">
        <f>Year_2032!AN19</f>
        <v>0</v>
      </c>
      <c r="C15">
        <f>Year_2032!AO19</f>
        <v>0</v>
      </c>
      <c r="D15">
        <f>Year_2032!AP19</f>
        <v>0</v>
      </c>
      <c r="E15">
        <f>Year_2032!AQ19</f>
        <v>0</v>
      </c>
      <c r="F15">
        <f>Year_2032!AR19</f>
        <v>0</v>
      </c>
      <c r="G15">
        <f>Year_2032!AS19</f>
        <v>0</v>
      </c>
      <c r="H15">
        <f>Year_2032!AT19</f>
        <v>0</v>
      </c>
      <c r="I15">
        <f>Year_2032!AU19</f>
        <v>0</v>
      </c>
      <c r="J15">
        <f>Year_2032!AV19</f>
        <v>0</v>
      </c>
      <c r="K15">
        <f>Year_2032!AW19</f>
        <v>0</v>
      </c>
      <c r="L15">
        <f>Year_2032!AX19</f>
        <v>0</v>
      </c>
      <c r="M15">
        <f>Year_2032!AY19</f>
        <v>0</v>
      </c>
      <c r="N15">
        <f>Year_2032!AZ19</f>
        <v>0</v>
      </c>
      <c r="O15">
        <f>Year_2032!BA19</f>
        <v>0</v>
      </c>
      <c r="P15">
        <f>Year_2032!BB19</f>
        <v>0</v>
      </c>
      <c r="Q15">
        <f>Year_2032!BC19</f>
        <v>0</v>
      </c>
    </row>
    <row r="16" spans="1:17" x14ac:dyDescent="0.3">
      <c r="A16" t="str">
        <f>Year_2032!AM20</f>
        <v>Direction</v>
      </c>
      <c r="B16" t="str">
        <f>Year_2032!AN20</f>
        <v>NB</v>
      </c>
      <c r="C16" t="str">
        <f>Year_2032!AO20</f>
        <v>SB</v>
      </c>
      <c r="D16" t="str">
        <f>Year_2032!AP20</f>
        <v>NB</v>
      </c>
      <c r="E16" t="str">
        <f>Year_2032!AQ20</f>
        <v>SB</v>
      </c>
      <c r="F16" t="str">
        <f>Year_2032!AR20</f>
        <v>NB</v>
      </c>
      <c r="G16" t="str">
        <f>Year_2032!AS20</f>
        <v>SB</v>
      </c>
      <c r="H16" t="str">
        <f>Year_2032!AT20</f>
        <v>NB</v>
      </c>
      <c r="I16" t="str">
        <f>Year_2032!AU20</f>
        <v>SB</v>
      </c>
      <c r="J16" t="str">
        <f>Year_2032!AV20</f>
        <v>NB</v>
      </c>
      <c r="K16" t="str">
        <f>Year_2032!AW20</f>
        <v>SB</v>
      </c>
      <c r="L16" t="str">
        <f>Year_2032!AX20</f>
        <v>NB</v>
      </c>
      <c r="M16" t="str">
        <f>Year_2032!AY20</f>
        <v>SB</v>
      </c>
      <c r="N16" t="str">
        <f>Year_2032!AZ20</f>
        <v>NB</v>
      </c>
      <c r="O16" t="str">
        <f>Year_2032!BA20</f>
        <v>SB</v>
      </c>
      <c r="P16" t="str">
        <f>Year_2032!BB20</f>
        <v>NB</v>
      </c>
      <c r="Q16" t="str">
        <f>Year_2032!BC20</f>
        <v>SB</v>
      </c>
    </row>
    <row r="17" spans="1:17" x14ac:dyDescent="0.3">
      <c r="A17" t="str">
        <f>Year_2032!AM21</f>
        <v>Segment</v>
      </c>
      <c r="B17" t="str">
        <f>Year_2032!AN21</f>
        <v>11</v>
      </c>
      <c r="C17" t="str">
        <f>Year_2032!AO21</f>
        <v>11</v>
      </c>
      <c r="D17" t="str">
        <f>Year_2032!AP21</f>
        <v>12</v>
      </c>
      <c r="E17" t="str">
        <f>Year_2032!AQ21</f>
        <v>12</v>
      </c>
      <c r="F17" t="str">
        <f>Year_2032!AR21</f>
        <v>13</v>
      </c>
      <c r="G17" t="str">
        <f>Year_2032!AS21</f>
        <v>13</v>
      </c>
      <c r="H17" t="str">
        <f>Year_2032!AT21</f>
        <v>14</v>
      </c>
      <c r="I17" t="str">
        <f>Year_2032!AU21</f>
        <v>14</v>
      </c>
      <c r="J17" t="str">
        <f>Year_2032!AV21</f>
        <v>15</v>
      </c>
      <c r="K17" t="str">
        <f>Year_2032!AW21</f>
        <v>15</v>
      </c>
      <c r="L17" t="str">
        <f>Year_2032!AX21</f>
        <v>16</v>
      </c>
      <c r="M17" t="str">
        <f>Year_2032!AY21</f>
        <v>16</v>
      </c>
      <c r="N17" t="str">
        <f>Year_2032!AZ21</f>
        <v>17</v>
      </c>
      <c r="O17" t="str">
        <f>Year_2032!BA21</f>
        <v>17</v>
      </c>
      <c r="P17" t="str">
        <f>Year_2032!BB21</f>
        <v>18</v>
      </c>
      <c r="Q17" t="str">
        <f>Year_2032!BC21</f>
        <v>18</v>
      </c>
    </row>
    <row r="18" spans="1:17" x14ac:dyDescent="0.3">
      <c r="A18" t="str">
        <f>Year_2032!AM22</f>
        <v>Period</v>
      </c>
      <c r="B18">
        <f>Year_2032!AN22</f>
        <v>0</v>
      </c>
      <c r="C18">
        <f>Year_2032!AO22</f>
        <v>0</v>
      </c>
      <c r="D18">
        <f>Year_2032!AP22</f>
        <v>0</v>
      </c>
      <c r="E18">
        <f>Year_2032!AQ22</f>
        <v>0</v>
      </c>
      <c r="F18">
        <f>Year_2032!AR22</f>
        <v>0</v>
      </c>
      <c r="G18">
        <f>Year_2032!AS22</f>
        <v>0</v>
      </c>
      <c r="H18">
        <f>Year_2032!AT22</f>
        <v>0</v>
      </c>
      <c r="I18">
        <f>Year_2032!AU22</f>
        <v>0</v>
      </c>
      <c r="J18">
        <f>Year_2032!AV22</f>
        <v>0</v>
      </c>
      <c r="K18">
        <f>Year_2032!AW22</f>
        <v>0</v>
      </c>
      <c r="L18">
        <f>Year_2032!AX22</f>
        <v>0</v>
      </c>
      <c r="M18">
        <f>Year_2032!AY22</f>
        <v>0</v>
      </c>
      <c r="N18">
        <f>Year_2032!AZ22</f>
        <v>0</v>
      </c>
      <c r="O18">
        <f>Year_2032!BA22</f>
        <v>0</v>
      </c>
      <c r="P18">
        <f>Year_2032!BB22</f>
        <v>0</v>
      </c>
      <c r="Q18">
        <f>Year_2032!BC22</f>
        <v>0</v>
      </c>
    </row>
    <row r="19" spans="1:17" x14ac:dyDescent="0.3">
      <c r="A19" t="str">
        <f>Year_2032!AM23</f>
        <v>Night</v>
      </c>
      <c r="B19">
        <f>Year_2050!AN23/Year_2040!AN23</f>
        <v>1.0925220238095237</v>
      </c>
      <c r="C19">
        <f>Year_2050!AO23/Year_2040!AO23</f>
        <v>1.0842666666666667</v>
      </c>
      <c r="D19">
        <f>Year_2050!AP23/Year_2040!AP23</f>
        <v>1.0844123809523809</v>
      </c>
      <c r="E19">
        <f>Year_2050!AQ23/Year_2040!AQ23</f>
        <v>1.1040109770234288</v>
      </c>
      <c r="F19">
        <f>Year_2050!AR23/Year_2040!AR23</f>
        <v>1.020903554969252</v>
      </c>
      <c r="G19">
        <f>Year_2050!AS23/Year_2040!AS23</f>
        <v>1.0210436705158945</v>
      </c>
      <c r="H19">
        <f>Year_2050!AT23/Year_2040!AT23</f>
        <v>1.1436479868642389</v>
      </c>
      <c r="I19">
        <f>Year_2050!AU23/Year_2040!AU23</f>
        <v>1.1426484135366508</v>
      </c>
      <c r="J19">
        <f>Year_2050!AV23/Year_2040!AV23</f>
        <v>1.1694799581418627</v>
      </c>
      <c r="K19">
        <f>Year_2050!AW23/Year_2040!AW23</f>
        <v>1.0988441729078398</v>
      </c>
      <c r="L19">
        <f>Year_2050!AX23/Year_2040!AX23</f>
        <v>1.0765718108642757</v>
      </c>
      <c r="M19">
        <f>Year_2050!AY23/Year_2040!AY23</f>
        <v>1</v>
      </c>
      <c r="N19">
        <f>Year_2050!AZ23/Year_2040!AZ23</f>
        <v>1.1674666867850507</v>
      </c>
      <c r="O19">
        <f>Year_2050!BA23/Year_2040!BA23</f>
        <v>1.1660263119317349</v>
      </c>
      <c r="P19">
        <f>Year_2050!BB23/Year_2040!BB23</f>
        <v>1.1447871038017345</v>
      </c>
      <c r="Q19">
        <f>Year_2050!BC23/Year_2040!BC23</f>
        <v>1.1410889647183768</v>
      </c>
    </row>
    <row r="20" spans="1:17" x14ac:dyDescent="0.3">
      <c r="A20" t="str">
        <f>Year_2032!AM24</f>
        <v>AM-Early</v>
      </c>
      <c r="B20">
        <f>Year_2050!AN24/Year_2040!AN24</f>
        <v>0.99161057883267734</v>
      </c>
      <c r="C20">
        <f>Year_2050!AO24/Year_2040!AO24</f>
        <v>1.1063242797044228</v>
      </c>
      <c r="D20">
        <f>Year_2050!AP24/Year_2040!AP24</f>
        <v>1.1463423327288613</v>
      </c>
      <c r="E20">
        <f>Year_2050!AQ24/Year_2040!AQ24</f>
        <v>0.98021343390177107</v>
      </c>
      <c r="F20">
        <f>Year_2050!AR24/Year_2040!AR24</f>
        <v>0.99602088091204299</v>
      </c>
      <c r="G20">
        <f>Year_2050!AS24/Year_2040!AS24</f>
        <v>1.0461873716736345</v>
      </c>
      <c r="H20">
        <f>Year_2050!AT24/Year_2040!AT24</f>
        <v>0.99577585682520153</v>
      </c>
      <c r="I20">
        <f>Year_2050!AU24/Year_2040!AU24</f>
        <v>1.0615751984815398</v>
      </c>
      <c r="J20">
        <f>Year_2050!AV24/Year_2040!AV24</f>
        <v>1.1046678218356207</v>
      </c>
      <c r="K20">
        <f>Year_2050!AW24/Year_2040!AW24</f>
        <v>1.1768672380009342</v>
      </c>
      <c r="L20">
        <f>Year_2050!AX24/Year_2040!AX24</f>
        <v>1.1046678218356207</v>
      </c>
      <c r="M20">
        <f>Year_2050!AY24/Year_2040!AY24</f>
        <v>1.1765822954597118</v>
      </c>
      <c r="N20">
        <f>Year_2050!AZ24/Year_2040!AZ24</f>
        <v>1.0947287443817357</v>
      </c>
      <c r="O20">
        <f>Year_2050!BA24/Year_2040!BA24</f>
        <v>1.0985632950289312</v>
      </c>
      <c r="P20">
        <f>Year_2050!BB24/Year_2040!BB24</f>
        <v>0.98890852301773269</v>
      </c>
      <c r="Q20">
        <f>Year_2050!BC24/Year_2040!BC24</f>
        <v>0.98470115926816015</v>
      </c>
    </row>
    <row r="21" spans="1:17" x14ac:dyDescent="0.3">
      <c r="A21" t="str">
        <f>Year_2032!AM25</f>
        <v>AM-Peak</v>
      </c>
      <c r="B21">
        <f>Year_2050!AN25/Year_2040!AN25</f>
        <v>1.0124774956966693</v>
      </c>
      <c r="C21">
        <f>Year_2050!AO25/Year_2040!AO25</f>
        <v>1.0650710881684782</v>
      </c>
      <c r="D21">
        <f>Year_2050!AP25/Year_2040!AP25</f>
        <v>1.1078283566667253</v>
      </c>
      <c r="E21">
        <f>Year_2050!AQ25/Year_2040!AQ25</f>
        <v>1.1317695907606016</v>
      </c>
      <c r="F21">
        <f>Year_2050!AR25/Year_2040!AR25</f>
        <v>1.0426448976828342</v>
      </c>
      <c r="G21">
        <f>Year_2050!AS25/Year_2040!AS25</f>
        <v>1.1863695704264337</v>
      </c>
      <c r="H21">
        <f>Year_2050!AT25/Year_2040!AT25</f>
        <v>1.0870098085993514</v>
      </c>
      <c r="I21">
        <f>Year_2050!AU25/Year_2040!AU25</f>
        <v>1.1285542361327352</v>
      </c>
      <c r="J21">
        <f>Year_2050!AV25/Year_2040!AV25</f>
        <v>1.1698343838833269</v>
      </c>
      <c r="K21">
        <f>Year_2050!AW25/Year_2040!AW25</f>
        <v>1.1484646505076572</v>
      </c>
      <c r="L21">
        <f>Year_2050!AX25/Year_2040!AX25</f>
        <v>1.1561720039394334</v>
      </c>
      <c r="M21">
        <f>Year_2050!AY25/Year_2040!AY25</f>
        <v>1.129621146798879</v>
      </c>
      <c r="N21">
        <f>Year_2050!AZ25/Year_2040!AZ25</f>
        <v>1.0995682002814948</v>
      </c>
      <c r="O21">
        <f>Year_2050!BA25/Year_2040!BA25</f>
        <v>1.0924414165736771</v>
      </c>
      <c r="P21">
        <f>Year_2050!BB25/Year_2040!BB25</f>
        <v>1.2195620300453245</v>
      </c>
      <c r="Q21">
        <f>Year_2050!BC25/Year_2040!BC25</f>
        <v>1.0074252620833914</v>
      </c>
    </row>
    <row r="22" spans="1:17" x14ac:dyDescent="0.3">
      <c r="A22" t="str">
        <f>Year_2032!AM26</f>
        <v>AM-Shoulder</v>
      </c>
      <c r="B22">
        <f>Year_2050!AN26/Year_2040!AN26</f>
        <v>1.0335638540646295</v>
      </c>
      <c r="C22">
        <f>Year_2050!AO26/Year_2040!AO26</f>
        <v>1.0231931102342235</v>
      </c>
      <c r="D22">
        <f>Year_2050!AP26/Year_2040!AP26</f>
        <v>1.1259410690435303</v>
      </c>
      <c r="E22">
        <f>Year_2050!AQ26/Year_2040!AQ26</f>
        <v>1.0990912289940522</v>
      </c>
      <c r="F22">
        <f>Year_2050!AR26/Year_2040!AR26</f>
        <v>1.0336682687829908</v>
      </c>
      <c r="G22">
        <f>Year_2050!AS26/Year_2040!AS26</f>
        <v>1.0983046443799886</v>
      </c>
      <c r="H22">
        <f>Year_2050!AT26/Year_2040!AT26</f>
        <v>1.1613119751406629</v>
      </c>
      <c r="I22">
        <f>Year_2050!AU26/Year_2040!AU26</f>
        <v>1.1550773154372962</v>
      </c>
      <c r="J22">
        <f>Year_2050!AV26/Year_2040!AV26</f>
        <v>1.1593228351109406</v>
      </c>
      <c r="K22">
        <f>Year_2050!AW26/Year_2040!AW26</f>
        <v>1.1657663031321808</v>
      </c>
      <c r="L22">
        <f>Year_2050!AX26/Year_2040!AX26</f>
        <v>1.145159589718926</v>
      </c>
      <c r="M22">
        <f>Year_2050!AY26/Year_2040!AY26</f>
        <v>1.1675071282416527</v>
      </c>
      <c r="N22">
        <f>Year_2050!AZ26/Year_2040!AZ26</f>
        <v>1.1659767773477285</v>
      </c>
      <c r="O22">
        <f>Year_2050!BA26/Year_2040!BA26</f>
        <v>1.1658829133637063</v>
      </c>
      <c r="P22">
        <f>Year_2050!BB26/Year_2040!BB26</f>
        <v>1.0140918902828302</v>
      </c>
      <c r="Q22">
        <f>Year_2050!BC26/Year_2040!BC26</f>
        <v>1.0129421276678647</v>
      </c>
    </row>
    <row r="23" spans="1:17" x14ac:dyDescent="0.3">
      <c r="A23" t="str">
        <f>Year_2032!AM27</f>
        <v>MD</v>
      </c>
      <c r="B23">
        <f>Year_2050!AN27/Year_2040!AN27</f>
        <v>1.0108625007692094</v>
      </c>
      <c r="C23">
        <f>Year_2050!AO27/Year_2040!AO27</f>
        <v>1.0321730038631984</v>
      </c>
      <c r="D23">
        <f>Year_2050!AP27/Year_2040!AP27</f>
        <v>1.0228941685845807</v>
      </c>
      <c r="E23">
        <f>Year_2050!AQ27/Year_2040!AQ27</f>
        <v>1.0203739631217441</v>
      </c>
      <c r="F23">
        <f>Year_2050!AR27/Year_2040!AR27</f>
        <v>1.0562259415570661</v>
      </c>
      <c r="G23">
        <f>Year_2050!AS27/Year_2040!AS27</f>
        <v>1.1263399543399046</v>
      </c>
      <c r="H23">
        <f>Year_2050!AT27/Year_2040!AT27</f>
        <v>1.1470801558807528</v>
      </c>
      <c r="I23">
        <f>Year_2050!AU27/Year_2040!AU27</f>
        <v>1.1564418740782705</v>
      </c>
      <c r="J23">
        <f>Year_2050!AV27/Year_2040!AV27</f>
        <v>1.1567293590034828</v>
      </c>
      <c r="K23">
        <f>Year_2050!AW27/Year_2040!AW27</f>
        <v>1.1720105141637986</v>
      </c>
      <c r="L23">
        <f>Year_2050!AX27/Year_2040!AX27</f>
        <v>1.1768879775728147</v>
      </c>
      <c r="M23">
        <f>Year_2050!AY27/Year_2040!AY27</f>
        <v>1.171720213107452</v>
      </c>
      <c r="N23">
        <f>Year_2050!AZ27/Year_2040!AZ27</f>
        <v>1.1645806056019088</v>
      </c>
      <c r="O23">
        <f>Year_2050!BA27/Year_2040!BA27</f>
        <v>1.1661174959494287</v>
      </c>
      <c r="P23">
        <f>Year_2050!BB27/Year_2040!BB27</f>
        <v>1.0204818167107432</v>
      </c>
      <c r="Q23">
        <f>Year_2050!BC27/Year_2040!BC27</f>
        <v>1.0178208335382308</v>
      </c>
    </row>
    <row r="24" spans="1:17" x14ac:dyDescent="0.3">
      <c r="A24" t="str">
        <f>Year_2032!AM28</f>
        <v>PM-Shoulder</v>
      </c>
      <c r="B24">
        <f>Year_2050!AN28/Year_2040!AN28</f>
        <v>1.0144719659529071</v>
      </c>
      <c r="C24">
        <f>Year_2050!AO28/Year_2040!AO28</f>
        <v>1.0547814691443025</v>
      </c>
      <c r="D24">
        <f>Year_2050!AP28/Year_2040!AP28</f>
        <v>1.1167585432163842</v>
      </c>
      <c r="E24">
        <f>Year_2050!AQ28/Year_2040!AQ28</f>
        <v>1.0642908666758752</v>
      </c>
      <c r="F24">
        <f>Year_2050!AR28/Year_2040!AR28</f>
        <v>1.0908515096841009</v>
      </c>
      <c r="G24">
        <f>Year_2050!AS28/Year_2040!AS28</f>
        <v>1.0537129714065276</v>
      </c>
      <c r="H24">
        <f>Year_2050!AT28/Year_2040!AT28</f>
        <v>1.1036983048517475</v>
      </c>
      <c r="I24">
        <f>Year_2050!AU28/Year_2040!AU28</f>
        <v>1.0610296313131988</v>
      </c>
      <c r="J24">
        <f>Year_2050!AV28/Year_2040!AV28</f>
        <v>1.1857423172407882</v>
      </c>
      <c r="K24">
        <f>Year_2050!AW28/Year_2040!AW28</f>
        <v>1.1761194566879554</v>
      </c>
      <c r="L24">
        <f>Year_2050!AX28/Year_2040!AX28</f>
        <v>1.1798081490955601</v>
      </c>
      <c r="M24">
        <f>Year_2050!AY28/Year_2040!AY28</f>
        <v>1.171908844765343</v>
      </c>
      <c r="N24">
        <f>Year_2050!AZ28/Year_2040!AZ28</f>
        <v>1.1698491908135977</v>
      </c>
      <c r="O24">
        <f>Year_2050!BA28/Year_2040!BA28</f>
        <v>1.1684541001355699</v>
      </c>
      <c r="P24">
        <f>Year_2050!BB28/Year_2040!BB28</f>
        <v>1.0183493057458877</v>
      </c>
      <c r="Q24">
        <f>Year_2050!BC28/Year_2040!BC28</f>
        <v>1.0043386494310218</v>
      </c>
    </row>
    <row r="25" spans="1:17" x14ac:dyDescent="0.3">
      <c r="A25" t="str">
        <f>Year_2032!AM29</f>
        <v>PM-Peak</v>
      </c>
      <c r="B25">
        <f>Year_2050!AN29/Year_2040!AN29</f>
        <v>1.061616393599927</v>
      </c>
      <c r="C25">
        <f>Year_2050!AO29/Year_2040!AO29</f>
        <v>1.0718899403972753</v>
      </c>
      <c r="D25">
        <f>Year_2050!AP29/Year_2040!AP29</f>
        <v>1.1810372377235709</v>
      </c>
      <c r="E25">
        <f>Year_2050!AQ29/Year_2040!AQ29</f>
        <v>1.1751802576955965</v>
      </c>
      <c r="F25">
        <f>Year_2050!AR29/Year_2040!AR29</f>
        <v>1.1062509142363066</v>
      </c>
      <c r="G25">
        <f>Year_2050!AS29/Year_2040!AS29</f>
        <v>1.1086348078475996</v>
      </c>
      <c r="H25">
        <f>Year_2050!AT29/Year_2040!AT29</f>
        <v>1.0871133984141417</v>
      </c>
      <c r="I25">
        <f>Year_2050!AU29/Year_2040!AU29</f>
        <v>1.1193123418506032</v>
      </c>
      <c r="J25">
        <f>Year_2050!AV29/Year_2040!AV29</f>
        <v>1.145421668351984</v>
      </c>
      <c r="K25">
        <f>Year_2050!AW29/Year_2040!AW29</f>
        <v>1.1536978854964295</v>
      </c>
      <c r="L25">
        <f>Year_2050!AX29/Year_2040!AX29</f>
        <v>1.123500891673229</v>
      </c>
      <c r="M25">
        <f>Year_2050!AY29/Year_2040!AY29</f>
        <v>1.1310899818202296</v>
      </c>
      <c r="N25">
        <f>Year_2050!AZ29/Year_2040!AZ29</f>
        <v>1.1186693103011207</v>
      </c>
      <c r="O25">
        <f>Year_2050!BA29/Year_2040!BA29</f>
        <v>1.1568164096030185</v>
      </c>
      <c r="P25">
        <f>Year_2050!BB29/Year_2040!BB29</f>
        <v>1.1414264825296567</v>
      </c>
      <c r="Q25">
        <f>Year_2050!BC29/Year_2040!BC29</f>
        <v>1.0170630663797611</v>
      </c>
    </row>
    <row r="26" spans="1:17" x14ac:dyDescent="0.3">
      <c r="A26" t="str">
        <f>Year_2032!AM30</f>
        <v>PM-Late</v>
      </c>
      <c r="B26">
        <f>Year_2050!AN30/Year_2040!AN30</f>
        <v>1.0877139603418151</v>
      </c>
      <c r="C26">
        <f>Year_2050!AO30/Year_2040!AO30</f>
        <v>1.1409049009264967</v>
      </c>
      <c r="D26">
        <f>Year_2050!AP30/Year_2040!AP30</f>
        <v>1.0492100286707742</v>
      </c>
      <c r="E26">
        <f>Year_2050!AQ30/Year_2040!AQ30</f>
        <v>1.1363407079017294</v>
      </c>
      <c r="F26">
        <f>Year_2050!AR30/Year_2040!AR30</f>
        <v>1.0395505104357026</v>
      </c>
      <c r="G26">
        <f>Year_2050!AS30/Year_2040!AS30</f>
        <v>1.057343596161185</v>
      </c>
      <c r="H26">
        <f>Year_2050!AT30/Year_2040!AT30</f>
        <v>1.108115444710992</v>
      </c>
      <c r="I26">
        <f>Year_2050!AU30/Year_2040!AU30</f>
        <v>1.1475059387333595</v>
      </c>
      <c r="J26">
        <f>Year_2050!AV30/Year_2040!AV30</f>
        <v>1.09471006096025</v>
      </c>
      <c r="K26">
        <f>Year_2050!AW30/Year_2040!AW30</f>
        <v>1.0562551344842939</v>
      </c>
      <c r="L26">
        <f>Year_2050!AX30/Year_2040!AX30</f>
        <v>1.0947063841792728</v>
      </c>
      <c r="M26">
        <f>Year_2050!AY30/Year_2040!AY30</f>
        <v>1.0562551344842939</v>
      </c>
      <c r="N26">
        <f>Year_2050!AZ30/Year_2040!AZ30</f>
        <v>1.1699941545698738</v>
      </c>
      <c r="O26">
        <f>Year_2050!BA30/Year_2040!BA30</f>
        <v>1.1729841403369867</v>
      </c>
      <c r="P26">
        <f>Year_2050!BB30/Year_2040!BB30</f>
        <v>0.98380739320336641</v>
      </c>
      <c r="Q26">
        <f>Year_2050!BC30/Year_2040!BC30</f>
        <v>0.98103965239362723</v>
      </c>
    </row>
    <row r="27" spans="1:17" x14ac:dyDescent="0.3">
      <c r="A27">
        <f>Year_2032!AM31</f>
        <v>0</v>
      </c>
      <c r="B27">
        <f>Year_2032!AN31</f>
        <v>0</v>
      </c>
      <c r="C27">
        <f>Year_2032!AO31</f>
        <v>0</v>
      </c>
      <c r="D27">
        <f>Year_2032!AP31</f>
        <v>0</v>
      </c>
      <c r="E27">
        <f>Year_2032!AQ31</f>
        <v>0</v>
      </c>
      <c r="F27">
        <f>Year_2032!AR31</f>
        <v>0</v>
      </c>
      <c r="G27">
        <f>Year_2032!AS31</f>
        <v>0</v>
      </c>
      <c r="H27">
        <f>Year_2032!AT31</f>
        <v>0</v>
      </c>
      <c r="I27">
        <f>Year_2032!AU31</f>
        <v>0</v>
      </c>
      <c r="J27">
        <f>Year_2032!AV31</f>
        <v>0</v>
      </c>
      <c r="K27">
        <f>Year_2032!AW31</f>
        <v>0</v>
      </c>
      <c r="L27">
        <f>Year_2032!AX31</f>
        <v>0</v>
      </c>
      <c r="M27">
        <f>Year_2032!AY31</f>
        <v>0</v>
      </c>
      <c r="N27">
        <f>Year_2032!AZ31</f>
        <v>0</v>
      </c>
      <c r="O27">
        <f>Year_2032!BA31</f>
        <v>0</v>
      </c>
      <c r="P27">
        <f>Year_2032!BB31</f>
        <v>0</v>
      </c>
      <c r="Q27">
        <f>Year_2032!BC31</f>
        <v>0</v>
      </c>
    </row>
    <row r="28" spans="1:17" x14ac:dyDescent="0.3">
      <c r="A28">
        <f>Year_2032!AM32</f>
        <v>0</v>
      </c>
      <c r="B28">
        <f>Year_2032!AN32</f>
        <v>0</v>
      </c>
      <c r="C28">
        <f>Year_2032!AO32</f>
        <v>0</v>
      </c>
      <c r="D28">
        <f>Year_2032!AP32</f>
        <v>0</v>
      </c>
      <c r="E28">
        <f>Year_2032!AQ32</f>
        <v>0</v>
      </c>
      <c r="F28">
        <f>Year_2032!AR32</f>
        <v>0</v>
      </c>
      <c r="G28">
        <f>Year_2032!AS32</f>
        <v>0</v>
      </c>
      <c r="H28">
        <f>Year_2032!AT32</f>
        <v>0</v>
      </c>
      <c r="I28">
        <f>Year_2032!AU32</f>
        <v>0</v>
      </c>
      <c r="J28">
        <f>Year_2032!AV32</f>
        <v>0</v>
      </c>
      <c r="K28">
        <f>Year_2032!AW32</f>
        <v>0</v>
      </c>
      <c r="L28">
        <f>Year_2032!AX32</f>
        <v>0</v>
      </c>
      <c r="M28">
        <f>Year_2032!AY32</f>
        <v>0</v>
      </c>
      <c r="N28">
        <f>Year_2032!AZ32</f>
        <v>0</v>
      </c>
      <c r="O28">
        <f>Year_2032!BA32</f>
        <v>0</v>
      </c>
      <c r="P28">
        <f>Year_2032!BB32</f>
        <v>0</v>
      </c>
      <c r="Q28">
        <f>Year_2032!BC32</f>
        <v>0</v>
      </c>
    </row>
    <row r="29" spans="1:17" x14ac:dyDescent="0.3">
      <c r="A29" t="str">
        <f>Year_2032!AM33</f>
        <v>GP Flow (PCE/hr)</v>
      </c>
      <c r="B29">
        <f>Year_2032!AN33</f>
        <v>0</v>
      </c>
      <c r="C29">
        <f>Year_2032!AO33</f>
        <v>0</v>
      </c>
      <c r="D29">
        <f>Year_2032!AP33</f>
        <v>0</v>
      </c>
      <c r="E29">
        <f>Year_2032!AQ33</f>
        <v>0</v>
      </c>
      <c r="F29">
        <f>Year_2032!AR33</f>
        <v>0</v>
      </c>
      <c r="G29">
        <f>Year_2032!AS33</f>
        <v>0</v>
      </c>
      <c r="H29">
        <f>Year_2032!AT33</f>
        <v>0</v>
      </c>
      <c r="I29">
        <f>Year_2032!AU33</f>
        <v>0</v>
      </c>
      <c r="J29">
        <f>Year_2032!AV33</f>
        <v>0</v>
      </c>
      <c r="K29">
        <f>Year_2032!AW33</f>
        <v>0</v>
      </c>
      <c r="L29">
        <f>Year_2032!AX33</f>
        <v>0</v>
      </c>
      <c r="M29">
        <f>Year_2032!AY33</f>
        <v>0</v>
      </c>
      <c r="N29">
        <f>Year_2032!AZ33</f>
        <v>0</v>
      </c>
      <c r="O29">
        <f>Year_2032!BA33</f>
        <v>0</v>
      </c>
      <c r="P29">
        <f>Year_2032!BB33</f>
        <v>0</v>
      </c>
      <c r="Q29">
        <f>Year_2032!BC33</f>
        <v>0</v>
      </c>
    </row>
    <row r="30" spans="1:17" x14ac:dyDescent="0.3">
      <c r="A30" t="str">
        <f>Year_2032!AM34</f>
        <v>Direction</v>
      </c>
      <c r="B30" t="str">
        <f>Year_2032!AN34</f>
        <v>NB</v>
      </c>
      <c r="C30" t="str">
        <f>Year_2032!AO34</f>
        <v>SB</v>
      </c>
      <c r="D30" t="str">
        <f>Year_2032!AP34</f>
        <v>NB</v>
      </c>
      <c r="E30" t="str">
        <f>Year_2032!AQ34</f>
        <v>SB</v>
      </c>
      <c r="F30" t="str">
        <f>Year_2032!AR34</f>
        <v>NB</v>
      </c>
      <c r="G30" t="str">
        <f>Year_2032!AS34</f>
        <v>SB</v>
      </c>
      <c r="H30" t="str">
        <f>Year_2032!AT34</f>
        <v>NB</v>
      </c>
      <c r="I30" t="str">
        <f>Year_2032!AU34</f>
        <v>SB</v>
      </c>
      <c r="J30" t="str">
        <f>Year_2032!AV34</f>
        <v>NB</v>
      </c>
      <c r="K30" t="str">
        <f>Year_2032!AW34</f>
        <v>SB</v>
      </c>
      <c r="L30" t="str">
        <f>Year_2032!AX34</f>
        <v>NB</v>
      </c>
      <c r="M30" t="str">
        <f>Year_2032!AY34</f>
        <v>SB</v>
      </c>
      <c r="N30" t="str">
        <f>Year_2032!AZ34</f>
        <v>NB</v>
      </c>
      <c r="O30" t="str">
        <f>Year_2032!BA34</f>
        <v>SB</v>
      </c>
      <c r="P30" t="str">
        <f>Year_2032!BB34</f>
        <v>NB</v>
      </c>
      <c r="Q30" t="str">
        <f>Year_2032!BC34</f>
        <v>SB</v>
      </c>
    </row>
    <row r="31" spans="1:17" x14ac:dyDescent="0.3">
      <c r="A31" t="str">
        <f>Year_2032!AM35</f>
        <v>Segment</v>
      </c>
      <c r="B31" t="str">
        <f>Year_2032!AN35</f>
        <v>11</v>
      </c>
      <c r="C31" t="str">
        <f>Year_2032!AO35</f>
        <v>11</v>
      </c>
      <c r="D31" t="str">
        <f>Year_2032!AP35</f>
        <v>12</v>
      </c>
      <c r="E31" t="str">
        <f>Year_2032!AQ35</f>
        <v>12</v>
      </c>
      <c r="F31" t="str">
        <f>Year_2032!AR35</f>
        <v>13</v>
      </c>
      <c r="G31" t="str">
        <f>Year_2032!AS35</f>
        <v>13</v>
      </c>
      <c r="H31" t="str">
        <f>Year_2032!AT35</f>
        <v>14</v>
      </c>
      <c r="I31" t="str">
        <f>Year_2032!AU35</f>
        <v>14</v>
      </c>
      <c r="J31" t="str">
        <f>Year_2032!AV35</f>
        <v>15</v>
      </c>
      <c r="K31" t="str">
        <f>Year_2032!AW35</f>
        <v>15</v>
      </c>
      <c r="L31" t="str">
        <f>Year_2032!AX35</f>
        <v>16</v>
      </c>
      <c r="M31" t="str">
        <f>Year_2032!AY35</f>
        <v>16</v>
      </c>
      <c r="N31" t="str">
        <f>Year_2032!AZ35</f>
        <v>17</v>
      </c>
      <c r="O31" t="str">
        <f>Year_2032!BA35</f>
        <v>17</v>
      </c>
      <c r="P31" t="str">
        <f>Year_2032!BB35</f>
        <v>18</v>
      </c>
      <c r="Q31" t="str">
        <f>Year_2032!BC35</f>
        <v>18</v>
      </c>
    </row>
    <row r="32" spans="1:17" x14ac:dyDescent="0.3">
      <c r="A32" t="str">
        <f>Year_2032!AM36</f>
        <v>Period</v>
      </c>
      <c r="B32">
        <f>Year_2032!AN36</f>
        <v>0</v>
      </c>
      <c r="C32">
        <f>Year_2032!AO36</f>
        <v>0</v>
      </c>
      <c r="D32">
        <f>Year_2032!AP36</f>
        <v>0</v>
      </c>
      <c r="E32">
        <f>Year_2032!AQ36</f>
        <v>0</v>
      </c>
      <c r="F32">
        <f>Year_2032!AR36</f>
        <v>0</v>
      </c>
      <c r="G32">
        <f>Year_2032!AS36</f>
        <v>0</v>
      </c>
      <c r="H32">
        <f>Year_2032!AT36</f>
        <v>0</v>
      </c>
      <c r="I32">
        <f>Year_2032!AU36</f>
        <v>0</v>
      </c>
      <c r="J32">
        <f>Year_2032!AV36</f>
        <v>0</v>
      </c>
      <c r="K32">
        <f>Year_2032!AW36</f>
        <v>0</v>
      </c>
      <c r="L32">
        <f>Year_2032!AX36</f>
        <v>0</v>
      </c>
      <c r="M32">
        <f>Year_2032!AY36</f>
        <v>0</v>
      </c>
      <c r="N32">
        <f>Year_2032!AZ36</f>
        <v>0</v>
      </c>
      <c r="O32">
        <f>Year_2032!BA36</f>
        <v>0</v>
      </c>
      <c r="P32">
        <f>Year_2032!BB36</f>
        <v>0</v>
      </c>
      <c r="Q32">
        <f>Year_2032!BC36</f>
        <v>0</v>
      </c>
    </row>
    <row r="33" spans="1:17" x14ac:dyDescent="0.3">
      <c r="A33" t="str">
        <f>Year_2032!AM37</f>
        <v>Night</v>
      </c>
      <c r="B33">
        <f>Year_2050!AN37/Year_2040!AN37</f>
        <v>1.0925208333333334</v>
      </c>
      <c r="C33">
        <f>Year_2050!AO37/Year_2040!AO37</f>
        <v>1.0842666666666665</v>
      </c>
      <c r="D33">
        <f>Year_2050!AP37/Year_2040!AP37</f>
        <v>1.0844133333333332</v>
      </c>
      <c r="E33">
        <f>Year_2050!AQ37/Year_2040!AQ37</f>
        <v>1.1040127182265138</v>
      </c>
      <c r="F33">
        <f>Year_2050!AR37/Year_2040!AR37</f>
        <v>1.0209001141743379</v>
      </c>
      <c r="G33">
        <f>Year_2050!AS37/Year_2040!AS37</f>
        <v>1.0210444521850968</v>
      </c>
      <c r="H33">
        <f>Year_2050!AT37/Year_2040!AT37</f>
        <v>1.1436472692199493</v>
      </c>
      <c r="I33">
        <f>Year_2050!AU37/Year_2040!AU37</f>
        <v>1.1426513053388685</v>
      </c>
      <c r="J33">
        <f>Year_2050!AV37/Year_2040!AV37</f>
        <v>1.1694792087202259</v>
      </c>
      <c r="K33">
        <f>Year_2050!AW37/Year_2040!AW37</f>
        <v>1.0988447478883867</v>
      </c>
      <c r="L33">
        <f>Year_2050!AX37/Year_2040!AX37</f>
        <v>1.0765711209796796</v>
      </c>
      <c r="M33">
        <f>Year_2050!AY37/Year_2040!AY37</f>
        <v>1</v>
      </c>
      <c r="N33">
        <f>Year_2050!AZ37/Year_2040!AZ37</f>
        <v>1.1674643254007546</v>
      </c>
      <c r="O33">
        <f>Year_2050!BA37/Year_2040!BA37</f>
        <v>1.1660223367697595</v>
      </c>
      <c r="P33">
        <f>Year_2050!BB37/Year_2040!BB37</f>
        <v>1.1447880348007429</v>
      </c>
      <c r="Q33">
        <f>Year_2050!BC37/Year_2040!BC37</f>
        <v>1.1410865661342053</v>
      </c>
    </row>
    <row r="34" spans="1:17" x14ac:dyDescent="0.3">
      <c r="A34" t="str">
        <f>Year_2032!AM38</f>
        <v>AM-Early</v>
      </c>
      <c r="B34">
        <f>Year_2050!AN38/Year_2040!AN38</f>
        <v>0.99161057883267734</v>
      </c>
      <c r="C34">
        <f>Year_2050!AO38/Year_2040!AO38</f>
        <v>1.1063242797044228</v>
      </c>
      <c r="D34">
        <f>Year_2050!AP38/Year_2040!AP38</f>
        <v>1.1463423327288613</v>
      </c>
      <c r="E34">
        <f>Year_2050!AQ38/Year_2040!AQ38</f>
        <v>0.98021343390177107</v>
      </c>
      <c r="F34">
        <f>Year_2050!AR38/Year_2040!AR38</f>
        <v>0.99602088091204299</v>
      </c>
      <c r="G34">
        <f>Year_2050!AS38/Year_2040!AS38</f>
        <v>1.0461873716736345</v>
      </c>
      <c r="H34">
        <f>Year_2050!AT38/Year_2040!AT38</f>
        <v>0.99577585682520153</v>
      </c>
      <c r="I34">
        <f>Year_2050!AU38/Year_2040!AU38</f>
        <v>1.0615751984815398</v>
      </c>
      <c r="J34">
        <f>Year_2050!AV38/Year_2040!AV38</f>
        <v>1.1046678218356207</v>
      </c>
      <c r="K34">
        <f>Year_2050!AW38/Year_2040!AW38</f>
        <v>1.1768672380009342</v>
      </c>
      <c r="L34">
        <f>Year_2050!AX38/Year_2040!AX38</f>
        <v>1.1046678218356207</v>
      </c>
      <c r="M34">
        <f>Year_2050!AY38/Year_2040!AY38</f>
        <v>1.1765822954597118</v>
      </c>
      <c r="N34">
        <f>Year_2050!AZ38/Year_2040!AZ38</f>
        <v>1.0947287443817357</v>
      </c>
      <c r="O34">
        <f>Year_2050!BA38/Year_2040!BA38</f>
        <v>1.0985632950289312</v>
      </c>
      <c r="P34">
        <f>Year_2050!BB38/Year_2040!BB38</f>
        <v>0.98890852301773269</v>
      </c>
      <c r="Q34">
        <f>Year_2050!BC38/Year_2040!BC38</f>
        <v>0.98470115926816015</v>
      </c>
    </row>
    <row r="35" spans="1:17" x14ac:dyDescent="0.3">
      <c r="A35" t="str">
        <f>Year_2032!AM39</f>
        <v>AM-Peak</v>
      </c>
      <c r="B35">
        <f>Year_2050!AN39/Year_2040!AN39</f>
        <v>1.0124771147546905</v>
      </c>
      <c r="C35">
        <f>Year_2050!AO39/Year_2040!AO39</f>
        <v>1.0650711368430501</v>
      </c>
      <c r="D35">
        <f>Year_2050!AP39/Year_2040!AP39</f>
        <v>1.1078289359239342</v>
      </c>
      <c r="E35">
        <f>Year_2050!AQ39/Year_2040!AQ39</f>
        <v>1.1317702959340841</v>
      </c>
      <c r="F35">
        <f>Year_2050!AR39/Year_2040!AR39</f>
        <v>1.0426445825357518</v>
      </c>
      <c r="G35">
        <f>Year_2050!AS39/Year_2040!AS39</f>
        <v>1.1863686671698599</v>
      </c>
      <c r="H35">
        <f>Year_2050!AT39/Year_2040!AT39</f>
        <v>1.0870101266885768</v>
      </c>
      <c r="I35">
        <f>Year_2050!AU39/Year_2040!AU39</f>
        <v>1.1285547110217344</v>
      </c>
      <c r="J35">
        <f>Year_2050!AV39/Year_2040!AV39</f>
        <v>1.1698350018539119</v>
      </c>
      <c r="K35">
        <f>Year_2050!AW39/Year_2040!AW39</f>
        <v>1.1484658220890209</v>
      </c>
      <c r="L35">
        <f>Year_2050!AX39/Year_2040!AX39</f>
        <v>1.1561720039394334</v>
      </c>
      <c r="M35">
        <f>Year_2050!AY39/Year_2040!AY39</f>
        <v>1.1296210594813945</v>
      </c>
      <c r="N35">
        <f>Year_2050!AZ39/Year_2040!AZ39</f>
        <v>1.0995691019305209</v>
      </c>
      <c r="O35">
        <f>Year_2050!BA39/Year_2040!BA39</f>
        <v>1.0924440312495314</v>
      </c>
      <c r="P35">
        <f>Year_2050!BB39/Year_2040!BB39</f>
        <v>1.2195625974521165</v>
      </c>
      <c r="Q35">
        <f>Year_2050!BC39/Year_2040!BC39</f>
        <v>1.0074257355426837</v>
      </c>
    </row>
    <row r="36" spans="1:17" x14ac:dyDescent="0.3">
      <c r="A36" t="str">
        <f>Year_2032!AM40</f>
        <v>AM-Shoulder</v>
      </c>
      <c r="B36">
        <f>Year_2050!AN40/Year_2040!AN40</f>
        <v>1.0335638540646295</v>
      </c>
      <c r="C36">
        <f>Year_2050!AO40/Year_2040!AO40</f>
        <v>1.0231931102342235</v>
      </c>
      <c r="D36">
        <f>Year_2050!AP40/Year_2040!AP40</f>
        <v>1.1259410690435303</v>
      </c>
      <c r="E36">
        <f>Year_2050!AQ40/Year_2040!AQ40</f>
        <v>1.0990912289940522</v>
      </c>
      <c r="F36">
        <f>Year_2050!AR40/Year_2040!AR40</f>
        <v>1.0336682687829908</v>
      </c>
      <c r="G36">
        <f>Year_2050!AS40/Year_2040!AS40</f>
        <v>1.0983046443799886</v>
      </c>
      <c r="H36">
        <f>Year_2050!AT40/Year_2040!AT40</f>
        <v>1.1613119751406629</v>
      </c>
      <c r="I36">
        <f>Year_2050!AU40/Year_2040!AU40</f>
        <v>1.1550773154372962</v>
      </c>
      <c r="J36">
        <f>Year_2050!AV40/Year_2040!AV40</f>
        <v>1.1593228351109406</v>
      </c>
      <c r="K36">
        <f>Year_2050!AW40/Year_2040!AW40</f>
        <v>1.1657663031321808</v>
      </c>
      <c r="L36">
        <f>Year_2050!AX40/Year_2040!AX40</f>
        <v>1.145159589718926</v>
      </c>
      <c r="M36">
        <f>Year_2050!AY40/Year_2040!AY40</f>
        <v>1.1675071282416527</v>
      </c>
      <c r="N36">
        <f>Year_2050!AZ40/Year_2040!AZ40</f>
        <v>1.1659767773477285</v>
      </c>
      <c r="O36">
        <f>Year_2050!BA40/Year_2040!BA40</f>
        <v>1.1658829133637063</v>
      </c>
      <c r="P36">
        <f>Year_2050!BB40/Year_2040!BB40</f>
        <v>1.0140918902828302</v>
      </c>
      <c r="Q36">
        <f>Year_2050!BC40/Year_2040!BC40</f>
        <v>1.0129421276678647</v>
      </c>
    </row>
    <row r="37" spans="1:17" x14ac:dyDescent="0.3">
      <c r="A37" t="str">
        <f>Year_2032!AM41</f>
        <v>MD</v>
      </c>
      <c r="B37">
        <f>Year_2050!AN41/Year_2040!AN41</f>
        <v>1.0108637698018812</v>
      </c>
      <c r="C37">
        <f>Year_2050!AO41/Year_2040!AO41</f>
        <v>1.0321730150686386</v>
      </c>
      <c r="D37">
        <f>Year_2050!AP41/Year_2040!AP41</f>
        <v>1.0228933361574779</v>
      </c>
      <c r="E37">
        <f>Year_2050!AQ41/Year_2040!AQ41</f>
        <v>1.0203736654804272</v>
      </c>
      <c r="F37">
        <f>Year_2050!AR41/Year_2040!AR41</f>
        <v>1.0562253572153779</v>
      </c>
      <c r="G37">
        <f>Year_2050!AS41/Year_2040!AS41</f>
        <v>1.1263401800210011</v>
      </c>
      <c r="H37">
        <f>Year_2050!AT41/Year_2040!AT41</f>
        <v>1.1470805902421752</v>
      </c>
      <c r="I37">
        <f>Year_2050!AU41/Year_2040!AU41</f>
        <v>1.1564412336421686</v>
      </c>
      <c r="J37">
        <f>Year_2050!AV41/Year_2040!AV41</f>
        <v>1.156729015255209</v>
      </c>
      <c r="K37">
        <f>Year_2050!AW41/Year_2040!AW41</f>
        <v>1.1720106188978632</v>
      </c>
      <c r="L37">
        <f>Year_2050!AX41/Year_2040!AX41</f>
        <v>1.1768883382623292</v>
      </c>
      <c r="M37">
        <f>Year_2050!AY41/Year_2040!AY41</f>
        <v>1.1717204707448585</v>
      </c>
      <c r="N37">
        <f>Year_2050!AZ41/Year_2040!AZ41</f>
        <v>1.1645811691377843</v>
      </c>
      <c r="O37">
        <f>Year_2050!BA41/Year_2040!BA41</f>
        <v>1.1661151647859636</v>
      </c>
      <c r="P37">
        <f>Year_2050!BB41/Year_2040!BB41</f>
        <v>1.0204827086252386</v>
      </c>
      <c r="Q37">
        <f>Year_2050!BC41/Year_2040!BC41</f>
        <v>1.0178205162778375</v>
      </c>
    </row>
    <row r="38" spans="1:17" x14ac:dyDescent="0.3">
      <c r="A38" t="str">
        <f>Year_2032!AM42</f>
        <v>PM-Shoulder</v>
      </c>
      <c r="B38">
        <f>Year_2050!AN42/Year_2040!AN42</f>
        <v>1.0144719659529071</v>
      </c>
      <c r="C38">
        <f>Year_2050!AO42/Year_2040!AO42</f>
        <v>1.0547814691443025</v>
      </c>
      <c r="D38">
        <f>Year_2050!AP42/Year_2040!AP42</f>
        <v>1.1167585432163842</v>
      </c>
      <c r="E38">
        <f>Year_2050!AQ42/Year_2040!AQ42</f>
        <v>1.0642908666758752</v>
      </c>
      <c r="F38">
        <f>Year_2050!AR42/Year_2040!AR42</f>
        <v>1.0908515096841009</v>
      </c>
      <c r="G38">
        <f>Year_2050!AS42/Year_2040!AS42</f>
        <v>1.0537129714065276</v>
      </c>
      <c r="H38">
        <f>Year_2050!AT42/Year_2040!AT42</f>
        <v>1.1036983048517475</v>
      </c>
      <c r="I38">
        <f>Year_2050!AU42/Year_2040!AU42</f>
        <v>1.0610296313131988</v>
      </c>
      <c r="J38">
        <f>Year_2050!AV42/Year_2040!AV42</f>
        <v>1.1857423172407882</v>
      </c>
      <c r="K38">
        <f>Year_2050!AW42/Year_2040!AW42</f>
        <v>1.1761194566879554</v>
      </c>
      <c r="L38">
        <f>Year_2050!AX42/Year_2040!AX42</f>
        <v>1.1798081490955601</v>
      </c>
      <c r="M38">
        <f>Year_2050!AY42/Year_2040!AY42</f>
        <v>1.171908844765343</v>
      </c>
      <c r="N38">
        <f>Year_2050!AZ42/Year_2040!AZ42</f>
        <v>1.1698491908135977</v>
      </c>
      <c r="O38">
        <f>Year_2050!BA42/Year_2040!BA42</f>
        <v>1.1684541001355699</v>
      </c>
      <c r="P38">
        <f>Year_2050!BB42/Year_2040!BB42</f>
        <v>1.0183493057458877</v>
      </c>
      <c r="Q38">
        <f>Year_2050!BC42/Year_2040!BC42</f>
        <v>1.0043386494310218</v>
      </c>
    </row>
    <row r="39" spans="1:17" x14ac:dyDescent="0.3">
      <c r="A39" t="str">
        <f>Year_2032!AM43</f>
        <v>PM-Peak</v>
      </c>
      <c r="B39">
        <f>Year_2050!AN43/Year_2040!AN43</f>
        <v>1.0616164178312089</v>
      </c>
      <c r="C39">
        <f>Year_2050!AO43/Year_2040!AO43</f>
        <v>1.0718903634658556</v>
      </c>
      <c r="D39">
        <f>Year_2050!AP43/Year_2040!AP43</f>
        <v>1.1810367779020829</v>
      </c>
      <c r="E39">
        <f>Year_2050!AQ43/Year_2040!AQ43</f>
        <v>1.175180672611589</v>
      </c>
      <c r="F39">
        <f>Year_2050!AR43/Year_2040!AR43</f>
        <v>1.10625087576565</v>
      </c>
      <c r="G39">
        <f>Year_2050!AS43/Year_2040!AS43</f>
        <v>1.1086340745315824</v>
      </c>
      <c r="H39">
        <f>Year_2050!AT43/Year_2040!AT43</f>
        <v>1.087113436943135</v>
      </c>
      <c r="I39">
        <f>Year_2050!AU43/Year_2040!AU43</f>
        <v>1.1193122943735345</v>
      </c>
      <c r="J39">
        <f>Year_2050!AV43/Year_2040!AV43</f>
        <v>1.1454211805611449</v>
      </c>
      <c r="K39">
        <f>Year_2050!AW43/Year_2040!AW43</f>
        <v>1.1536984761313827</v>
      </c>
      <c r="L39">
        <f>Year_2050!AX43/Year_2040!AX43</f>
        <v>1.123500891673229</v>
      </c>
      <c r="M39">
        <f>Year_2050!AY43/Year_2040!AY43</f>
        <v>1.1310893382885274</v>
      </c>
      <c r="N39">
        <f>Year_2050!AZ43/Year_2040!AZ43</f>
        <v>1.1186693103011209</v>
      </c>
      <c r="O39">
        <f>Year_2050!BA43/Year_2040!BA43</f>
        <v>1.1568186401501637</v>
      </c>
      <c r="P39">
        <f>Year_2050!BB43/Year_2040!BB43</f>
        <v>1.1414256274958818</v>
      </c>
      <c r="Q39">
        <f>Year_2050!BC43/Year_2040!BC43</f>
        <v>1.0170635953358764</v>
      </c>
    </row>
    <row r="40" spans="1:17" x14ac:dyDescent="0.3">
      <c r="A40" t="str">
        <f>Year_2032!AM44</f>
        <v>PM-Late</v>
      </c>
      <c r="B40">
        <f>Year_2050!AN44/Year_2040!AN44</f>
        <v>1.0877123104497994</v>
      </c>
      <c r="C40">
        <f>Year_2050!AO44/Year_2040!AO44</f>
        <v>1.1409056457440996</v>
      </c>
      <c r="D40">
        <f>Year_2050!AP44/Year_2040!AP44</f>
        <v>1.0492099911471426</v>
      </c>
      <c r="E40">
        <f>Year_2050!AQ44/Year_2040!AQ44</f>
        <v>1.136339997442346</v>
      </c>
      <c r="F40">
        <f>Year_2050!AR44/Year_2040!AR44</f>
        <v>1.0395494619901804</v>
      </c>
      <c r="G40">
        <f>Year_2050!AS44/Year_2040!AS44</f>
        <v>1.0573445069552792</v>
      </c>
      <c r="H40">
        <f>Year_2050!AT44/Year_2040!AT44</f>
        <v>1.1081155851341558</v>
      </c>
      <c r="I40">
        <f>Year_2050!AU44/Year_2040!AU44</f>
        <v>1.1475071249368136</v>
      </c>
      <c r="J40">
        <f>Year_2050!AV44/Year_2040!AV44</f>
        <v>1.0947100609602498</v>
      </c>
      <c r="K40">
        <f>Year_2050!AW44/Year_2040!AW44</f>
        <v>1.0562551344842941</v>
      </c>
      <c r="L40">
        <f>Year_2050!AX44/Year_2040!AX44</f>
        <v>1.0947073033722017</v>
      </c>
      <c r="M40">
        <f>Year_2050!AY44/Year_2040!AY44</f>
        <v>1.0562551344842941</v>
      </c>
      <c r="N40">
        <f>Year_2050!AZ44/Year_2040!AZ44</f>
        <v>1.1699982254882515</v>
      </c>
      <c r="O40">
        <f>Year_2050!BA44/Year_2040!BA44</f>
        <v>1.172983605340558</v>
      </c>
      <c r="P40">
        <f>Year_2050!BB44/Year_2040!BB44</f>
        <v>0.98380739320336641</v>
      </c>
      <c r="Q40">
        <f>Year_2050!BC44/Year_2040!BC44</f>
        <v>0.98103966819419353</v>
      </c>
    </row>
  </sheetData>
  <conditionalFormatting sqref="B5:Q12">
    <cfRule type="cellIs" dxfId="5" priority="3" operator="lessThan">
      <formula>1</formula>
    </cfRule>
  </conditionalFormatting>
  <conditionalFormatting sqref="B19:Q26">
    <cfRule type="cellIs" dxfId="4" priority="2" operator="lessThan">
      <formula>1</formula>
    </cfRule>
  </conditionalFormatting>
  <conditionalFormatting sqref="B33:Q40">
    <cfRule type="cellIs" dxfId="3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Year_2025</vt:lpstr>
      <vt:lpstr>Year_2032</vt:lpstr>
      <vt:lpstr>Year_2040</vt:lpstr>
      <vt:lpstr>Year_2050</vt:lpstr>
      <vt:lpstr>Sheet1</vt:lpstr>
      <vt:lpstr>Sheet1 (2)</vt:lpstr>
      <vt:lpstr>Sheet1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2026-01-16T18:57:39Z</dcterms:created>
  <dcterms:modified xsi:type="dcterms:W3CDTF">2026-01-16T19:15:17Z</dcterms:modified>
</cp:coreProperties>
</file>